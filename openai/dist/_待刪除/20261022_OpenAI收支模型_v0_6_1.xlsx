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TK_PxQ" sheetId="4" state="visible" r:id="rId6"/>
    <sheet name="Inputs" sheetId="5" state="visible" r:id="rId7"/>
    <sheet name="Derived_V9" sheetId="6" state="visible" r:id="rId8"/>
    <sheet name="Demand" sheetId="7" state="visible" r:id="rId9"/>
    <sheet name="Revenue" sheetId="8" state="visible" r:id="rId10"/>
    <sheet name="Compute" sheetId="9" state="visible" r:id="rId11"/>
    <sheet name="Cost" sheetId="10" state="visible" r:id="rId12"/>
    <sheet name="Funding" sheetId="11" state="visible" r:id="rId13"/>
    <sheet name="Reverse" sheetId="12" state="visible" r:id="rId14"/>
    <sheet name="PxQ" sheetId="13" state="visible" r:id="rId15"/>
    <sheet name="Checks" sheetId="14" state="visible" r:id="rId16"/>
    <sheet name="Map_v05" sheetId="15" state="visible" r:id="rId17"/>
    <sheet name="_Defaults" sheetId="16" state="hidden" r:id="rId18"/>
  </sheets>
  <definedNames>
    <definedName function="false" hidden="false" name="CHK_Errors" vbProcedure="false">Checks!$C$157</definedName>
    <definedName function="false" hidden="false" name="CMP_CapFactor" vbProcedure="false">Compute!$D$93:$I$93</definedName>
    <definedName function="false" hidden="false" name="CMP_CapFlag" vbProcedure="false">Compute!$D$94:$I$94</definedName>
    <definedName function="false" hidden="false" name="CMP_CapFree" vbProcedure="false">Compute!$D$45:$I$45</definedName>
    <definedName function="false" hidden="false" name="CMP_CapPaid" vbProcedure="false">Compute!$D$38:$I$38</definedName>
    <definedName function="false" hidden="false" name="CMP_DemandGW" vbProcedure="false">Compute!$D$73:$I$73</definedName>
    <definedName function="false" hidden="false" name="CMP_DemGapAvg2025" vbProcedure="false">Compute!$D$76</definedName>
    <definedName function="false" hidden="false" name="CMP_Eta" vbProcedure="false">Compute!$D$58:$I$58</definedName>
    <definedName function="false" hidden="false" name="CMP_Eta2025" vbProcedure="false">Compute!$D$57</definedName>
    <definedName function="false" hidden="false" name="CMP_GenVReq" vbProcedure="false">Compute!$D$13:$I$13</definedName>
    <definedName function="false" hidden="false" name="CMP_ImpliedPrice2025" vbProcedure="false">Compute!$D$65</definedName>
    <definedName function="false" hidden="false" name="CMP_InfAvailGW" vbProcedure="false">Compute!$D$91:$I$91</definedName>
    <definedName function="false" hidden="false" name="CMP_InfGW" vbProcedure="false">Compute!$D$92:$I$92</definedName>
    <definedName function="false" hidden="false" name="CMP_InfGW_Eff" vbProcedure="false">Compute!$D$61:$I$61</definedName>
    <definedName function="false" hidden="false" name="CMP_InfGW_VReq" vbProcedure="false">Compute!$D$100:$I$100</definedName>
    <definedName function="false" hidden="false" name="CMP_RDGW" vbProcedure="false">Compute!$D$72:$I$72</definedName>
    <definedName function="false" hidden="false" name="CMP_RDGW_VReq" vbProcedure="false">Compute!$D$101:$I$101</definedName>
    <definedName function="false" hidden="false" name="CMP_Share_Custom" vbProcedure="false">Compute!$D$22:$I$22</definedName>
    <definedName function="false" hidden="false" name="CMP_Share_GB200" vbProcedure="false">Compute!$D$18:$I$18</definedName>
    <definedName function="false" hidden="false" name="CMP_Share_GB300" vbProcedure="false">Compute!$D$19:$I$19</definedName>
    <definedName function="false" hidden="false" name="CMP_Share_Hopper" vbProcedure="false">Compute!$D$15:$I$15</definedName>
    <definedName function="false" hidden="false" name="CMP_Share_RubinUltra" vbProcedure="false">Compute!$D$21:$I$21</definedName>
    <definedName function="false" hidden="false" name="CMP_Share_VR200" vbProcedure="false">Compute!$D$20:$I$20</definedName>
    <definedName function="false" hidden="false" name="CMP_SpendGW2025" vbProcedure="false">Compute!$D$55</definedName>
    <definedName function="false" hidden="false" name="CMP_SupplyContractGW" vbProcedure="false">Compute!$D$157:$I$157</definedName>
    <definedName function="false" hidden="false" name="CMP_SupplyGW" vbProcedure="false">Compute!$D$87:$I$87</definedName>
    <definedName function="false" hidden="false" name="CMP_Supply_AWSNvidia" vbProcedure="false">Compute!$D$81:$I$81</definedName>
    <definedName function="false" hidden="false" name="CMP_Supply_AWSTrainium" vbProcedure="false">Compute!$D$82:$I$82</definedName>
    <definedName function="false" hidden="false" name="CMP_Supply_Azure" vbProcedure="false">Compute!$D$79:$I$79</definedName>
    <definedName function="false" hidden="false" name="CMP_Supply_Cerebras" vbProcedure="false">Compute!$D$84:$I$84</definedName>
    <definedName function="false" hidden="false" name="CMP_Supply_CoreWeave" vbProcedure="false">Compute!$D$83:$I$83</definedName>
    <definedName function="false" hidden="false" name="CMP_Supply_Oracle" vbProcedure="false">Compute!$D$80:$I$80</definedName>
    <definedName function="false" hidden="false" name="CMP_Supply_Owned" vbProcedure="false">Compute!$D$156:$I$156</definedName>
    <definedName function="false" hidden="false" name="CMP_Supply_VReq" vbProcedure="false">Compute!$D$99:$I$99</definedName>
    <definedName function="false" hidden="false" name="CMP_TokGW" vbProcedure="false">Compute!$D$51:$I$51</definedName>
    <definedName function="false" hidden="false" name="CMP_TokGW_Free" vbProcedure="false">Compute!$D$50:$I$50</definedName>
    <definedName function="false" hidden="false" name="CMP_TokGW_Paid" vbProcedure="false">Compute!$D$49:$I$49</definedName>
    <definedName function="false" hidden="false" name="CMP_VReqFactor" vbProcedure="false">Compute!$D$98:$I$98</definedName>
    <definedName function="false" hidden="false" name="COST_Actual2025" vbProcedure="false">Cost!$D$28</definedName>
    <definedName function="false" hidden="false" name="COST_CloudGM" vbProcedure="false">Cost!$D$37:$I$37</definedName>
    <definedName function="false" hidden="false" name="COST_CloudGMPct" vbProcedure="false">Cost!$D$38:$I$38</definedName>
    <definedName function="false" hidden="false" name="COST_Compute" vbProcedure="false">Cost!$D$27:$I$27</definedName>
    <definedName function="false" hidden="false" name="COST_ComputeEcon" vbProcedure="false">Cost!$D$44:$I$44</definedName>
    <definedName function="false" hidden="false" name="COST_ContractPay" vbProcedure="false">Cost!$D$23:$I$23</definedName>
    <definedName function="false" hidden="false" name="COST_Coverage" vbProcedure="false">Cost!$D$98:$I$98</definedName>
    <definedName function="false" hidden="false" name="COST_FullCash" vbProcedure="false">Cost!$D$87:$I$87</definedName>
    <definedName function="false" hidden="false" name="COST_GapCash" vbProcedure="false">Cost!$D$89:$I$89</definedName>
    <definedName function="false" hidden="false" name="COST_GapEcon" vbProcedure="false">Cost!$D$103:$I$103</definedName>
    <definedName function="false" hidden="false" name="COST_Headcount" vbProcedure="false">Cost!$D$56:$I$56</definedName>
    <definedName function="false" hidden="false" name="COST_HoldW" vbProcedure="false">Cost!$D$32:$I$32</definedName>
    <definedName function="false" hidden="false" name="COST_NonCompExSBC" vbProcedure="false">Cost!$D$59:$I$59</definedName>
    <definedName function="false" hidden="false" name="COST_NonCompInclSBC" vbProcedure="false">Cost!$D$65:$I$65</definedName>
    <definedName function="false" hidden="false" name="COST_NonCompRD" vbProcedure="false">Cost!$D$61:$I$61</definedName>
    <definedName function="false" hidden="false" name="COST_NonCompRD2025" vbProcedure="false">Cost!$D$49</definedName>
    <definedName function="false" hidden="false" name="COST_OwnedCapex" vbProcedure="false">Cost!$D$26:$I$26</definedName>
    <definedName function="false" hidden="false" name="COST_OwnedHold" vbProcedure="false">Cost!$D$43:$I$43</definedName>
    <definedName function="false" hidden="false" name="COST_Pay_AWSNvidia" vbProcedure="false">Cost!$D$19:$I$19</definedName>
    <definedName function="false" hidden="false" name="COST_Pay_AWSTrainium" vbProcedure="false">Cost!$D$20:$I$20</definedName>
    <definedName function="false" hidden="false" name="COST_Pay_Azure" vbProcedure="false">Cost!$D$17:$I$17</definedName>
    <definedName function="false" hidden="false" name="COST_Pay_Cerebras" vbProcedure="false">Cost!$D$22:$I$22</definedName>
    <definedName function="false" hidden="false" name="COST_Pay_CoreWeave" vbProcedure="false">Cost!$D$21:$I$21</definedName>
    <definedName function="false" hidden="false" name="COST_Pay_Oracle" vbProcedure="false">Cost!$D$18:$I$18</definedName>
    <definedName function="false" hidden="false" name="COST_PropCompute_VR" vbProcedure="false">Cost!$D$91:$I$91</definedName>
    <definedName function="false" hidden="false" name="COST_PropFull_VR" vbProcedure="false">Cost!$D$94:$I$94</definedName>
    <definedName function="false" hidden="false" name="COST_PropGapEcon_VR" vbProcedure="false">Cost!$D$101:$I$101</definedName>
    <definedName function="false" hidden="false" name="COST_PropGap_VR" vbProcedure="false">Cost!$D$96:$I$96</definedName>
    <definedName function="false" hidden="false" name="COST_PropRev_VR" vbProcedure="false">Cost!$D$90:$I$90</definedName>
    <definedName function="false" hidden="false" name="COST_Q3" vbProcedure="false">Cost!$D$79:$I$79</definedName>
    <definedName function="false" hidden="false" name="COST_Q3GapTK" vbProcedure="false">Cost!$D$82:$I$82</definedName>
    <definedName function="false" hidden="false" name="COST_RDCompute" vbProcedure="false">Cost!$D$73:$I$73</definedName>
    <definedName function="false" hidden="false" name="COST_SBC" vbProcedure="false">Cost!$D$58:$I$58</definedName>
    <definedName function="false" hidden="false" name="COST_SGA" vbProcedure="false">Cost!$D$64:$I$64</definedName>
    <definedName function="false" hidden="false" name="COST_SupplierHold" vbProcedure="false">Cost!$D$36:$I$36</definedName>
    <definedName function="false" hidden="false" name="COST_V16Flag" vbProcedure="false">Cost!$D$113</definedName>
    <definedName function="false" hidden="false" name="DEM_ApiBilledRatio2025" vbProcedure="false">Demand!$D$59</definedName>
    <definedName function="false" hidden="false" name="DEM_TkGap2025" vbProcedure="false">Demand!$D$56</definedName>
    <definedName function="false" hidden="false" name="DEM_TkRatio2025" vbProcedure="false">Demand!$D$57</definedName>
    <definedName function="false" hidden="false" name="DEM_Tok_API" vbProcedure="false">Demand!$D$38:$I$38</definedName>
    <definedName function="false" hidden="false" name="DEM_Tok_API_Low" vbProcedure="false">Demand!$D$41:$I$41</definedName>
    <definedName function="false" hidden="false" name="DEM_Tok_API_Mid" vbProcedure="false">Demand!$D$40:$I$40</definedName>
    <definedName function="false" hidden="false" name="DEM_Tok_API_Top" vbProcedure="false">Demand!$D$39:$I$39</definedName>
    <definedName function="false" hidden="false" name="DEM_Tok_Free" vbProcedure="false">Demand!$D$49:$I$49</definedName>
    <definedName function="false" hidden="false" name="DEM_Tok_Free_Low" vbProcedure="false">Demand!$D$45:$I$45</definedName>
    <definedName function="false" hidden="false" name="DEM_Tok_Free_Mid" vbProcedure="false">Demand!$D$44:$I$44</definedName>
    <definedName function="false" hidden="false" name="DEM_Tok_Free_Top" vbProcedure="false">Demand!$D$43:$I$43</definedName>
    <definedName function="false" hidden="false" name="DEM_Tok_Paid" vbProcedure="false">Demand!$D$50:$I$50</definedName>
    <definedName function="false" hidden="false" name="DEM_Tok_Paid_Low" vbProcedure="false">Demand!$D$48:$I$48</definedName>
    <definedName function="false" hidden="false" name="DEM_Tok_Paid_Mid" vbProcedure="false">Demand!$D$47:$I$47</definedName>
    <definedName function="false" hidden="false" name="DEM_Tok_Paid_Top" vbProcedure="false">Demand!$D$46:$I$46</definedName>
    <definedName function="false" hidden="false" name="DEM_Tok_Plan_Free" vbProcedure="false">Demand!$D$28:$I$28</definedName>
    <definedName function="false" hidden="false" name="DEM_Tok_Plan_Go" vbProcedure="false">Demand!$D$29:$I$29</definedName>
    <definedName function="false" hidden="false" name="DEM_Tok_Plan_Plus" vbProcedure="false">Demand!$D$30:$I$30</definedName>
    <definedName function="false" hidden="false" name="DEM_Tok_Plan_Pro" vbProcedure="false">Demand!$D$31:$I$31</definedName>
    <definedName function="false" hidden="false" name="DEM_Tok_Plan_Seats" vbProcedure="false">Demand!$D$32:$I$32</definedName>
    <definedName function="false" hidden="false" name="DEM_Tok_Total" vbProcedure="false">Demand!$D$51:$I$51</definedName>
    <definedName function="false" hidden="false" name="DEM_Users_Free" vbProcedure="false">Demand!$D$10:$I$10</definedName>
    <definedName function="false" hidden="false" name="DEM_Users_Go" vbProcedure="false">Demand!$D$11:$I$11</definedName>
    <definedName function="false" hidden="false" name="DEM_Users_Paid" vbProcedure="false">Demand!$D$15:$I$15</definedName>
    <definedName function="false" hidden="false" name="DEM_Users_Plus" vbProcedure="false">Demand!$D$12:$I$12</definedName>
    <definedName function="false" hidden="false" name="DEM_Users_Pro" vbProcedure="false">Demand!$D$13:$I$13</definedName>
    <definedName function="false" hidden="false" name="DEM_Users_Seats" vbProcedure="false">Demand!$D$14:$I$14</definedName>
    <definedName function="false" hidden="false" name="FND_CashEnd" vbProcedure="false">Funding!$D$30:$I$30</definedName>
    <definedName function="false" hidden="false" name="FND_CashNoExt" vbProcedure="false">Funding!$D$34:$I$34</definedName>
    <definedName function="false" hidden="false" name="FND_CashOpen" vbProcedure="false">Funding!$D$27:$I$27</definedName>
    <definedName function="false" hidden="false" name="FND_CommitAfter2030" vbProcedure="false">Funding!$D$49</definedName>
    <definedName function="false" hidden="false" name="FND_Committed" vbProcedure="false">Funding!$D$21:$I$21</definedName>
    <definedName function="false" hidden="false" name="FND_Contingent" vbProcedure="false">Funding!$D$47</definedName>
    <definedName function="false" hidden="false" name="FND_EquityIn" vbProcedure="false">Funding!$D$24:$I$24</definedName>
    <definedName function="false" hidden="false" name="FND_ExtNeed" vbProcedure="false">Funding!$D$29:$I$29</definedName>
    <definedName function="false" hidden="false" name="FND_ExtNeedCum" vbProcedure="false">Funding!$D$31:$I$31</definedName>
    <definedName function="false" hidden="false" name="FND_ExtNeedCumAmzn" vbProcedure="false">Funding!$D$43:$I$43</definedName>
    <definedName function="false" hidden="false" name="FND_FCF" vbProcedure="false">Funding!$D$13:$I$13</definedName>
    <definedName function="false" hidden="false" name="FND_FCF2025Act" vbProcedure="false">Funding!$D$14</definedName>
    <definedName function="false" hidden="false" name="FND_GapFlag" vbProcedure="false">Funding!$D$32:$I$32</definedName>
    <definedName function="false" hidden="false" name="FND_MinCash" vbProcedure="false">Funding!$D$26:$I$26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INP_246" vbProcedure="false">Inputs!$E$238</definedName>
    <definedName function="false" hidden="false" name="INP_247" vbProcedure="false">Inputs!$E$239</definedName>
    <definedName function="false" hidden="false" name="INP_248" vbProcedure="false">Inputs!$E$240</definedName>
    <definedName function="false" hidden="false" name="INP_249" vbProcedure="false">Inputs!$E$241</definedName>
    <definedName function="false" hidden="false" name="INP_250" vbProcedure="false">Inputs!$E$242</definedName>
    <definedName function="false" hidden="false" name="INP_251" vbProcedure="false">Inputs!$E$243</definedName>
    <definedName function="false" hidden="false" name="INP_252" vbProcedure="false">Inputs!$E$244</definedName>
    <definedName function="false" hidden="false" name="INP_253" vbProcedure="false">Inputs!$E$245</definedName>
    <definedName function="false" hidden="false" name="INP_254" vbProcedure="false">Inputs!$E$246</definedName>
    <definedName function="false" hidden="false" name="INP_255" vbProcedure="false">Inputs!$E$247</definedName>
    <definedName function="false" hidden="false" name="INP_256" vbProcedure="false">Inputs!$E$248</definedName>
    <definedName function="false" hidden="false" name="INP_257" vbProcedure="false">Inputs!$E$249</definedName>
    <definedName function="false" hidden="false" name="INP_258" vbProcedure="false">Inputs!$E$250</definedName>
    <definedName function="false" hidden="false" name="INP_259" vbProcedure="false">Inputs!$E$251</definedName>
    <definedName function="false" hidden="false" name="INP_260" vbProcedure="false">Inputs!$E$252</definedName>
    <definedName function="false" hidden="false" name="INP_261" vbProcedure="false">Inputs!$E$253</definedName>
    <definedName function="false" hidden="false" name="INP_262" vbProcedure="false">Inputs!$E$254</definedName>
    <definedName function="false" hidden="false" name="INP_263" vbProcedure="false">Inputs!$E$255</definedName>
    <definedName function="false" hidden="false" name="INP_264" vbProcedure="false">Inputs!$E$256</definedName>
    <definedName function="false" hidden="false" name="INP_265" vbProcedure="false">Inputs!$E$257</definedName>
    <definedName function="false" hidden="false" name="INP_266" vbProcedure="false">Inputs!$E$258</definedName>
    <definedName function="false" hidden="false" name="INP_267" vbProcedure="false">Inputs!$E$259</definedName>
    <definedName function="false" hidden="false" name="INP_268" vbProcedure="false">Inputs!$E$260</definedName>
    <definedName function="false" hidden="false" name="INP_269" vbProcedure="false">Inputs!$E$261</definedName>
    <definedName function="false" hidden="false" name="INP_270" vbProcedure="false">Inputs!$E$262</definedName>
    <definedName function="false" hidden="false" name="INP_271" vbProcedure="false">Inputs!$E$263</definedName>
    <definedName function="false" hidden="false" name="INP_272" vbProcedure="false">Inputs!$E$264</definedName>
    <definedName function="false" hidden="false" name="INP_273" vbProcedure="false">Inputs!$E$265</definedName>
    <definedName function="false" hidden="false" name="INP_274" vbProcedure="false">Inputs!$E$266</definedName>
    <definedName function="false" hidden="false" name="INP_275" vbProcedure="false">Inputs!$E$267</definedName>
    <definedName function="false" hidden="false" name="INP_276" vbProcedure="false">Inputs!$E$268</definedName>
    <definedName function="false" hidden="false" name="INP_277" vbProcedure="false">Inputs!$E$269</definedName>
    <definedName function="false" hidden="false" name="INP_278" vbProcedure="false">Inputs!$E$270</definedName>
    <definedName function="false" hidden="false" name="INP_279" vbProcedure="false">Inputs!$E$271</definedName>
    <definedName function="false" hidden="false" name="INP_280" vbProcedure="false">Inputs!$E$272</definedName>
    <definedName function="false" hidden="false" name="INP_281" vbProcedure="false">Inputs!$E$273</definedName>
    <definedName function="false" hidden="false" name="INP_282" vbProcedure="false">Inputs!$E$274</definedName>
    <definedName function="false" hidden="false" name="INP_283" vbProcedure="false">Inputs!$E$275</definedName>
    <definedName function="false" hidden="false" name="INP_284" vbProcedure="false">Inputs!$E$276</definedName>
    <definedName function="false" hidden="false" name="INP_285" vbProcedure="false">Inputs!$E$277</definedName>
    <definedName function="false" hidden="false" name="INP_286" vbProcedure="false">Inputs!$E$278</definedName>
    <definedName function="false" hidden="false" name="INP_287" vbProcedure="false">Inputs!$E$279</definedName>
    <definedName function="false" hidden="false" name="INP_288" vbProcedure="false">Inputs!$E$280</definedName>
    <definedName function="false" hidden="false" name="PXQ_BE_Exp" vbProcedure="false">PxQ!$D$53:$H$53</definedName>
    <definedName function="false" hidden="false" name="PXQ_BE_Lin" vbProcedure="false">PxQ!$D$54:$H$54</definedName>
    <definedName function="false" hidden="false" name="PXQ_BE_Sel" vbProcedure="false">PxQ!$D$55:$H$55</definedName>
    <definedName function="false" hidden="false" name="PXQ_C" vbProcedure="false">PxQ!$D$40:$H$40</definedName>
    <definedName function="false" hidden="false" name="PXQ_ExtMultiple" vbProcedure="false">PxQ!$D$165:$H$165</definedName>
    <definedName function="false" hidden="false" name="PXQ_ExtSpend" vbProcedure="false">PxQ!$D$164:$H$164</definedName>
    <definedName function="false" hidden="false" name="PXQ_GW" vbProcedure="false">PxQ!$D$19:$H$19</definedName>
    <definedName function="false" hidden="false" name="PXQ_h" vbProcedure="false">PxQ!$D$39:$H$39</definedName>
    <definedName function="false" hidden="false" name="PXQ_HoldPerGW" vbProcedure="false">PxQ!$D$24:$D$29</definedName>
    <definedName function="false" hidden="false" name="PXQ_Identity" vbProcedure="false">PxQ!$D$50:$H$50</definedName>
    <definedName function="false" hidden="false" name="PXQ_mL_Actual" vbProcedure="false">PxQ!$D$47:$H$47</definedName>
    <definedName function="false" hidden="false" name="PXQ_mL_Required" vbProcedure="false">PxQ!$D$48:$H$48</definedName>
    <definedName function="false" hidden="false" name="PXQ_PaidCapPerGW" vbProcedure="false">PxQ!$E$24:$E$29</definedName>
    <definedName function="false" hidden="false" name="PXQ_Peff" vbProcedure="false">PxQ!$D$44:$H$44</definedName>
    <definedName function="false" hidden="false" name="PXQ_Q" vbProcedure="false">PxQ!$D$42:$H$42</definedName>
    <definedName function="false" hidden="false" name="PXQ_Ratio" vbProcedure="false">PxQ!$D$49:$H$49</definedName>
    <definedName function="false" hidden="false" name="PXQ_Ratio2025Sel" vbProcedure="false">PxQ!$D$14</definedName>
    <definedName function="false" hidden="false" name="PXQ_Reading" vbProcedure="false">PxQ!$D$15</definedName>
    <definedName function="false" hidden="false" name="PXQ_ReconBad" vbProcedure="false">PxQ!$E$185</definedName>
    <definedName function="false" hidden="false" name="PXQ_Rev" vbProcedure="false">PxQ!$D$20:$H$20</definedName>
    <definedName function="false" hidden="false" name="PXQ_Year" vbProcedure="false">PxQ!$D$17:$H$17</definedName>
    <definedName function="false" hidden="false" name="REV_Ads" vbProcedure="false">Revenue!$D$30:$I$30</definedName>
    <definedName function="false" hidden="false" name="REV_API" vbProcedure="false">Revenue!$D$34:$I$34</definedName>
    <definedName function="false" hidden="false" name="REV_ApiPrice" vbProcedure="false">Revenue!$D$21:$I$21</definedName>
    <definedName function="false" hidden="false" name="REV_API_Low" vbProcedure="false">Revenue!$D$37:$I$37</definedName>
    <definedName function="false" hidden="false" name="REV_API_Mid" vbProcedure="false">Revenue!$D$36:$I$36</definedName>
    <definedName function="false" hidden="false" name="REV_API_Top" vbProcedure="false">Revenue!$D$35:$I$35</definedName>
    <definedName function="false" hidden="false" name="REV_CapFactor" vbProcedure="false">Revenue!$D$73:$I$73</definedName>
    <definedName function="false" hidden="false" name="REV_Gap2025" vbProcedure="false">Revenue!$D$49</definedName>
    <definedName function="false" hidden="false" name="REV_GapUncal2025" vbProcedure="false">Revenue!$D$51</definedName>
    <definedName function="false" hidden="false" name="REV_Gross" vbProcedure="false">Revenue!$D$38:$I$38</definedName>
    <definedName function="false" hidden="false" name="REV_GrossCapped" vbProcedure="false">Revenue!$D$74:$I$74</definedName>
    <definedName function="false" hidden="false" name="REV_Indep2026" vbProcedure="false">Revenue!$E$53</definedName>
    <definedName function="false" hidden="false" name="REV_ListPrice_Low_In" vbProcedure="false">Revenue!$D$12:$I$12</definedName>
    <definedName function="false" hidden="false" name="REV_ListPrice_Low_Out" vbProcedure="false">Revenue!$D$13:$I$13</definedName>
    <definedName function="false" hidden="false" name="REV_ListPrice_Mid_In" vbProcedure="false">Revenue!$D$10:$I$10</definedName>
    <definedName function="false" hidden="false" name="REV_ListPrice_Mid_Out" vbProcedure="false">Revenue!$D$11:$I$11</definedName>
    <definedName function="false" hidden="false" name="REV_ListPrice_Top_In" vbProcedure="false">Revenue!$D$8:$I$8</definedName>
    <definedName function="false" hidden="false" name="REV_ListPrice_Top_Out" vbProcedure="false">Revenue!$D$9:$I$9</definedName>
    <definedName function="false" hidden="false" name="REV_LP2026_Low_In_Hi" vbProcedure="false">Revenue!$H$69</definedName>
    <definedName function="false" hidden="false" name="REV_LP2026_Low_In_Lo" vbProcedure="false">Revenue!$G$69</definedName>
    <definedName function="false" hidden="false" name="REV_LP2026_Low_Out_Hi" vbProcedure="false">Revenue!$H$70</definedName>
    <definedName function="false" hidden="false" name="REV_LP2026_Low_Out_Lo" vbProcedure="false">Revenue!$G$70</definedName>
    <definedName function="false" hidden="false" name="REV_LP2026_Mid_In_Hi" vbProcedure="false">Revenue!$H$67</definedName>
    <definedName function="false" hidden="false" name="REV_LP2026_Mid_In_Lo" vbProcedure="false">Revenue!$G$67</definedName>
    <definedName function="false" hidden="false" name="REV_LP2026_Mid_Out_Hi" vbProcedure="false">Revenue!$H$68</definedName>
    <definedName function="false" hidden="false" name="REV_LP2026_Mid_Out_Lo" vbProcedure="false">Revenue!$G$68</definedName>
    <definedName function="false" hidden="false" name="REV_LP2026_Top_In_Hi" vbProcedure="false">Revenue!$H$65</definedName>
    <definedName function="false" hidden="false" name="REV_LP2026_Top_In_Lo" vbProcedure="false">Revenue!$G$65</definedName>
    <definedName function="false" hidden="false" name="REV_LP2026_Top_Out_Hi" vbProcedure="false">Revenue!$H$66</definedName>
    <definedName function="false" hidden="false" name="REV_LP2026_Top_Out_Lo" vbProcedure="false">Revenue!$G$66</definedName>
    <definedName function="false" hidden="false" name="REV_MSCum" vbProcedure="false">Revenue!$D$40:$I$40</definedName>
    <definedName function="false" hidden="false" name="REV_MSCumCapped" vbProcedure="false">Revenue!$D$76:$I$76</definedName>
    <definedName function="false" hidden="false" name="REV_MSShare" vbProcedure="false">Revenue!$D$39:$I$39</definedName>
    <definedName function="false" hidden="false" name="REV_MSShareCapped" vbProcedure="false">Revenue!$D$75:$I$75</definedName>
    <definedName function="false" hidden="false" name="REV_Net" vbProcedure="false">Revenue!$D$41:$I$41</definedName>
    <definedName function="false" hidden="false" name="REV_NetCapped" vbProcedure="false">Revenue!$D$77:$I$77</definedName>
    <definedName function="false" hidden="false" name="REV_Other" vbProcedure="false">Revenue!$D$31:$I$31</definedName>
    <definedName function="false" hidden="false" name="REV_Sub" vbProcedure="false">Revenue!$D$27:$I$27</definedName>
    <definedName function="false" hidden="false" name="REV_Sub_Go" vbProcedure="false">Revenue!$D$23:$I$23</definedName>
    <definedName function="false" hidden="false" name="REV_Sub_Plus" vbProcedure="false">Revenue!$D$24:$I$24</definedName>
    <definedName function="false" hidden="false" name="REV_Sub_Pro" vbProcedure="false">Revenue!$D$25:$I$25</definedName>
    <definedName function="false" hidden="false" name="REV_Sub_Seats" vbProcedure="false">Revenue!$D$26:$I$26</definedName>
    <definedName function="false" hidden="false" name="RVS_ExtNeedCum" vbProcedure="false">Reverse!$D$53:$I$53</definedName>
    <definedName function="false" hidden="false" name="RVS_FCF" vbProcedure="false">Reverse!$D$47:$I$47</definedName>
    <definedName function="false" hidden="false" name="RVS_Gap" vbProcedure="false">Reverse!$D$18:$I$18</definedName>
    <definedName function="false" hidden="false" name="RVS_MSCum" vbProcedure="false">Reverse!$D$43:$I$43</definedName>
    <definedName function="false" hidden="false" name="RVS_MultAPI" vbProcedure="false">Reverse!$D$21:$I$21</definedName>
    <definedName function="false" hidden="false" name="RVS_MultProp" vbProcedure="false">Reverse!$D$23:$I$23</definedName>
    <definedName function="false" hidden="false" name="RVS_MultSub" vbProcedure="false">Reverse!$D$22:$I$22</definedName>
    <definedName function="false" hidden="false" name="RVS_Target" vbProcedure="false">Reverse!$D$8:$I$8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SRC_OAI_113" vbProcedure="false">SRC_OAI!$C$111</definedName>
    <definedName function="false" hidden="false" name="SRC_OAI_114" vbProcedure="false">SRC_OAI!$C$112</definedName>
    <definedName function="false" hidden="false" name="SRC_OAI_115" vbProcedure="false">SRC_OAI!$C$113</definedName>
    <definedName function="false" hidden="false" name="SRC_OAI_116" vbProcedure="false">SRC_OAI!$C$114</definedName>
    <definedName function="false" hidden="false" name="SRC_OAI_117" vbProcedure="false">SRC_OAI!$C$115</definedName>
    <definedName function="false" hidden="false" name="SRC_OAI_118" vbProcedure="false">SRC_OAI!$C$116</definedName>
    <definedName function="false" hidden="false" name="SRC_OAI_119" vbProcedure="false">SRC_OAI!$C$117</definedName>
    <definedName function="false" hidden="false" name="SRC_OAI_120" vbProcedure="false">SRC_OAI!$C$118</definedName>
    <definedName function="false" hidden="false" name="SRC_OAI_121" vbProcedure="false">SRC_OAI!$C$119</definedName>
    <definedName function="false" hidden="false" name="SRC_OAI_122" vbProcedure="false">SRC_OAI!$C$120</definedName>
    <definedName function="false" hidden="false" name="SRC_OAI_123" vbProcedure="false">SRC_OAI!$C$121</definedName>
    <definedName function="false" hidden="false" name="SRC_OAI_124" vbProcedure="false">SRC_OAI!$C$122</definedName>
    <definedName function="false" hidden="false" name="SRC_OAI_125" vbProcedure="false">SRC_OAI!$C$123</definedName>
    <definedName function="false" hidden="false" name="SRC_OAI_126" vbProcedure="false">SRC_OAI!$C$124</definedName>
    <definedName function="false" hidden="false" name="SRC_OAI_127" vbProcedure="false">SRC_OAI!$C$125</definedName>
    <definedName function="false" hidden="false" name="SRC_OAI_128" vbProcedure="false">SRC_OAI!$C$126</definedName>
    <definedName function="false" hidden="false" name="SRC_OAI_129" vbProcedure="false">SRC_OAI!$C$127</definedName>
    <definedName function="false" hidden="false" name="SRC_OAI_130" vbProcedure="false">SRC_OAI!$C$128</definedName>
    <definedName function="false" hidden="false" name="SRC_OAI_131" vbProcedure="false">SRC_OAI!$C$129</definedName>
    <definedName function="false" hidden="false" name="SRC_OAI_132" vbProcedure="false">SRC_OAI!$C$130</definedName>
    <definedName function="false" hidden="false" name="SRC_OAI_133" vbProcedure="false">SRC_OAI!$C$131</definedName>
    <definedName function="false" hidden="false" name="SRC_OAI_134" vbProcedure="false">SRC_OAI!$C$132</definedName>
    <definedName function="false" hidden="false" name="SRC_OAI_135" vbProcedure="false">SRC_OAI!$C$133</definedName>
    <definedName function="false" hidden="false" name="SRC_OAI_136" vbProcedure="false">SRC_OAI!$C$134</definedName>
    <definedName function="false" hidden="false" name="SRC_OAI_137" vbProcedure="false">SRC_OAI!$C$135</definedName>
    <definedName function="false" hidden="false" name="SRC_OAI_138" vbProcedure="false">SRC_OAI!$C$136</definedName>
    <definedName function="false" hidden="false" name="SRC_OAI_139" vbProcedure="false">SRC_OAI!$C$137</definedName>
    <definedName function="false" hidden="false" name="SRC_OAI_140" vbProcedure="false">SRC_OAI!$C$138</definedName>
    <definedName function="false" hidden="false" name="TKQ_Commit" vbProcedure="false">TK_PxQ!$B$5</definedName>
    <definedName function="false" hidden="false" name="TKQ_File" vbProcedure="false">TK_PxQ!$B$3</definedName>
    <definedName function="false" hidden="false" name="TKQ_FileSHA256" vbProcedure="false">TK_PxQ!$B$6</definedName>
    <definedName function="false" hidden="false" name="TKQ_HdrCost" vbProcedure="false">TK_PxQ!$J$8:$X$8</definedName>
    <definedName function="false" hidden="false" name="TKQ_HdrGen" vbProcedure="false">TK_PxQ!$J$7:$X$7</definedName>
    <definedName function="false" hidden="false" name="TKQ_IF_Disc" vbProcedure="false">TK_PxQ!$J$12</definedName>
    <definedName function="false" hidden="false" name="TKQ_IF_FleetProdRatio_VR200" vbProcedure="false">TK_PxQ!$J$14</definedName>
    <definedName function="false" hidden="false" name="TKQ_IF_FreeShare" vbProcedure="false">TK_PxQ!$J$20</definedName>
    <definedName function="false" hidden="false" name="TKQ_IF_HoldEcon" vbProcedure="false">TK_PxQ!$J$10:$X$10</definedName>
    <definedName function="false" hidden="false" name="TKQ_IF_LTotalDisc" vbProcedure="false">TK_PxQ!$J$27</definedName>
    <definedName function="false" hidden="false" name="TKQ_IF_LTotalDisc_Hi" vbProcedure="false">TK_PxQ!$J$29</definedName>
    <definedName function="false" hidden="false" name="TKQ_IF_LTotalDisc_Lo" vbProcedure="false">TK_PxQ!$J$28</definedName>
    <definedName function="false" hidden="false" name="TKQ_IF_LTotalFleetVDisc" vbProcedure="false">TK_PxQ!$J$30</definedName>
    <definedName function="false" hidden="false" name="TKQ_IF_LTotalFleetVDisc_Hi" vbProcedure="false">TK_PxQ!$J$32</definedName>
    <definedName function="false" hidden="false" name="TKQ_IF_LTotalFleetVDisc_Lo" vbProcedure="false">TK_PxQ!$J$31</definedName>
    <definedName function="false" hidden="false" name="TKQ_IF_MixPaid_Astra" vbProcedure="false">TK_PxQ!$J$23</definedName>
    <definedName function="false" hidden="false" name="TKQ_IF_MixPaid_Luna" vbProcedure="false">TK_PxQ!$J$21</definedName>
    <definedName function="false" hidden="false" name="TKQ_IF_MixPaid_Sol" vbProcedure="false">TK_PxQ!$J$22</definedName>
    <definedName function="false" hidden="false" name="TKQ_IF_ProdDerate" vbProcedure="false">TK_PxQ!$J$13</definedName>
    <definedName function="false" hidden="false" name="TKQ_IF_PxEffMix" vbProcedure="false">TK_PxQ!$J$15</definedName>
    <definedName function="false" hidden="false" name="TKQ_IF_PxEffMix25" vbProcedure="false">TK_PxQ!$J$16</definedName>
    <definedName function="false" hidden="false" name="TKQ_IF_PxEffMix25_Hi" vbProcedure="false">TK_PxQ!$J$18</definedName>
    <definedName function="false" hidden="false" name="TKQ_IF_PxEffMix25_Lo" vbProcedure="false">TK_PxQ!$J$17</definedName>
    <definedName function="false" hidden="false" name="TKQ_IF_ServeShare" vbProcedure="false">TK_PxQ!$J$19</definedName>
    <definedName function="false" hidden="false" name="TKQ_IF_TokGWPaidMix" vbProcedure="false">TK_PxQ!$J$11:$X$11</definedName>
    <definedName function="false" hidden="false" name="TKQ_IF_UtilActual" vbProcedure="false">TK_PxQ!$J$24</definedName>
    <definedName function="false" hidden="false" name="TKQ_IF_UtilActual_Hi" vbProcedure="false">TK_PxQ!$J$26</definedName>
    <definedName function="false" hidden="false" name="TKQ_IF_UtilActual_Lo" vbProcedure="false">TK_PxQ!$J$25</definedName>
    <definedName function="false" hidden="false" name="TKQ_ReadDate" vbProcedure="false">TK_PxQ!$B$7</definedName>
    <definedName function="false" hidden="false" name="TKQ_SRC_DEM_004" vbProcedure="false">TK_PxQ!$J$33</definedName>
    <definedName function="false" hidden="false" name="TKQ_SRC_DEM_006" vbProcedure="false">TK_PxQ!$J$34</definedName>
    <definedName function="false" hidden="false" name="TKQ_SRC_DEM_007" vbProcedure="false">TK_PxQ!$J$35</definedName>
    <definedName function="false" hidden="false" name="TKQ_SRC_DEM_008" vbProcedure="false">TK_PxQ!$J$36</definedName>
    <definedName function="false" hidden="false" name="TKQ_SRC_DEM_009" vbProcedure="false">TK_PxQ!$J$37</definedName>
    <definedName function="false" hidden="false" name="TKQ_Version" vbProcedure="false">TK_PxQ!$B$4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FileSHA256" vbProcedure="false">TK_Link!$B$7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<sst xmlns="http://schemas.openxmlformats.org/spreadsheetml/2006/main" count="16462" uniqueCount="5074">
  <si>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v0.6.1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2026-10-22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</si>
  <si>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</si>
  <si>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</si>
  <si>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Noto Sans CJK SC"/>
        <family val="2"/>
      </rPr>
      <t xml:space="preserve">項目遷入）。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分成、淨額）。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（算力需求與供給、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第八節（截頂後營收）。</t>
    </r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（算力成本、供應商持有成本與雲端毛利、非算力成本、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、命題輸出、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檢查）、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第十三節（自建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計入供給）。融資於 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</si>
  <si>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</si>
  <si>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</si>
  <si>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</si>
  <si>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</si>
  <si>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</si>
  <si>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20261007_Tokenomics_v5.26.xlsx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3dd1216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</si>
  <si>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TK_PxQ</t>
  </si>
  <si>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第二快照：</t>
    </r>
    <r>
      <rPr>
        <sz val="10"/>
        <color rgb="FF000000"/>
        <rFont val="Arial"/>
        <family val="0"/>
        <charset val="1"/>
      </rPr>
      <t xml:space="preserve">Tokenomics v19.0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20261022_Tokenomics_v19.0.xlsx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ad33e28</t>
    </r>
    <r>
      <rPr>
        <sz val="10"/>
        <color rgb="FF000000"/>
        <rFont val="Noto Sans CJK SC"/>
        <family val="2"/>
      </rPr>
      <t xml:space="preserve">，檔案 </t>
    </r>
    <r>
      <rPr>
        <sz val="10"/>
        <color rgb="FF000000"/>
        <rFont val="Arial"/>
        <family val="0"/>
        <charset val="1"/>
      </rPr>
      <t xml:space="preserve">SHA-256 d1728705daaf…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個名稱有值（</t>
    </r>
    <r>
      <rPr>
        <sz val="10"/>
        <color rgb="FF000000"/>
        <rFont val="Arial"/>
        <family val="0"/>
        <charset val="1"/>
      </rPr>
      <t xml:space="preserve">TKQ_ </t>
    </r>
    <r>
      <rPr>
        <sz val="10"/>
        <color rgb="FF000000"/>
        <rFont val="Noto Sans CJK SC"/>
        <family val="2"/>
      </rPr>
      <t xml:space="preserve">前綴；只供 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頁）、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</si>
  <si>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PxQ</t>
  </si>
  <si>
    <r>
      <rPr>
        <sz val="10"/>
        <color rgb="FF000000"/>
        <rFont val="Arial"/>
        <family val="0"/>
        <charset val="1"/>
      </rPr>
      <t xml:space="preserve">v0.6.1 P×Q </t>
    </r>
    <r>
      <rPr>
        <sz val="10"/>
        <color rgb="FF000000"/>
        <rFont val="Noto Sans CJK SC"/>
        <family val="2"/>
      </rPr>
      <t xml:space="preserve">與回本比值：實際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（＝營收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算力成本）的年度序列（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指數／線性、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三情境）、中間量（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P_eff</t>
    </r>
    <r>
      <rPr>
        <sz val="10"/>
        <color rgb="FF000000"/>
        <rFont val="Noto Sans CJK SC"/>
        <family val="2"/>
      </rPr>
      <t xml:space="preserve">、隱含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、持平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）、敏感度、外部支出對照、預覽值對帳（具名範圍 </t>
    </r>
    <r>
      <rPr>
        <sz val="10"/>
        <color rgb="FF000000"/>
        <rFont val="Arial"/>
        <family val="0"/>
        <charset val="1"/>
      </rPr>
      <t xml:space="preserve">PXQ_*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</si>
  <si>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</si>
  <si>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</si>
  <si>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</si>
  <si>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Noto Sans CJK SC"/>
        <family val="2"/>
      </rPr>
      <t xml:space="preserve">個葉節點的去處。</t>
    </r>
  </si>
  <si>
    <t xml:space="preserve">Demand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</si>
  <si>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需求：訂閱各方案人數、每日任務數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任務數與計費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付費／免費，具名範圍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，供 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</si>
  <si>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</si>
  <si>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單價路徑（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依價格事件時點天數加權）、訂閱、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、廣告、其他、總額、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分成、淨額（具名範圍 </t>
    </r>
    <r>
      <rPr>
        <sz val="10"/>
        <color rgb="FF000000"/>
        <rFont val="Arial"/>
        <family val="0"/>
        <charset val="1"/>
      </rPr>
      <t xml:space="preserve">REV_*</t>
    </r>
    <r>
      <rPr>
        <sz val="10"/>
        <color rgb="FF000000"/>
        <rFont val="Noto Sans CJK SC"/>
        <family val="2"/>
      </rPr>
      <t xml:space="preserve">）。</t>
    </r>
  </si>
  <si>
    <t xml:space="preserve">Compute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</si>
  <si>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世代組合（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係數）、付費／免費每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TK IF_TokGW × IF_Util</t>
    </r>
    <r>
      <rPr>
        <sz val="10"/>
        <color rgb="FF000000"/>
        <rFont val="Noto Sans CJK SC"/>
        <family val="2"/>
      </rPr>
      <t xml:space="preserve">）、推論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換算）、</t>
    </r>
    <r>
      <rPr>
        <sz val="10"/>
        <color rgb="FF000000"/>
        <rFont val="Arial"/>
        <family val="0"/>
        <charset val="1"/>
      </rPr>
      <t xml:space="preserve">V2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合約價校準）、有效推論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、三角對照、研發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（逐合約）、容量上限（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等值換算、敏感度（具名範圍 </t>
    </r>
    <r>
      <rPr>
        <sz val="10"/>
        <color rgb="FF000000"/>
        <rFont val="Arial"/>
        <family val="0"/>
        <charset val="1"/>
      </rPr>
      <t xml:space="preserve">CMP_*</t>
    </r>
    <r>
      <rPr>
        <sz val="10"/>
        <color rgb="FF000000"/>
        <rFont val="Noto Sans CJK SC"/>
        <family val="2"/>
      </rPr>
      <t xml:space="preserve">）。</t>
    </r>
  </si>
  <si>
    <t xml:space="preserve">Cost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</si>
  <si>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成本：算力成本（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：合約實付＋自有資本支出；現金口徑）、供應商持有成本（</t>
    </r>
    <r>
      <rPr>
        <sz val="10"/>
        <color rgb="FF000000"/>
        <rFont val="Arial"/>
        <family val="0"/>
        <charset val="1"/>
      </rPr>
      <t xml:space="preserve">TK IF_HoldEcon </t>
    </r>
    <r>
      <rPr>
        <sz val="10"/>
        <color rgb="FF000000"/>
        <rFont val="Noto Sans CJK SC"/>
        <family val="2"/>
      </rPr>
      <t xml:space="preserve">世代加權）與雲端毛利、經濟口徑、非算力成本（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每人年成本，股權報酬單列）、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）、命題輸出（每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的營收、成本、差額；現金與經濟口徑）、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攤入檢查（具名範圍 </t>
    </r>
    <r>
      <rPr>
        <sz val="10"/>
        <color rgb="FF000000"/>
        <rFont val="Arial"/>
        <family val="0"/>
        <charset val="1"/>
      </rPr>
      <t xml:space="preserve">COST_*</t>
    </r>
    <r>
      <rPr>
        <sz val="10"/>
        <color rgb="FF000000"/>
        <rFont val="Noto Sans CJK SC"/>
        <family val="2"/>
      </rPr>
      <t xml:space="preserve">）。</t>
    </r>
  </si>
  <si>
    <t xml:space="preserve">Funding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</si>
  <si>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）：自由現金流（營收淨額 − 算力成本 − 非算力成本；股權報酬加回）、已到位融資（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輪無條件部分）、最低現金、外部資金需求（年底現金低於最低現金的累計差額）、缺口旗標、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條件式情境、或有負債（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，只列示）（具名範圍 </t>
    </r>
    <r>
      <rPr>
        <sz val="10"/>
        <color rgb="FF000000"/>
        <rFont val="Arial"/>
        <family val="0"/>
        <charset val="1"/>
      </rPr>
      <t xml:space="preserve">FND_*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</si>
  <si>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</si>
  <si>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）：管理層營收目標路徑、三組充分條件倍數、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可觀測量、橋接、反向資金、與簡報對帳；只作對照，不回饋基準（具名範圍 </t>
    </r>
    <r>
      <rPr>
        <sz val="10"/>
        <color rgb="FF000000"/>
        <rFont val="Arial"/>
        <family val="0"/>
        <charset val="1"/>
      </rPr>
      <t xml:space="preserve">RVS_*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</si>
  <si>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</si>
  <si>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P1–P5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檢查（含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實際值對帳、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快照狀態）；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</si>
  <si>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一手／二手圖例</t>
  </si>
  <si>
    <r>
      <rPr>
        <sz val="10"/>
        <color rgb="FF000000"/>
        <rFont val="Noto Sans CJK SC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</si>
  <si>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</si>
  <si>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</si>
  <si>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</si>
  <si>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</si>
  <si>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公司財務原始數據（營收、合約、現金、融資輪、算力規模）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</si>
  <si>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Noto Sans CJK SC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</si>
  <si>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Noto Sans CJK SC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Noto Sans CJK SC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</si>
  <si>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</si>
  <si>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</si>
  <si>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</si>
  <si>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</si>
  <si>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</si>
  <si>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</si>
  <si>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</si>
  <si>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</si>
  <si>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</si>
  <si>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Noto Sans CJK SC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</si>
  <si>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</si>
  <si>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</si>
  <si>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</si>
  <si>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</si>
  <si>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</si>
  <si>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</si>
  <si>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標記</t>
    </r>
  </si>
  <si>
    <r>
      <rPr>
        <b val="true"/>
        <sz val="10"/>
        <rFont val="Noto Sans CJK SC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</si>
  <si>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</si>
  <si>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</si>
  <si>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</si>
  <si>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</si>
  <si>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</si>
  <si>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</si>
  <si>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</si>
  <si>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</si>
  <si>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</si>
  <si>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</si>
  <si>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</si>
  <si>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</si>
  <si>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</si>
  <si>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</si>
  <si>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</si>
  <si>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</si>
  <si>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</si>
  <si>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</si>
  <si>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</si>
  <si>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</si>
  <si>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</si>
  <si>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</si>
  <si>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</si>
  <si>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SRC_OAI_002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</si>
  <si>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</si>
  <si>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</si>
  <si>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</si>
  <si>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</si>
  <si>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</si>
  <si>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</si>
  <si>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</si>
  <si>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</si>
  <si>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Noto Sans CJK SC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</si>
  <si>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</si>
  <si>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</si>
  <si>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</si>
  <si>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對帳</t>
    </r>
  </si>
  <si>
    <t xml:space="preserve">SRC_OAI_004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</si>
  <si>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</si>
  <si>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</si>
  <si>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</si>
  <si>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Noto Sans CJK SC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</si>
  <si>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</si>
  <si>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</si>
  <si>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Noto Sans CJK SC"/>
        <family val="2"/>
      </rPr>
      <t xml:space="preserve">的組成）</t>
    </r>
  </si>
  <si>
    <t xml:space="preserve">SRC_OAI_005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</si>
  <si>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</si>
  <si>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</si>
  <si>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</si>
  <si>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Noto Sans CJK SC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</si>
  <si>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</si>
  <si>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</t>
    </r>
  </si>
  <si>
    <t xml:space="preserve">SRC_OAI_006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</si>
  <si>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</si>
  <si>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</si>
  <si>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</si>
  <si>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</si>
  <si>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</si>
  <si>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</si>
  <si>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</si>
  <si>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Noto Sans CJK SC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</t>
    </r>
  </si>
  <si>
    <t xml:space="preserve">比例</t>
  </si>
  <si>
    <r>
      <rPr>
        <sz val="10"/>
        <color rgb="FF000000"/>
        <rFont val="Noto Sans CJK SC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</si>
  <si>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</si>
  <si>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</si>
  <si>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</si>
  <si>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</si>
  <si>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</si>
  <si>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</si>
  <si>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</si>
  <si>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</si>
  <si>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</si>
  <si>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</si>
  <si>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</si>
  <si>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</si>
  <si>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</si>
  <si>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</si>
  <si>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</si>
  <si>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</si>
  <si>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</si>
  <si>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</si>
  <si>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</si>
  <si>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</si>
  <si>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</si>
  <si>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</si>
  <si>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</si>
  <si>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</si>
  <si>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</si>
  <si>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</si>
  <si>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</si>
  <si>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</si>
  <si>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</si>
  <si>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</si>
  <si>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</si>
  <si>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</si>
  <si>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</si>
  <si>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</si>
  <si>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</si>
  <si>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</si>
  <si>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</si>
  <si>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</si>
  <si>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</si>
  <si>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</si>
  <si>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</si>
  <si>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</si>
  <si>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</t>
    </r>
  </si>
  <si>
    <t xml:space="preserve">$/M tokens</t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</si>
  <si>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</si>
  <si>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</si>
  <si>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</si>
  <si>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</si>
  <si>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</si>
  <si>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</si>
  <si>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</si>
  <si>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</si>
  <si>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</si>
  <si>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</si>
  <si>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</si>
  <si>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</si>
  <si>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</si>
  <si>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</si>
  <si>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</si>
  <si>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</si>
  <si>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</si>
  <si>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</si>
  <si>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</si>
  <si>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</si>
  <si>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</si>
  <si>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</si>
  <si>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</si>
  <si>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</si>
  <si>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</si>
  <si>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</si>
  <si>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</si>
  <si>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</si>
  <si>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</si>
  <si>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Noto Sans CJK SC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</si>
  <si>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</si>
  <si>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</si>
  <si>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Noto Sans CJK SC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</si>
  <si>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</si>
  <si>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</si>
  <si>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</si>
  <si>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</si>
  <si>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</si>
  <si>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</si>
  <si>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</si>
  <si>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</si>
  <si>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</si>
  <si>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</si>
  <si>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</si>
  <si>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Noto Sans CJK SC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</si>
  <si>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</si>
  <si>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</si>
  <si>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</si>
  <si>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Noto Sans CJK SC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</si>
  <si>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</si>
  <si>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</si>
  <si>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</si>
  <si>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</si>
  <si>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</si>
  <si>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</si>
  <si>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</si>
  <si>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</si>
  <si>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</si>
  <si>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</si>
  <si>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Noto Sans CJK SC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</si>
  <si>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</si>
  <si>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</si>
  <si>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</si>
  <si>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</si>
  <si>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</si>
  <si>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</si>
  <si>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</si>
  <si>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Noto Sans CJK SC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</si>
  <si>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</si>
  <si>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</si>
  <si>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</si>
  <si>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</si>
  <si>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</si>
  <si>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</si>
  <si>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</si>
  <si>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</si>
  <si>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</si>
  <si>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</si>
  <si>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Noto Sans CJK SC"/>
        <family val="2"/>
      </rPr>
      <t xml:space="preserve">上限參照</t>
    </r>
  </si>
  <si>
    <t xml:space="preserve">SRC_OAI_032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</si>
  <si>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</si>
  <si>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</si>
  <si>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</si>
  <si>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兩檔之一</t>
    </r>
  </si>
  <si>
    <t xml:space="preserve">SRC_OAI_034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</si>
  <si>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（高檔）</t>
    </r>
  </si>
  <si>
    <t xml:space="preserve">SRC_OAI_035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</si>
  <si>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</si>
  <si>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</si>
  <si>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</si>
  <si>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SRC_OAI_036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</si>
  <si>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</si>
  <si>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</si>
  <si>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</si>
  <si>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</si>
  <si>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</t>
    </r>
  </si>
  <si>
    <t xml:space="preserve">3</t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</si>
  <si>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</si>
  <si>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</si>
  <si>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Noto Sans CJK SC"/>
        <family val="2"/>
      </rPr>
      <t xml:space="preserve">遷移幅度</t>
    </r>
  </si>
  <si>
    <t xml:space="preserve">SRC_OAI_037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</si>
  <si>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</si>
  <si>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</si>
  <si>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</si>
  <si>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</si>
  <si>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</si>
  <si>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Noto Sans CJK SC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</si>
  <si>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</si>
  <si>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</si>
  <si>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</si>
  <si>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對照（廣告）</t>
    </r>
  </si>
  <si>
    <t xml:space="preserve">SRC_OAI_039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</si>
  <si>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</si>
  <si>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</si>
  <si>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</si>
  <si>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</si>
  <si>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</si>
  <si>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</si>
  <si>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</si>
  <si>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</si>
  <si>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</si>
  <si>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</si>
  <si>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</si>
  <si>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</si>
  <si>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</si>
  <si>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</t>
    </r>
  </si>
  <si>
    <t xml:space="preserve">SRC_OAI_044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</si>
  <si>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</si>
  <si>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</t>
    </r>
  </si>
  <si>
    <t xml:space="preserve">SRC_OAI_045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</si>
  <si>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</si>
  <si>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</si>
  <si>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</si>
  <si>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</si>
  <si>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Noto Sans CJK SC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</si>
  <si>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</si>
  <si>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</si>
  <si>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Noto Sans CJK SC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</si>
  <si>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</si>
  <si>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</si>
  <si>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</si>
  <si>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</si>
  <si>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Noto Sans CJK SC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</si>
  <si>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</si>
  <si>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</si>
  <si>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</si>
  <si>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</si>
  <si>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</si>
  <si>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</si>
  <si>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</t>
    </r>
  </si>
  <si>
    <t xml:space="preserve">SRC_OAI_049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</si>
  <si>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</si>
  <si>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</si>
  <si>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</si>
  <si>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</si>
  <si>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</si>
  <si>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</si>
  <si>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</si>
  <si>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</si>
  <si>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</si>
  <si>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</t>
    </r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</si>
  <si>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</si>
  <si>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SRC_OAI_051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</si>
  <si>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</si>
  <si>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</si>
  <si>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</si>
  <si>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</si>
  <si>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</si>
  <si>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SRC_OAI_054</t>
  </si>
  <si>
    <r>
      <rPr>
        <sz val="10"/>
        <color rgb="FF000000"/>
        <rFont val="Noto Sans CJK SC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</si>
  <si>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Noto Sans CJK SC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</si>
  <si>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</si>
  <si>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</si>
  <si>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</si>
  <si>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</si>
  <si>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</si>
  <si>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</si>
  <si>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</si>
  <si>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反向目標</t>
    </r>
  </si>
  <si>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Noto Sans CJK SC"/>
        <family val="2"/>
      </rPr>
      <t xml:space="preserve">（同值同源）</t>
    </r>
  </si>
  <si>
    <t xml:space="preserve">SRC_OAI_056</t>
  </si>
  <si>
    <r>
      <rPr>
        <sz val="10"/>
        <color rgb="FF000000"/>
        <rFont val="Noto Sans CJK SC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</si>
  <si>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</si>
  <si>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</si>
  <si>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</si>
  <si>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對照</t>
    </r>
  </si>
  <si>
    <t xml:space="preserve">SRC_OAI_057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</si>
  <si>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</si>
  <si>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</si>
  <si>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</si>
  <si>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</si>
  <si>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</t>
    </r>
  </si>
  <si>
    <t xml:space="preserve">SRC_OAI_058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</si>
  <si>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</si>
  <si>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</si>
  <si>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</si>
  <si>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</si>
  <si>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</si>
  <si>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</si>
  <si>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</si>
  <si>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SRC_OAI_059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</si>
  <si>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</si>
  <si>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</si>
  <si>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</si>
  <si>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</si>
  <si>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</si>
  <si>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）</t>
    </r>
  </si>
  <si>
    <t xml:space="preserve">SRC_OAI_061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</si>
  <si>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</si>
  <si>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</si>
  <si>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Noto Sans CJK SC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</si>
  <si>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</si>
  <si>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SRC_OAI_062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</si>
  <si>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</si>
  <si>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</si>
  <si>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</si>
  <si>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</si>
  <si>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</si>
  <si>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</si>
  <si>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</si>
  <si>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</si>
  <si>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</si>
  <si>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</si>
  <si>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</si>
  <si>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</si>
  <si>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</si>
  <si>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SRC_OAI_065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</si>
  <si>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</si>
  <si>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</si>
  <si>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</si>
  <si>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</si>
  <si>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</si>
  <si>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</si>
  <si>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SRC_OAI_067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</si>
  <si>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</si>
  <si>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</si>
  <si>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t xml:space="preserve">SRC_OAI_068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</si>
  <si>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</si>
  <si>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</si>
  <si>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</t>
    </r>
  </si>
  <si>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</si>
  <si>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</si>
  <si>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</si>
  <si>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</si>
  <si>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</si>
  <si>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</si>
  <si>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</si>
  <si>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</si>
  <si>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</si>
  <si>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</si>
  <si>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</t>
    </r>
  </si>
  <si>
    <t xml:space="preserve">SRC_OAI_072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</si>
  <si>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</si>
  <si>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</si>
  <si>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</si>
  <si>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Noto Sans CJK SC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</si>
  <si>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</si>
  <si>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</si>
  <si>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</si>
  <si>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</si>
  <si>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</si>
  <si>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SRC_OAI_074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</si>
  <si>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</si>
  <si>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</t>
    </r>
  </si>
  <si>
    <t xml:space="preserve">SRC_OAI_075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</si>
  <si>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</si>
  <si>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</si>
  <si>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</si>
  <si>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</si>
  <si>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</si>
  <si>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</si>
  <si>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</si>
  <si>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</si>
  <si>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</si>
  <si>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</si>
  <si>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</si>
  <si>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</si>
  <si>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</si>
  <si>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</si>
  <si>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</si>
  <si>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</si>
  <si>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</si>
  <si>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Noto Sans CJK SC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</si>
  <si>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</si>
  <si>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</si>
  <si>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融資起點</t>
    </r>
  </si>
  <si>
    <t xml:space="preserve">SRC_OAI_080</t>
  </si>
  <si>
    <r>
      <rPr>
        <sz val="10"/>
        <color rgb="FF000000"/>
        <rFont val="Noto Sans CJK SC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</si>
  <si>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</si>
  <si>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</si>
  <si>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Noto Sans CJK SC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</si>
  <si>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</si>
  <si>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</si>
  <si>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</si>
  <si>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Noto Sans CJK SC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</si>
  <si>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</si>
  <si>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</si>
  <si>
    <r>
      <rPr>
        <sz val="10"/>
        <color rgb="FF000000"/>
        <rFont val="Noto Sans CJK SC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</si>
  <si>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</si>
  <si>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</si>
  <si>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</si>
  <si>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</si>
  <si>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</si>
  <si>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只列示）</t>
    </r>
  </si>
  <si>
    <t xml:space="preserve">SRC_OAI_084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</si>
  <si>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</si>
  <si>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</si>
  <si>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</si>
  <si>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</si>
  <si>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</si>
  <si>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Noto Sans CJK SC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</si>
  <si>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</si>
  <si>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</si>
  <si>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</t>
    </r>
  </si>
  <si>
    <t xml:space="preserve">SRC_OAI_087</t>
  </si>
  <si>
    <r>
      <rPr>
        <sz val="10"/>
        <color rgb="FF000000"/>
        <rFont val="Noto Sans CJK SC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</si>
  <si>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</si>
  <si>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</si>
  <si>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</si>
  <si>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</si>
  <si>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</si>
  <si>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</si>
  <si>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</si>
  <si>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</si>
  <si>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</si>
  <si>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</t>
    </r>
  </si>
  <si>
    <t xml:space="preserve">SRC_OAI_089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</si>
  <si>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</si>
  <si>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</si>
  <si>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</t>
    </r>
  </si>
  <si>
    <t xml:space="preserve">SRC_OAI_090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</si>
  <si>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</si>
  <si>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</si>
  <si>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</si>
  <si>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</si>
  <si>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SRC_OAI_091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</si>
  <si>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</si>
  <si>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Noto Sans CJK SC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</si>
  <si>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</si>
  <si>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</si>
  <si>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</si>
  <si>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</si>
  <si>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</si>
  <si>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</si>
  <si>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</si>
  <si>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</si>
  <si>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</si>
  <si>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</si>
  <si>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</si>
  <si>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</si>
  <si>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</si>
  <si>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</si>
  <si>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Noto Sans CJK SC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</si>
  <si>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</si>
  <si>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</si>
  <si>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</si>
  <si>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</si>
  <si>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</si>
  <si>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</si>
  <si>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Noto Sans CJK SC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</si>
  <si>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</si>
  <si>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</si>
  <si>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</si>
  <si>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</si>
  <si>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t xml:space="preserve">SRC_OAI_097</t>
  </si>
  <si>
    <r>
      <rPr>
        <sz val="10"/>
        <color rgb="FF000000"/>
        <rFont val="Noto Sans CJK SC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</si>
  <si>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</si>
  <si>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</si>
  <si>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</si>
  <si>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</si>
  <si>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SRC_OAI_098</t>
  </si>
  <si>
    <r>
      <rPr>
        <sz val="10"/>
        <color rgb="FF000000"/>
        <rFont val="Noto Sans CJK SC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</si>
  <si>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（外流財報）</t>
    </r>
  </si>
  <si>
    <r>
      <rPr>
        <sz val="10"/>
        <color rgb="FF000000"/>
        <rFont val="Noto Sans CJK SC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</si>
  <si>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</si>
  <si>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</si>
  <si>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Noto Sans CJK SC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Noto Sans CJK SC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</si>
  <si>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t xml:space="preserve">SRC_OAI_099</t>
  </si>
  <si>
    <r>
      <rPr>
        <sz val="10"/>
        <color rgb="FF000000"/>
        <rFont val="Noto Sans CJK SC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</si>
  <si>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</si>
  <si>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</si>
  <si>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</si>
  <si>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</si>
  <si>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</si>
  <si>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</si>
  <si>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</si>
  <si>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</si>
  <si>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</si>
  <si>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Noto Sans CJK SC"/>
        <family val="2"/>
      </rPr>
      <t xml:space="preserve">出處：總量對照）</t>
    </r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</si>
  <si>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</si>
  <si>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</si>
  <si>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</si>
  <si>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</si>
  <si>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（內部預測：倍增）</t>
    </r>
  </si>
  <si>
    <t xml:space="preserve">倍</t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</si>
  <si>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</si>
  <si>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Noto Sans CJK SC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</si>
  <si>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</si>
  <si>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Noto Sans CJK SC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</si>
  <si>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</si>
  <si>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</si>
  <si>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</si>
  <si>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</si>
  <si>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</si>
  <si>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</si>
  <si>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</si>
  <si>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</si>
  <si>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Noto Sans CJK SC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</si>
  <si>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</si>
  <si>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</si>
  <si>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公式）</t>
    </r>
  </si>
  <si>
    <r>
      <rPr>
        <sz val="10"/>
        <color rgb="FF000000"/>
        <rFont val="Noto Sans CJK SC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</si>
  <si>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</si>
  <si>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</si>
  <si>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</si>
  <si>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</si>
  <si>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</si>
  <si>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</si>
  <si>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</si>
  <si>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</si>
  <si>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</si>
  <si>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Noto Sans CJK SC"/>
        <family val="2"/>
      </rPr>
      <t xml:space="preserve">聯合公告（意向書，非約束性）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</si>
  <si>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</si>
  <si>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Noto Sans CJK SC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</si>
  <si>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Noto Sans CJK SC"/>
        <family val="2"/>
      </rPr>
      <t xml:space="preserve">）</t>
    </r>
  </si>
  <si>
    <t xml:space="preserve">比較用</t>
  </si>
  <si>
    <r>
      <rPr>
        <sz val="10"/>
        <color rgb="FF000000"/>
        <rFont val="Noto Sans CJK SC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Noto Sans CJK SC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</si>
  <si>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</si>
  <si>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</si>
  <si>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Noto Sans CJK SC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</si>
  <si>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</si>
  <si>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</si>
  <si>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</si>
  <si>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</si>
  <si>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</si>
  <si>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Noto Sans CJK SC"/>
        <family val="2"/>
      </rPr>
      <t xml:space="preserve">聯合公告（自研加速器部署，條款書）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</si>
  <si>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</si>
  <si>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</si>
  <si>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</si>
  <si>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Noto Sans CJK SC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</si>
  <si>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</si>
  <si>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</si>
  <si>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Noto Sans CJK SC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</si>
  <si>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</t>
    </r>
  </si>
  <si>
    <t xml:space="preserve">SRC_OAI_109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</si>
  <si>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</si>
  <si>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</si>
  <si>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</si>
  <si>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</si>
  <si>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）</t>
    </r>
  </si>
  <si>
    <t xml:space="preserve">SRC_OAI_110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</si>
  <si>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</si>
  <si>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t xml:space="preserve">SRC_OAI_111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</si>
  <si>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</si>
  <si>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</si>
  <si>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</si>
  <si>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</si>
  <si>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無條件部分的組成（約）</t>
    </r>
  </si>
  <si>
    <t xml:space="preserve">SRC_OAI_113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</si>
  <si>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</si>
  <si>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輸入；</t>
    </r>
    <r>
      <rPr>
        <sz val="10"/>
        <color rgb="FF000000"/>
        <rFont val="Arial"/>
        <family val="0"/>
        <charset val="1"/>
      </rPr>
      <t xml:space="preserve">N3a </t>
    </r>
    <r>
      <rPr>
        <sz val="10"/>
        <color rgb="FF000000"/>
        <rFont val="Noto Sans CJK SC"/>
        <family val="2"/>
      </rPr>
      <t xml:space="preserve">層級角色＝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上市前）</t>
    </r>
  </si>
  <si>
    <r>
      <rPr>
        <sz val="10"/>
        <color rgb="FF000000"/>
        <rFont val="Arial"/>
        <family val="0"/>
        <charset val="1"/>
      </rPr>
      <t xml:space="preserve">tokenRevenue.api.priceEvents2026.</t>
    </r>
    <r>
      <rPr>
        <sz val="10"/>
        <color rgb="FF000000"/>
        <rFont val="Noto Sans CJK SC"/>
        <family val="2"/>
      </rPr>
      <t xml:space="preserve">數值拆分（</t>
    </r>
    <r>
      <rPr>
        <sz val="10"/>
        <color rgb="FF000000"/>
        <rFont val="Arial"/>
        <family val="0"/>
        <charset val="1"/>
      </rPr>
      <t xml:space="preserve">P2 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</si>
  <si>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P2 FY2026 </t>
    </r>
    <r>
      <rPr>
        <sz val="10"/>
        <color rgb="FF000000"/>
        <rFont val="Noto Sans CJK SC"/>
        <family val="2"/>
      </rPr>
      <t xml:space="preserve">平均牌價（事件時點天數加權）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</si>
  <si>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價格事件文字列拆出的數值（同一出處）；事件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之後的價格＝</t>
    </r>
    <r>
      <rPr>
        <sz val="10"/>
        <color rgb="FF000000"/>
        <rFont val="Arial"/>
        <family val="0"/>
        <charset val="1"/>
      </rPr>
      <t xml:space="preserve">2026-09-25 </t>
    </r>
    <r>
      <rPr>
        <sz val="10"/>
        <color rgb="FF000000"/>
        <rFont val="Noto Sans CJK SC"/>
        <family val="2"/>
      </rPr>
      <t xml:space="preserve">牌價快照列</t>
    </r>
  </si>
  <si>
    <t xml:space="preserve">SRC_OAI_114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</si>
  <si>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</si>
  <si>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top</t>
    </r>
  </si>
  <si>
    <t xml:space="preserve">SRC_OAI_115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</si>
  <si>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</si>
  <si>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</si>
  <si>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</si>
  <si>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</si>
  <si>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</si>
  <si>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</si>
  <si>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</si>
  <si>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</si>
  <si>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</si>
  <si>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</si>
  <si>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</si>
  <si>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</si>
  <si>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</si>
  <si>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</si>
  <si>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</si>
  <si>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</si>
  <si>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</si>
  <si>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</si>
  <si>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</si>
  <si>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</si>
  <si>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</si>
  <si>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</si>
  <si>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</si>
  <si>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</si>
  <si>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</si>
  <si>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促銷輸入</t>
    </r>
  </si>
  <si>
    <t xml:space="preserve">SRC_OAI_124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</si>
  <si>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</si>
  <si>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促銷輸出</t>
    </r>
  </si>
  <si>
    <t xml:space="preserve">SRC_OAI_125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</si>
  <si>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</si>
  <si>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t xml:space="preserve">日期序列值</t>
  </si>
  <si>
    <r>
      <rPr>
        <sz val="10"/>
        <color rgb="FF000000"/>
        <rFont val="Arial"/>
        <family val="0"/>
        <charset val="1"/>
      </rPr>
      <t xml:space="preserve">2026-07-30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2026-07-30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</si>
  <si>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價格事件時點基準（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</si>
  <si>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：事件時點的基準值（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）；區間由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偏移天數（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）給出</t>
    </r>
  </si>
  <si>
    <t xml:space="preserve">SRC_OAI_126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</si>
  <si>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</si>
  <si>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2026-08-22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2026-08-22</t>
    </r>
  </si>
  <si>
    <t xml:space="preserve">SRC_OAI_127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</si>
  <si>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</si>
  <si>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層價格上升））；公告日＝生效日（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2026-09-03</t>
    </r>
  </si>
  <si>
    <t xml:space="preserve">SRC_OAI_128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</si>
  <si>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</si>
  <si>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層降價））；公告日＝生效日（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46287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2026-09-22</t>
    </r>
  </si>
  <si>
    <t xml:space="preserve">SRC_OAI_129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</si>
  <si>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sales and marketing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</si>
  <si>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費用列；是否含股權報酬原文未交代，本模型假設含）</t>
    </r>
  </si>
  <si>
    <t xml:space="preserve">2026-06-15</t>
  </si>
  <si>
    <r>
      <rPr>
        <sz val="10"/>
        <color rgb="FF000000"/>
        <rFont val="Arial"/>
        <family val="0"/>
        <charset val="1"/>
      </rPr>
      <t xml:space="preserve">Where's Your Ed At 2026-06-15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Exclusive: OpenAI Losses Increased Nearly 8X in 2025</t>
    </r>
    <r>
      <rPr>
        <sz val="10"/>
        <color rgb="FF000000"/>
        <rFont val="Noto Sans CJK SC"/>
        <family val="2"/>
      </rPr>
      <t xml:space="preserve">』（外流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經查核財報；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獨立核實）</t>
    </r>
    <r>
      <rPr>
        <sz val="10"/>
        <color rgb="FF000000"/>
        <rFont val="Arial"/>
        <family val="0"/>
        <charset val="1"/>
      </rPr>
      <t xml:space="preserve">https://www.wheresyoured.at/exclusive-openai-financials/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Fortune 2026-06-16 https://fortune.com/2026/06/16/openai-financials-leaked-losses-revenue-profit/</t>
    </r>
  </si>
  <si>
    <r>
      <rPr>
        <sz val="10"/>
        <color rgb="FF000000"/>
        <rFont val="Arial"/>
        <family val="0"/>
        <charset val="1"/>
      </rPr>
      <t xml:space="preserve">r6.P4.</t>
    </r>
    <r>
      <rPr>
        <sz val="10"/>
        <color rgb="FF000000"/>
        <rFont val="Noto Sans CJK SC"/>
        <family val="2"/>
      </rPr>
      <t xml:space="preserve">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</si>
  <si>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v0.5 opexExComputePctRevenue 2025 </t>
    </r>
    <r>
      <rPr>
        <sz val="10"/>
        <color rgb="FF000000"/>
        <rFont val="Noto Sans CJK SC"/>
        <family val="2"/>
      </rPr>
      <t xml:space="preserve">的拆分來源）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</si>
  <si>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098 </t>
    </r>
    <r>
      <rPr>
        <sz val="10"/>
        <color rgb="FF000000"/>
        <rFont val="Noto Sans CJK SC"/>
        <family val="2"/>
      </rPr>
      <t xml:space="preserve">同一份外流財報</t>
    </r>
  </si>
  <si>
    <t xml:space="preserve">SRC_OAI_130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</si>
  <si>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general and administrative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</si>
  <si>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管理費用（同上）</t>
    </r>
  </si>
  <si>
    <t xml:space="preserve">SRC_OAI_131</t>
  </si>
  <si>
    <r>
      <rPr>
        <sz val="10"/>
        <color rgb="FF000000"/>
        <rFont val="Noto Sans CJK SC"/>
        <family val="2"/>
      </rPr>
      <t xml:space="preserve">營業損失（</t>
    </r>
    <r>
      <rPr>
        <sz val="10"/>
        <color rgb="FF000000"/>
        <rFont val="Arial"/>
        <family val="0"/>
        <charset val="1"/>
      </rPr>
      <t xml:space="preserve">loss from operations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</si>
  <si>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經查核財報；＝營收 −（營業成本＋研發＋銷售＋管理）</t>
    </r>
  </si>
  <si>
    <r>
      <rPr>
        <sz val="10"/>
        <color rgb="FF000000"/>
        <rFont val="Arial"/>
        <family val="0"/>
        <charset val="1"/>
      </rPr>
      <t xml:space="preserve">P4 Checks</t>
    </r>
    <r>
      <rPr>
        <sz val="10"/>
        <color rgb="FF000000"/>
        <rFont val="Noto Sans CJK SC"/>
        <family val="2"/>
      </rPr>
      <t xml:space="preserve">：費用各列與營業損失對帳</t>
    </r>
  </si>
  <si>
    <t xml:space="preserve">SRC_OAI_132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</si>
  <si>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（約）</t>
    </r>
  </si>
  <si>
    <t xml:space="preserve">人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</si>
  <si>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年員工約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人（每人股權報酬的分母；視為年均）</t>
    </r>
  </si>
  <si>
    <t xml:space="preserve">2025-12-30</t>
  </si>
  <si>
    <r>
      <rPr>
        <sz val="10"/>
        <color rgb="FF000000"/>
        <rFont val="Arial"/>
        <family val="0"/>
        <charset val="1"/>
      </rPr>
      <t xml:space="preserve">WSJ 2025-12-30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Is Paying Employees More Than Any Major Tech Startup in History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向投資人提供的財務預測；</t>
    </r>
    <r>
      <rPr>
        <sz val="10"/>
        <color rgb="FF000000"/>
        <rFont val="Arial"/>
        <family val="0"/>
        <charset val="1"/>
      </rPr>
      <t xml:space="preserve">Equilar </t>
    </r>
    <r>
      <rPr>
        <sz val="10"/>
        <color rgb="FF000000"/>
        <rFont val="Noto Sans CJK SC"/>
        <family val="2"/>
      </rPr>
      <t xml:space="preserve">分析），經 </t>
    </r>
    <r>
      <rPr>
        <sz val="10"/>
        <color rgb="FF000000"/>
        <rFont val="Arial"/>
        <family val="0"/>
        <charset val="1"/>
      </rPr>
      <t xml:space="preserve">The Decoder https://the-decoder.com/openais-stock-compensation-averages-1-5-million-per-employee-dwarfing-every-tech-startup-in-history/ 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Fortune 2026-02-18 https://fortune.com/2026/02/18/openai-chatgpt-creator-record-million-dollar-equity-compensation-ai-tech-talent-war-career-retention-sam-altman-millionaire-staff/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</si>
  <si>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r6.P4.WSJ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</si>
  <si>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：人數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</si>
  <si>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付費牆，數值經兩家轉述一致</t>
    </r>
  </si>
  <si>
    <t xml:space="preserve">SRC_OAI_133</t>
  </si>
  <si>
    <r>
      <rPr>
        <sz val="10"/>
        <color rgb="FF000000"/>
        <rFont val="Noto Sans CJK SC"/>
        <family val="2"/>
      </rPr>
      <t xml:space="preserve">平均每人股權報酬：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</si>
  <si>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</si>
  <si>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年平均每人股權報酬約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</si>
  <si>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：每人股權報酬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</si>
  <si>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t xml:space="preserve">SRC_OAI_134</t>
  </si>
  <si>
    <r>
      <rPr>
        <sz val="10"/>
        <color rgb="FF000000"/>
        <rFont val="Noto Sans CJK SC"/>
        <family val="2"/>
      </rPr>
      <t xml:space="preserve">股權報酬占營收比：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</si>
  <si>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年股權報酬約為營收的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</si>
  <si>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</t>
    </r>
  </si>
  <si>
    <t xml:space="preserve">SRC_OAI_135</t>
  </si>
  <si>
    <r>
      <rPr>
        <sz val="10"/>
        <color rgb="FF000000"/>
        <rFont val="Noto Sans CJK SC"/>
        <family val="2"/>
      </rPr>
      <t xml:space="preserve">股權報酬年增額：至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</si>
  <si>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</si>
  <si>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股權報酬預期至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年每年增加約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</si>
  <si>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對照列（不回饋基準）</t>
    </r>
  </si>
  <si>
    <t xml:space="preserve">SRC_OAI_136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</si>
  <si>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</si>
  <si>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員工約 </t>
    </r>
    <r>
      <rPr>
        <sz val="10"/>
        <color rgb="FF000000"/>
        <rFont val="Arial"/>
        <family val="0"/>
        <charset val="1"/>
      </rPr>
      <t xml:space="preserve">4,500 </t>
    </r>
    <r>
      <rPr>
        <sz val="10"/>
        <color rgb="FF000000"/>
        <rFont val="Noto Sans CJK SC"/>
        <family val="2"/>
      </rPr>
      <t xml:space="preserve">人</t>
    </r>
  </si>
  <si>
    <t xml:space="preserve">2026-03-21</t>
  </si>
  <si>
    <r>
      <rPr>
        <sz val="10"/>
        <color rgb="FF000000"/>
        <rFont val="Arial"/>
        <family val="0"/>
        <charset val="1"/>
      </rPr>
      <t xml:space="preserve">FT 2026-03-21</t>
    </r>
    <r>
      <rPr>
        <sz val="10"/>
        <color rgb="FF000000"/>
        <rFont val="Noto Sans CJK SC"/>
        <family val="2"/>
      </rPr>
      <t xml:space="preserve">（兩位知情人士；招募計畫），經 </t>
    </r>
    <r>
      <rPr>
        <sz val="10"/>
        <color rgb="FF000000"/>
        <rFont val="Arial"/>
        <family val="0"/>
        <charset val="1"/>
      </rPr>
      <t xml:space="preserve">Engadget https://www.engadget.com/ai/openai-reportedly-plans-to-double-its-workforce-to-8000-employees-161028377.html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</si>
  <si>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r6.P4.FT </t>
    </r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</si>
  <si>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對照（人數成長路徑）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</si>
  <si>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付費牆</t>
    </r>
  </si>
  <si>
    <t xml:space="preserve">SRC_OAI_137</t>
  </si>
  <si>
    <r>
      <rPr>
        <sz val="10"/>
        <color rgb="FF000000"/>
        <rFont val="Noto Sans CJK SC"/>
        <family val="2"/>
      </rPr>
      <t xml:space="preserve">員工人數目標：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年底（約）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</si>
  <si>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年底目標約 </t>
    </r>
    <r>
      <rPr>
        <sz val="10"/>
        <color rgb="FF000000"/>
        <rFont val="Arial"/>
        <family val="0"/>
        <charset val="1"/>
      </rPr>
      <t xml:space="preserve">8,000 </t>
    </r>
    <r>
      <rPr>
        <sz val="10"/>
        <color rgb="FF000000"/>
        <rFont val="Noto Sans CJK SC"/>
        <family val="2"/>
      </rPr>
      <t xml:space="preserve">人（公司招募計畫；只作對照，不回饋基準）</t>
    </r>
  </si>
  <si>
    <t xml:space="preserve">SRC_OAI_138</t>
  </si>
  <si>
    <r>
      <rPr>
        <sz val="10"/>
        <color rgb="FF000000"/>
        <rFont val="Noto Sans CJK SC"/>
        <family val="2"/>
      </rPr>
      <t xml:space="preserve">算力（雲端）支出：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（媒體報導，經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</si>
  <si>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年雲端算力支出約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Noto Sans CJK SC"/>
        <family val="2"/>
      </rPr>
      <t xml:space="preserve">（媒體報導，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作交叉檢驗；口徑為雲端，未含自有）</t>
    </r>
  </si>
  <si>
    <t xml:space="preserve">2026-05-20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</si>
  <si>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Frontier labs don't use most AI compute</t>
    </r>
    <r>
      <rPr>
        <sz val="10"/>
        <color rgb="FF000000"/>
        <rFont val="Noto Sans CJK SC"/>
        <family val="2"/>
      </rPr>
      <t xml:space="preserve">』附錄（引媒體報導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年雲端算力支出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Noto Sans CJK SC"/>
        <family val="2"/>
      </rPr>
      <t xml:space="preserve">，作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估計的交叉檢驗；頁面日期 </t>
    </r>
    <r>
      <rPr>
        <sz val="10"/>
        <color rgb="FF000000"/>
        <rFont val="Arial"/>
        <family val="0"/>
        <charset val="1"/>
      </rPr>
      <t xml:space="preserve">2026-05-20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https://epoch.ai/gradient-updates/frontier-labs-dont-use-most-ai-compute</t>
    </r>
  </si>
  <si>
    <t xml:space="preserve">利害關係方（原始數字）／第三方轉引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</si>
  <si>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（獨立研究機構，無直接利害）轉引媒體報導；原始報導與其消息來源未載明，數字最終源自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內部（誘因：募資與議價）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</si>
  <si>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外部算力支出對照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</si>
  <si>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對照列（不進主序列）：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）倍數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</si>
  <si>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頁面未載明原始媒體報導；與 </t>
    </r>
    <r>
      <rPr>
        <sz val="10"/>
        <color rgb="FF000000"/>
        <rFont val="Arial"/>
        <family val="0"/>
        <charset val="1"/>
      </rPr>
      <t xml:space="preserve">TKQ_SRC_DEM_004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）並列對照；日期依獨立查核補正（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</t>
    </r>
  </si>
  <si>
    <t xml:space="preserve">SRC_OAI_139</t>
  </si>
  <si>
    <r>
      <rPr>
        <sz val="10"/>
        <color rgb="FF000000"/>
        <rFont val="Noto Sans CJK SC"/>
        <family val="2"/>
      </rPr>
      <t xml:space="preserve">算力支出：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證詞）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</si>
  <si>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年算力支出約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Noto Sans CJK SC"/>
        <family val="2"/>
      </rPr>
      <t xml:space="preserve">審判作證；約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的三倍）</t>
    </r>
  </si>
  <si>
    <t xml:space="preserve">2026-05-05</t>
  </si>
  <si>
    <r>
      <rPr>
        <sz val="10"/>
        <color rgb="FF000000"/>
        <rFont val="Arial"/>
        <family val="0"/>
        <charset val="1"/>
      </rPr>
      <t xml:space="preserve">Bloomberg Law 2026-05-05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to Spend $50 Billion on Computing in 2026, Brockman Says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Noto Sans CJK SC"/>
        <family val="2"/>
      </rPr>
      <t xml:space="preserve">審判，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總裁 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作證第二日） </t>
    </r>
    <r>
      <rPr>
        <sz val="10"/>
        <color rgb="FF000000"/>
        <rFont val="Arial"/>
        <family val="0"/>
        <charset val="1"/>
      </rPr>
      <t xml:space="preserve">https://news.bloomberglaw.com/ip-law/openai-to-spend-50-billion-on-computing-in-2026-brockman-says 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AI 2026-09-09 </t>
    </r>
    <r>
      <rPr>
        <sz val="10"/>
        <color rgb="FF000000"/>
        <rFont val="Noto Sans CJK SC"/>
        <family val="2"/>
      </rPr>
      <t xml:space="preserve">亦引：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算力約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、約為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的三倍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</si>
  <si>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SRC_OAI_078</t>
    </r>
    <r>
      <rPr>
        <sz val="10"/>
        <color rgb="FF000000"/>
        <rFont val="Noto Sans CJK SC"/>
        <family val="2"/>
      </rPr>
      <t xml:space="preserve">（同一證詞，</t>
    </r>
    <r>
      <rPr>
        <sz val="10"/>
        <color rgb="FF000000"/>
        <rFont val="Arial"/>
        <family val="0"/>
        <charset val="1"/>
      </rPr>
      <t xml:space="preserve">commitments tracker </t>
    </r>
    <r>
      <rPr>
        <sz val="10"/>
        <color rgb="FF000000"/>
        <rFont val="Noto Sans CJK SC"/>
        <family val="2"/>
      </rPr>
      <t xml:space="preserve">轉述）數值相同，本列補上可開啟的出處網址</t>
    </r>
  </si>
  <si>
    <t xml:space="preserve">SRC_OAI_140</t>
  </si>
  <si>
    <r>
      <rPr>
        <sz val="10"/>
        <color rgb="FF000000"/>
        <rFont val="Noto Sans CJK SC"/>
        <family val="2"/>
      </rPr>
      <t xml:space="preserve">對外服務占算力比：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：研發與推論約各半）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</si>
  <si>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算力在研發與推論間『大致平分』（</t>
    </r>
    <r>
      <rPr>
        <sz val="10"/>
        <color rgb="FF000000"/>
        <rFont val="Arial"/>
        <family val="0"/>
        <charset val="1"/>
      </rPr>
      <t xml:space="preserve">roughly evenly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為對『大致平分』的取值，非原文數字</t>
    </r>
  </si>
  <si>
    <t xml:space="preserve">2026-09-09</t>
  </si>
  <si>
    <r>
      <rPr>
        <sz val="10"/>
        <color rgb="FF000000"/>
        <rFont val="Arial"/>
        <family val="0"/>
        <charset val="1"/>
      </rPr>
      <t xml:space="preserve">Epoch AI 2026-09-09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Introducing the AI Chip Users explorer</t>
    </r>
    <r>
      <rPr>
        <sz val="10"/>
        <color rgb="FF000000"/>
        <rFont val="Noto Sans CJK SC"/>
        <family val="2"/>
      </rPr>
      <t xml:space="preserve">』：『</t>
    </r>
    <r>
      <rPr>
        <sz val="10"/>
        <color rgb="FF000000"/>
        <rFont val="Arial"/>
        <family val="0"/>
        <charset val="1"/>
      </rPr>
      <t xml:space="preserve">OpenAI's compute in 2025 was divided roughly evenly between R&amp;D and inference</t>
    </r>
    <r>
      <rPr>
        <sz val="10"/>
        <color rgb="FF000000"/>
        <rFont val="Noto Sans CJK SC"/>
        <family val="2"/>
      </rPr>
      <t xml:space="preserve">』（引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彙整之報導數字，非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揭露）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</si>
  <si>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t xml:space="preserve">第三方</t>
  </si>
  <si>
    <r>
      <rPr>
        <sz val="10"/>
        <color rgb="FF000000"/>
        <rFont val="Arial"/>
        <family val="0"/>
        <charset val="1"/>
      </rPr>
      <t xml:space="preserve">Epoch AI </t>
    </r>
    <r>
      <rPr>
        <sz val="10"/>
        <color rgb="FF000000"/>
        <rFont val="Noto Sans CJK SC"/>
        <family val="2"/>
      </rPr>
      <t xml:space="preserve">為獨立研究機構，無直接利害；係其彙整報導數字之敘述，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為本模型對『大致平分』的取值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</si>
  <si>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服務占比對照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</si>
  <si>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服務占比對照（基準取 </t>
    </r>
    <r>
      <rPr>
        <sz val="10"/>
        <color rgb="FF000000"/>
        <rFont val="Arial"/>
        <family val="0"/>
        <charset val="1"/>
      </rPr>
      <t xml:space="preserve">Tokenomics TKQ_IF_ServeShare 0.41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</si>
  <si>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）；原文無區間，本列不補值（待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判斷）；比值（營收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成本）不受服務占比影響，只影響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m×L </t>
    </r>
    <r>
      <rPr>
        <sz val="10"/>
        <color rgb="FF000000"/>
        <rFont val="Noto Sans CJK SC"/>
        <family val="2"/>
      </rPr>
      <t xml:space="preserve">的水準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</si>
  <si>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</si>
  <si>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</si>
  <si>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</si>
  <si>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20261007_Tokenomics_v5.26.xlsx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</si>
  <si>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</si>
  <si>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v5.26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</si>
  <si>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</si>
  <si>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3dd1216688e3872fcb80b28c279d8976a07df29b</t>
  </si>
  <si>
    <t xml:space="preserve">讀取日期</t>
  </si>
  <si>
    <t xml:space="preserve">2026-10-08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</si>
  <si>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</si>
  <si>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abb8592c6921738d20d1c870bfb44dbc0afcb6a412dbb429f4bd24013224ed0d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</si>
  <si>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</si>
  <si>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</si>
  <si>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</si>
  <si>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</si>
  <si>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</si>
  <si>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</si>
  <si>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</si>
  <si>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</si>
  <si>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</si>
  <si>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</si>
  <si>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</si>
  <si>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</si>
  <si>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</si>
  <si>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</si>
  <si>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</si>
  <si>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</si>
  <si>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</si>
  <si>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</si>
  <si>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</si>
  <si>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</si>
  <si>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</si>
  <si>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</si>
  <si>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</si>
  <si>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</si>
  <si>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</si>
  <si>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</si>
  <si>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</si>
  <si>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</si>
  <si>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</si>
  <si>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</si>
  <si>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</si>
  <si>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</si>
  <si>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</si>
  <si>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</si>
  <si>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</si>
  <si>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3dd1216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</si>
  <si>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</si>
  <si>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</si>
  <si>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</si>
  <si>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</si>
  <si>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</si>
  <si>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</si>
  <si>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</si>
  <si>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</si>
  <si>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</si>
  <si>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</si>
  <si>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</si>
  <si>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</si>
  <si>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</si>
  <si>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</si>
  <si>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</si>
  <si>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</si>
  <si>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</si>
  <si>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</si>
  <si>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</si>
  <si>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</si>
  <si>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</si>
  <si>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</si>
  <si>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</si>
  <si>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</si>
  <si>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</si>
  <si>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</si>
  <si>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</si>
  <si>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</si>
  <si>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</si>
  <si>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</si>
  <si>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</si>
  <si>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</si>
  <si>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</si>
  <si>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</si>
  <si>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</si>
  <si>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</si>
  <si>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</si>
  <si>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</si>
  <si>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</si>
  <si>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</si>
  <si>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</si>
  <si>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</si>
  <si>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</si>
  <si>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</si>
  <si>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</si>
  <si>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</si>
  <si>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</si>
  <si>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</si>
  <si>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</si>
  <si>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</si>
  <si>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</si>
  <si>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</si>
  <si>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</si>
  <si>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</si>
  <si>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</si>
  <si>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</si>
  <si>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</si>
  <si>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</si>
  <si>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</si>
  <si>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</si>
  <si>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</si>
  <si>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</si>
  <si>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</si>
  <si>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</si>
  <si>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</si>
  <si>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</si>
  <si>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</si>
  <si>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</si>
  <si>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</si>
  <si>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</si>
  <si>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</si>
  <si>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</si>
  <si>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</si>
  <si>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</si>
  <si>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</si>
  <si>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</si>
  <si>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</si>
  <si>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</si>
  <si>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</si>
  <si>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</si>
  <si>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</si>
  <si>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</si>
  <si>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</si>
  <si>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</si>
  <si>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</si>
  <si>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</si>
  <si>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</si>
  <si>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</si>
  <si>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</si>
  <si>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</si>
  <si>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</si>
  <si>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</si>
  <si>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</si>
  <si>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</si>
  <si>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</si>
  <si>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</si>
  <si>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</si>
  <si>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</si>
  <si>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</si>
  <si>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</si>
  <si>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</si>
  <si>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</si>
  <si>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</si>
  <si>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</si>
  <si>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</si>
  <si>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</si>
  <si>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</si>
  <si>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</si>
  <si>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</si>
  <si>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</si>
  <si>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</si>
  <si>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</si>
  <si>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</si>
  <si>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</si>
  <si>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</si>
  <si>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</si>
  <si>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</si>
  <si>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</si>
  <si>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</si>
  <si>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</si>
  <si>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</si>
  <si>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</si>
  <si>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</si>
  <si>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</si>
  <si>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</si>
  <si>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</si>
  <si>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</si>
  <si>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</si>
  <si>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</si>
  <si>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</si>
  <si>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</si>
  <si>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</si>
  <si>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</si>
  <si>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</si>
  <si>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</si>
  <si>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</si>
  <si>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</si>
  <si>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</si>
  <si>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</si>
  <si>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</si>
  <si>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</si>
  <si>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</si>
  <si>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</si>
  <si>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</si>
  <si>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</si>
  <si>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</si>
  <si>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</si>
  <si>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</si>
  <si>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</si>
  <si>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</si>
  <si>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</si>
  <si>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</si>
  <si>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</si>
  <si>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</si>
  <si>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</si>
  <si>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</si>
  <si>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</si>
  <si>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</si>
  <si>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</si>
  <si>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</si>
  <si>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</si>
  <si>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</si>
  <si>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</si>
  <si>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</si>
  <si>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</si>
  <si>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</si>
  <si>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</si>
  <si>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</si>
  <si>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r>
      <rPr>
        <b val="true"/>
        <sz val="13"/>
        <rFont val="Arial"/>
        <family val="0"/>
        <charset val="1"/>
      </rPr>
      <t xml:space="preserve">TK_PxQ — Tokenomics </t>
    </r>
    <r>
      <rPr>
        <b val="true"/>
        <sz val="13"/>
        <rFont val="Noto Sans CJK SC"/>
        <family val="2"/>
      </rPr>
      <t xml:space="preserve">第二快照（</t>
    </r>
    <r>
      <rPr>
        <b val="true"/>
        <sz val="13"/>
        <rFont val="Arial"/>
        <family val="0"/>
        <charset val="1"/>
      </rPr>
      <t xml:space="preserve">P×Q </t>
    </r>
    <r>
      <rPr>
        <b val="true"/>
        <sz val="13"/>
        <rFont val="Noto Sans CJK SC"/>
        <family val="2"/>
      </rPr>
      <t xml:space="preserve">取數；釘選 </t>
    </r>
    <r>
      <rPr>
        <b val="true"/>
        <sz val="13"/>
        <rFont val="Arial"/>
        <family val="0"/>
        <charset val="1"/>
      </rPr>
      <t xml:space="preserve">v19.0</t>
    </r>
    <r>
      <rPr>
        <b val="true"/>
        <sz val="13"/>
        <rFont val="Noto Sans CJK SC"/>
        <family val="2"/>
      </rPr>
      <t xml:space="preserve">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</si>
  <si>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只供 </t>
    </r>
    <r>
      <rPr>
        <sz val="9"/>
        <color rgb="FF595959"/>
        <rFont val="Arial"/>
        <family val="0"/>
        <charset val="1"/>
      </rPr>
      <t xml:space="preserve">PxQ </t>
    </r>
    <r>
      <rPr>
        <sz val="9"/>
        <color rgb="FF595959"/>
        <rFont val="Noto Sans CJK SC"/>
        <family val="2"/>
      </rPr>
      <t xml:space="preserve">頁使用：</t>
    </r>
    <r>
      <rPr>
        <sz val="9"/>
        <color rgb="FF595959"/>
        <rFont val="Arial"/>
        <family val="0"/>
        <charset val="1"/>
      </rPr>
      <t xml:space="preserve">Interface N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Noto Sans CJK SC"/>
        <family val="2"/>
      </rPr>
      <t xml:space="preserve">取數名稱、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IF_ServeShare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IF_FreeShare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SRC_Demand </t>
    </r>
    <r>
      <rPr>
        <sz val="9"/>
        <color rgb="FF595959"/>
        <rFont val="Noto Sans CJK SC"/>
        <family val="2"/>
      </rPr>
      <t xml:space="preserve">五個公司層級原始數據。具名範圍前綴 </t>
    </r>
    <r>
      <rPr>
        <sz val="9"/>
        <color rgb="FF595959"/>
        <rFont val="Arial"/>
        <family val="0"/>
        <charset val="1"/>
      </rPr>
      <t xml:space="preserve">TKQ_</t>
    </r>
    <r>
      <rPr>
        <sz val="9"/>
        <color rgb="FF595959"/>
        <rFont val="Noto Sans CJK SC"/>
        <family val="2"/>
      </rPr>
      <t xml:space="preserve">。不得連 </t>
    </r>
    <r>
      <rPr>
        <sz val="9"/>
        <color rgb="FF595959"/>
        <rFont val="Arial"/>
        <family val="0"/>
        <charset val="1"/>
      </rPr>
      <t xml:space="preserve">B4_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CTL_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README</t>
    </r>
    <r>
      <rPr>
        <sz val="9"/>
        <color rgb="FF595959"/>
        <rFont val="Noto Sans CJK SC"/>
        <family val="2"/>
      </rPr>
      <t xml:space="preserve">）。</t>
    </r>
  </si>
  <si>
    <t xml:space="preserve">20261022_Tokenomics_v19.0.xlsx</t>
  </si>
  <si>
    <t xml:space="preserve">v19.0</t>
  </si>
  <si>
    <t xml:space="preserve">ad33e280adc8a0e3dd1bca8f700a6bb38122189b</t>
  </si>
  <si>
    <t xml:space="preserve">d1728705daaf19bfdfa7657b667f3617ac57d67a4c8e55404ac66522b970b9d8</t>
  </si>
  <si>
    <t xml:space="preserve">2026-10-22</t>
  </si>
  <si>
    <t xml:space="preserve">TKQ_IF_HoldEcon</t>
  </si>
  <si>
    <t xml:space="preserve">ad33e28</t>
  </si>
  <si>
    <t xml:space="preserve">IF_TokGWPaidMix</t>
  </si>
  <si>
    <t xml:space="preserve">TKQ_IF_TokGWPaidMix</t>
  </si>
  <si>
    <r>
      <rPr>
        <sz val="10"/>
        <color rgb="FF000000"/>
        <rFont val="Noto Sans CJK SC"/>
        <family val="2"/>
      </rPr>
      <t xml:space="preserve">付費層級組合下每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利用、全部付費；層級占比調和平均；實際＝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IF_ServeShare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 </t>
    </r>
    <r>
      <rPr>
        <sz val="10"/>
        <color rgb="FF000000"/>
        <rFont val="Arial"/>
        <family val="0"/>
        <charset val="1"/>
      </rPr>
      <t xml:space="preserve">IF_FreeShare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生產折減；欄 </t>
    </r>
    <r>
      <rPr>
        <sz val="10"/>
        <color rgb="FF000000"/>
        <rFont val="Arial"/>
        <family val="0"/>
        <charset val="1"/>
      </rPr>
      <t xml:space="preserve">C–Q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世代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成本情境，同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</si>
  <si>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</si>
  <si>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IF_Disc</t>
  </si>
  <si>
    <t xml:space="preserve">TKQ_IF_Disc</t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</si>
  <si>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（有效牌價＝表列牌價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）；基準／低／高）</t>
    </r>
  </si>
  <si>
    <t xml:space="preserve">IF_ProdDerate</t>
  </si>
  <si>
    <t xml:space="preserve">TKQ_IF_ProdDerate</t>
  </si>
  <si>
    <r>
      <rPr>
        <sz val="10"/>
        <color rgb="FF000000"/>
        <rFont val="Noto Sans CJK SC"/>
        <family val="2"/>
      </rPr>
      <t xml:space="preserve">生產折減（線性；＝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；其他世代的重解比待補，下游暫用本列；基準）</t>
    </r>
  </si>
  <si>
    <t xml:space="preserve">IF_FleetProdRatio_VR200</t>
  </si>
  <si>
    <t xml:space="preserve">TKQ_IF_FleetProdRatio_VR200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</si>
  <si>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生產折減重解比（＝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；重解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理想產出；僅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；基準）</t>
    </r>
  </si>
  <si>
    <t xml:space="preserve">IF_PxEffMix</t>
  </si>
  <si>
    <t xml:space="preserve">TKQ_IF_PxEffMix</t>
  </si>
  <si>
    <r>
      <rPr>
        <sz val="10"/>
        <color rgb="FF000000"/>
        <rFont val="Noto Sans CJK SC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快照（＝表列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IF_MixPaid_* </t>
    </r>
    <r>
      <rPr>
        <sz val="10"/>
        <color rgb="FF000000"/>
        <rFont val="Noto Sans CJK SC"/>
        <family val="2"/>
      </rPr>
      <t xml:space="preserve">加權；基準）</t>
    </r>
  </si>
  <si>
    <t xml:space="preserve">IF_PxEffMix25</t>
  </si>
  <si>
    <t xml:space="preserve">TKQ_IF_PxEffMix25</t>
  </si>
  <si>
    <r>
      <rPr>
        <sz val="10"/>
        <color rgb="FF000000"/>
        <rFont val="Noto Sans CJK SC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；各層級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年度加權單價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）；基準／低／高）</t>
    </r>
  </si>
  <si>
    <t xml:space="preserve">IF_PxEffMix25_Lo</t>
  </si>
  <si>
    <t xml:space="preserve">TKQ_IF_PxEffMix25_Lo</t>
  </si>
  <si>
    <t xml:space="preserve">IF_PxEffMix25_Hi</t>
  </si>
  <si>
    <t xml:space="preserve">TKQ_IF_PxEffMix25_Hi</t>
  </si>
  <si>
    <t xml:space="preserve">IF_ServeShare</t>
  </si>
  <si>
    <t xml:space="preserve">TKQ_IF_ServeShare</t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</si>
  <si>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</si>
  <si>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IF_FreeShare</t>
  </si>
  <si>
    <t xml:space="preserve">TKQ_IF_FreeShare</t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</si>
  <si>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</t>
    </r>
  </si>
  <si>
    <t xml:space="preserve">IF_MixPaid_Luna</t>
  </si>
  <si>
    <t xml:space="preserve">TKQ_IF_MixPaid_Luna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</si>
  <si>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</si>
  <si>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IF_MixPaid_Sol</t>
  </si>
  <si>
    <t xml:space="preserve">TKQ_IF_MixPaid_Sol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</si>
  <si>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</si>
  <si>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IF_MixPaid_Astra</t>
  </si>
  <si>
    <t xml:space="preserve">TKQ_IF_MixPaid_Astra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</si>
  <si>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</si>
  <si>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IF_UtilActual</t>
  </si>
  <si>
    <t xml:space="preserve">TKQ_IF_UtilActual</t>
  </si>
  <si>
    <r>
      <rPr>
        <sz val="10"/>
        <color rgb="FF000000"/>
        <rFont val="Noto Sans CJK SC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本列；基準／低／高）</t>
    </r>
  </si>
  <si>
    <t xml:space="preserve">IF_UtilActual_Lo</t>
  </si>
  <si>
    <t xml:space="preserve">TKQ_IF_UtilActual_Lo</t>
  </si>
  <si>
    <t xml:space="preserve">IF_UtilActual_Hi</t>
  </si>
  <si>
    <t xml:space="preserve">TKQ_IF_UtilActual_Hi</t>
  </si>
  <si>
    <t xml:space="preserve">IF_LTotalDisc</t>
  </si>
  <si>
    <t xml:space="preserve">TKQ_IF_LTotalDisc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</si>
  <si>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（新世代自身起點、折現；＝</t>
    </r>
    <r>
      <rPr>
        <sz val="10"/>
        <color rgb="FF000000"/>
        <rFont val="Arial"/>
        <family val="0"/>
        <charset val="1"/>
      </rPr>
      <t xml:space="preserve">L1_LTotalDisc</t>
    </r>
    <r>
      <rPr>
        <sz val="10"/>
        <color rgb="FF000000"/>
        <rFont val="Noto Sans CJK SC"/>
        <family val="2"/>
      </rPr>
      <t xml:space="preserve">；壽命期年均產出占第一年的比例；基準／低／高）</t>
    </r>
  </si>
  <si>
    <t xml:space="preserve">IF_LTotalDisc_Lo</t>
  </si>
  <si>
    <t xml:space="preserve">TKQ_IF_LTotalDisc_Lo</t>
  </si>
  <si>
    <t xml:space="preserve">IF_LTotalDisc_Hi</t>
  </si>
  <si>
    <t xml:space="preserve">TKQ_IF_LTotalDisc_Hi</t>
  </si>
  <si>
    <t xml:space="preserve">IF_LTotalFleetVDisc</t>
  </si>
  <si>
    <t xml:space="preserve">TKQ_IF_LTotalFleetVDisc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</si>
  <si>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機隊、世代起點、折現；＝</t>
    </r>
    <r>
      <rPr>
        <sz val="10"/>
        <color rgb="FF000000"/>
        <rFont val="Arial"/>
        <family val="0"/>
        <charset val="1"/>
      </rPr>
      <t xml:space="preserve">L1_LTotalFleetVDisc</t>
    </r>
    <r>
      <rPr>
        <sz val="10"/>
        <color rgb="FF000000"/>
        <rFont val="Noto Sans CJK SC"/>
        <family val="2"/>
      </rPr>
      <t xml:space="preserve">；基準／低／高）</t>
    </r>
  </si>
  <si>
    <t xml:space="preserve">IF_LTotalFleetVDisc_Lo</t>
  </si>
  <si>
    <t xml:space="preserve">TKQ_IF_LTotalFleetVDisc_Lo</t>
  </si>
  <si>
    <t xml:space="preserve">IF_LTotalFleetVDisc_Hi</t>
  </si>
  <si>
    <t xml:space="preserve">TKQ_IF_LTotalFleetVDisc_Hi</t>
  </si>
  <si>
    <t xml:space="preserve">TKQ_SRC_DEM_004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</si>
  <si>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</si>
  <si>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TKQ_SRC_DEM_006</t>
  </si>
  <si>
    <t xml:space="preserve">TKQ_SRC_DEM_007</t>
  </si>
  <si>
    <t xml:space="preserve">TKQ_SRC_DEM_008</t>
  </si>
  <si>
    <t xml:space="preserve">TKQ_SRC_DEM_009</t>
  </si>
  <si>
    <t xml:space="preserve">IF_PxEffMix_Lo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</si>
  <si>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v19.0 </t>
    </r>
    <r>
      <rPr>
        <sz val="10"/>
        <color rgb="FF000000"/>
        <rFont val="Noto Sans CJK SC"/>
        <family val="2"/>
      </rPr>
      <t xml:space="preserve">無此名稱；無具名範圍）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</si>
  <si>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缺口：見報告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</si>
  <si>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</t>
    </r>
  </si>
  <si>
    <t xml:space="preserve">IF_PxEffMix_Hi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</si>
  <si>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Noto Sans CJK SC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Noto Sans CJK SC"/>
        <family val="2"/>
      </rPr>
      <t xml:space="preserve">項目的遷入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</si>
  <si>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無區間者保留空白並於備註說明（不自行補值）。</t>
    </r>
  </si>
  <si>
    <r>
      <rPr>
        <sz val="9"/>
        <color rgb="FF595959"/>
        <rFont val="Noto Sans CJK SC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Noto Sans CJK SC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Noto Sans CJK SC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</si>
  <si>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</si>
  <si>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</si>
  <si>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</si>
  <si>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</si>
  <si>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</si>
  <si>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</si>
  <si>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</si>
  <si>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</si>
  <si>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</si>
  <si>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</si>
  <si>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</si>
  <si>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</si>
  <si>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Noto Sans CJK SC"/>
        <family val="2"/>
      </rPr>
      <t xml:space="preserve">註記）</t>
    </r>
  </si>
  <si>
    <t xml:space="preserve">INP_003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</si>
  <si>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</si>
  <si>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</si>
  <si>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</si>
  <si>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</si>
  <si>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</si>
  <si>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</si>
  <si>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</si>
  <si>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</si>
  <si>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</si>
  <si>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</si>
  <si>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節）</t>
    </r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</si>
  <si>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</si>
  <si>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</si>
  <si>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</si>
  <si>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</si>
  <si>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</si>
  <si>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</si>
  <si>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</si>
  <si>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</si>
  <si>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</si>
  <si>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</si>
  <si>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</si>
  <si>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</si>
  <si>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</si>
  <si>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</si>
  <si>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</si>
  <si>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</si>
  <si>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</si>
  <si>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</si>
  <si>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</si>
  <si>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</si>
  <si>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</si>
  <si>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</si>
  <si>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</si>
  <si>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</si>
  <si>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</si>
  <si>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Noto Sans CJK SC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</si>
  <si>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</si>
  <si>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</si>
  <si>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</si>
  <si>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</si>
  <si>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</si>
  <si>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</si>
  <si>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</si>
  <si>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</si>
  <si>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</si>
  <si>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</si>
  <si>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</si>
  <si>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</si>
  <si>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</si>
  <si>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</si>
  <si>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</si>
  <si>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</si>
  <si>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</si>
  <si>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</si>
  <si>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</si>
  <si>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</si>
  <si>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</si>
  <si>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</si>
  <si>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</si>
  <si>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</si>
  <si>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</si>
  <si>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</si>
  <si>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</si>
  <si>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</si>
  <si>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</si>
  <si>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</si>
  <si>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起每年；情境軸之一</t>
    </r>
  </si>
  <si>
    <t xml:space="preserve">INP_022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</si>
  <si>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</si>
  <si>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</si>
  <si>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</si>
  <si>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</si>
  <si>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</si>
  <si>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</si>
  <si>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</si>
  <si>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</si>
  <si>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</si>
  <si>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Noto Sans CJK SC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Noto Sans CJK SC"/>
        <family val="2"/>
      </rPr>
      <t xml:space="preserve">）</t>
    </r>
  </si>
  <si>
    <t xml:space="preserve">INP_025</t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</si>
  <si>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</si>
  <si>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</si>
  <si>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</si>
  <si>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</si>
  <si>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</si>
  <si>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</si>
  <si>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</si>
  <si>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</si>
  <si>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</si>
  <si>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</si>
  <si>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</si>
  <si>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</si>
  <si>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Noto Sans CJK SC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Noto Sans CJK SC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</si>
  <si>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</si>
  <si>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</si>
  <si>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</si>
  <si>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</si>
  <si>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</si>
  <si>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</si>
  <si>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</si>
  <si>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</si>
  <si>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</si>
  <si>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</si>
  <si>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</si>
  <si>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</si>
  <si>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</si>
  <si>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</si>
  <si>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</si>
  <si>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</si>
  <si>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</si>
  <si>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</si>
  <si>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</si>
  <si>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</si>
  <si>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</si>
  <si>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</si>
  <si>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</si>
  <si>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</si>
  <si>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</si>
  <si>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</si>
  <si>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</si>
  <si>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</si>
  <si>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</si>
  <si>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</si>
  <si>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</si>
  <si>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</si>
  <si>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</si>
  <si>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</si>
  <si>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</si>
  <si>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</si>
  <si>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</si>
  <si>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</si>
  <si>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</si>
  <si>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</si>
  <si>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</si>
  <si>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</si>
  <si>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</si>
  <si>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</si>
  <si>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</si>
  <si>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</si>
  <si>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Noto Sans CJK SC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</si>
  <si>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</si>
  <si>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</si>
  <si>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</si>
  <si>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Noto Sans CJK SC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點）</t>
    </r>
  </si>
  <si>
    <t xml:space="preserve">INP_051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</si>
  <si>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</si>
  <si>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</si>
  <si>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</si>
  <si>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</si>
  <si>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</si>
  <si>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</si>
  <si>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</si>
  <si>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</si>
  <si>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</si>
  <si>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</si>
  <si>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</si>
  <si>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</si>
  <si>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</si>
  <si>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</si>
  <si>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</si>
  <si>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</si>
  <si>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</si>
  <si>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</si>
  <si>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</si>
  <si>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</si>
  <si>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</si>
  <si>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</si>
  <si>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</si>
  <si>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</si>
  <si>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</si>
  <si>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</si>
  <si>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</si>
  <si>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</si>
  <si>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</si>
  <si>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：低情境倍數</t>
    </r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</si>
  <si>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</si>
  <si>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</si>
  <si>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</si>
  <si>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</si>
  <si>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</si>
  <si>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</si>
  <si>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</si>
  <si>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</si>
  <si>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</si>
  <si>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</si>
  <si>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</si>
  <si>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</si>
  <si>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</si>
  <si>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</si>
  <si>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</si>
  <si>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</si>
  <si>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</si>
  <si>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</si>
  <si>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</si>
  <si>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</si>
  <si>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</si>
  <si>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</si>
  <si>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</si>
  <si>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</si>
  <si>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</si>
  <si>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</si>
  <si>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</si>
  <si>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</si>
  <si>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</si>
  <si>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</si>
  <si>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</si>
  <si>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</si>
  <si>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</si>
  <si>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</si>
  <si>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</si>
  <si>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</si>
  <si>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</si>
  <si>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</si>
  <si>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</si>
  <si>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</si>
  <si>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</si>
  <si>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</si>
  <si>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</si>
  <si>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</si>
  <si>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</si>
  <si>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</si>
  <si>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</si>
  <si>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</si>
  <si>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</si>
  <si>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</si>
  <si>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</si>
  <si>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</si>
  <si>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</si>
  <si>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</si>
  <si>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</si>
  <si>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</si>
  <si>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</si>
  <si>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</si>
  <si>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</si>
  <si>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</si>
  <si>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</si>
  <si>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</si>
  <si>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</si>
  <si>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</si>
  <si>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</si>
  <si>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</si>
  <si>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</si>
  <si>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</si>
  <si>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</si>
  <si>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</si>
  <si>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</si>
  <si>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</si>
  <si>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</si>
  <si>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</si>
  <si>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</si>
  <si>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</si>
  <si>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</si>
  <si>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</si>
  <si>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</si>
  <si>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</si>
  <si>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</si>
  <si>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</si>
  <si>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</si>
  <si>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</si>
  <si>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</si>
  <si>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</si>
  <si>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</si>
  <si>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</si>
  <si>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</si>
  <si>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</si>
  <si>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</si>
  <si>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</si>
  <si>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</si>
  <si>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</si>
  <si>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</si>
  <si>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</si>
  <si>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</si>
  <si>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Noto Sans CJK SC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</si>
  <si>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</si>
  <si>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</si>
  <si>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</si>
  <si>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</si>
  <si>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</si>
  <si>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</si>
  <si>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</si>
  <si>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</si>
  <si>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</si>
  <si>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</si>
  <si>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</si>
  <si>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</si>
  <si>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</si>
  <si>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</si>
  <si>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</si>
  <si>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</si>
  <si>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</si>
  <si>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</si>
  <si>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</si>
  <si>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</si>
  <si>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</si>
  <si>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</si>
  <si>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</si>
  <si>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</si>
  <si>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</si>
  <si>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</si>
  <si>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</si>
  <si>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</si>
  <si>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</si>
  <si>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</si>
  <si>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</si>
  <si>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</si>
  <si>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Noto Sans CJK SC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</si>
  <si>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INP_138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</si>
  <si>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</si>
  <si>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</si>
  <si>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</si>
  <si>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</si>
  <si>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</si>
  <si>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</si>
  <si>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</si>
  <si>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</si>
  <si>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</si>
  <si>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</si>
  <si>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</si>
  <si>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</si>
  <si>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</si>
  <si>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</si>
  <si>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</si>
  <si>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</si>
  <si>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</si>
  <si>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</si>
  <si>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</si>
  <si>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</si>
  <si>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</si>
  <si>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</si>
  <si>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</si>
  <si>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</si>
  <si>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</si>
  <si>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</si>
  <si>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</si>
  <si>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</si>
  <si>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</si>
  <si>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</si>
  <si>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</si>
  <si>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</si>
  <si>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</si>
  <si>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</si>
  <si>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</si>
  <si>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</si>
  <si>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</si>
  <si>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</si>
  <si>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</si>
  <si>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</si>
  <si>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</si>
  <si>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</si>
  <si>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</si>
  <si>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</si>
  <si>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</si>
  <si>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</si>
  <si>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</si>
  <si>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</si>
  <si>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</si>
  <si>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</si>
  <si>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</si>
  <si>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</si>
  <si>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</si>
  <si>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</si>
  <si>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</si>
  <si>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</si>
  <si>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</si>
  <si>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</si>
  <si>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</si>
  <si>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</si>
  <si>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</si>
  <si>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</si>
  <si>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</si>
  <si>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</si>
  <si>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</si>
  <si>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</si>
  <si>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</si>
  <si>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</si>
  <si>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</si>
  <si>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</si>
  <si>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</si>
  <si>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</si>
  <si>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</si>
  <si>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</si>
  <si>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</si>
  <si>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</si>
  <si>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</si>
  <si>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</si>
  <si>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</si>
  <si>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</si>
  <si>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</si>
  <si>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</si>
  <si>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</si>
  <si>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</si>
  <si>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</si>
  <si>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</si>
  <si>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</si>
  <si>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</si>
  <si>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</si>
  <si>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</si>
  <si>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</si>
  <si>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</si>
  <si>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</si>
  <si>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</si>
  <si>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</si>
  <si>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</si>
  <si>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</si>
  <si>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</si>
  <si>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</si>
  <si>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</si>
  <si>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</si>
  <si>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Noto Sans CJK SC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</si>
  <si>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</si>
  <si>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</si>
  <si>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</si>
  <si>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）</t>
    </r>
  </si>
  <si>
    <t xml:space="preserve">INP_183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</si>
  <si>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</si>
  <si>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</si>
  <si>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</si>
  <si>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</si>
  <si>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Noto Sans CJK SC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</si>
  <si>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Noto Sans CJK SC"/>
        <family val="2"/>
      </rPr>
      <t xml:space="preserve">葉節點</t>
    </r>
  </si>
  <si>
    <t xml:space="preserve">INP_185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</si>
  <si>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</si>
  <si>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</si>
  <si>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</si>
  <si>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</si>
  <si>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</si>
  <si>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</si>
  <si>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</si>
  <si>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</si>
  <si>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</si>
  <si>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</si>
  <si>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</si>
  <si>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</si>
  <si>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</si>
  <si>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</si>
  <si>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</si>
  <si>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</si>
  <si>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Noto Sans CJK SC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</si>
  <si>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</si>
  <si>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</si>
  <si>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槓桿；情境軸</t>
    </r>
  </si>
  <si>
    <t xml:space="preserve">INP_196</t>
  </si>
  <si>
    <r>
      <rPr>
        <sz val="10"/>
        <color rgb="FF000000"/>
        <rFont val="Noto Sans CJK SC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</si>
  <si>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</si>
  <si>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</si>
  <si>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</si>
  <si>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</si>
  <si>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</si>
  <si>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</si>
  <si>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</si>
  <si>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</si>
  <si>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</si>
  <si>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</si>
  <si>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</si>
  <si>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</si>
  <si>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</si>
  <si>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</si>
  <si>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</si>
  <si>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</si>
  <si>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</si>
  <si>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Noto Sans CJK SC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</si>
  <si>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</si>
  <si>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</si>
  <si>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</si>
  <si>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</si>
  <si>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</si>
  <si>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</si>
  <si>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</si>
  <si>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</si>
  <si>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</si>
  <si>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</si>
  <si>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</si>
  <si>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</si>
  <si>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</si>
  <si>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</si>
  <si>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</si>
  <si>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</si>
  <si>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Noto Sans CJK SC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</si>
  <si>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</si>
  <si>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</si>
  <si>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</si>
  <si>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</si>
  <si>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</si>
  <si>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</si>
  <si>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</si>
  <si>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</si>
  <si>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</si>
  <si>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</si>
  <si>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</si>
  <si>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</si>
  <si>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</si>
  <si>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</si>
  <si>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</si>
  <si>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</si>
  <si>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</si>
  <si>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</si>
  <si>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</si>
  <si>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</si>
  <si>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</si>
  <si>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</si>
  <si>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</si>
  <si>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</si>
  <si>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</si>
  <si>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</si>
  <si>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</si>
  <si>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Noto Sans CJK SC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</si>
  <si>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</si>
  <si>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</si>
  <si>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</si>
  <si>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</si>
  <si>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Noto Sans CJK SC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其他雲端</t>
    </r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</si>
  <si>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Noto Sans CJK SC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</si>
  <si>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</si>
  <si>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</si>
  <si>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</si>
  <si>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</si>
  <si>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</si>
  <si>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</si>
  <si>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</si>
  <si>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</si>
  <si>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</si>
  <si>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</si>
  <si>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</si>
  <si>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</si>
  <si>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成長路徑</t>
    </r>
  </si>
  <si>
    <t xml:space="preserve">INP_235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</si>
  <si>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</si>
  <si>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</si>
  <si>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</si>
  <si>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</si>
  <si>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</si>
  <si>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</si>
  <si>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</si>
  <si>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</si>
  <si>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</si>
  <si>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</si>
  <si>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</si>
  <si>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</si>
  <si>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</si>
  <si>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</si>
  <si>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</si>
  <si>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</si>
  <si>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每年分鐘數</t>
    </r>
  </si>
  <si>
    <r>
      <rPr>
        <sz val="10"/>
        <color rgb="FF000000"/>
        <rFont val="Noto Sans CJK SC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Noto Sans CJK SC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</si>
  <si>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</si>
  <si>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</si>
  <si>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</si>
  <si>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單位換算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</si>
  <si>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</si>
  <si>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</si>
  <si>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</si>
  <si>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</si>
  <si>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Noto Sans CJK SC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</si>
  <si>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</si>
  <si>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</si>
  <si>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</si>
  <si>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</si>
  <si>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Noto Sans CJK SC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</si>
  <si>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</si>
  <si>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Noto Sans CJK SC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</si>
  <si>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Noto Sans CJK SC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</si>
  <si>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</si>
  <si>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</si>
  <si>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</si>
  <si>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Noto Sans CJK SC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</si>
  <si>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Noto Sans CJK SC"/>
        <family val="2"/>
      </rPr>
      <t xml:space="preserve">（另有報導稱多為算力）</t>
    </r>
  </si>
  <si>
    <t xml:space="preserve">INP_246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</si>
  <si>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07-30</t>
    </r>
    <r>
      <rPr>
        <sz val="10"/>
        <color rgb="FF000000"/>
        <rFont val="Noto Sans CJK SC"/>
        <family val="2"/>
      </rPr>
      <t xml:space="preserve">）生效日偏移</t>
    </r>
  </si>
  <si>
    <t xml:space="preserve">天</t>
  </si>
  <si>
    <t xml:space="preserve">E8c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</si>
  <si>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</si>
  <si>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r5.E8c.</t>
    </r>
    <r>
      <rPr>
        <sz val="10"/>
        <color rgb="FF000000"/>
        <rFont val="Noto Sans CJK SC"/>
        <family val="2"/>
      </rPr>
      <t xml:space="preserve">價格事件時點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</si>
  <si>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±91 </t>
    </r>
    <r>
      <rPr>
        <sz val="10"/>
        <color rgb="FF000000"/>
        <rFont val="Noto Sans CJK SC"/>
        <family val="2"/>
      </rPr>
      <t xml:space="preserve">天（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工作單預設）。偏移後日期限於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內</t>
    </r>
  </si>
  <si>
    <t xml:space="preserve">INP_247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</si>
  <si>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</si>
  <si>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INP_248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</si>
  <si>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Noto Sans CJK SC"/>
        <family val="2"/>
      </rPr>
      <t xml:space="preserve">）生效日偏移</t>
    </r>
  </si>
  <si>
    <t xml:space="preserve">INP_249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</si>
  <si>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</si>
  <si>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INP_250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</si>
  <si>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起日（定義常數；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</si>
  <si>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</si>
  <si>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r5.E6.P2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</si>
  <si>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46023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；價格事件天數加權的年度起點</t>
    </r>
  </si>
  <si>
    <t xml:space="preserve">INP_251</t>
  </si>
  <si>
    <t xml:space="preserve">每年天數（定義常數）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</si>
  <si>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。用途：每日→年換算與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天數加權的分母（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365 </t>
    </r>
    <r>
      <rPr>
        <sz val="10"/>
        <color rgb="FF000000"/>
        <rFont val="Noto Sans CJK SC"/>
        <family val="2"/>
      </rPr>
      <t xml:space="preserve">天）</t>
    </r>
  </si>
  <si>
    <t xml:space="preserve">INP_252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</si>
  <si>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</si>
  <si>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</si>
  <si>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。用途：月 </t>
    </r>
    <r>
      <rPr>
        <sz val="10"/>
        <color rgb="FF000000"/>
        <rFont val="Arial"/>
        <family val="0"/>
        <charset val="1"/>
      </rPr>
      <t xml:space="preserve">ARPU → </t>
    </r>
    <r>
      <rPr>
        <sz val="10"/>
        <color rgb="FF000000"/>
        <rFont val="Noto Sans CJK SC"/>
        <family val="2"/>
      </rPr>
      <t xml:space="preserve">年營收</t>
    </r>
  </si>
  <si>
    <t xml:space="preserve">INP_253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</si>
  <si>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</si>
  <si>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</si>
  <si>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$ →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 → $M</t>
    </r>
  </si>
  <si>
    <t xml:space="preserve">INP_254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</si>
  <si>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</si>
  <si>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</si>
  <si>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。用途：與 </t>
    </r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年）並列</t>
    </r>
  </si>
  <si>
    <t xml:space="preserve">INP_255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</si>
  <si>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獨立推估：下半年月數（定義常數）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</si>
  <si>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v0.5 fy2026Independent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＋下半年以 </t>
    </r>
    <r>
      <rPr>
        <sz val="10"/>
        <color rgb="FF000000"/>
        <rFont val="Arial"/>
        <family val="0"/>
        <charset val="1"/>
      </rPr>
      <t xml:space="preserve">2026-08 ARR </t>
    </r>
    <r>
      <rPr>
        <sz val="10"/>
        <color rgb="FF000000"/>
        <rFont val="Noto Sans CJK SC"/>
        <family val="2"/>
      </rPr>
      <t xml:space="preserve">外推</t>
    </r>
  </si>
  <si>
    <t xml:space="preserve">INP_256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</si>
  <si>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</si>
  <si>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</si>
  <si>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r6.P3-2.Blackwell </t>
    </r>
    <r>
      <rPr>
        <sz val="10"/>
        <color rgb="FF000000"/>
        <rFont val="Noto Sans CJK SC"/>
        <family val="2"/>
      </rPr>
      <t xml:space="preserve">拆分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</si>
  <si>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GB200 100%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</si>
  <si>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</si>
  <si>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</si>
  <si>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GB200 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50%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</si>
  <si>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</si>
  <si>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</si>
  <si>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</si>
  <si>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t xml:space="preserve">V2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</si>
  <si>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</si>
  <si>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r6.P3-3.η </t>
    </r>
    <r>
      <rPr>
        <sz val="10"/>
        <color rgb="FF000000"/>
        <rFont val="Noto Sans CJK SC"/>
        <family val="2"/>
      </rPr>
      <t xml:space="preserve">路徑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</si>
  <si>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工作單預設：基準沿用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＝自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線性回升至目標年的目標值（</t>
    </r>
    <r>
      <rPr>
        <sz val="10"/>
        <color rgb="FF000000"/>
        <rFont val="Arial"/>
        <family val="0"/>
        <charset val="1"/>
      </rPr>
      <t xml:space="preserve">r6 P3-3 </t>
    </r>
    <r>
      <rPr>
        <sz val="10"/>
        <color rgb="FF000000"/>
        <rFont val="Noto Sans CJK SC"/>
        <family val="2"/>
      </rPr>
      <t xml:space="preserve">待判斷事項，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授權依預設）</t>
    </r>
  </si>
  <si>
    <t xml:space="preserve">INP_259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</si>
  <si>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</si>
  <si>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工作單預設：回升到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（模型產能完全兌現）</t>
    </r>
  </si>
  <si>
    <t xml:space="preserve">INP_260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</si>
  <si>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</si>
  <si>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</t>
    </r>
  </si>
  <si>
    <t xml:space="preserve">INP_261</t>
  </si>
  <si>
    <r>
      <rPr>
        <sz val="10"/>
        <color rgb="FF000000"/>
        <rFont val="Noto Sans CJK SC"/>
        <family val="2"/>
      </rPr>
      <t xml:space="preserve">線性爬升付款：等差級數和 </t>
    </r>
    <r>
      <rPr>
        <sz val="10"/>
        <color rgb="FF000000"/>
        <rFont val="Arial"/>
        <family val="0"/>
        <charset val="1"/>
      </rPr>
      <t xml:space="preserve">n(n+1)/2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</si>
  <si>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</si>
  <si>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r5.E6.P3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</si>
  <si>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期間內線性爬升的付款權重（年序 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年序）</t>
    </r>
  </si>
  <si>
    <t xml:space="preserve">INP_262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</si>
  <si>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</si>
  <si>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算力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</si>
  <si>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</t>
    </r>
  </si>
  <si>
    <r>
      <rPr>
        <sz val="10"/>
        <color rgb="FF000000"/>
        <rFont val="Arial"/>
        <family val="0"/>
        <charset val="1"/>
      </rPr>
      <t xml:space="preserve">r6.P4-1.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</si>
  <si>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＝累計自有資本支出（至前一年）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資本支出；區間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</si>
  <si>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INP_263</t>
  </si>
  <si>
    <t xml:space="preserve">員工人數年增率（年均人數）</t>
  </si>
  <si>
    <t xml:space="preserve">V4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</si>
  <si>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預設：成長路徑用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</si>
  <si>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人數成長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</si>
  <si>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4,500</t>
    </r>
    <r>
      <rPr>
        <sz val="10"/>
        <color rgb="FF000000"/>
        <rFont val="Noto Sans CJK SC"/>
        <family val="2"/>
      </rPr>
      <t xml:space="preserve">、年底目標約 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）隱含年均約 </t>
    </r>
    <r>
      <rPr>
        <sz val="10"/>
        <color rgb="FF000000"/>
        <rFont val="Arial"/>
        <family val="0"/>
        <charset val="1"/>
      </rPr>
      <t xml:space="preserve">+56%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</si>
  <si>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INP_264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</si>
  <si>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</si>
  <si>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INP_265</t>
  </si>
  <si>
    <t xml:space="preserve">INP_266</t>
  </si>
  <si>
    <t xml:space="preserve">INP_267</t>
  </si>
  <si>
    <t xml:space="preserve">INP_268</t>
  </si>
  <si>
    <t xml:space="preserve">每人年成本（不含股權報酬）年變動率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</si>
  <si>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</si>
  <si>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每人成本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</si>
  <si>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值由財報推得（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：非算力營運費用不含股權報酬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人數）；之後每年變動率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0–0.08</t>
    </r>
    <r>
      <rPr>
        <sz val="10"/>
        <color rgb="FF000000"/>
        <rFont val="Noto Sans CJK SC"/>
        <family val="2"/>
      </rPr>
      <t xml:space="preserve">；薪資與非人事費用成長，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</si>
  <si>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INP_269</t>
  </si>
  <si>
    <t xml:space="preserve">每人股權報酬年變動率</t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</si>
  <si>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股權報酬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</si>
  <si>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）；之後每人不變（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0.2–0.2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『每年約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』只作對照</t>
    </r>
  </si>
  <si>
    <t xml:space="preserve">INP_270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</si>
  <si>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</si>
  <si>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</si>
  <si>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</si>
  <si>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r5.E6.P4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</si>
  <si>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TK $/M token × M tok/GW/</t>
    </r>
    <r>
      <rPr>
        <sz val="10"/>
        <color rgb="FF000000"/>
        <rFont val="Noto Sans CJK SC"/>
        <family val="2"/>
      </rPr>
      <t xml:space="preserve">年 →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</si>
  <si>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INP_271</t>
  </si>
  <si>
    <t xml:space="preserve">管理層營收目標擬合值（反向模式）</t>
  </si>
  <si>
    <t xml:space="preserve">R1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</si>
  <si>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新增（反向模式；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</si>
  <si>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</si>
  <si>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：成長率線性遞減，閉合 </t>
    </r>
    <r>
      <rPr>
        <sz val="10"/>
        <color rgb="FF000000"/>
        <rFont val="Arial"/>
        <family val="0"/>
        <charset val="1"/>
      </rPr>
      <t xml:space="preserve">2026 $36B→2030 $350B </t>
    </r>
    <r>
      <rPr>
        <sz val="10"/>
        <color rgb="FF000000"/>
        <rFont val="Noto Sans CJK SC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沿用）。只驅動 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），不回饋基準。替代擬合：二次式 </t>
    </r>
    <r>
      <rPr>
        <sz val="10"/>
        <color rgb="FF000000"/>
        <rFont val="Arial"/>
        <family val="0"/>
        <charset val="1"/>
      </rPr>
      <t xml:space="preserve">77.0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殘差 </t>
    </r>
    <r>
      <rPr>
        <sz val="10"/>
        <color rgb="FF000000"/>
        <rFont val="Arial"/>
        <family val="0"/>
        <charset val="1"/>
      </rPr>
      <t xml:space="preserve">234.0</t>
    </r>
    <r>
      <rPr>
        <sz val="10"/>
        <color rgb="FF000000"/>
        <rFont val="Noto Sans CJK SC"/>
        <family val="2"/>
      </rPr>
      <t xml:space="preserve">）</t>
    </r>
  </si>
  <si>
    <t xml:space="preserve">INP_272</t>
  </si>
  <si>
    <t xml:space="preserve">INP_273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</si>
  <si>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融資輪無條件部分的現金到位年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</si>
  <si>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</si>
  <si>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r6.P5-1.</t>
    </r>
    <r>
      <rPr>
        <sz val="10"/>
        <color rgb="FF000000"/>
        <rFont val="Noto Sans CJK SC"/>
        <family val="2"/>
      </rPr>
      <t xml:space="preserve">融資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</si>
  <si>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列：無條件部分全額計入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股權流入；</t>
    </r>
    <r>
      <rPr>
        <sz val="10"/>
        <color rgb="FF000000"/>
        <rFont val="Arial"/>
        <family val="0"/>
        <charset val="1"/>
      </rPr>
      <t xml:space="preserve">SoftBank </t>
    </r>
    <r>
      <rPr>
        <sz val="10"/>
        <color rgb="FF000000"/>
        <rFont val="Noto Sans CJK SC"/>
        <family val="2"/>
      </rPr>
      <t xml:space="preserve">三期的實際分期未揭露（區間上限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</si>
  <si>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INP_274</t>
  </si>
  <si>
    <r>
      <rPr>
        <sz val="10"/>
        <color rgb="FF000000"/>
        <rFont val="Noto Sans CJK SC"/>
        <family val="2"/>
      </rPr>
      <t xml:space="preserve">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＝否）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</si>
  <si>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 </t>
    </r>
    <r>
      <rPr>
        <sz val="10"/>
        <color rgb="FF000000"/>
        <rFont val="Noto Sans CJK SC"/>
        <family val="2"/>
      </rPr>
      <t xml:space="preserve">預設：不計入基準，列情境）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</si>
  <si>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輸入第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不計入）；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第四節另列計入情境，不受本開關影響</t>
    </r>
  </si>
  <si>
    <t xml:space="preserve">INP_275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</si>
  <si>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</si>
  <si>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</si>
  <si>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條件為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里程碑（</t>
    </r>
    <r>
      <rPr>
        <sz val="10"/>
        <color rgb="FF000000"/>
        <rFont val="Arial"/>
        <family val="0"/>
        <charset val="1"/>
      </rPr>
      <t xml:space="preserve">SRC_OAI_082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計入時與無條件部分同在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2026–2027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2026-06 </t>
    </r>
    <r>
      <rPr>
        <sz val="10"/>
        <color rgb="FF000000"/>
        <rFont val="Noto Sans CJK SC"/>
        <family val="2"/>
      </rPr>
      <t xml:space="preserve">已機密遞交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草稿，上市時點未定）</t>
    </r>
  </si>
  <si>
    <t xml:space="preserve">INP_276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</si>
  <si>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主值選擇（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＝指數內插；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＝線性內插）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</si>
  <si>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</si>
  <si>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</si>
  <si>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v0.6.1.PxQ.2025 GW </t>
    </r>
    <r>
      <rPr>
        <sz val="10"/>
        <color rgb="FF000000"/>
        <rFont val="Noto Sans CJK SC"/>
        <family val="2"/>
      </rPr>
      <t xml:space="preserve">主值</t>
    </r>
  </si>
  <si>
    <r>
      <rPr>
        <sz val="10"/>
        <color rgb="FF000000"/>
        <rFont val="Noto Sans CJK SC"/>
        <family val="2"/>
      </rPr>
      <t xml:space="preserve">兩種內插（端點 </t>
    </r>
    <r>
      <rPr>
        <sz val="10"/>
        <color rgb="FF000000"/>
        <rFont val="Arial"/>
        <family val="0"/>
        <charset val="1"/>
      </rPr>
      <t xml:space="preserve">TKQ_SRC_DEM_008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</t>
    </r>
    <r>
      <rPr>
        <sz val="10"/>
        <color rgb="FF000000"/>
        <rFont val="Noto Sans CJK SC"/>
        <family val="2"/>
      </rPr>
      <t xml:space="preserve">）並列顯示；本開關只決定『主值』（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頁頂部讀法句、持平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主值列）。基準＝指數</t>
    </r>
  </si>
  <si>
    <t xml:space="preserve">INP_277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</si>
  <si>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：基準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</si>
  <si>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</t>
    </r>
  </si>
  <si>
    <t xml:space="preserve">v0.6.1.PxQ.2026 GW</t>
  </si>
  <si>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『約 </t>
    </r>
    <r>
      <rPr>
        <sz val="10"/>
        <color rgb="FF000000"/>
        <rFont val="Arial"/>
        <family val="0"/>
        <charset val="1"/>
      </rPr>
      <t xml:space="preserve">3 GW</t>
    </r>
    <r>
      <rPr>
        <sz val="10"/>
        <color rgb="FF000000"/>
        <rFont val="Noto Sans CJK SC"/>
        <family val="2"/>
      </rPr>
      <t xml:space="preserve">』；官方未公布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2.5–3.5</t>
    </r>
    <r>
      <rPr>
        <sz val="10"/>
        <color rgb="FF000000"/>
        <rFont val="Noto Sans CJK SC"/>
        <family val="2"/>
      </rPr>
      <t xml:space="preserve">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</si>
  <si>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</si>
  <si>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：低情境</t>
    </r>
  </si>
  <si>
    <r>
      <rPr>
        <sz val="10"/>
        <color rgb="FF000000"/>
        <rFont val="Noto Sans CJK SC"/>
        <family val="2"/>
      </rPr>
      <t xml:space="preserve">三欄情境之低端（＝基準列區間下緣；情境值，低＝高＝值）。電力口徑未明（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</si>
  <si>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INP_279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</si>
  <si>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：高情境</t>
    </r>
  </si>
  <si>
    <r>
      <rPr>
        <sz val="10"/>
        <color rgb="FF000000"/>
        <rFont val="Noto Sans CJK SC"/>
        <family val="2"/>
      </rPr>
      <t xml:space="preserve">三欄情境之高端（＝基準列區間上緣；情境值，低＝高＝值）。電力口徑未明（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</si>
  <si>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INP_280</t>
  </si>
  <si>
    <r>
      <rPr>
        <sz val="10"/>
        <color rgb="FF000000"/>
        <rFont val="Noto Sans CJK SC"/>
        <family val="2"/>
      </rPr>
      <t xml:space="preserve">世代組合來源（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自有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組合；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＝交接檔組合）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</si>
  <si>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</si>
  <si>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世代組合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</si>
  <si>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CMP_Share_*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世代產能係數 </t>
    </r>
    <r>
      <rPr>
        <sz val="10"/>
        <color rgb="FF000000"/>
        <rFont val="Arial"/>
        <family val="0"/>
        <charset val="1"/>
      </rPr>
      <t xml:space="preserve">INP_204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欄改用下列交接檔組合（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兩者相同：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</t>
    </r>
  </si>
  <si>
    <t xml:space="preserve">INP_281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</si>
  <si>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</si>
  <si>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Noto Sans CJK SC"/>
        <family val="2"/>
      </rPr>
      <t xml:space="preserve">交接檔第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Tokenomics Cap_In D211:F214 </t>
    </r>
    <r>
      <rPr>
        <sz val="10"/>
        <color rgb="FF000000"/>
        <rFont val="Noto Sans CJK SC"/>
        <family val="2"/>
      </rPr>
      <t xml:space="preserve">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與交接檔均無區間，本列不補值；合計須為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）</t>
    </r>
  </si>
  <si>
    <t xml:space="preserve">INP_282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</si>
  <si>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GB200</t>
    </r>
  </si>
  <si>
    <t xml:space="preserve">INP_283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</si>
  <si>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GB300</t>
    </r>
  </si>
  <si>
    <t xml:space="preserve">INP_284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</si>
  <si>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VR200</t>
    </r>
  </si>
  <si>
    <t xml:space="preserve">INP_285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</si>
  <si>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</si>
  <si>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INP_286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</si>
  <si>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世代組合：自研／其他</t>
    </r>
  </si>
  <si>
    <t xml:space="preserve">INP_287</t>
  </si>
  <si>
    <r>
      <rPr>
        <sz val="10"/>
        <color rgb="FF000000"/>
        <rFont val="Noto Sans CJK SC"/>
        <family val="2"/>
      </rPr>
      <t xml:space="preserve">生產折減讀法（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v19.0 </t>
    </r>
    <r>
      <rPr>
        <sz val="10"/>
        <color rgb="FF000000"/>
        <rFont val="Noto Sans CJK SC"/>
        <family val="2"/>
      </rPr>
      <t xml:space="preserve">讀法：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用重解比、其他世代用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＝一律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</si>
  <si>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6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</si>
  <si>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</si>
  <si>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README v19.0 </t>
    </r>
    <r>
      <rPr>
        <sz val="10"/>
        <color rgb="FF000000"/>
        <rFont val="Noto Sans CJK SC"/>
        <family val="2"/>
      </rPr>
      <t xml:space="preserve">讀法）；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為交接檔讀法（一律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），預覽對帳用</t>
    </r>
  </si>
  <si>
    <t xml:space="preserve">INP_288</t>
  </si>
  <si>
    <t xml:space="preserve">預覽值對帳容許相對誤差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</si>
  <si>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</si>
  <si>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對帳容許誤差</t>
    </r>
  </si>
  <si>
    <r>
      <rPr>
        <sz val="10"/>
        <color rgb="FF000000"/>
        <rFont val="Noto Sans CJK SC"/>
        <family val="2"/>
      </rPr>
      <t xml:space="preserve">工作單：誤差 </t>
    </r>
    <r>
      <rPr>
        <sz val="10"/>
        <color rgb="FF000000"/>
        <rFont val="Arial"/>
        <family val="0"/>
        <charset val="1"/>
      </rPr>
      <t xml:space="preserve">&gt;0.5% </t>
    </r>
    <r>
      <rPr>
        <sz val="10"/>
        <color rgb="FF000000"/>
        <rFont val="Noto Sans CJK SC"/>
        <family val="2"/>
      </rPr>
      <t xml:space="preserve">須說明；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頁對帳表用此值標示『差異』；區間不適用（低＝高）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</si>
  <si>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Noto Sans CJK SC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Noto Sans CJK SC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Noto Sans CJK SC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Noto Sans CJK SC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</si>
  <si>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Noto Sans CJK SC"/>
        <family val="2"/>
      </rPr>
      <t xml:space="preserve">寫入的對照常數，不參與計算。</t>
    </r>
  </si>
  <si>
    <r>
      <rPr>
        <sz val="9"/>
        <color rgb="FF595959"/>
        <rFont val="Noto Sans CJK SC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Noto Sans CJK SC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</si>
  <si>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</si>
  <si>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</si>
  <si>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</si>
  <si>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原值（對照）</t>
    </r>
  </si>
  <si>
    <r>
      <rPr>
        <b val="true"/>
        <sz val="10"/>
        <rFont val="Noto Sans CJK SC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</si>
  <si>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</si>
  <si>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</si>
  <si>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Noto Sans CJK SC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</si>
  <si>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</si>
  <si>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</si>
  <si>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Noto Sans CJK SC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</si>
  <si>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</si>
  <si>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</t>
    </r>
  </si>
  <si>
    <r>
      <rPr>
        <sz val="9"/>
        <color rgb="FF595959"/>
        <rFont val="Noto Sans CJK SC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Noto Sans CJK SC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</si>
  <si>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</si>
  <si>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</si>
  <si>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</si>
  <si>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</si>
  <si>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</si>
  <si>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</si>
  <si>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</si>
  <si>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Noto Sans CJK SC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</si>
  <si>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</si>
  <si>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</si>
  <si>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</si>
  <si>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</si>
  <si>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</si>
  <si>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</si>
  <si>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</si>
  <si>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</si>
  <si>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</si>
  <si>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</si>
  <si>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</si>
  <si>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</si>
  <si>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</si>
  <si>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Noto Sans CJK SC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</si>
  <si>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</si>
  <si>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</si>
  <si>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</si>
  <si>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</si>
  <si>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</si>
  <si>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</si>
  <si>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</si>
  <si>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</si>
  <si>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</si>
  <si>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</si>
  <si>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</si>
  <si>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</si>
  <si>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</si>
  <si>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</si>
  <si>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</si>
  <si>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</si>
  <si>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</si>
  <si>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</si>
  <si>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</si>
  <si>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</si>
  <si>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</si>
  <si>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</si>
  <si>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</si>
  <si>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</si>
  <si>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</si>
  <si>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</si>
  <si>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</si>
  <si>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</si>
  <si>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</si>
  <si>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</si>
  <si>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</si>
  <si>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</si>
  <si>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</si>
  <si>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Noto Sans CJK SC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</si>
  <si>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</si>
  <si>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</si>
  <si>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</si>
  <si>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</si>
  <si>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需求：訂閱各方案人數、每日任務數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任務數與計費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</si>
  <si>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「訂閱與廣告」「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」頁（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決定）。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實際營收倒推（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唯一倒推）。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起需求成長（不含價格）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。免費用戶只產生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需求，不產生訂閱營收。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</si>
  <si>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＝百萬；任務數（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）十億。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v0.5 Excel </t>
    </r>
    <r>
      <rPr>
        <sz val="9"/>
        <color rgb="FF595959"/>
        <rFont val="Noto Sans CJK SC"/>
        <family val="2"/>
      </rPr>
      <t xml:space="preserve">快取值，只作對照。容量上限（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加入，本頁不截頂。</t>
    </r>
  </si>
  <si>
    <t xml:space="preserve">v0.5 2025</t>
  </si>
  <si>
    <t xml:space="preserve">v0.5 2026</t>
  </si>
  <si>
    <t xml:space="preserve">v0.5 2027</t>
  </si>
  <si>
    <t xml:space="preserve">v0.5 2028</t>
  </si>
  <si>
    <t xml:space="preserve">v0.5 2029</t>
  </si>
  <si>
    <t xml:space="preserve">v0.5 2030</t>
  </si>
  <si>
    <t xml:space="preserve">年度</t>
  </si>
  <si>
    <r>
      <rPr>
        <b val="true"/>
        <sz val="10"/>
        <rFont val="Noto Sans CJK SC"/>
        <family val="2"/>
      </rPr>
      <t xml:space="preserve">一、訂閱人數（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平均；</t>
    </r>
    <r>
      <rPr>
        <b val="true"/>
        <sz val="10"/>
        <rFont val="Arial"/>
        <family val="0"/>
        <charset val="1"/>
      </rPr>
      <t xml:space="preserve">T4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Plus→Go </t>
    </r>
    <r>
      <rPr>
        <b val="true"/>
        <sz val="10"/>
        <rFont val="Noto Sans CJK SC"/>
        <family val="2"/>
      </rPr>
      <t xml:space="preserve">遷移與 </t>
    </r>
    <r>
      <rPr>
        <b val="true"/>
        <sz val="10"/>
        <rFont val="Arial"/>
        <family val="0"/>
        <charset val="1"/>
      </rPr>
      <t xml:space="preserve">Go </t>
    </r>
    <r>
      <rPr>
        <b val="true"/>
        <sz val="10"/>
        <rFont val="Noto Sans CJK SC"/>
        <family val="2"/>
      </rPr>
      <t xml:space="preserve">額外新增）</t>
    </r>
  </si>
  <si>
    <t xml:space="preserve">D01</t>
  </si>
  <si>
    <r>
      <rPr>
        <sz val="10"/>
        <color rgb="FF000000"/>
        <rFont val="Noto Sans CJK SC"/>
        <family val="2"/>
      </rPr>
      <t xml:space="preserve">遷移率 </t>
    </r>
    <r>
      <rPr>
        <sz val="10"/>
        <color rgb="FF000000"/>
        <rFont val="Arial"/>
        <family val="0"/>
        <charset val="1"/>
      </rPr>
      <t xml:space="preserve">μ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Plus→Go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</si>
  <si>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計畫幅度（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 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Plus 2026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起各年同值（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</si>
  <si>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</si>
  <si>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額外新增倍數 </t>
    </r>
    <r>
      <rPr>
        <sz val="10"/>
        <color rgb="FF00000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</si>
  <si>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＝計畫幅度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（公司計畫 </t>
    </r>
    <r>
      <rPr>
        <sz val="9"/>
        <color rgb="FF595959"/>
        <rFont val="Arial"/>
        <family val="0"/>
        <charset val="1"/>
      </rPr>
      <t xml:space="preserve">Go −</t>
    </r>
    <r>
      <rPr>
        <sz val="9"/>
        <color rgb="FF595959"/>
        <rFont val="Noto Sans CJK SC"/>
        <family val="2"/>
      </rPr>
      <t xml:space="preserve">（無遷移 </t>
    </r>
    <r>
      <rPr>
        <sz val="9"/>
        <color rgb="FF595959"/>
        <rFont val="Arial"/>
        <family val="0"/>
        <charset val="1"/>
      </rPr>
      <t xml:space="preserve">Plus 2026 −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）− 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；計畫幅度＝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2026 Go </t>
    </r>
    <r>
      <rPr>
        <sz val="9"/>
        <color rgb="FF595959"/>
        <rFont val="Noto Sans CJK SC"/>
        <family val="2"/>
      </rPr>
      <t xml:space="preserve">恰等於公司計畫 </t>
    </r>
    <r>
      <rPr>
        <sz val="9"/>
        <color rgb="FF595959"/>
        <rFont val="Arial"/>
        <family val="0"/>
        <charset val="1"/>
      </rPr>
      <t xml:space="preserve">112M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寫法代數相同）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</si>
  <si>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</si>
  <si>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</si>
  <si>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2027+ 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WAU × </t>
    </r>
    <r>
      <rPr>
        <sz val="9"/>
        <color rgb="FF595959"/>
        <rFont val="Noto Sans CJK SC"/>
        <family val="2"/>
      </rPr>
      <t xml:space="preserve">換算係數（</t>
    </r>
    <r>
      <rPr>
        <sz val="9"/>
        <color rgb="FF595959"/>
        <rFont val="Arial"/>
        <family val="0"/>
        <charset val="1"/>
      </rPr>
      <t xml:space="preserve">Derived_V9 V01</t>
    </r>
    <r>
      <rPr>
        <sz val="9"/>
        <color rgb="FF595959"/>
        <rFont val="Noto Sans CJK SC"/>
        <family val="2"/>
      </rPr>
      <t xml:space="preserve">）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</si>
  <si>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</si>
  <si>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</si>
  <si>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Go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λ</t>
    </r>
    <r>
      <rPr>
        <sz val="9"/>
        <color rgb="FF595959"/>
        <rFont val="Noto Sans CJK SC"/>
        <family val="2"/>
      </rPr>
      <t xml:space="preserve">）＋無遷移 </t>
    </r>
    <r>
      <rPr>
        <sz val="9"/>
        <color rgb="FF595959"/>
        <rFont val="Arial"/>
        <family val="0"/>
        <charset val="1"/>
      </rPr>
      <t xml:space="preserve">Plus × μ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</si>
  <si>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</si>
  <si>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</si>
  <si>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 35M × </t>
    </r>
    <r>
      <rPr>
        <sz val="9"/>
        <color rgb="FF595959"/>
        <rFont val="Noto Sans CJK SC"/>
        <family val="2"/>
      </rPr>
      <t xml:space="preserve">換算係數）；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Plus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μ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</si>
  <si>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</si>
  <si>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</si>
  <si>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V12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付費總數（</t>
    </r>
    <r>
      <rPr>
        <sz val="9"/>
        <color rgb="FF595959"/>
        <rFont val="Arial"/>
        <family val="0"/>
        <charset val="1"/>
      </rPr>
      <t xml:space="preserve">Derived_V9 V03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V10–V13</t>
    </r>
    <r>
      <rPr>
        <sz val="9"/>
        <color rgb="FF595959"/>
        <rFont val="Noto Sans CJK SC"/>
        <family val="2"/>
      </rPr>
      <t xml:space="preserve">；付費總數口徑＝無遷移基準，沿用 </t>
    </r>
    <r>
      <rPr>
        <sz val="9"/>
        <color rgb="FF595959"/>
        <rFont val="Arial"/>
        <family val="0"/>
        <charset val="1"/>
      </rPr>
      <t xml:space="preserve">P1 </t>
    </r>
    <r>
      <rPr>
        <sz val="9"/>
        <color rgb="FF595959"/>
        <rFont val="Noto Sans CJK SC"/>
        <family val="2"/>
      </rPr>
      <t xml:space="preserve">已審公式）</t>
    </r>
  </si>
  <si>
    <t xml:space="preserve">D07</t>
  </si>
  <si>
    <t xml:space="preserve">企業席位人數</t>
  </si>
  <si>
    <t xml:space="preserve">D08</t>
  </si>
  <si>
    <r>
      <rPr>
        <sz val="10"/>
        <color rgb="FF000000"/>
        <rFont val="Noto Sans CJK SC"/>
        <family val="2"/>
      </rPr>
      <t xml:space="preserve">付費人數合計（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</si>
  <si>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D09</t>
  </si>
  <si>
    <r>
      <rPr>
        <sz val="10"/>
        <color rgb="FF000000"/>
        <rFont val="Noto Sans CJK SC"/>
        <family val="2"/>
      </rPr>
      <t xml:space="preserve">消費端付費人數（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</si>
  <si>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二、訂閱使用量：每日任務數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起年增）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</si>
  <si>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</si>
  <si>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每日任務數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</si>
  <si>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＋每日任務數年增率）</t>
    </r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</si>
  <si>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每日任務數</t>
    </r>
  </si>
  <si>
    <t xml:space="preserve">D12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</si>
  <si>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每日任務數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</si>
  <si>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</si>
  <si>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每日任務數</t>
    </r>
  </si>
  <si>
    <t xml:space="preserve">D14</t>
  </si>
  <si>
    <t xml:space="preserve">企業席位 每日任務數</t>
  </si>
  <si>
    <t xml:space="preserve">D15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</si>
  <si>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</si>
  <si>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</si>
  <si>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年增率；</t>
    </r>
    <r>
      <rPr>
        <sz val="9"/>
        <color rgb="FF595959"/>
        <rFont val="Arial"/>
        <family val="0"/>
        <charset val="1"/>
      </rPr>
      <t xml:space="preserve">D11 </t>
    </r>
    <r>
      <rPr>
        <sz val="9"/>
        <color rgb="FF595959"/>
        <rFont val="Noto Sans CJK SC"/>
        <family val="2"/>
      </rPr>
      <t xml:space="preserve">情境軸）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</si>
  <si>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</si>
  <si>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</si>
  <si>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</si>
  <si>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</si>
  <si>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</si>
  <si>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</si>
  <si>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D19</t>
  </si>
  <si>
    <r>
      <rPr>
        <sz val="10"/>
        <color rgb="FF000000"/>
        <rFont val="Noto Sans CJK SC"/>
        <family val="2"/>
      </rPr>
      <t xml:space="preserve">企業席位 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</si>
  <si>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D20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</si>
  <si>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</si>
  <si>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B→T</t>
    </r>
    <r>
      <rPr>
        <sz val="9"/>
        <color rgb="FF595959"/>
        <rFont val="Noto Sans CJK SC"/>
        <family val="2"/>
      </rPr>
      <t xml:space="preserve">）</t>
    </r>
  </si>
  <si>
    <t xml:space="preserve">D21</t>
  </si>
  <si>
    <t xml:space="preserve">Go token</t>
  </si>
  <si>
    <t xml:space="preserve">D22</t>
  </si>
  <si>
    <t xml:space="preserve">Plus token</t>
  </si>
  <si>
    <t xml:space="preserve">D23</t>
  </si>
  <si>
    <t xml:space="preserve">Pro token</t>
  </si>
  <si>
    <t xml:space="preserve">D24</t>
  </si>
  <si>
    <r>
      <rPr>
        <sz val="10"/>
        <color rgb="FF000000"/>
        <rFont val="Noto Sans CJK SC"/>
        <family val="2"/>
      </rPr>
      <t xml:space="preserve">企業席位 </t>
    </r>
    <r>
      <rPr>
        <sz val="10"/>
        <color rgb="FF000000"/>
        <rFont val="Arial"/>
        <family val="0"/>
        <charset val="1"/>
      </rPr>
      <t xml:space="preserve">token</t>
    </r>
  </si>
  <si>
    <t xml:space="preserve">D25</t>
  </si>
  <si>
    <r>
      <rPr>
        <sz val="10"/>
        <color rgb="FF000000"/>
        <rFont val="Noto Sans CJK SC"/>
        <family val="2"/>
      </rPr>
      <t xml:space="preserve">訂閱＋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</si>
  <si>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workbook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未校正）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</si>
  <si>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起價格反應）</t>
    </r>
  </si>
  <si>
    <t xml:space="preserve">D26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</si>
  <si>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</si>
  <si>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前一年；價格反應只在年度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^(ε×(</t>
    </r>
    <r>
      <rPr>
        <sz val="9"/>
        <color rgb="FF595959"/>
        <rFont val="Noto Sans CJK SC"/>
        <family val="2"/>
      </rPr>
      <t xml:space="preserve">年度≥起算年</t>
    </r>
    <r>
      <rPr>
        <sz val="9"/>
        <color rgb="FF595959"/>
        <rFont val="Arial"/>
        <family val="0"/>
        <charset val="1"/>
      </rPr>
      <t xml:space="preserve">))</t>
    </r>
  </si>
  <si>
    <t xml:space="preserve">D27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</si>
  <si>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</si>
  <si>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</t>
    </r>
  </si>
  <si>
    <t xml:space="preserve">D28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</si>
  <si>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</si>
  <si>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</si>
  <si>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</si>
  <si>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</si>
  <si>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</si>
  <si>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 − 訂閱 − 廣告 − 其他）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校準，唯一倒推）；之後＝任務數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</si>
  <si>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D30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</si>
  <si>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</si>
  <si>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層級占比（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</si>
  <si>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D31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</si>
  <si>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</si>
  <si>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D32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</si>
  <si>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</si>
  <si>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</si>
  <si>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D33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</si>
  <si>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</si>
  <si>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astra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</si>
  <si>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D34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</si>
  <si>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</si>
  <si>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sol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</si>
  <si>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</si>
  <si>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</si>
  <si>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luna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</si>
  <si>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</si>
  <si>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</si>
  <si>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方案模型組合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</si>
  <si>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</si>
  <si>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</si>
  <si>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D38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</si>
  <si>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</si>
  <si>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D39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</si>
  <si>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</si>
  <si>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</si>
  <si>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</si>
  <si>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D41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</si>
  <si>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</si>
  <si>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D42</t>
  </si>
  <si>
    <r>
      <rPr>
        <sz val="10"/>
        <color rgb="FF000000"/>
        <rFont val="Noto Sans CJK SC"/>
        <family val="2"/>
      </rPr>
      <t xml:space="preserve">對照：訂閱＋免費＋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（應＝合計）</t>
    </r>
  </si>
  <si>
    <r>
      <rPr>
        <sz val="9"/>
        <color rgb="FF595959"/>
        <rFont val="Noto Sans CJK SC"/>
        <family val="2"/>
      </rPr>
      <t xml:space="preserve">層級拆分前的總量；與上一列之差應為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</si>
  <si>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對照（只列差距，不校準）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</si>
  <si>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</si>
  <si>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</si>
  <si>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快照；口徑：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；付費＋免費 </t>
    </r>
    <r>
      <rPr>
        <sz val="9"/>
        <color rgb="FF595959"/>
        <rFont val="Arial"/>
        <family val="0"/>
        <charset val="1"/>
      </rPr>
      <t xml:space="preserve">token</t>
    </r>
  </si>
  <si>
    <t xml:space="preserve">D44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</si>
  <si>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</si>
  <si>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T 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</t>
    </r>
  </si>
  <si>
    <t xml:space="preserve">D45</t>
  </si>
  <si>
    <r>
      <rPr>
        <sz val="10"/>
        <color rgb="FF000000"/>
        <rFont val="Noto Sans CJK SC"/>
        <family val="2"/>
      </rPr>
      <t xml:space="preserve">差距：本模型 − </t>
    </r>
    <r>
      <rPr>
        <sz val="10"/>
        <color rgb="FF000000"/>
        <rFont val="Arial"/>
        <family val="0"/>
        <charset val="1"/>
      </rPr>
      <t xml:space="preserve">Tokenomics</t>
    </r>
  </si>
  <si>
    <t xml:space="preserve">D46</t>
  </si>
  <si>
    <r>
      <rPr>
        <sz val="10"/>
        <color rgb="FF000000"/>
        <rFont val="Noto Sans CJK SC"/>
        <family val="2"/>
      </rPr>
      <t xml:space="preserve">比值：本模型 </t>
    </r>
    <r>
      <rPr>
        <sz val="10"/>
        <color rgb="FF000000"/>
        <rFont val="Arial"/>
        <family val="0"/>
        <charset val="1"/>
      </rPr>
      <t xml:space="preserve">÷ Tokenomics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</si>
  <si>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</si>
  <si>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（揭露推估，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</si>
  <si>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每分鐘 </t>
    </r>
    <r>
      <rPr>
        <sz val="9"/>
        <color rgb="FF595959"/>
        <rFont val="Arial"/>
        <family val="0"/>
        <charset val="1"/>
      </rPr>
      <t xml:space="preserve">5B × 525,600 ÷ 1000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</si>
  <si>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</si>
  <si>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計費比例＝計費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</si>
  <si>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檢查項；計費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為營收倒推值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</si>
  <si>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單價路徑、訂閱、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、廣告、其他、總額、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Noto Sans CJK SC"/>
        <family val="2"/>
      </rPr>
      <t xml:space="preserve">分成、淨額（估值與命題用淨額）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</si>
  <si>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」「訂閱與廣告」「營收彙總」頁。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單價：</t>
    </r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由價格事件按天數加權（</t>
    </r>
    <r>
      <rPr>
        <sz val="9"/>
        <color rgb="FF595959"/>
        <rFont val="Arial"/>
        <family val="0"/>
        <charset val="1"/>
      </rPr>
      <t xml:space="preserve">E8c</t>
    </r>
    <r>
      <rPr>
        <sz val="9"/>
        <color rgb="FF595959"/>
        <rFont val="Noto Sans CJK SC"/>
        <family val="2"/>
      </rPr>
      <t xml:space="preserve">，事件時點見本頁下方）；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＋牌價年變動率）。訂閱營收＝人數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實收 </t>
    </r>
    <r>
      <rPr>
        <sz val="9"/>
        <color rgb="FF595959"/>
        <rFont val="Arial"/>
        <family val="0"/>
        <charset val="1"/>
      </rPr>
      <t xml:space="preserve">ARPU × 12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</si>
  <si>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營收單位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；單價 </t>
    </r>
    <r>
      <rPr>
        <sz val="9"/>
        <color rgb="FF595959"/>
        <rFont val="Arial"/>
        <family val="0"/>
        <charset val="1"/>
      </rPr>
      <t xml:space="preserve">$/M tokens</t>
    </r>
    <r>
      <rPr>
        <sz val="9"/>
        <color rgb="FF595959"/>
        <rFont val="Noto Sans CJK SC"/>
        <family val="2"/>
      </rPr>
      <t xml:space="preserve">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加入，本頁營收未截頂。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）只作對照。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</si>
  <si>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平均，</t>
    </r>
    <r>
      <rPr>
        <b val="true"/>
        <sz val="10"/>
        <rFont val="Arial"/>
        <family val="0"/>
        <charset val="1"/>
      </rPr>
      <t xml:space="preserve">$/M tokens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N3a </t>
    </r>
    <r>
      <rPr>
        <b val="true"/>
        <sz val="10"/>
        <rFont val="Noto Sans CJK SC"/>
        <family val="2"/>
      </rPr>
      <t xml:space="preserve">層級角色口徑）</t>
    </r>
  </si>
  <si>
    <t xml:space="preserve">R01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</si>
  <si>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</si>
  <si>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＝事件時點天數加權（下方第六節）；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</si>
  <si>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</si>
  <si>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輸出牌價</t>
    </r>
  </si>
  <si>
    <t xml:space="preserve">R03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</si>
  <si>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輸入牌價</t>
    </r>
  </si>
  <si>
    <t xml:space="preserve">R04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</si>
  <si>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輸出牌價</t>
    </r>
  </si>
  <si>
    <t xml:space="preserve">R05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</si>
  <si>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輸入牌價</t>
    </r>
  </si>
  <si>
    <t xml:space="preserve">R06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</si>
  <si>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</si>
  <si>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二、有效單價（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；含快取、輸出占比；折扣於組合列扣除）</t>
    </r>
  </si>
  <si>
    <t xml:space="preserve">R07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</si>
  <si>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</si>
  <si>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（快取命中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快取價比 ＋（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快取命中））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</si>
  <si>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</si>
  <si>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</si>
  <si>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R09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</si>
  <si>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</si>
  <si>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</si>
  <si>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組合：頂層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</si>
  <si>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</si>
  <si>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</si>
  <si>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組合：中層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</si>
  <si>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</si>
  <si>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組合：低層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</si>
  <si>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頂層 − 中層（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：不另輸入）</t>
    </r>
  </si>
  <si>
    <t xml:space="preserve">R13</t>
  </si>
  <si>
    <t xml:space="preserve">組合有效單價（扣折扣）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</si>
  <si>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加權折扣）</t>
    </r>
  </si>
  <si>
    <r>
      <rPr>
        <b val="true"/>
        <sz val="10"/>
        <rFont val="Noto Sans CJK SC"/>
        <family val="2"/>
      </rPr>
      <t xml:space="preserve">三、訂閱營收（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 </t>
    </r>
    <r>
      <rPr>
        <b val="true"/>
        <sz val="10"/>
        <rFont val="Arial"/>
        <family val="0"/>
        <charset val="1"/>
      </rPr>
      <t xml:space="preserve">ARPU × 12 ÷ 1000</t>
    </r>
    <r>
      <rPr>
        <b val="true"/>
        <sz val="10"/>
        <rFont val="Noto Sans CJK SC"/>
        <family val="2"/>
      </rPr>
      <t xml:space="preserve">）</t>
    </r>
  </si>
  <si>
    <t xml:space="preserve">R14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</si>
  <si>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訂閱營收</t>
    </r>
  </si>
  <si>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pro 2025 </t>
    </r>
    <r>
      <rPr>
        <sz val="9"/>
        <color rgb="FF595959"/>
        <rFont val="Noto Sans CJK SC"/>
        <family val="2"/>
      </rPr>
      <t xml:space="preserve">一欄、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以最後一值延伸）；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seats </t>
    </r>
    <r>
      <rPr>
        <sz val="9"/>
        <color rgb="FF595959"/>
        <rFont val="Noto Sans CJK SC"/>
        <family val="2"/>
      </rPr>
      <t xml:space="preserve">全期一欄</t>
    </r>
  </si>
  <si>
    <t xml:space="preserve">R15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</si>
  <si>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訂閱營收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</si>
  <si>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</si>
  <si>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</si>
  <si>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R17</t>
  </si>
  <si>
    <t xml:space="preserve">企業席位 訂閱營收</t>
  </si>
  <si>
    <t xml:space="preserve">R18</t>
  </si>
  <si>
    <t xml:space="preserve">訂閱合計</t>
  </si>
  <si>
    <r>
      <rPr>
        <b val="true"/>
        <sz val="10"/>
        <rFont val="Noto Sans CJK SC"/>
        <family val="2"/>
      </rPr>
      <t xml:space="preserve">四、廣告與其他（廣告為獨立、慢成長的一列，不進核心分析，</t>
    </r>
    <r>
      <rPr>
        <b val="true"/>
        <sz val="10"/>
        <rFont val="Arial"/>
        <family val="0"/>
        <charset val="1"/>
      </rPr>
      <t xml:space="preserve">N1b</t>
    </r>
    <r>
      <rPr>
        <b val="true"/>
        <sz val="10"/>
        <rFont val="Noto Sans CJK SC"/>
        <family val="2"/>
      </rPr>
      <t xml:space="preserve">）</t>
    </r>
  </si>
  <si>
    <t xml:space="preserve">R19</t>
  </si>
  <si>
    <r>
      <rPr>
        <sz val="10"/>
        <color rgb="FF000000"/>
        <rFont val="Noto Sans CJK SC"/>
        <family val="2"/>
      </rPr>
      <t xml:space="preserve">廣告曝光用戶（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</si>
  <si>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曝光占比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2027→2030 </t>
    </r>
    <r>
      <rPr>
        <sz val="9"/>
        <color rgb="FF595959"/>
        <rFont val="Noto Sans CJK SC"/>
        <family val="2"/>
      </rPr>
      <t xml:space="preserve">不宜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倍）</t>
    </r>
  </si>
  <si>
    <t xml:space="preserve">R20</t>
  </si>
  <si>
    <t xml:space="preserve">廣告營收</t>
  </si>
  <si>
    <r>
      <rPr>
        <sz val="9"/>
        <color rgb="FF595959"/>
        <rFont val="Noto Sans CJK SC"/>
        <family val="2"/>
      </rPr>
      <t xml:space="preserve">每曝光用戶年收入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；上限參照 </t>
    </r>
    <r>
      <rPr>
        <sz val="9"/>
        <color rgb="FF595959"/>
        <rFont val="Arial"/>
        <family val="0"/>
        <charset val="1"/>
      </rPr>
      <t xml:space="preserve">Meta ARPP</t>
    </r>
    <r>
      <rPr>
        <sz val="9"/>
        <color rgb="FF595959"/>
        <rFont val="Noto Sans CJK SC"/>
        <family val="2"/>
      </rPr>
      <t xml:space="preserve">）</t>
    </r>
  </si>
  <si>
    <t xml:space="preserve">R21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</si>
  <si>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residual</t>
    </r>
    <r>
      <rPr>
        <sz val="9"/>
        <color rgb="FF595959"/>
        <rFont val="Noto Sans CJK SC"/>
        <family val="2"/>
      </rPr>
      <t xml:space="preserve">，維持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</si>
  <si>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營收、總額、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分成與淨額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</si>
  <si>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</si>
  <si>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營收＝實際營收 − 訂閱 − 廣告 − 其他</t>
    </r>
  </si>
  <si>
    <r>
      <rPr>
        <sz val="9"/>
        <color rgb="FF595959"/>
        <rFont val="Arial"/>
        <family val="0"/>
        <charset val="1"/>
      </rPr>
      <t xml:space="preserve">v0.5 calibration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為唯一倒推項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</si>
  <si>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</si>
  <si>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</si>
  <si>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1000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</si>
  <si>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</si>
  <si>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</si>
  <si>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</si>
  <si>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</si>
  <si>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R26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</si>
  <si>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</si>
  <si>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R27</t>
  </si>
  <si>
    <r>
      <rPr>
        <sz val="10"/>
        <color rgb="FF000000"/>
        <rFont val="Noto Sans CJK SC"/>
        <family val="2"/>
      </rPr>
      <t xml:space="preserve">總額（訂閱＋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＋廣告＋其他）</t>
    </r>
  </si>
  <si>
    <r>
      <rPr>
        <sz val="9"/>
        <color rgb="FF595959"/>
        <rFont val="Noto Sans CJK SC"/>
        <family val="2"/>
      </rPr>
      <t xml:space="preserve">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</t>
    </r>
  </si>
  <si>
    <t xml:space="preserve">R28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</si>
  <si>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</si>
  <si>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起算年前：比率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總額；起算年至付款終年：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總額，上限 − 前一年累計）；之後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；以邏輯值相乘表示各期間）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</si>
  <si>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</si>
  <si>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</si>
  <si>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r>
      <rPr>
        <sz val="9"/>
        <color rgb="FF595959"/>
        <rFont val="Noto Sans CJK SC"/>
        <family val="2"/>
      </rPr>
      <t xml:space="preserve">上限累計自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起算年（</t>
    </r>
    <r>
      <rPr>
        <sz val="9"/>
        <color rgb="FF595959"/>
        <rFont val="Arial"/>
        <family val="0"/>
        <charset val="1"/>
      </rPr>
      <t xml:space="preserve">N2a</t>
    </r>
    <r>
      <rPr>
        <sz val="9"/>
        <color rgb="FF595959"/>
        <rFont val="Noto Sans CJK SC"/>
        <family val="2"/>
      </rPr>
      <t xml:space="preserve">）</t>
    </r>
  </si>
  <si>
    <t xml:space="preserve">R30</t>
  </si>
  <si>
    <r>
      <rPr>
        <sz val="10"/>
        <color rgb="FF000000"/>
        <rFont val="Noto Sans CJK SC"/>
        <family val="2"/>
      </rPr>
      <t xml:space="preserve">淨額（總額 −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</si>
  <si>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估值與命題用淨額</t>
  </si>
  <si>
    <t xml:space="preserve">R31</t>
  </si>
  <si>
    <r>
      <rPr>
        <sz val="10"/>
        <color rgb="FF000000"/>
        <rFont val="Noto Sans CJK SC"/>
        <family val="2"/>
      </rPr>
      <t xml:space="preserve">消費端（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＋廣告）</t>
    </r>
  </si>
  <si>
    <t xml:space="preserve">R32</t>
  </si>
  <si>
    <r>
      <rPr>
        <sz val="10"/>
        <color rgb="FF000000"/>
        <rFont val="Noto Sans CJK SC"/>
        <family val="2"/>
      </rPr>
      <t xml:space="preserve">企業端（席位＋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</si>
  <si>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R33</t>
  </si>
  <si>
    <t xml:space="preserve">企業端占（消費端＋企業端）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</si>
  <si>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CFO 2026 </t>
    </r>
    <r>
      <rPr>
        <sz val="9"/>
        <color rgb="FF595959"/>
        <rFont val="Noto Sans CJK SC"/>
        <family val="2"/>
      </rPr>
      <t xml:space="preserve">年初消費／企業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SRC_OAI_007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</si>
  <si>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</si>
  <si>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Noto Sans CJK SC"/>
        <family val="2"/>
      </rPr>
      <t xml:space="preserve">檢查：消費端＋企業端＋其他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</si>
  <si>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R35</t>
  </si>
  <si>
    <t xml:space="preserve">總額年增率</t>
  </si>
  <si>
    <t xml:space="preserve">R36</t>
  </si>
  <si>
    <t xml:space="preserve">廣告占總額</t>
  </si>
  <si>
    <t xml:space="preserve">六、對照與差距（只列差距，不校準）</t>
  </si>
  <si>
    <t xml:space="preserve">R37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</si>
  <si>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校準方式，應為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</si>
  <si>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為倒推項，總額恆等於 </t>
    </r>
    <r>
      <rPr>
        <sz val="9"/>
        <color rgb="FF595959"/>
        <rFont val="Arial"/>
        <family val="0"/>
        <charset val="1"/>
      </rPr>
      <t xml:space="preserve">SRC 13.07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</si>
  <si>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</si>
  <si>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未校準總額：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改以處理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</si>
  <si>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2,628T</t>
    </r>
    <r>
      <rPr>
        <sz val="9"/>
        <color rgb="FF595959"/>
        <rFont val="Noto Sans CJK SC"/>
        <family val="2"/>
      </rPr>
      <t xml:space="preserve">）；顯示自下而上口徑與實際的差距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</si>
  <si>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</si>
  <si>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</si>
  <si>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</si>
  <si>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未校準差距（占實際）</t>
    </r>
  </si>
  <si>
    <t xml:space="preserve">R41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</si>
  <si>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2026-08 ARR 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</si>
  <si>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v0.5 fy2026Independent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32.9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31–36</t>
    </r>
    <r>
      <rPr>
        <sz val="9"/>
        <color rgb="FF595959"/>
        <rFont val="Noto Sans CJK SC"/>
        <family val="2"/>
      </rPr>
      <t xml:space="preserve">）的下半年外推細節未記錄，本列為最簡口徑</t>
    </r>
  </si>
  <si>
    <t xml:space="preserve">R42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</si>
  <si>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獨立推估</t>
    </r>
  </si>
  <si>
    <t xml:space="preserve">R43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</si>
  <si>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下半年隱含（模型全年 − 上半年實際）</t>
    </r>
  </si>
  <si>
    <t xml:space="preserve">R44</t>
  </si>
  <si>
    <r>
      <rPr>
        <sz val="10"/>
        <color rgb="FF000000"/>
        <rFont val="Noto Sans CJK SC"/>
        <family val="2"/>
      </rPr>
      <t xml:space="preserve">對照：管理層營收目標（只對照，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</si>
  <si>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月投資人簡報（</t>
    </r>
    <r>
      <rPr>
        <sz val="9"/>
        <color rgb="FF595959"/>
        <rFont val="Arial"/>
        <family val="0"/>
        <charset val="1"/>
      </rPr>
      <t xml:space="preserve">SRC_OAI_043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044</t>
    </r>
    <r>
      <rPr>
        <sz val="9"/>
        <color rgb="FF595959"/>
        <rFont val="Noto Sans CJK SC"/>
        <family val="2"/>
      </rPr>
      <t xml:space="preserve">）；不驅動任何計算</t>
    </r>
  </si>
  <si>
    <t xml:space="preserve">R45</t>
  </si>
  <si>
    <t xml:space="preserve">模型總額 − 管理層目標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</si>
  <si>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2026 API </t>
    </r>
    <r>
      <rPr>
        <b val="true"/>
        <sz val="10"/>
        <rFont val="Noto Sans CJK SC"/>
        <family val="2"/>
      </rPr>
      <t xml:space="preserve">牌價：價格事件時點天數加權（</t>
    </r>
    <r>
      <rPr>
        <b val="true"/>
        <sz val="10"/>
        <rFont val="Arial"/>
        <family val="0"/>
        <charset val="1"/>
      </rPr>
      <t xml:space="preserve">E8c</t>
    </r>
    <r>
      <rPr>
        <b val="true"/>
        <sz val="10"/>
        <rFont val="Noto Sans CJK SC"/>
        <family val="2"/>
      </rPr>
      <t xml:space="preserve">；事件時點基準＝</t>
    </r>
    <r>
      <rPr>
        <b val="true"/>
        <sz val="10"/>
        <rFont val="Arial"/>
        <family val="0"/>
        <charset val="1"/>
      </rPr>
      <t xml:space="preserve">SRC_OAI </t>
    </r>
    <r>
      <rPr>
        <b val="true"/>
        <sz val="10"/>
        <rFont val="Noto Sans CJK SC"/>
        <family val="2"/>
      </rPr>
      <t xml:space="preserve">公告日，區間＝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偏移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Noto Sans CJK SC"/>
        <family val="2"/>
      </rPr>
      <t xml:space="preserve">季）</t>
    </r>
  </si>
  <si>
    <t xml:space="preserve">全部提前（偏移取低）</t>
  </si>
  <si>
    <t xml:space="preserve">全部延後（偏移取高）</t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</si>
  <si>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</si>
  <si>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</si>
  <si>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v0.5 2026</t>
    </r>
    <r>
      <rPr>
        <b val="true"/>
        <sz val="10"/>
        <rFont val="Noto Sans CJK SC"/>
        <family val="2"/>
      </rPr>
      <t xml:space="preserve">（對照）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</si>
  <si>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</si>
  <si>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高</t>
    </r>
  </si>
  <si>
    <t xml:space="preserve">E2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</si>
  <si>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</si>
  <si>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r>
      <rPr>
        <sz val="9"/>
        <color rgb="FF595959"/>
        <rFont val="Noto Sans CJK SC"/>
        <family val="2"/>
      </rPr>
      <t xml:space="preserve">＝（年底次日 − 生效日）</t>
    </r>
    <r>
      <rPr>
        <sz val="9"/>
        <color rgb="FF595959"/>
        <rFont val="Arial"/>
        <family val="0"/>
        <charset val="1"/>
      </rPr>
      <t xml:space="preserve">÷ 365</t>
    </r>
    <r>
      <rPr>
        <sz val="9"/>
        <color rgb="FF595959"/>
        <rFont val="Noto Sans CJK SC"/>
        <family val="2"/>
      </rPr>
      <t xml:space="preserve">；生效日＝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公告日＋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偏移，限於 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內</t>
    </r>
  </si>
  <si>
    <t xml:space="preserve">E3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</si>
  <si>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</si>
  <si>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E4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</si>
  <si>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</si>
  <si>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E5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</si>
  <si>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</si>
  <si>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PTI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</si>
  <si>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</si>
  <si>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Sol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</si>
  <si>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PTO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</si>
  <si>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</t>
    </r>
  </si>
  <si>
    <t xml:space="preserve">PMI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</si>
  <si>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</si>
  <si>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Terra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</si>
  <si>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PMO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</si>
  <si>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</t>
    </r>
  </si>
  <si>
    <t xml:space="preserve">PLI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</si>
  <si>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</si>
  <si>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</si>
  <si>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PLO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</si>
  <si>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</t>
    </r>
  </si>
  <si>
    <r>
      <rPr>
        <b val="true"/>
        <sz val="10"/>
        <rFont val="Noto Sans CJK SC"/>
        <family val="2"/>
      </rPr>
      <t xml:space="preserve">八、容量上限（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P3</t>
    </r>
    <r>
      <rPr>
        <b val="true"/>
        <sz val="10"/>
        <rFont val="Noto Sans CJK SC"/>
        <family val="2"/>
      </rPr>
      <t xml:space="preserve">）：截頂後營收＝未截頂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容量上限係數（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營收彙總第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列）；未截頂值（</t>
    </r>
    <r>
      <rPr>
        <b val="true"/>
        <sz val="10"/>
        <rFont val="Arial"/>
        <family val="0"/>
        <charset val="1"/>
      </rPr>
      <t xml:space="preserve">R27–R30</t>
    </r>
    <r>
      <rPr>
        <b val="true"/>
        <sz val="10"/>
        <rFont val="Noto Sans CJK SC"/>
        <family val="2"/>
      </rPr>
      <t xml:space="preserve">）保留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</si>
  <si>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</si>
  <si>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</si>
  <si>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＝未受限</t>
    </r>
  </si>
  <si>
    <t xml:space="preserve">R47</t>
  </si>
  <si>
    <t xml:space="preserve">截頂後總額</t>
  </si>
  <si>
    <r>
      <rPr>
        <sz val="9"/>
        <color rgb="FF595959"/>
        <rFont val="Noto Sans CJK SC"/>
        <family val="2"/>
      </rPr>
      <t xml:space="preserve">各營收線同比例截頂（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</si>
  <si>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</si>
  <si>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</si>
  <si>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R28 </t>
    </r>
    <r>
      <rPr>
        <sz val="9"/>
        <color rgb="FF595959"/>
        <rFont val="Noto Sans CJK SC"/>
        <family val="2"/>
      </rPr>
      <t xml:space="preserve">公式，以截頂後總額與截頂後累計計算</t>
    </r>
  </si>
  <si>
    <t xml:space="preserve">R49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</si>
  <si>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</si>
  <si>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t xml:space="preserve">R50</t>
  </si>
  <si>
    <t xml:space="preserve">截頂後淨額</t>
  </si>
  <si>
    <t xml:space="preserve">估值與命題用（容量受限時）</t>
  </si>
  <si>
    <t xml:space="preserve">R51</t>
  </si>
  <si>
    <t xml:space="preserve">截頂減少的總額（未截頂 − 截頂後）</t>
  </si>
  <si>
    <t xml:space="preserve">R52</t>
  </si>
  <si>
    <r>
      <rPr>
        <sz val="10"/>
        <color rgb="FF000000"/>
        <rFont val="Noto Sans CJK SC"/>
        <family val="2"/>
      </rPr>
      <t xml:space="preserve">容量截頂旗標（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</si>
  <si>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</si>
  <si>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＝需求超過可用 </t>
    </r>
    <r>
      <rPr>
        <sz val="9"/>
        <color rgb="FF595959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</si>
  <si>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算力需求與供給：世代組合、每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（逐合約）、容量上限、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</si>
  <si>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節：推論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年產能），付費／免費分開（</t>
    </r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世代組合時變（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拆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；自研＝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係數）；</t>
    </r>
    <r>
      <rPr>
        <sz val="9"/>
        <color rgb="FF595959"/>
        <rFont val="Arial"/>
        <family val="0"/>
        <charset val="1"/>
      </rPr>
      <t xml:space="preserve">V2 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；供給依合約（</t>
    </r>
    <r>
      <rPr>
        <sz val="9"/>
        <color rgb="FF595959"/>
        <rFont val="Arial"/>
        <family val="0"/>
        <charset val="1"/>
      </rPr>
      <t xml:space="preserve">v0.5 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）；營收以可用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</si>
  <si>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；外部揭露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口徑未明者視同）。產能取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），不重算物理量。第一節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</si>
  <si>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欄＝世代：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／自研／其他；非年度）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</si>
  <si>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</si>
  <si>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世代名稱（對應 </t>
    </r>
    <r>
      <rPr>
        <sz val="10"/>
        <color rgb="FF000000"/>
        <rFont val="Arial"/>
        <family val="0"/>
        <charset val="1"/>
      </rPr>
      <t xml:space="preserve">TK_HdrGen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</si>
  <si>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自研係數）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</si>
  <si>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快照表頭的世代名稱（文字鍵）；</t>
    </r>
    <r>
      <rPr>
        <sz val="9"/>
        <color rgb="FF595959"/>
        <rFont val="Arial"/>
        <family val="0"/>
        <charset val="1"/>
      </rPr>
      <t xml:space="preserve">v0.5 Vera Rubin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下一代（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以後）＝</t>
    </r>
    <r>
      <rPr>
        <sz val="9"/>
        <color rgb="FF595959"/>
        <rFont val="Arial"/>
        <family val="0"/>
        <charset val="1"/>
      </rPr>
      <t xml:space="preserve">Rubin Ultra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</si>
  <si>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</si>
  <si>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</si>
  <si>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取基準成本欄（每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總產出三個成本情境同值）</t>
    </r>
  </si>
  <si>
    <t xml:space="preserve">G03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</si>
  <si>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</si>
  <si>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</si>
  <si>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</si>
  <si>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</si>
  <si>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</si>
  <si>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</si>
  <si>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</si>
  <si>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</si>
  <si>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</si>
  <si>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</t>
    </r>
  </si>
  <si>
    <r>
      <rPr>
        <sz val="9"/>
        <color rgb="FF595959"/>
        <rFont val="Noto Sans CJK SC"/>
        <family val="2"/>
      </rPr>
      <t xml:space="preserve">工作單預設：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等值以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層級產能比換算（供 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命題輸出）；自研＝係數本身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</si>
  <si>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世代組合（實體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占比；時變；</t>
    </r>
    <r>
      <rPr>
        <b val="true"/>
        <sz val="10"/>
        <rFont val="Arial"/>
        <family val="0"/>
        <charset val="1"/>
      </rPr>
      <t xml:space="preserve">Blackwell </t>
    </r>
    <r>
      <rPr>
        <b val="true"/>
        <sz val="10"/>
        <rFont val="Noto Sans CJK SC"/>
        <family val="2"/>
      </rPr>
      <t xml:space="preserve">拆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</t>
    </r>
  </si>
  <si>
    <t xml:space="preserve">G07</t>
  </si>
  <si>
    <t xml:space="preserve">Hopper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</si>
  <si>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）</t>
    </r>
  </si>
  <si>
    <t xml:space="preserve">G08</t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</si>
  <si>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</si>
  <si>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G09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</si>
  <si>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0–0.8</t>
    </r>
    <r>
      <rPr>
        <sz val="9"/>
        <color rgb="FF595959"/>
        <rFont val="Noto Sans CJK SC"/>
        <family val="2"/>
      </rPr>
      <t xml:space="preserve">）</t>
    </r>
  </si>
  <si>
    <t xml:space="preserve">G10</t>
  </si>
  <si>
    <t xml:space="preserve">GB200</t>
  </si>
  <si>
    <r>
      <rPr>
        <sz val="9"/>
        <color rgb="FF595959"/>
        <rFont val="Arial"/>
        <family val="0"/>
        <charset val="1"/>
      </rPr>
      <t xml:space="preserve">Blackwell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GB300 </t>
    </r>
    <r>
      <rPr>
        <sz val="9"/>
        <color rgb="FF595959"/>
        <rFont val="Noto Sans CJK SC"/>
        <family val="2"/>
      </rPr>
      <t xml:space="preserve">占比）</t>
    </r>
  </si>
  <si>
    <t xml:space="preserve">G11</t>
  </si>
  <si>
    <t xml:space="preserve">GB300</t>
  </si>
  <si>
    <r>
      <rPr>
        <sz val="9"/>
        <color rgb="FF595959"/>
        <rFont val="Arial"/>
        <family val="0"/>
        <charset val="1"/>
      </rPr>
      <t xml:space="preserve">Blackwell × GB300 </t>
    </r>
    <r>
      <rPr>
        <sz val="9"/>
        <color rgb="FF595959"/>
        <rFont val="Noto Sans CJK SC"/>
        <family val="2"/>
      </rPr>
      <t xml:space="preserve">占比</t>
    </r>
  </si>
  <si>
    <t xml:space="preserve">G12</t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</si>
  <si>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Vera Rubin</t>
    </r>
    <r>
      <rPr>
        <sz val="10"/>
        <color rgb="FF000000"/>
        <rFont val="Noto Sans CJK SC"/>
        <family val="2"/>
      </rPr>
      <t xml:space="preserve">）</t>
    </r>
  </si>
  <si>
    <t xml:space="preserve">G13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</si>
  <si>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下一代）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</si>
  <si>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『下一代』＝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世代）</t>
    </r>
  </si>
  <si>
    <t xml:space="preserve">G14</t>
  </si>
  <si>
    <t xml:space="preserve">自研／其他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</si>
  <si>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其餘（</t>
    </r>
    <r>
      <rPr>
        <sz val="9"/>
        <color rgb="FF595959"/>
        <rFont val="Arial"/>
        <family val="0"/>
        <charset val="1"/>
      </rPr>
      <t xml:space="preserve">v0.5 fleetMix </t>
    </r>
    <r>
      <rPr>
        <sz val="9"/>
        <color rgb="FF595959"/>
        <rFont val="Noto Sans CJK SC"/>
        <family val="2"/>
      </rPr>
      <t xml:space="preserve">註記）</t>
    </r>
  </si>
  <si>
    <t xml:space="preserve">G15</t>
  </si>
  <si>
    <r>
      <rPr>
        <sz val="10"/>
        <color rgb="FF000000"/>
        <rFont val="Noto Sans CJK SC"/>
        <family val="2"/>
      </rPr>
      <t xml:space="preserve">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</si>
  <si>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</t>
    </r>
  </si>
  <si>
    <r>
      <rPr>
        <b val="true"/>
        <sz val="10"/>
        <rFont val="Noto Sans CJK SC"/>
        <family val="2"/>
      </rPr>
      <t xml:space="preserve">三、層級組合（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</si>
  <si>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G16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</si>
  <si>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</si>
  <si>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</si>
  <si>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G17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</si>
  <si>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</si>
  <si>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</si>
  <si>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G18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</si>
  <si>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</si>
  <si>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</si>
  <si>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G19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</si>
  <si>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</si>
  <si>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</si>
  <si>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G20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</si>
  <si>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</si>
  <si>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</si>
  <si>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G21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</si>
  <si>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</si>
  <si>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</si>
  <si>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r>
      <rPr>
        <b val="true"/>
        <sz val="10"/>
        <rFont val="Noto Sans CJK SC"/>
        <family val="2"/>
      </rPr>
      <t xml:space="preserve">四、每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</t>
    </r>
    <r>
      <rPr>
        <b val="true"/>
        <sz val="10"/>
        <rFont val="Noto Sans CJK SC"/>
        <family val="2"/>
      </rPr>
      <t xml:space="preserve">：本模型組合 </t>
    </r>
    <r>
      <rPr>
        <b val="true"/>
        <sz val="10"/>
        <rFont val="Arial"/>
        <family val="0"/>
        <charset val="1"/>
      </rPr>
      <t xml:space="preserve">× TK </t>
    </r>
    <r>
      <rPr>
        <b val="true"/>
        <sz val="10"/>
        <rFont val="Noto Sans CJK SC"/>
        <family val="2"/>
      </rPr>
      <t xml:space="preserve">世代產能；式同 </t>
    </r>
    <r>
      <rPr>
        <b val="true"/>
        <sz val="10"/>
        <rFont val="Arial"/>
        <family val="0"/>
        <charset val="1"/>
      </rPr>
      <t xml:space="preserve">Tokenomics Alloc</t>
    </r>
    <r>
      <rPr>
        <b val="true"/>
        <sz val="10"/>
        <rFont val="Noto Sans CJK SC"/>
        <family val="2"/>
      </rPr>
      <t xml:space="preserve">）</t>
    </r>
  </si>
  <si>
    <t xml:space="preserve">G22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</si>
  <si>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</si>
  <si>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該世代該層級每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</t>
    </r>
  </si>
  <si>
    <t xml:space="preserve">G23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</si>
  <si>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</si>
  <si>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G24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</si>
  <si>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</si>
  <si>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G25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</si>
  <si>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</si>
  <si>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G26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</si>
  <si>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</si>
  <si>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G27</t>
  </si>
  <si>
    <t xml:space="preserve">付費：自研／其他</t>
  </si>
  <si>
    <t xml:space="preserve">G28</t>
  </si>
  <si>
    <r>
      <rPr>
        <sz val="10"/>
        <color rgb="FF000000"/>
        <rFont val="Noto Sans CJK SC"/>
        <family val="2"/>
      </rPr>
      <t xml:space="preserve">付費：世代組合後每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</si>
  <si>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各世代產能（</t>
    </r>
    <r>
      <rPr>
        <sz val="9"/>
        <color rgb="FF595959"/>
        <rFont val="Arial"/>
        <family val="0"/>
        <charset val="1"/>
      </rPr>
      <t xml:space="preserve">r6 P3-1</t>
    </r>
    <r>
      <rPr>
        <sz val="9"/>
        <color rgb="FF595959"/>
        <rFont val="Noto Sans CJK SC"/>
        <family val="2"/>
      </rPr>
      <t xml:space="preserve">）</t>
    </r>
  </si>
  <si>
    <t xml:space="preserve">G29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</si>
  <si>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</si>
  <si>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G30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</si>
  <si>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</si>
  <si>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G31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</si>
  <si>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</si>
  <si>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G32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</si>
  <si>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</si>
  <si>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G33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</si>
  <si>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</si>
  <si>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G34</t>
  </si>
  <si>
    <t xml:space="preserve">免費：自研／其他</t>
  </si>
  <si>
    <t xml:space="preserve">G35</t>
  </si>
  <si>
    <r>
      <rPr>
        <sz val="10"/>
        <color rgb="FF000000"/>
        <rFont val="Noto Sans CJK SC"/>
        <family val="2"/>
      </rPr>
      <t xml:space="preserve">免費：世代組合後每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</si>
  <si>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五、推論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r6 P3-1</t>
    </r>
    <r>
      <rPr>
        <b val="true"/>
        <sz val="10"/>
        <rFont val="Noto Sans CJK SC"/>
        <family val="2"/>
      </rPr>
      <t xml:space="preserve">；付費、免費分開）</t>
    </r>
  </si>
  <si>
    <t xml:space="preserve">G36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</si>
  <si>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</si>
  <si>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）</t>
    </r>
  </si>
  <si>
    <t xml:space="preserve">G37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</si>
  <si>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</si>
  <si>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</si>
  <si>
    <t xml:space="preserve">G38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</si>
  <si>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</si>
  <si>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G39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</si>
  <si>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</si>
  <si>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G40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</si>
  <si>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</si>
  <si>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V2 </t>
    </r>
    <r>
      <rPr>
        <b val="true"/>
        <sz val="10"/>
        <rFont val="Noto Sans CJK SC"/>
        <family val="2"/>
      </rPr>
      <t xml:space="preserve">有效產出係數 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計算鏈；之後各年依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路徑開關）與有效推論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</si>
  <si>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G41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</si>
  <si>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</si>
  <si>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；付費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Noto Sans CJK SC"/>
        <family val="2"/>
      </rPr>
      <t xml:space="preserve">＋非付費 </t>
    </r>
    <r>
      <rPr>
        <sz val="9"/>
        <color rgb="FF595959"/>
        <rFont val="Arial"/>
        <family val="0"/>
        <charset val="1"/>
      </rPr>
      <t xml:space="preserve">3.9</t>
    </r>
    <r>
      <rPr>
        <sz val="9"/>
        <color rgb="FF595959"/>
        <rFont val="Noto Sans CJK SC"/>
        <family val="2"/>
      </rPr>
      <t xml:space="preserve">）</t>
    </r>
  </si>
  <si>
    <t xml:space="preserve">G42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</si>
  <si>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</si>
  <si>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：唯一合約價參數；</t>
    </r>
    <r>
      <rPr>
        <sz val="9"/>
        <color rgb="FF595959"/>
        <rFont val="Arial"/>
        <family val="0"/>
        <charset val="1"/>
      </rPr>
      <t xml:space="preserve">Analogy 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Noto Sans CJK SC"/>
        <family val="2"/>
      </rPr>
      <t xml:space="preserve">）</t>
    </r>
  </si>
  <si>
    <t xml:space="preserve">G43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</si>
  <si>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</t>
    </r>
  </si>
  <si>
    <t xml:space="preserve">r6 P3-3</t>
  </si>
  <si>
    <t xml:space="preserve">G44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</si>
  <si>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</si>
  <si>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Noto Sans CJK SC"/>
        <family val="2"/>
      </rPr>
      <t xml:space="preserve">第五節合計列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</t>
    </r>
  </si>
  <si>
    <t xml:space="preserve">G45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</si>
  <si>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</si>
  <si>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</si>
  <si>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G46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</si>
  <si>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</si>
  <si>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（目標 − 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目標年 − 校準年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年 − 校準年</t>
    </r>
    <r>
      <rPr>
        <sz val="9"/>
        <color rgb="FF595959"/>
        <rFont val="Arial"/>
        <family val="0"/>
        <charset val="1"/>
      </rPr>
      <t xml:space="preserve">) ÷</t>
    </r>
    <r>
      <rPr>
        <sz val="9"/>
        <color rgb="FF595959"/>
        <rFont val="Noto Sans CJK SC"/>
        <family val="2"/>
      </rPr>
      <t xml:space="preserve">（目標年 − 校準年）；開關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</si>
  <si>
    <t xml:space="preserve">G47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</si>
  <si>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</si>
  <si>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η</t>
    </r>
  </si>
  <si>
    <t xml:space="preserve">G48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</si>
  <si>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</si>
  <si>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G49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</si>
  <si>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</si>
  <si>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</si>
  <si>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七、三角對照（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r6 P3-3</t>
    </r>
    <r>
      <rPr>
        <b val="true"/>
        <sz val="10"/>
        <rFont val="Noto Sans CJK SC"/>
        <family val="2"/>
      </rPr>
      <t xml:space="preserve">：只列差距，不校準）</t>
    </r>
  </si>
  <si>
    <t xml:space="preserve">G50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</si>
  <si>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算力支出＝推論 ＋ 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</si>
  <si>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</t>
    </r>
  </si>
  <si>
    <t xml:space="preserve">G51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</si>
  <si>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Noto Sans CJK SC"/>
        <family val="2"/>
      </rPr>
      <t xml:space="preserve">年底）</t>
    </r>
  </si>
  <si>
    <r>
      <rPr>
        <sz val="9"/>
        <color rgb="FF595959"/>
        <rFont val="Arial"/>
        <family val="0"/>
        <charset val="1"/>
      </rPr>
      <t xml:space="preserve">SRC_OAI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部落格；口徑未明）</t>
    </r>
  </si>
  <si>
    <t xml:space="preserve">G52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</si>
  <si>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</si>
  <si>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參考值約 </t>
    </r>
    <r>
      <rPr>
        <sz val="9"/>
        <color rgb="FF595959"/>
        <rFont val="Arial"/>
        <family val="0"/>
        <charset val="1"/>
      </rPr>
      <t xml:space="preserve">16.3</t>
    </r>
  </si>
  <si>
    <t xml:space="preserve">G53</t>
  </si>
  <si>
    <t xml:space="preserve">差距：隱含 − 合約價</t>
  </si>
  <si>
    <t xml:space="preserve">G54</t>
  </si>
  <si>
    <t xml:space="preserve">差距占合約價</t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</si>
  <si>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+36%</t>
    </r>
  </si>
  <si>
    <t xml:space="preserve">G55</t>
  </si>
  <si>
    <r>
      <rPr>
        <sz val="10"/>
        <color rgb="FF000000"/>
        <rFont val="Noto Sans CJK SC"/>
        <family val="2"/>
      </rPr>
      <t xml:space="preserve">以隱含值計算的 </t>
    </r>
    <r>
      <rPr>
        <sz val="10"/>
        <color rgb="FF000000"/>
        <rFont val="Arial"/>
        <family val="0"/>
        <charset val="1"/>
      </rPr>
      <t xml:space="preserve">η</t>
    </r>
  </si>
  <si>
    <r>
      <rPr>
        <sz val="9"/>
        <color rgb="FF595959"/>
        <rFont val="Noto Sans CJK SC"/>
        <family val="2"/>
      </rPr>
      <t xml:space="preserve">只並列，不取代 </t>
    </r>
    <r>
      <rPr>
        <sz val="9"/>
        <color rgb="FF595959"/>
        <rFont val="Arial"/>
        <family val="0"/>
        <charset val="1"/>
      </rPr>
      <t xml:space="preserve">η</t>
    </r>
  </si>
  <si>
    <t xml:space="preserve">G56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</si>
  <si>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差距：隱含值口徑 − 基準</t>
    </r>
  </si>
  <si>
    <r>
      <rPr>
        <b val="true"/>
        <sz val="10"/>
        <rFont val="Noto Sans CJK SC"/>
        <family val="2"/>
      </rPr>
      <t xml:space="preserve">八、研發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與總需求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r6 P3-4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P3-5</t>
    </r>
    <r>
      <rPr>
        <b val="true"/>
        <sz val="10"/>
        <rFont val="Noto Sans CJK SC"/>
        <family val="2"/>
      </rPr>
      <t xml:space="preserve">；沿用 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：推論優先、其餘歸研發）</t>
    </r>
  </si>
  <si>
    <t xml:space="preserve">G57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</si>
  <si>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訓練支出（研發算力）＝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</si>
  <si>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</si>
  <si>
    <t xml:space="preserve">G58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</si>
  <si>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</si>
  <si>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34 </t>
    </r>
    <r>
      <rPr>
        <sz val="9"/>
        <color rgb="FF595959"/>
        <rFont val="Noto Sans CJK SC"/>
        <family val="2"/>
      </rPr>
      <t xml:space="preserve">列）</t>
    </r>
  </si>
  <si>
    <t xml:space="preserve">G59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</si>
  <si>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</si>
  <si>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r6 P3-5</t>
  </si>
  <si>
    <t xml:space="preserve">G60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</si>
  <si>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2024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</si>
  <si>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部落格（口徑未明）</t>
    </r>
  </si>
  <si>
    <t xml:space="preserve">G61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</si>
  <si>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2025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</si>
  <si>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Noto Sans CJK SC"/>
        <family val="2"/>
      </rPr>
      <t xml:space="preserve">同上（約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）</t>
    </r>
  </si>
  <si>
    <t xml:space="preserve">G62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</si>
  <si>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年均（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</si>
  <si>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t xml:space="preserve">只列差距</t>
  </si>
  <si>
    <t xml:space="preserve">G63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</si>
  <si>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</si>
  <si>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b val="true"/>
        <sz val="10"/>
        <rFont val="Noto Sans CJK SC"/>
        <family val="2"/>
      </rPr>
      <t xml:space="preserve">九、供給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（逐合約；</t>
    </r>
    <r>
      <rPr>
        <b val="true"/>
        <sz val="10"/>
        <rFont val="Arial"/>
        <family val="0"/>
        <charset val="1"/>
      </rPr>
      <t xml:space="preserve">v0.5 S2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：揭露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者期間內爬升至揭露值；未揭露者＝付款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</si>
  <si>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G64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</si>
  <si>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</si>
  <si>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</si>
  <si>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</si>
  <si>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</si>
  <si>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揭露年額（</t>
    </r>
    <r>
      <rPr>
        <sz val="9"/>
        <color rgb="FF595959"/>
        <rFont val="Arial"/>
        <family val="0"/>
        <charset val="1"/>
      </rPr>
      <t xml:space="preserve">300÷5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：期間內固定（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</si>
  <si>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</si>
  <si>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</si>
  <si>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</si>
  <si>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</si>
  <si>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</si>
  <si>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採用值，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）：期間內線性爬升至揭露值；攤提方式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</si>
  <si>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</si>
  <si>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</si>
  <si>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G69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</si>
  <si>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</si>
  <si>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0.75 GW</t>
    </r>
    <r>
      <rPr>
        <sz val="9"/>
        <color rgb="FF595959"/>
        <rFont val="Noto Sans CJK SC"/>
        <family val="2"/>
      </rPr>
      <t xml:space="preserve">：期間內線性爬升至揭露值；總額與終點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</si>
  <si>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G70</t>
  </si>
  <si>
    <r>
      <rPr>
        <sz val="10"/>
        <color rgb="FF000000"/>
        <rFont val="Noto Sans CJK SC"/>
        <family val="2"/>
      </rPr>
      <t xml:space="preserve">小計：揭露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的合約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</si>
  <si>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Trainium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</si>
  <si>
    <t xml:space="preserve">G71</t>
  </si>
  <si>
    <r>
      <rPr>
        <sz val="10"/>
        <color rgb="FF000000"/>
        <rFont val="Noto Sans CJK SC"/>
        <family val="2"/>
      </rPr>
      <t xml:space="preserve">小計：未揭露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</si>
  <si>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Arial"/>
        <family val="0"/>
        <charset val="1"/>
      </rPr>
      <t xml:space="preserve">Microsoft 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；與合約價成反比（敏感度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</t>
    </r>
  </si>
  <si>
    <t xml:space="preserve">G72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</si>
  <si>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</si>
  <si>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合約（不自動假設新增合約）＋自建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預設：自有資本支出自投產年起計入供給與命題分母；見第十三節）</t>
    </r>
  </si>
  <si>
    <t xml:space="preserve">G73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</si>
  <si>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實際年均算力 − 合約供給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</si>
  <si>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）：推論可用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＝供給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閒置）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訓練最低占比）；超出時營收按比例截頂並立旗標</t>
    </r>
  </si>
  <si>
    <t xml:space="preserve">G74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</si>
  <si>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</si>
  <si>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：閒置保留自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</si>
  <si>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G75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</si>
  <si>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</si>
  <si>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v0.5 V1a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、訓練最低占比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</si>
  <si>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t xml:space="preserve">G76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</si>
  <si>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</si>
  <si>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Noto Sans CJK SC"/>
        <family val="2"/>
      </rPr>
      <t xml:space="preserve">校準年＝有效推論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</si>
  <si>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G77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</si>
  <si>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</si>
  <si>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＝截頂後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有效（</t>
    </r>
    <r>
      <rPr>
        <sz val="9"/>
        <color rgb="FF595959"/>
        <rFont val="Arial"/>
        <family val="0"/>
        <charset val="1"/>
      </rPr>
      <t xml:space="preserve">v0.5 MIN(1, </t>
    </r>
    <r>
      <rPr>
        <sz val="9"/>
        <color rgb="FF595959"/>
        <rFont val="Noto Sans CJK SC"/>
        <family val="2"/>
      </rPr>
      <t xml:space="preserve">可用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需求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</si>
  <si>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t xml:space="preserve">G78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</si>
  <si>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</si>
  <si>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工作單預設：不自動假設新增合約</t>
  </si>
  <si>
    <t xml:space="preserve">G79</t>
  </si>
  <si>
    <r>
      <rPr>
        <sz val="10"/>
        <color rgb="FF000000"/>
        <rFont val="Noto Sans CJK SC"/>
        <family val="2"/>
      </rPr>
      <t xml:space="preserve">缺口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 − 截頂後）</t>
    </r>
  </si>
  <si>
    <t xml:space="preserve">G80</t>
  </si>
  <si>
    <t xml:space="preserve">檢查：推論（截頂後）＋研發＋閒置 − 供給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</si>
  <si>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以支出換算，差額＝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對合約供給的差距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</si>
  <si>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等值換算（供 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命題輸出；工作單預設：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層級產能比）</t>
    </r>
  </si>
  <si>
    <t xml:space="preserve">G81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</si>
  <si>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VR200 </t>
    </r>
    <r>
      <rPr>
        <sz val="10"/>
        <color rgb="FF000000"/>
        <rFont val="Noto Sans CJK SC"/>
        <family val="2"/>
      </rPr>
      <t xml:space="preserve">等值係數</t>
    </r>
  </si>
  <si>
    <t xml:space="preserve">G82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</si>
  <si>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</si>
  <si>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G83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</si>
  <si>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</si>
  <si>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G84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</si>
  <si>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</si>
  <si>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G85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</si>
  <si>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</si>
  <si>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Noto Sans CJK SC"/>
        <family val="2"/>
      </rPr>
      <t xml:space="preserve">替代口徑（工作單預設表）：付費組合後產能 </t>
    </r>
    <r>
      <rPr>
        <sz val="9"/>
        <color rgb="FF595959"/>
        <rFont val="Arial"/>
        <family val="0"/>
        <charset val="1"/>
      </rPr>
      <t xml:space="preserve">÷ VR200 </t>
    </r>
    <r>
      <rPr>
        <sz val="9"/>
        <color rgb="FF595959"/>
        <rFont val="Noto Sans CJK SC"/>
        <family val="2"/>
      </rPr>
      <t xml:space="preserve">付費產能</t>
    </r>
  </si>
  <si>
    <r>
      <rPr>
        <b val="true"/>
        <sz val="10"/>
        <rFont val="Noto Sans CJK SC"/>
        <family val="2"/>
      </rPr>
      <t xml:space="preserve">十二、敏感度（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值／低／高欄；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沿用路徑計算）</t>
    </r>
  </si>
  <si>
    <t xml:space="preserve">G86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</si>
  <si>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</si>
  <si>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的低端欄</t>
    </r>
  </si>
  <si>
    <t xml:space="preserve">G87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</si>
  <si>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；合約價低端）</t>
    </r>
  </si>
  <si>
    <t xml:space="preserve">G88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</si>
  <si>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</si>
  <si>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</t>
    </r>
  </si>
  <si>
    <t xml:space="preserve">G89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</si>
  <si>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</si>
  <si>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不變；未揭露者與合約價成反比；自建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不隨合約價變動（</t>
    </r>
    <r>
      <rPr>
        <sz val="9"/>
        <color rgb="FF595959"/>
        <rFont val="Arial"/>
        <family val="0"/>
        <charset val="1"/>
      </rPr>
      <t xml:space="preserve">S4</t>
    </r>
    <r>
      <rPr>
        <sz val="9"/>
        <color rgb="FF595959"/>
        <rFont val="Noto Sans CJK SC"/>
        <family val="2"/>
      </rPr>
      <t xml:space="preserve">）</t>
    </r>
  </si>
  <si>
    <t xml:space="preserve">G90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</si>
  <si>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</si>
  <si>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G91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</si>
  <si>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</si>
  <si>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的基準欄</t>
    </r>
  </si>
  <si>
    <t xml:space="preserve">G92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</si>
  <si>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；合約價基準）</t>
    </r>
  </si>
  <si>
    <t xml:space="preserve">G93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</si>
  <si>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</si>
  <si>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</si>
  <si>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</si>
  <si>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</si>
  <si>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</si>
  <si>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G96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</si>
  <si>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</si>
  <si>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的高端欄</t>
    </r>
  </si>
  <si>
    <t xml:space="preserve">G97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</si>
  <si>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；合約價高端）</t>
    </r>
  </si>
  <si>
    <t xml:space="preserve">G98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</si>
  <si>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</si>
  <si>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G99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</si>
  <si>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</si>
  <si>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G100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</si>
  <si>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</si>
  <si>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G101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</si>
  <si>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</si>
  <si>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G102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</si>
  <si>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</si>
  <si>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G103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</si>
  <si>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</si>
  <si>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供給為基準</t>
  </si>
  <si>
    <t xml:space="preserve">G104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</si>
  <si>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</si>
  <si>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G105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</si>
  <si>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</si>
  <si>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</si>
  <si>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</si>
  <si>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G107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</si>
  <si>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</si>
  <si>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的低端欄</t>
    </r>
  </si>
  <si>
    <t xml:space="preserve">G108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</si>
  <si>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</si>
  <si>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r>
      <rPr>
        <sz val="9"/>
        <color rgb="FF595959"/>
        <rFont val="Noto Sans CJK SC"/>
        <family val="2"/>
      </rPr>
      <t xml:space="preserve">組合後產能隨參數線性變動（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各世代產能）</t>
    </r>
  </si>
  <si>
    <t xml:space="preserve">G109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</si>
  <si>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</si>
  <si>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</si>
  <si>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G110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</si>
  <si>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</si>
  <si>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G111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</si>
  <si>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起）（基準）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</si>
  <si>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的基準欄</t>
    </r>
  </si>
  <si>
    <t xml:space="preserve">G112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</si>
  <si>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</si>
  <si>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</si>
  <si>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</si>
  <si>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G114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</si>
  <si>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</si>
  <si>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G115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</si>
  <si>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</si>
  <si>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的高端欄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</si>
  <si>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</si>
  <si>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</si>
  <si>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</si>
  <si>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</si>
  <si>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</si>
  <si>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</si>
  <si>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G119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</si>
  <si>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自研產能係數（低端）</t>
    </r>
  </si>
  <si>
    <t xml:space="preserve">G120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</si>
  <si>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</si>
  <si>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t xml:space="preserve">G121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</si>
  <si>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</si>
  <si>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G122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</si>
  <si>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</si>
  <si>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G123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</si>
  <si>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等值係數（低端）</t>
    </r>
  </si>
  <si>
    <t xml:space="preserve">G124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</si>
  <si>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自研產能係數（基準）</t>
    </r>
  </si>
  <si>
    <t xml:space="preserve">G125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</si>
  <si>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</si>
  <si>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G126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</si>
  <si>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</si>
  <si>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G127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</si>
  <si>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</si>
  <si>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G128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</si>
  <si>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等值係數（基準）</t>
    </r>
  </si>
  <si>
    <t xml:space="preserve">G129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</si>
  <si>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自研產能係數（高端）</t>
    </r>
  </si>
  <si>
    <t xml:space="preserve">G130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</si>
  <si>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</si>
  <si>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G131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</si>
  <si>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</si>
  <si>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G132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</si>
  <si>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</si>
  <si>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G133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</si>
  <si>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等值係數（高端）</t>
    </r>
  </si>
  <si>
    <r>
      <rPr>
        <b val="true"/>
        <sz val="10"/>
        <rFont val="Noto Sans CJK SC"/>
        <family val="2"/>
      </rPr>
      <t xml:space="preserve">十三、自建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P4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預設：自有資本支出自投產年起計入供給與命題分母；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算力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列）</t>
    </r>
  </si>
  <si>
    <t xml:space="preserve">G134</t>
  </si>
  <si>
    <t xml:space="preserve">自有資本支出（毛額）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</si>
  <si>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，低／高情境倍數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）</t>
    </r>
  </si>
  <si>
    <t xml:space="preserve">G135</t>
  </si>
  <si>
    <t xml:space="preserve">累計自有資本支出（至 年 − 投產落後年數）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</si>
  <si>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：累計至前一年（落後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）；毛額（合作方出資部分仍形成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</si>
  <si>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G136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</si>
  <si>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</si>
  <si>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</si>
  <si>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基準欄（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DC_Cost 43.2</t>
    </r>
    <r>
      <rPr>
        <sz val="9"/>
        <color rgb="FF595959"/>
        <rFont val="Noto Sans CJK SC"/>
        <family val="2"/>
      </rPr>
      <t xml:space="preserve">）</t>
    </r>
  </si>
  <si>
    <t xml:space="preserve">G137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</si>
  <si>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</si>
  <si>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累計自有資本支出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同式）</t>
    </r>
  </si>
  <si>
    <t xml:space="preserve">G138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</si>
  <si>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（不含自建）</t>
    </r>
  </si>
  <si>
    <r>
      <rPr>
        <sz val="9"/>
        <color rgb="FF595959"/>
        <rFont val="Noto Sans CJK SC"/>
        <family val="2"/>
      </rPr>
      <t xml:space="preserve">揭露＋未揭露（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的合約供給；供應商持有成本的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</si>
  <si>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成本、</t>
    </r>
    <r>
      <rPr>
        <b val="true"/>
        <sz val="13"/>
        <rFont val="Arial"/>
        <family val="0"/>
        <charset val="1"/>
      </rPr>
      <t xml:space="preserve">Q3 </t>
    </r>
    <r>
      <rPr>
        <b val="true"/>
        <sz val="13"/>
        <rFont val="Noto Sans CJK SC"/>
        <family val="2"/>
      </rPr>
      <t xml:space="preserve">與單位經濟：算力成本（合約實付＋自有資本支出）、供應商持有成本與雲端毛利、非算力成本、</t>
    </r>
    <r>
      <rPr>
        <b val="true"/>
        <sz val="13"/>
        <rFont val="Arial"/>
        <family val="0"/>
        <charset val="1"/>
      </rPr>
      <t xml:space="preserve">Q3</t>
    </r>
    <r>
      <rPr>
        <b val="true"/>
        <sz val="13"/>
        <rFont val="Noto Sans CJK SC"/>
        <family val="2"/>
      </rPr>
      <t xml:space="preserve">、命題輸出（每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V16 Azure </t>
    </r>
    <r>
      <rPr>
        <b val="true"/>
        <sz val="13"/>
        <rFont val="Noto Sans CJK SC"/>
        <family val="2"/>
      </rPr>
      <t xml:space="preserve">檢查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</si>
  <si>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算力成本＝合約實付（</t>
    </r>
    <r>
      <rPr>
        <sz val="9"/>
        <color rgb="FF595959"/>
        <rFont val="Arial"/>
        <family val="0"/>
        <charset val="1"/>
      </rPr>
      <t xml:space="preserve">v0.5 S1c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）＋自有資本支出；</t>
    </r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（世代加權）只作供應商成本參考，差額＝雲端毛利；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非算力成本：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每人年成本，股權報酬單列；命題輸出＝每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的營收、成本、差額（現金口徑為基準，經濟口徑並列）。</t>
    </r>
  </si>
  <si>
    <r>
      <rPr>
        <sz val="9"/>
        <color rgb="FF595959"/>
        <rFont val="Noto Sans CJK SC"/>
        <family val="2"/>
      </rPr>
      <t xml:space="preserve">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／自研／其他）；其餘各節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</si>
  <si>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欄＝世代；</t>
    </r>
    <r>
      <rPr>
        <b val="true"/>
        <sz val="10"/>
        <rFont val="Arial"/>
        <family val="0"/>
        <charset val="1"/>
      </rPr>
      <t xml:space="preserve">TK IF_HoldEcon </t>
    </r>
    <r>
      <rPr>
        <b val="true"/>
        <sz val="10"/>
        <rFont val="Noto Sans CJK SC"/>
        <family val="2"/>
      </rPr>
      <t xml:space="preserve">經濟口徑持有成本、</t>
    </r>
    <r>
      <rPr>
        <b val="true"/>
        <sz val="10"/>
        <rFont val="Arial"/>
        <family val="0"/>
        <charset val="1"/>
      </rPr>
      <t xml:space="preserve">IF_CapexTotal</t>
    </r>
    <r>
      <rPr>
        <b val="true"/>
        <sz val="10"/>
        <rFont val="Noto Sans CJK SC"/>
        <family val="2"/>
      </rPr>
      <t xml:space="preserve">；自研＝</t>
    </r>
    <r>
      <rPr>
        <b val="true"/>
        <sz val="10"/>
        <rFont val="Arial"/>
        <family val="0"/>
        <charset val="1"/>
      </rPr>
      <t xml:space="preserve">VR200 × </t>
    </r>
    <r>
      <rPr>
        <b val="true"/>
        <sz val="10"/>
        <rFont val="Noto Sans CJK SC"/>
        <family val="2"/>
      </rPr>
      <t xml:space="preserve">自研係數，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預設）</t>
    </r>
  </si>
  <si>
    <t xml:space="preserve">K01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</si>
  <si>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第一節）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</si>
  <si>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的鍵</t>
    </r>
  </si>
  <si>
    <t xml:space="preserve">K02</t>
  </si>
  <si>
    <t xml:space="preserve">成本情境鍵：低成本</t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</si>
  <si>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的低成本欄標籤（文字鍵）</t>
    </r>
  </si>
  <si>
    <t xml:space="preserve">K03</t>
  </si>
  <si>
    <t xml:space="preserve">成本情境鍵：基準</t>
  </si>
  <si>
    <t xml:space="preserve">K04</t>
  </si>
  <si>
    <t xml:space="preserve">成本情境鍵：高成本</t>
  </si>
  <si>
    <t xml:space="preserve">K05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</si>
  <si>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年持有成本（經濟口徑；基準）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</si>
  <si>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（資本回收年金 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＋營運費用）；自研／其他＝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，區間隨係數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</t>
    </r>
  </si>
  <si>
    <t xml:space="preserve">K06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</si>
  <si>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年持有成本（經濟口徑；低成本）</t>
    </r>
  </si>
  <si>
    <t xml:space="preserve">K07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</si>
  <si>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年持有成本（經濟口徑；高成本）</t>
    </r>
  </si>
  <si>
    <t xml:space="preserve">K08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</si>
  <si>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資本支出（基準；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＋廠房）</t>
    </r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</si>
  <si>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</si>
  <si>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r>
      <rPr>
        <b val="true"/>
        <sz val="10"/>
        <rFont val="Noto Sans CJK SC"/>
        <family val="2"/>
      </rPr>
      <t xml:space="preserve">二、算力成本（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；現金口徑）＝合約實付（</t>
    </r>
    <r>
      <rPr>
        <b val="true"/>
        <sz val="10"/>
        <rFont val="Arial"/>
        <family val="0"/>
        <charset val="1"/>
      </rPr>
      <t xml:space="preserve">v0.5 S1c</t>
    </r>
    <r>
      <rPr>
        <b val="true"/>
        <sz val="10"/>
        <rFont val="Noto Sans CJK SC"/>
        <family val="2"/>
      </rPr>
      <t xml:space="preserve">：揭露年額者期間內固定；其餘依攤提方式 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）＋自有資本支出</t>
    </r>
  </si>
  <si>
    <t xml:space="preserve">K09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</si>
  <si>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</si>
  <si>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總額依攤提方式（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ramp</t>
    </r>
    <r>
      <rPr>
        <sz val="9"/>
        <color rgb="FF595959"/>
        <rFont val="Noto Sans CJK SC"/>
        <family val="2"/>
      </rPr>
      <t xml:space="preserve">＝期間內線性爬升，權重＝年序 </t>
    </r>
    <r>
      <rPr>
        <sz val="9"/>
        <color rgb="FF595959"/>
        <rFont val="Arial"/>
        <family val="0"/>
        <charset val="1"/>
      </rPr>
      <t xml:space="preserve">÷ n(n+1)/2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even</t>
    </r>
    <r>
      <rPr>
        <sz val="9"/>
        <color rgb="FF595959"/>
        <rFont val="Noto Sans CJK SC"/>
        <family val="2"/>
      </rPr>
      <t xml:space="preserve">＝平均）；與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</si>
  <si>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</si>
  <si>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</si>
  <si>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年數（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），期間內固定；與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</si>
  <si>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</si>
  <si>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</si>
  <si>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K12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</si>
  <si>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</si>
  <si>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K13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</si>
  <si>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</si>
  <si>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K14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</si>
  <si>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</si>
  <si>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K15</t>
  </si>
  <si>
    <t xml:space="preserve">合約實付合計</t>
  </si>
  <si>
    <t xml:space="preserve">K16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</si>
  <si>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</si>
  <si>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t xml:space="preserve">K17</t>
  </si>
  <si>
    <t xml:space="preserve">合作方出資占比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</si>
  <si>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0–0.3</t>
    </r>
    <r>
      <rPr>
        <sz val="9"/>
        <color rgb="FF595959"/>
        <rFont val="Noto Sans CJK SC"/>
        <family val="2"/>
      </rPr>
      <t xml:space="preserve">）</t>
    </r>
  </si>
  <si>
    <t xml:space="preserve">K18</t>
  </si>
  <si>
    <t xml:space="preserve">自有資本支出（扣合作方出資）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</si>
  <si>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</t>
    </r>
  </si>
  <si>
    <t xml:space="preserve">K19</t>
  </si>
  <si>
    <t xml:space="preserve">算力成本（現金口徑）＝合約實付＋自有資本支出</t>
  </si>
  <si>
    <r>
      <rPr>
        <sz val="9"/>
        <color rgb="FF595959"/>
        <rFont val="Arial"/>
        <family val="0"/>
        <charset val="1"/>
      </rPr>
      <t xml:space="preserve">r6 P4-1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V3</t>
    </r>
    <r>
      <rPr>
        <sz val="9"/>
        <color rgb="FF595959"/>
        <rFont val="Noto Sans CJK SC"/>
        <family val="2"/>
      </rPr>
      <t xml:space="preserve">）；命題輸出基準</t>
    </r>
  </si>
  <si>
    <t xml:space="preserve">K20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</si>
  <si>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實際算力支出＝推論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</si>
  <si>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算力損益成本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20.4</t>
    </r>
  </si>
  <si>
    <t xml:space="preserve">K21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</si>
  <si>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</t>
    </r>
  </si>
  <si>
    <r>
      <rPr>
        <sz val="9"/>
        <color rgb="FF595959"/>
        <rFont val="Noto Sans CJK SC"/>
        <family val="2"/>
      </rPr>
      <t xml:space="preserve">只列差距（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合約推得供給 </t>
    </r>
    <r>
      <rPr>
        <sz val="9"/>
        <color rgb="FF595959"/>
        <rFont val="Arial"/>
        <family val="0"/>
        <charset val="1"/>
      </rPr>
      <t xml:space="preserve">1.23 GW </t>
    </r>
    <r>
      <rPr>
        <sz val="9"/>
        <color rgb="FF595959"/>
        <rFont val="Noto Sans CJK SC"/>
        <family val="2"/>
      </rPr>
      <t xml:space="preserve">對支出換算 </t>
    </r>
    <r>
      <rPr>
        <sz val="9"/>
        <color rgb="FF595959"/>
        <rFont val="Arial"/>
        <family val="0"/>
        <charset val="1"/>
      </rPr>
      <t xml:space="preserve">1.70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已註）</t>
    </r>
  </si>
  <si>
    <t xml:space="preserve">K22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</si>
  <si>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</si>
  <si>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的三家恆等於合約價（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Oracle 13.3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Cerebras </t>
    </r>
    <r>
      <rPr>
        <sz val="9"/>
        <color rgb="FF595959"/>
        <rFont val="Noto Sans CJK SC"/>
        <family val="2"/>
      </rPr>
      <t xml:space="preserve">依爬升</t>
    </r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</si>
  <si>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</t>
    </r>
    <r>
      <rPr>
        <b val="true"/>
        <sz val="10"/>
        <rFont val="Noto Sans CJK SC"/>
        <family val="2"/>
      </rPr>
      <t xml:space="preserve">世代加權；只作參考；差額＝雲端毛利）</t>
    </r>
  </si>
  <si>
    <t xml:space="preserve">K23</t>
  </si>
  <si>
    <t xml:space="preserve">世代加權持有成本（基準）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</si>
  <si>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第二節）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</t>
    </r>
  </si>
  <si>
    <t xml:space="preserve">K24</t>
  </si>
  <si>
    <t xml:space="preserve">世代加權持有成本（低成本）</t>
  </si>
  <si>
    <t xml:space="preserve">K25</t>
  </si>
  <si>
    <t xml:space="preserve">世代加權持有成本（高成本）</t>
  </si>
  <si>
    <t xml:space="preserve">K26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</si>
  <si>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的合約供給）</t>
    </r>
  </si>
  <si>
    <t xml:space="preserve">K27</t>
  </si>
  <si>
    <t xml:space="preserve">供應商持有成本（基準）</t>
  </si>
  <si>
    <t xml:space="preserve">K28</t>
  </si>
  <si>
    <t xml:space="preserve">雲端毛利＝合約實付 − 供應商持有成本</t>
  </si>
  <si>
    <r>
      <rPr>
        <sz val="9"/>
        <color rgb="FF595959"/>
        <rFont val="Noto Sans CJK SC"/>
        <family val="2"/>
      </rPr>
      <t xml:space="preserve">日後接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r6 V3</t>
    </r>
    <r>
      <rPr>
        <sz val="9"/>
        <color rgb="FF595959"/>
        <rFont val="Noto Sans CJK SC"/>
        <family val="2"/>
      </rPr>
      <t xml:space="preserve">）</t>
    </r>
  </si>
  <si>
    <t xml:space="preserve">K29</t>
  </si>
  <si>
    <t xml:space="preserve">雲端毛利率</t>
  </si>
  <si>
    <t xml:space="preserve">K30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</si>
  <si>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</si>
  <si>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</si>
  <si>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K31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</si>
  <si>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</si>
  <si>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持有成本世代加權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</si>
  <si>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K32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</si>
  <si>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</t>
    </r>
  </si>
  <si>
    <t xml:space="preserve">K33</t>
  </si>
  <si>
    <t xml:space="preserve">自建持有成本（經濟）</t>
  </si>
  <si>
    <t xml:space="preserve">K34</t>
  </si>
  <si>
    <t xml:space="preserve">算力成本（經濟口徑）＝合約實付＋自建持有成本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</si>
  <si>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＝實際）</t>
    </r>
  </si>
  <si>
    <t xml:space="preserve">K35</t>
  </si>
  <si>
    <t xml:space="preserve">現金口徑 − 經濟口徑（資本支出與持有成本的時間差）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</si>
  <si>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V4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＝財報（研發總額 − 訓練支出；銷售、管理）；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每人年成本，股權報酬單列</t>
    </r>
  </si>
  <si>
    <t xml:space="preserve">K36</t>
  </si>
  <si>
    <r>
      <rPr>
        <sz val="10"/>
        <color rgb="FF000000"/>
        <rFont val="Noto Sans CJK SC"/>
        <family val="2"/>
      </rPr>
      <t xml:space="preserve">研發費用總額（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</si>
  <si>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外流財報</t>
  </si>
  <si>
    <t xml:space="preserve">K37</t>
  </si>
  <si>
    <r>
      <rPr>
        <sz val="10"/>
        <color rgb="FF000000"/>
        <rFont val="Noto Sans CJK SC"/>
        <family val="2"/>
      </rPr>
      <t xml:space="preserve">研發算力（訓練支出）＝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</si>
  <si>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10.59–13.50</t>
    </r>
    <r>
      <rPr>
        <sz val="9"/>
        <color rgb="FF595959"/>
        <rFont val="Noto Sans CJK SC"/>
        <family val="2"/>
      </rPr>
      <t xml:space="preserve">）</t>
    </r>
  </si>
  <si>
    <t xml:space="preserve">K38</t>
  </si>
  <si>
    <t xml:space="preserve">非算力研發（財報口徑）＝研發總額 − 訓練支出</t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</si>
  <si>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</si>
  <si>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</si>
  <si>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</si>
  <si>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外流財報（</t>
    </r>
    <r>
      <rPr>
        <sz val="9"/>
        <color rgb="FF595959"/>
        <rFont val="Arial"/>
        <family val="0"/>
        <charset val="1"/>
      </rPr>
      <t xml:space="preserve">v0.5 opexExComputePctRevenue 2025 </t>
    </r>
    <r>
      <rPr>
        <sz val="9"/>
        <color rgb="FF595959"/>
        <rFont val="Noto Sans CJK SC"/>
        <family val="2"/>
      </rPr>
      <t xml:space="preserve">的拆分來源）</t>
    </r>
  </si>
  <si>
    <t xml:space="preserve">K40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</si>
  <si>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</si>
  <si>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K41</t>
  </si>
  <si>
    <t xml:space="preserve">非算力營運費用（財報口徑，含股權報酬）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</si>
  <si>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預設：財報費用列含股權報酬（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常見口徑）</t>
    </r>
  </si>
  <si>
    <t xml:space="preserve">K42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</si>
  <si>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）：研發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</si>
  <si>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</t>
    </r>
  </si>
  <si>
    <t xml:space="preserve">K43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</si>
  <si>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）：銷售</t>
    </r>
  </si>
  <si>
    <t xml:space="preserve">K44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</si>
  <si>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）：管理</t>
    </r>
  </si>
  <si>
    <t xml:space="preserve">K45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</si>
  <si>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</si>
  <si>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起＝前一年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</si>
  <si>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</si>
  <si>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</si>
  <si>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$1.5M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</si>
  <si>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K47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</si>
  <si>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</si>
  <si>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：單列一列）</t>
    </r>
  </si>
  <si>
    <t xml:space="preserve">K48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</si>
  <si>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</si>
  <si>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每人年成本（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對照欄＝營收占比路徑（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註：不含股票薪酬）</t>
    </r>
  </si>
  <si>
    <t xml:space="preserve">K49</t>
  </si>
  <si>
    <t xml:space="preserve">每人年成本（不含股權報酬；含現金薪酬與其他）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</si>
  <si>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（財報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人數）；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</si>
  <si>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K50</t>
  </si>
  <si>
    <t xml:space="preserve">非算力研發（不含股權報酬）</t>
  </si>
  <si>
    <r>
      <rPr>
        <sz val="9"/>
        <color rgb="FF595959"/>
        <rFont val="Noto Sans CJK SC"/>
        <family val="2"/>
      </rPr>
      <t xml:space="preserve">非算力營運費用（不含股權報酬）</t>
    </r>
    <r>
      <rPr>
        <sz val="9"/>
        <color rgb="FF595959"/>
        <rFont val="Arial"/>
        <family val="0"/>
        <charset val="1"/>
      </rPr>
      <t xml:space="preserve">× 2025 </t>
    </r>
    <r>
      <rPr>
        <sz val="9"/>
        <color rgb="FF595959"/>
        <rFont val="Noto Sans CJK SC"/>
        <family val="2"/>
      </rPr>
      <t xml:space="preserve">功能別占比</t>
    </r>
  </si>
  <si>
    <t xml:space="preserve">K51</t>
  </si>
  <si>
    <t xml:space="preserve">銷售費用（不含股權報酬）</t>
  </si>
  <si>
    <t xml:space="preserve">K52</t>
  </si>
  <si>
    <t xml:space="preserve">管理費用（不含股權報酬）</t>
  </si>
  <si>
    <t xml:space="preserve">K53</t>
  </si>
  <si>
    <t xml:space="preserve">銷售＋管理（不含股權報酬）</t>
  </si>
  <si>
    <t xml:space="preserve">K54</t>
  </si>
  <si>
    <t xml:space="preserve">非算力成本（含股權報酬）</t>
  </si>
  <si>
    <t xml:space="preserve">K55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</si>
  <si>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營收占比路徑（研發不含付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＋銷售＋管理）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總額營收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</si>
  <si>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由財報推得（</t>
    </r>
    <r>
      <rPr>
        <sz val="9"/>
        <color rgb="FF595959"/>
        <rFont val="Arial"/>
        <family val="0"/>
        <charset val="1"/>
      </rPr>
      <t xml:space="preserve">v0.5 1.216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INP_196–200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S5a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取代為人數法，只作對照）</t>
    </r>
  </si>
  <si>
    <t xml:space="preserve">K56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</si>
  <si>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路徑金額＝占比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總額營收（截頂後）</t>
    </r>
  </si>
  <si>
    <t xml:space="preserve">K57</t>
  </si>
  <si>
    <r>
      <rPr>
        <sz val="10"/>
        <color rgb="FF000000"/>
        <rFont val="Noto Sans CJK SC"/>
        <family val="2"/>
      </rPr>
      <t xml:space="preserve">差距：人數法（含股權報酬）−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</si>
  <si>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含股權報酬（財報口徑）、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起註明不含；兩者口徑差異列於報告</t>
    </r>
  </si>
  <si>
    <t xml:space="preserve">K58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</si>
  <si>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股權報酬路徑（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＝占營收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；之後每年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）</t>
    </r>
  </si>
  <si>
    <t xml:space="preserve">公司預測，只作對照（不回饋基準）</t>
  </si>
  <si>
    <t xml:space="preserve">K59</t>
  </si>
  <si>
    <r>
      <rPr>
        <sz val="10"/>
        <color rgb="FF000000"/>
        <rFont val="Noto Sans CJK SC"/>
        <family val="2"/>
      </rPr>
      <t xml:space="preserve">差距：本模型股權報酬 −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路徑</t>
    </r>
  </si>
  <si>
    <t xml:space="preserve">K60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</si>
  <si>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人數隱含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年均成長＝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2026-03, </t>
    </r>
    <r>
      <rPr>
        <sz val="10"/>
        <color rgb="FF000000"/>
        <rFont val="Noto Sans CJK SC"/>
        <family val="2"/>
      </rPr>
      <t xml:space="preserve">年底目標）</t>
    </r>
    <r>
      <rPr>
        <sz val="10"/>
        <color rgb="FF000000"/>
        <rFont val="Arial"/>
        <family val="0"/>
        <charset val="1"/>
      </rPr>
      <t xml:space="preserve">÷ 2025 − 1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</si>
  <si>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年增率（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</si>
  <si>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（研發占整體成本）＝（研發算力＋非算力研發）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全部營運成本；研發算力對 </t>
    </r>
    <r>
      <rPr>
        <b val="true"/>
        <sz val="10"/>
        <rFont val="Arial"/>
        <family val="0"/>
        <charset val="1"/>
      </rPr>
      <t xml:space="preserve">TK L1_Ans3 </t>
    </r>
    <r>
      <rPr>
        <b val="true"/>
        <sz val="10"/>
        <rFont val="Noto Sans CJK SC"/>
        <family val="2"/>
      </rPr>
      <t xml:space="preserve">的差距（</t>
    </r>
    <r>
      <rPr>
        <b val="true"/>
        <sz val="10"/>
        <rFont val="Arial"/>
        <family val="0"/>
        <charset val="1"/>
      </rPr>
      <t xml:space="preserve">$B/</t>
    </r>
    <r>
      <rPr>
        <b val="true"/>
        <sz val="10"/>
        <rFont val="Noto Sans CJK SC"/>
        <family val="2"/>
      </rPr>
      <t xml:space="preserve">年）</t>
    </r>
  </si>
  <si>
    <t xml:space="preserve">K61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</si>
  <si>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</si>
  <si>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＝訓練支出公式（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：訓練成本＝訓練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成本）</t>
    </r>
  </si>
  <si>
    <t xml:space="preserve">K62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</si>
  <si>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</si>
  <si>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</si>
  <si>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K63</t>
  </si>
  <si>
    <t xml:space="preserve">閒置算力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</si>
  <si>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</si>
  <si>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K64</t>
  </si>
  <si>
    <r>
      <rPr>
        <sz val="10"/>
        <color rgb="FF000000"/>
        <rFont val="Noto Sans CJK SC"/>
        <family val="2"/>
      </rPr>
      <t xml:space="preserve">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</si>
  <si>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＝實際算力支出（校準年）；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起＝算力成本（現金口徑）</t>
    </r>
  </si>
  <si>
    <t xml:space="preserve">K65</t>
  </si>
  <si>
    <t xml:space="preserve">研發合計＝研發算力＋非算力研發（不含股權報酬）</t>
  </si>
  <si>
    <t xml:space="preserve">K66</t>
  </si>
  <si>
    <r>
      <rPr>
        <sz val="10"/>
        <color rgb="FF000000"/>
        <rFont val="Noto Sans CJK SC"/>
        <family val="2"/>
      </rPr>
      <t xml:space="preserve">全部營運成本＝算力（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口徑）＋非算力（不含股權報酬）＋股權報酬</t>
    </r>
  </si>
  <si>
    <t xml:space="preserve">K67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</si>
  <si>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＝研發合計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全部營運成本</t>
    </r>
  </si>
  <si>
    <t xml:space="preserve">r6 P4-2</t>
  </si>
  <si>
    <t xml:space="preserve">K68</t>
  </si>
  <si>
    <t xml:space="preserve">研發算力占研發合計</t>
  </si>
  <si>
    <t xml:space="preserve">K69</t>
  </si>
  <si>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（研發算力成本；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</si>
  <si>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問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（算力部分）；區間 </t>
    </r>
    <r>
      <rPr>
        <sz val="9"/>
        <color rgb="FF595959"/>
        <rFont val="Arial"/>
        <family val="0"/>
        <charset val="1"/>
      </rPr>
      <t xml:space="preserve">TK_L1_Ans3_Lo–Hi</t>
    </r>
  </si>
  <si>
    <t xml:space="preserve">K70</t>
  </si>
  <si>
    <r>
      <rPr>
        <sz val="10"/>
        <color rgb="FF000000"/>
        <rFont val="Noto Sans CJK SC"/>
        <family val="2"/>
      </rPr>
      <t xml:space="preserve">差距：研發算力 − </t>
    </r>
    <r>
      <rPr>
        <sz val="10"/>
        <color rgb="FF000000"/>
        <rFont val="Arial"/>
        <family val="0"/>
        <charset val="1"/>
      </rPr>
      <t xml:space="preserve">TK L1_Ans3</t>
    </r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</si>
  <si>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：只列差距</t>
    </r>
  </si>
  <si>
    <t xml:space="preserve">K71</t>
  </si>
  <si>
    <r>
      <rPr>
        <sz val="10"/>
        <color rgb="FF000000"/>
        <rFont val="Noto Sans CJK SC"/>
        <family val="2"/>
      </rPr>
      <t xml:space="preserve">倍數：研發算力 </t>
    </r>
    <r>
      <rPr>
        <sz val="10"/>
        <color rgb="FF000000"/>
        <rFont val="Arial"/>
        <family val="0"/>
        <charset val="1"/>
      </rPr>
      <t xml:space="preserve">÷ TK L1_Ans3</t>
    </r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</si>
  <si>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8y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W3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物理下限約小一個數量級</t>
    </r>
  </si>
  <si>
    <r>
      <rPr>
        <b val="true"/>
        <sz val="10"/>
        <rFont val="Noto Sans CJK SC"/>
        <family val="2"/>
      </rPr>
      <t xml:space="preserve">七、命題輸出（每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，含自建）：營收、算力成本、非算力成本、全成本、差額；現金口徑為基準，經濟口徑並列</t>
    </r>
  </si>
  <si>
    <t xml:space="preserve">K72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</si>
  <si>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</si>
  <si>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r>
      <rPr>
        <sz val="9"/>
        <color rgb="FF595959"/>
        <rFont val="Arial"/>
        <family val="0"/>
        <charset val="1"/>
      </rPr>
      <t xml:space="preserve">CMP_Supply_VReq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起含自建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</si>
  <si>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K73</t>
  </si>
  <si>
    <t xml:space="preserve">營收（截頂後淨額）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</si>
  <si>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分成；估值與命題用）</t>
    </r>
  </si>
  <si>
    <t xml:space="preserve">K74</t>
  </si>
  <si>
    <t xml:space="preserve">全成本（含股權報酬；現金口徑）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</si>
  <si>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預設：命題的全成本含股權報酬（較保守）</t>
    </r>
  </si>
  <si>
    <t xml:space="preserve">K75</t>
  </si>
  <si>
    <t xml:space="preserve">全成本（不含股權報酬；現金口徑）</t>
  </si>
  <si>
    <t xml:space="preserve">K76</t>
  </si>
  <si>
    <t xml:space="preserve">差額＝營收 − 全成本（含股權報酬；現金口徑）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</si>
  <si>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融資）</t>
    </r>
  </si>
  <si>
    <t xml:space="preserve">K77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</si>
  <si>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</si>
  <si>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對照欄＝總額營收 </t>
    </r>
    <r>
      <rPr>
        <sz val="9"/>
        <color rgb="FF595959"/>
        <rFont val="Arial"/>
        <family val="0"/>
        <charset val="1"/>
      </rPr>
      <t xml:space="preserve">÷ VR-eq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口徑）</t>
    </r>
  </si>
  <si>
    <t xml:space="preserve">K78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</si>
  <si>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</si>
  <si>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 </t>
    </r>
    <r>
      <rPr>
        <sz val="9"/>
        <color rgb="FF595959"/>
        <rFont val="Arial"/>
        <family val="0"/>
        <charset val="1"/>
      </rPr>
      <t xml:space="preserve">÷ VR-eq GW</t>
    </r>
  </si>
  <si>
    <t xml:space="preserve">K79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</si>
  <si>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</si>
  <si>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</si>
  <si>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</si>
  <si>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K81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</si>
  <si>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</si>
  <si>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K82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</si>
  <si>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</si>
  <si>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K83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</si>
  <si>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</si>
  <si>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命題：負＝營收不足以覆蓋全成本</t>
  </si>
  <si>
    <t xml:space="preserve">K84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</si>
  <si>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</si>
  <si>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K85</t>
  </si>
  <si>
    <r>
      <rPr>
        <sz val="10"/>
        <color rgb="FF000000"/>
        <rFont val="Noto Sans CJK SC"/>
        <family val="2"/>
      </rPr>
      <t xml:space="preserve">覆蓋率＝營收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</si>
  <si>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K86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</si>
  <si>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</si>
  <si>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合約實付＋自建持有成本</t>
  </si>
  <si>
    <t xml:space="preserve">K87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</si>
  <si>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</si>
  <si>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</si>
  <si>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</si>
  <si>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K89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</si>
  <si>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差額（不含股權報酬）</t>
    </r>
  </si>
  <si>
    <t xml:space="preserve">K90</t>
  </si>
  <si>
    <t xml:space="preserve">經濟口徑：差額（含股權報酬）</t>
  </si>
  <si>
    <t xml:space="preserve">K91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</si>
  <si>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</si>
  <si>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r>
      <rPr>
        <sz val="9"/>
        <color rgb="FF595959"/>
        <rFont val="Noto Sans CJK SC"/>
        <family val="2"/>
      </rPr>
      <t xml:space="preserve">只並列（基準依 </t>
    </r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用合約實付）</t>
    </r>
  </si>
  <si>
    <t xml:space="preserve">K92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</si>
  <si>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</si>
  <si>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預設），算力成本仍＝合約實付</t>
    </r>
  </si>
  <si>
    <t xml:space="preserve">K93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</si>
  <si>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</si>
  <si>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K94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</si>
  <si>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</si>
  <si>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t xml:space="preserve">K95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</si>
  <si>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</si>
  <si>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V16 Azure </t>
    </r>
    <r>
      <rPr>
        <b val="true"/>
        <sz val="10"/>
        <rFont val="Noto Sans CJK SC"/>
        <family val="2"/>
      </rPr>
      <t xml:space="preserve">攤入檢查（</t>
    </r>
    <r>
      <rPr>
        <b val="true"/>
        <sz val="10"/>
        <rFont val="Arial"/>
        <family val="0"/>
        <charset val="1"/>
      </rPr>
      <t xml:space="preserve">r6 P4-5</t>
    </r>
    <r>
      <rPr>
        <b val="true"/>
        <sz val="10"/>
        <rFont val="Noto Sans CJK SC"/>
        <family val="2"/>
      </rPr>
      <t xml:space="preserve">；只列差距、立旗標，不校準；基準起點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</si>
  <si>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K96</t>
  </si>
  <si>
    <r>
      <rPr>
        <sz val="10"/>
        <color rgb="FF000000"/>
        <rFont val="Arial"/>
        <family val="0"/>
        <charset val="1"/>
      </rPr>
      <t xml:space="preserve">2025 Azure $250B </t>
    </r>
    <r>
      <rPr>
        <sz val="10"/>
        <color rgb="FF000000"/>
        <rFont val="Noto Sans CJK SC"/>
        <family val="2"/>
      </rPr>
      <t xml:space="preserve">攤入額（基準起點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</si>
  <si>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合約實付：</t>
    </r>
    <r>
      <rPr>
        <sz val="9"/>
        <color rgb="FF595959"/>
        <rFont val="Arial"/>
        <family val="0"/>
        <charset val="1"/>
      </rPr>
      <t xml:space="preserve">Microsoft Azure 2025 </t>
    </r>
    <r>
      <rPr>
        <sz val="9"/>
        <color rgb="FF595959"/>
        <rFont val="Noto Sans CJK SC"/>
        <family val="2"/>
      </rPr>
      <t xml:space="preserve">欄</t>
    </r>
  </si>
  <si>
    <t xml:space="preserve">K97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</si>
  <si>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實際算力支出（推論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＋訓練支出公式）</t>
    </r>
  </si>
  <si>
    <t xml:space="preserve">K98</t>
  </si>
  <si>
    <t xml:space="preserve">差距：攤入額 − 實際算力支出</t>
  </si>
  <si>
    <t xml:space="preserve">K99</t>
  </si>
  <si>
    <r>
      <rPr>
        <sz val="10"/>
        <color rgb="FF000000"/>
        <rFont val="Noto Sans CJK SC"/>
        <family val="2"/>
      </rPr>
      <t xml:space="preserve">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＝攤入額超過實際算力支出）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</si>
  <si>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</t>
    </r>
  </si>
  <si>
    <t xml:space="preserve">K100</t>
  </si>
  <si>
    <r>
      <rPr>
        <sz val="10"/>
        <color rgb="FF000000"/>
        <rFont val="Noto Sans CJK SC"/>
        <family val="2"/>
      </rPr>
      <t xml:space="preserve">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攤入額</t>
    </r>
  </si>
  <si>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起點取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區間高端（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2025–2026</t>
    </r>
    <r>
      <rPr>
        <sz val="9"/>
        <color rgb="FF595959"/>
        <rFont val="Noto Sans CJK SC"/>
        <family val="2"/>
      </rPr>
      <t xml:space="preserve">）；終點不變</t>
    </r>
  </si>
  <si>
    <t xml:space="preserve">K101</t>
  </si>
  <si>
    <r>
      <rPr>
        <sz val="10"/>
        <color rgb="FF000000"/>
        <rFont val="Noto Sans CJK SC"/>
        <family val="2"/>
      </rPr>
      <t xml:space="preserve">差異：起點 </t>
    </r>
    <r>
      <rPr>
        <sz val="10"/>
        <color rgb="FF000000"/>
        <rFont val="Arial"/>
        <family val="0"/>
        <charset val="1"/>
      </rPr>
      <t xml:space="preserve">2026 −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</si>
  <si>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0"/>
        <rFont val="Noto Sans CJK SC"/>
        <family val="2"/>
      </rPr>
      <t xml:space="preserve">九、檢查列（各年應為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</si>
  <si>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K102</t>
  </si>
  <si>
    <t xml:space="preserve">逐合約實付加總 − 合約實付合計</t>
  </si>
  <si>
    <t xml:space="preserve">K103</t>
  </si>
  <si>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合約：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</si>
  <si>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Nvidia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</t>
    </r>
  </si>
  <si>
    <t xml:space="preserve">K104</t>
  </si>
  <si>
    <t xml:space="preserve">算力成本（現金）−（合約實付＋自有資本支出）</t>
  </si>
  <si>
    <t xml:space="preserve">K105</t>
  </si>
  <si>
    <r>
      <rPr>
        <sz val="10"/>
        <color rgb="FF000000"/>
        <rFont val="Noto Sans CJK SC"/>
        <family val="2"/>
      </rPr>
      <t xml:space="preserve">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</si>
  <si>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</si>
  <si>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t xml:space="preserve">K106</t>
  </si>
  <si>
    <t xml:space="preserve">非算力研發＋銷售＋管理（不含股權報酬）− 合計</t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</si>
  <si>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融資（</t>
    </r>
    <r>
      <rPr>
        <b val="true"/>
        <sz val="13"/>
        <rFont val="Arial"/>
        <family val="0"/>
        <charset val="1"/>
      </rPr>
      <t xml:space="preserve">S7</t>
    </r>
    <r>
      <rPr>
        <b val="true"/>
        <sz val="13"/>
        <rFont val="Noto Sans CJK SC"/>
        <family val="2"/>
      </rPr>
      <t xml:space="preserve">）：自由現金流、已到位融資、最低現金與外部資金需求、</t>
    </r>
    <r>
      <rPr>
        <b val="true"/>
        <sz val="13"/>
        <rFont val="Arial"/>
        <family val="0"/>
        <charset val="1"/>
      </rPr>
      <t xml:space="preserve">Amazon </t>
    </r>
    <r>
      <rPr>
        <b val="true"/>
        <sz val="13"/>
        <rFont val="Noto Sans CJK SC"/>
        <family val="2"/>
      </rPr>
      <t xml:space="preserve">條件式情境、或有負債（</t>
    </r>
    <r>
      <rPr>
        <b val="true"/>
        <sz val="13"/>
        <rFont val="Arial"/>
        <family val="0"/>
        <charset val="1"/>
      </rPr>
      <t xml:space="preserve">S4b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</si>
  <si>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「資金與檢查」頁）：自由現金流＝營收淨額 − 算力成本（現金）− 非算力成本（不含股權報酬；股權報酬為非現金，加回）；來源順序：①期初現金（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年底，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）→ ②已到位股權融資（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輪無條件部分）→ ③外部資金（新股權、債務或延後承諾；不分種類）。外部資金需求＝各年年底現金低於最低現金的差額（補足至最低現金）之累計。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條件式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不計入基準（第四節另列情境）；供應商融資只列或有負債。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</si>
  <si>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支出列為負號者不列）。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</si>
  <si>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給 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股權報酬加回）</t>
    </r>
  </si>
  <si>
    <t xml:space="preserve">F01</t>
  </si>
  <si>
    <r>
      <rPr>
        <sz val="10"/>
        <color rgb="FF000000"/>
        <rFont val="Noto Sans CJK SC"/>
        <family val="2"/>
      </rPr>
      <t xml:space="preserve">營收淨額（截頂後；扣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</si>
  <si>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REV_NetCapped</t>
  </si>
  <si>
    <t xml:space="preserve">F02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</si>
  <si>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列，負號）</t>
    </r>
  </si>
  <si>
    <t xml:space="preserve">F03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</si>
  <si>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</si>
  <si>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COST_NonCompExSBC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列：營運費用，不含股票薪酬）</t>
    </r>
  </si>
  <si>
    <t xml:space="preserve">F04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</si>
  <si>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</si>
  <si>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：計算現金缺口時加回）</t>
    </r>
  </si>
  <si>
    <t xml:space="preserve">F05</t>
  </si>
  <si>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命題口徑）</t>
    </r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</si>
  <si>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的融資缺口起點）</t>
    </r>
  </si>
  <si>
    <t xml:space="preserve">F06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</si>
  <si>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</si>
  <si>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欄為模型值（合約實付口徑），不進現金流</t>
    </r>
  </si>
  <si>
    <t xml:space="preserve">F07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</si>
  <si>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）計的自由現金流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</si>
  <si>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現金對帳用實際算力支出（推論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＋訓練 </t>
    </r>
    <r>
      <rPr>
        <sz val="9"/>
        <color rgb="FF595959"/>
        <rFont val="Arial"/>
        <family val="0"/>
        <charset val="1"/>
      </rPr>
      <t xml:space="preserve">10.59</t>
    </r>
    <r>
      <rPr>
        <sz val="9"/>
        <color rgb="FF595959"/>
        <rFont val="Noto Sans CJK SC"/>
        <family val="2"/>
      </rPr>
      <t xml:space="preserve">＋其他雲端 </t>
    </r>
    <r>
      <rPr>
        <sz val="9"/>
        <color rgb="FF595959"/>
        <rFont val="Arial"/>
        <family val="0"/>
        <charset val="1"/>
      </rPr>
      <t xml:space="preserve">1.41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</si>
  <si>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二、已到位融資（來源順序 ②；</t>
    </r>
    <r>
      <rPr>
        <b val="true"/>
        <sz val="10"/>
        <rFont val="Arial"/>
        <family val="0"/>
        <charset val="1"/>
      </rPr>
      <t xml:space="preserve">2026-03 </t>
    </r>
    <r>
      <rPr>
        <b val="true"/>
        <sz val="10"/>
        <rFont val="Noto Sans CJK SC"/>
        <family val="2"/>
      </rPr>
      <t xml:space="preserve">輪無條件部分＝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四個組成；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以現金比例計，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）</t>
    </r>
  </si>
  <si>
    <t xml:space="preserve">F08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</si>
  <si>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輪到位年旗標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</si>
  <si>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：到位年（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：全額計入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</si>
  <si>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F09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</si>
  <si>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</si>
  <si>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t xml:space="preserve">F10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</si>
  <si>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</si>
  <si>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；三期分期時點未揭露，全額計入到位年</t>
    </r>
  </si>
  <si>
    <t xml:space="preserve">F11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</si>
  <si>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（現金部分）</t>
    </r>
  </si>
  <si>
    <r>
      <rPr>
        <sz val="9"/>
        <color rgb="FF595959"/>
        <rFont val="Arial"/>
        <family val="0"/>
        <charset val="1"/>
      </rPr>
      <t xml:space="preserve">SRC_OAI × Nvidia </t>
    </r>
    <r>
      <rPr>
        <sz val="9"/>
        <color rgb="FF595959"/>
        <rFont val="Noto Sans CJK SC"/>
        <family val="2"/>
      </rPr>
      <t xml:space="preserve">現金比例（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</si>
  <si>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F12</t>
  </si>
  <si>
    <t xml:space="preserve">已到位：其他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</si>
  <si>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（約）</t>
    </r>
  </si>
  <si>
    <t xml:space="preserve">F13</t>
  </si>
  <si>
    <t xml:space="preserve">已到位融資合計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</si>
  <si>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無條件部分 </t>
    </r>
    <r>
      <rPr>
        <sz val="9"/>
        <color rgb="FF595959"/>
        <rFont val="Arial"/>
        <family val="0"/>
        <charset val="1"/>
      </rPr>
      <t xml:space="preserve">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以現金計）</t>
    </r>
  </si>
  <si>
    <t xml:space="preserve">F14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</si>
  <si>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投資的非現金（算力）部分（只列示）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</si>
  <si>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：另有報導稱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投資多為算力；基準現金比例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</si>
  <si>
    <t xml:space="preserve">F15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</si>
  <si>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（基準不計入；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</si>
  <si>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預設：不計入基準（開關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）；計入情境見第四節</t>
    </r>
  </si>
  <si>
    <t xml:space="preserve">F16</t>
  </si>
  <si>
    <t xml:space="preserve">計入基準的股權流入</t>
  </si>
  <si>
    <r>
      <rPr>
        <b val="true"/>
        <sz val="10"/>
        <rFont val="Noto Sans CJK SC"/>
        <family val="2"/>
      </rPr>
      <t xml:space="preserve">三、現金與外部資金需求（</t>
    </r>
    <r>
      <rPr>
        <b val="true"/>
        <sz val="10"/>
        <rFont val="Arial"/>
        <family val="0"/>
        <charset val="1"/>
      </rPr>
      <t xml:space="preserve">S7</t>
    </r>
    <r>
      <rPr>
        <b val="true"/>
        <sz val="10"/>
        <rFont val="Noto Sans CJK SC"/>
        <family val="2"/>
      </rPr>
      <t xml:space="preserve">：最低現金、來源順序、缺口旗標；外部資金需求＝年底現金低於最低現金的差額累計）</t>
    </r>
  </si>
  <si>
    <t xml:space="preserve">F17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</si>
  <si>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S7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5–20</t>
    </r>
    <r>
      <rPr>
        <sz val="9"/>
        <color rgb="FF595959"/>
        <rFont val="Noto Sans CJK SC"/>
        <family val="2"/>
      </rPr>
      <t xml:space="preserve">）</t>
    </r>
  </si>
  <si>
    <t xml:space="preserve">F18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</si>
  <si>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</si>
  <si>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35–45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</si>
  <si>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F19</t>
  </si>
  <si>
    <t xml:space="preserve">補足前年底現金＝期初＋自由現金流＋股權流入</t>
  </si>
  <si>
    <t xml:space="preserve">F20</t>
  </si>
  <si>
    <r>
      <rPr>
        <sz val="10"/>
        <color rgb="FF000000"/>
        <rFont val="Noto Sans CJK SC"/>
        <family val="2"/>
      </rPr>
      <t xml:space="preserve">當年外部資金需求（來源順序 ③）＝最低現金 − 補足前（補足前低於最低現金時；否則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</si>
  <si>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新股權、債務或延後承諾（</t>
    </r>
    <r>
      <rPr>
        <sz val="9"/>
        <color rgb="FF595959"/>
        <rFont val="Arial"/>
        <family val="0"/>
        <charset val="1"/>
      </rPr>
      <t xml:space="preserve">v0.5 externalNeed</t>
    </r>
    <r>
      <rPr>
        <sz val="9"/>
        <color rgb="FF595959"/>
        <rFont val="Noto Sans CJK SC"/>
        <family val="2"/>
      </rPr>
      <t xml:space="preserve">；不分種類）</t>
    </r>
  </si>
  <si>
    <t xml:space="preserve">F21</t>
  </si>
  <si>
    <t xml:space="preserve">年底現金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</si>
  <si>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（實際）；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起＝補足前＋外部資金</t>
    </r>
  </si>
  <si>
    <t xml:space="preserve">F22</t>
  </si>
  <si>
    <t xml:space="preserve">累計外部資金需求</t>
  </si>
  <si>
    <r>
      <rPr>
        <sz val="9"/>
        <color rgb="FF595959"/>
        <rFont val="Arial"/>
        <family val="0"/>
        <charset val="1"/>
      </rPr>
      <t xml:space="preserve">r6 P5-1</t>
    </r>
    <r>
      <rPr>
        <sz val="9"/>
        <color rgb="FF595959"/>
        <rFont val="Noto Sans CJK SC"/>
        <family val="2"/>
      </rPr>
      <t xml:space="preserve">：外部資金需求＝年底現金低於最低現金的累計差額</t>
    </r>
  </si>
  <si>
    <t xml:space="preserve">F23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</si>
  <si>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</si>
  <si>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</si>
  <si>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</si>
  <si>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Noto Sans CJK SC"/>
        <family val="2"/>
      </rPr>
      <t xml:space="preserve">缺口年度標示（旗標＝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的年度）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</si>
  <si>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取最小值＝首次需要外部資金的年度</t>
    </r>
  </si>
  <si>
    <t xml:space="preserve">F25</t>
  </si>
  <si>
    <t xml:space="preserve">只靠已到位融資（不另募）的年底現金</t>
  </si>
  <si>
    <t xml:space="preserve">顯示已到位融資能撐到哪一年（無外部資金時的現金路徑；可為負）</t>
  </si>
  <si>
    <t xml:space="preserve">F26</t>
  </si>
  <si>
    <t xml:space="preserve">只靠已到位融資：低於最低現金的年度標示</t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</si>
  <si>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取最小值＝已到位融資撐不過的第一年</t>
    </r>
  </si>
  <si>
    <t xml:space="preserve">F27</t>
  </si>
  <si>
    <r>
      <rPr>
        <sz val="10"/>
        <color rgb="FF000000"/>
        <rFont val="Noto Sans CJK SC"/>
        <family val="2"/>
      </rPr>
      <t xml:space="preserve">峰值年度標示（當年外部資金需求＝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最大值）</t>
    </r>
  </si>
  <si>
    <r>
      <rPr>
        <b val="true"/>
        <sz val="10"/>
        <rFont val="Noto Sans CJK SC"/>
        <family val="2"/>
      </rPr>
      <t xml:space="preserve">四、情境：計入 </t>
    </r>
    <r>
      <rPr>
        <b val="true"/>
        <sz val="10"/>
        <rFont val="Arial"/>
        <family val="0"/>
        <charset val="1"/>
      </rPr>
      <t xml:space="preserve">Amazon </t>
    </r>
    <r>
      <rPr>
        <b val="true"/>
        <sz val="10"/>
        <rFont val="Noto Sans CJK SC"/>
        <family val="2"/>
      </rPr>
      <t xml:space="preserve">條件式 </t>
    </r>
    <r>
      <rPr>
        <b val="true"/>
        <sz val="10"/>
        <rFont val="Arial"/>
        <family val="0"/>
        <charset val="1"/>
      </rPr>
      <t xml:space="preserve">$35B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預設：不計入基準，列情境；不受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開關影響）</t>
    </r>
  </si>
  <si>
    <t xml:space="preserve">F28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</si>
  <si>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條件式流入（情境）</t>
    </r>
  </si>
  <si>
    <r>
      <rPr>
        <sz val="9"/>
        <color rgb="FF595959"/>
        <rFont val="Arial"/>
        <family val="0"/>
        <charset val="1"/>
      </rPr>
      <t xml:space="preserve">SRC_OAI_082 × </t>
    </r>
    <r>
      <rPr>
        <sz val="9"/>
        <color rgb="FF595959"/>
        <rFont val="Noto Sans CJK SC"/>
        <family val="2"/>
      </rPr>
      <t xml:space="preserve">到位年（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2026–2027</t>
    </r>
    <r>
      <rPr>
        <sz val="9"/>
        <color rgb="FF595959"/>
        <rFont val="Noto Sans CJK SC"/>
        <family val="2"/>
      </rPr>
      <t xml:space="preserve">）</t>
    </r>
  </si>
  <si>
    <t xml:space="preserve">F29</t>
  </si>
  <si>
    <r>
      <rPr>
        <sz val="10"/>
        <color rgb="FF000000"/>
        <rFont val="Noto Sans CJK SC"/>
        <family val="2"/>
      </rPr>
      <t xml:space="preserve">股權流入（情境）＝已到位融資＋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</t>
    </r>
  </si>
  <si>
    <t xml:space="preserve">F30</t>
  </si>
  <si>
    <t xml:space="preserve">補足前年底現金（情境）</t>
  </si>
  <si>
    <t xml:space="preserve">F31</t>
  </si>
  <si>
    <t xml:space="preserve">當年外部資金需求（情境）</t>
  </si>
  <si>
    <t xml:space="preserve">F32</t>
  </si>
  <si>
    <t xml:space="preserve">年底現金（情境）</t>
  </si>
  <si>
    <t xml:space="preserve">F33</t>
  </si>
  <si>
    <t xml:space="preserve">累計外部資金需求（情境）</t>
  </si>
  <si>
    <r>
      <rPr>
        <b val="true"/>
        <sz val="10"/>
        <rFont val="Noto Sans CJK SC"/>
        <family val="2"/>
      </rPr>
      <t xml:space="preserve">五、或有負債與承諾（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</si>
  <si>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F34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</si>
  <si>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66 </t>
    </r>
    <r>
      <rPr>
        <sz val="9"/>
        <color rgb="FF595959"/>
        <rFont val="Noto Sans CJK SC"/>
        <family val="2"/>
      </rPr>
      <t xml:space="preserve">列</t>
    </r>
  </si>
  <si>
    <t xml:space="preserve">F35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</si>
  <si>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晶片融資（洽談中）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</si>
  <si>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</si>
  <si>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t xml:space="preserve">F36</t>
  </si>
  <si>
    <t xml:space="preserve">或有負債合計（只列示）</t>
  </si>
  <si>
    <r>
      <rPr>
        <sz val="9"/>
        <color rgb="FF595959"/>
        <rFont val="Noto Sans CJK SC"/>
        <family val="2"/>
      </rPr>
      <t xml:space="preserve">不進現金流與外部資金需求（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</si>
  <si>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F37</t>
  </si>
  <si>
    <r>
      <rPr>
        <sz val="10"/>
        <color rgb="FF000000"/>
        <rFont val="Noto Sans CJK SC"/>
        <family val="2"/>
      </rPr>
      <t xml:space="preserve">對照：表外承諾存量（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</si>
  <si>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；只對照</t>
    </r>
  </si>
  <si>
    <t xml:space="preserve">F38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</si>
  <si>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年後）＝各合約總額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實付合計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</si>
  <si>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支出頁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年後剩餘）；只列示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</si>
  <si>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R1–R3</t>
    </r>
    <r>
      <rPr>
        <b val="true"/>
        <sz val="13"/>
        <rFont val="Noto Sans CJK SC"/>
        <family val="2"/>
      </rPr>
      <t xml:space="preserve">）：假設管理層營收目標達成，反解充分條件；只作對照區塊，不回饋基準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</si>
  <si>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「反向」頁與「資金與檢查」反向段）：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目標只驅動本頁；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三組充分條件（只靠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、只靠訂閱、兩線等比例）以正向值的倍數表示；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廣告取正向值（內部廣告目標只作對照）。本頁不被任何基準頁引用（共同規則第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節：不以管理層目標反推參數）。</t>
    </r>
  </si>
  <si>
    <r>
      <rPr>
        <sz val="9"/>
        <color rgb="FF595959"/>
        <rFont val="Noto Sans CJK SC"/>
        <family val="2"/>
      </rPr>
      <t xml:space="preserve">目標路徑：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Σ840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月簡報）；</t>
    </r>
    <r>
      <rPr>
        <sz val="9"/>
        <color rgb="FF595959"/>
        <rFont val="Arial"/>
        <family val="0"/>
        <charset val="1"/>
      </rPr>
      <t xml:space="preserve">2027–28</t>
    </r>
    <r>
      <rPr>
        <sz val="9"/>
        <color rgb="FF595959"/>
        <rFont val="Noto Sans CJK SC"/>
        <family val="2"/>
      </rPr>
      <t xml:space="preserve">＝擬合值（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</t>
    </r>
    <r>
      <rPr>
        <sz val="9"/>
        <color rgb="FF595959"/>
        <rFont val="Noto Sans CJK SC"/>
        <family val="2"/>
      </rPr>
      <t xml:space="preserve">殘差。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原值（對照）。</t>
    </r>
  </si>
  <si>
    <r>
      <rPr>
        <b val="true"/>
        <sz val="10"/>
        <rFont val="Noto Sans CJK SC"/>
        <family val="2"/>
      </rPr>
      <t xml:space="preserve">一、管理層目標營收路徑（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：只驅動本頁）</t>
    </r>
  </si>
  <si>
    <t xml:space="preserve">X01</t>
  </si>
  <si>
    <t xml:space="preserve">管理層營收目標</t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</si>
  <si>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Σ840 − </t>
    </r>
    <r>
      <rPr>
        <sz val="9"/>
        <color rgb="FF595959"/>
        <rFont val="Noto Sans CJK SC"/>
        <family val="2"/>
      </rPr>
      <t xml:space="preserve">其餘四年（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Tokenomics v4 FT_Sep2026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）</t>
    </r>
  </si>
  <si>
    <t xml:space="preserve">X02</t>
  </si>
  <si>
    <r>
      <rPr>
        <sz val="10"/>
        <color rgb="FF000000"/>
        <rFont val="Noto Sans CJK SC"/>
        <family val="2"/>
      </rPr>
      <t xml:space="preserve">檢查：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</si>
  <si>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</si>
  <si>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X03</t>
  </si>
  <si>
    <t xml:space="preserve">目標年增率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</si>
  <si>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：成長率約每年遞減 </t>
    </r>
    <r>
      <rPr>
        <sz val="9"/>
        <color rgb="FF595959"/>
        <rFont val="Arial"/>
        <family val="0"/>
        <charset val="1"/>
      </rPr>
      <t xml:space="preserve">0.2</t>
    </r>
  </si>
  <si>
    <t xml:space="preserve">X04</t>
  </si>
  <si>
    <r>
      <rPr>
        <sz val="10"/>
        <color rgb="FF000000"/>
        <rFont val="Noto Sans CJK SC"/>
        <family val="2"/>
      </rPr>
      <t xml:space="preserve">對照：舊版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</si>
  <si>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t xml:space="preserve">二、正向對照（本模型基準；截頂後）</t>
  </si>
  <si>
    <t xml:space="preserve">X05</t>
  </si>
  <si>
    <t xml:space="preserve">正向總額（截頂後）</t>
  </si>
  <si>
    <t xml:space="preserve">REV_GrossCapped</t>
  </si>
  <si>
    <t xml:space="preserve">X06</t>
  </si>
  <si>
    <t xml:space="preserve">正向訂閱（截頂後）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</si>
  <si>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</si>
  <si>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</si>
  <si>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</si>
  <si>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正向廣告（截頂後）</t>
  </si>
  <si>
    <t xml:space="preserve">X09</t>
  </si>
  <si>
    <t xml:space="preserve">正向其他（截頂後）</t>
  </si>
  <si>
    <t xml:space="preserve">X10</t>
  </si>
  <si>
    <t xml:space="preserve">差距（目標 − 正向）</t>
  </si>
  <si>
    <t xml:space="preserve">X11</t>
  </si>
  <si>
    <r>
      <rPr>
        <sz val="10"/>
        <color rgb="FF000000"/>
        <rFont val="Noto Sans CJK SC"/>
        <family val="2"/>
      </rPr>
      <t xml:space="preserve">核心需求＝目標 − 正向廣告 − 正向其他（</t>
    </r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：廣告取正向值）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</si>
  <si>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列（其他營收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</si>
  <si>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充分條件組：所需倍數（相對正向；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＝正向已足夠）</t>
    </r>
  </si>
  <si>
    <t xml:space="preserve">X12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</si>
  <si>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</si>
  <si>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X13</t>
  </si>
  <si>
    <t xml:space="preserve">只靠訂閱：訂閱營收所需倍數</t>
  </si>
  <si>
    <t xml:space="preserve">X14</t>
  </si>
  <si>
    <r>
      <rPr>
        <sz val="10"/>
        <color rgb="FF000000"/>
        <rFont val="Noto Sans CJK SC"/>
        <family val="2"/>
      </rPr>
      <t xml:space="preserve">兩線等比例：訂閱與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共同倍數</t>
    </r>
  </si>
  <si>
    <t xml:space="preserve">X15</t>
  </si>
  <si>
    <t xml:space="preserve">對照：廣告取內部路徑時的等比例倍數</t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</si>
  <si>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內部廣告營收目標（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）；只對照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</si>
  <si>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換算為可觀測量（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欄）</t>
    </r>
  </si>
  <si>
    <t xml:space="preserve">X16</t>
  </si>
  <si>
    <r>
      <rPr>
        <sz val="10"/>
        <color rgb="FF000000"/>
        <rFont val="Noto Sans CJK SC"/>
        <family val="2"/>
      </rPr>
      <t xml:space="preserve">正向付費用戶（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</si>
  <si>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DEM_Users_Paid</t>
  </si>
  <si>
    <t xml:space="preserve">X17</t>
  </si>
  <si>
    <r>
      <rPr>
        <sz val="10"/>
        <color rgb="FF000000"/>
        <rFont val="Noto Sans CJK SC"/>
        <family val="2"/>
      </rPr>
      <t xml:space="preserve">正向混合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＝訂閱營收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付費用戶</t>
    </r>
  </si>
  <si>
    <t xml:space="preserve">X18</t>
  </si>
  <si>
    <r>
      <rPr>
        <sz val="10"/>
        <color rgb="FF000000"/>
        <rFont val="Noto Sans CJK SC"/>
        <family val="2"/>
      </rPr>
      <t xml:space="preserve">只靠訂閱：所需付費用戶（同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）</t>
    </r>
  </si>
  <si>
    <t xml:space="preserve">X19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</si>
  <si>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</si>
  <si>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；廣告預測的用戶假設）</t>
    </r>
  </si>
  <si>
    <t xml:space="preserve">X20</t>
  </si>
  <si>
    <r>
      <rPr>
        <sz val="10"/>
        <color rgb="FF000000"/>
        <rFont val="Noto Sans CJK SC"/>
        <family val="2"/>
      </rPr>
      <t xml:space="preserve">正向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</si>
  <si>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DEM_Tok_API</t>
  </si>
  <si>
    <t xml:space="preserve">X21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</si>
  <si>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：所需計費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（同單價路徑）</t>
    </r>
  </si>
  <si>
    <r>
      <rPr>
        <sz val="9"/>
        <color rgb="FF595959"/>
        <rFont val="Arial"/>
        <family val="0"/>
        <charset val="1"/>
      </rPr>
      <t xml:space="preserve">REV_ApiPrice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</si>
  <si>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五、橋接 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（示意；簡報營收組成未揭露，順序不同則各項不同）</t>
    </r>
  </si>
  <si>
    <t xml:space="preserve">X22</t>
  </si>
  <si>
    <t xml:space="preserve">正向總額</t>
  </si>
  <si>
    <t xml:space="preserve">X23</t>
  </si>
  <si>
    <t xml:space="preserve">＋廣告由正向提高至內部路徑</t>
  </si>
  <si>
    <t xml:space="preserve">X24</t>
  </si>
  <si>
    <t xml:space="preserve">＋用戶提高至計畫（訂閱等比放大）</t>
  </si>
  <si>
    <r>
      <rPr>
        <sz val="9"/>
        <color rgb="FF595959"/>
        <rFont val="Noto Sans CJK SC"/>
        <family val="2"/>
      </rPr>
      <t xml:space="preserve">總用戶＝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＋付費（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同）</t>
    </r>
  </si>
  <si>
    <t xml:space="preserve">X25</t>
  </si>
  <si>
    <t xml:space="preserve">＋核心殘差</t>
  </si>
  <si>
    <t xml:space="preserve">X26</t>
  </si>
  <si>
    <t xml:space="preserve">＝管理層目標</t>
  </si>
  <si>
    <t xml:space="preserve">X27</t>
  </si>
  <si>
    <r>
      <rPr>
        <sz val="10"/>
        <color rgb="FF000000"/>
        <rFont val="Noto Sans CJK SC"/>
        <family val="2"/>
      </rPr>
      <t xml:space="preserve">核心殘差折算：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所需倍數</t>
    </r>
  </si>
  <si>
    <t xml:space="preserve">X28</t>
  </si>
  <si>
    <t xml:space="preserve">廣告步驟占差距比例</t>
  </si>
  <si>
    <t xml:space="preserve">X29</t>
  </si>
  <si>
    <r>
      <rPr>
        <sz val="10"/>
        <color rgb="FF000000"/>
        <rFont val="Noto Sans CJK SC"/>
        <family val="2"/>
      </rPr>
      <t xml:space="preserve">廣告內部路徑占管理層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</t>
    </r>
  </si>
  <si>
    <r>
      <rPr>
        <b val="true"/>
        <sz val="10"/>
        <rFont val="Noto Sans CJK SC"/>
        <family val="2"/>
      </rPr>
      <t xml:space="preserve">六、反向資金（管理層目標營收＋同一支出；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同一規則；只作對照）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</si>
  <si>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</si>
  <si>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分成（目標營收；同上限規則）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</si>
  <si>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Revenue R28 </t>
    </r>
    <r>
      <rPr>
        <sz val="9"/>
        <color rgb="FF595959"/>
        <rFont val="Noto Sans CJK SC"/>
        <family val="2"/>
      </rPr>
      <t xml:space="preserve">公式，以目標營收計</t>
    </r>
  </si>
  <si>
    <t xml:space="preserve">X31</t>
  </si>
  <si>
    <t xml:space="preserve">X32</t>
  </si>
  <si>
    <t xml:space="preserve">淨營收（目標）</t>
  </si>
  <si>
    <t xml:space="preserve">X33</t>
  </si>
  <si>
    <t xml:space="preserve">算力成本（現金；同正向）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</si>
  <si>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列，負號）</t>
    </r>
  </si>
  <si>
    <t xml:space="preserve">X34</t>
  </si>
  <si>
    <t xml:space="preserve">非算力成本（不含股權報酬；同正向，不隨目標營收放大）</t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</si>
  <si>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預設：『同一支出』（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非算力成本為人數法，不以營收占比推）；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列隨目標營收放大，見下方對照列</t>
    </r>
  </si>
  <si>
    <t xml:space="preserve">X35</t>
  </si>
  <si>
    <t xml:space="preserve">自由現金流（反向）</t>
  </si>
  <si>
    <t xml:space="preserve">X36</t>
  </si>
  <si>
    <t xml:space="preserve">股權流入（同基準）</t>
  </si>
  <si>
    <t xml:space="preserve">FND_EquityIn</t>
  </si>
  <si>
    <t xml:space="preserve">X37</t>
  </si>
  <si>
    <t xml:space="preserve">期初現金</t>
  </si>
  <si>
    <t xml:space="preserve">X38</t>
  </si>
  <si>
    <t xml:space="preserve">補足前年底現金</t>
  </si>
  <si>
    <t xml:space="preserve">X39</t>
  </si>
  <si>
    <t xml:space="preserve">當年外部資金需求</t>
  </si>
  <si>
    <t xml:space="preserve">X40</t>
  </si>
  <si>
    <t xml:space="preserve">X41</t>
  </si>
  <si>
    <t xml:space="preserve">累計外部資金需求（反向）</t>
  </si>
  <si>
    <t xml:space="preserve">X42</t>
  </si>
  <si>
    <r>
      <rPr>
        <sz val="10"/>
        <color rgb="FF000000"/>
        <rFont val="Noto Sans CJK SC"/>
        <family val="2"/>
      </rPr>
      <t xml:space="preserve">對照：非算力成本隨目標營收等比放大（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</si>
  <si>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：營運費用＝目標營收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營收占比；此列以 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正向總額近似</t>
    </r>
  </si>
  <si>
    <t xml:space="preserve">X43</t>
  </si>
  <si>
    <t xml:space="preserve">對照：放大口徑下自由現金流的變動（放大 − 同一支出）</t>
  </si>
  <si>
    <t xml:space="preserve">負＝放大口徑的現金流較差</t>
  </si>
  <si>
    <r>
      <rPr>
        <b val="true"/>
        <sz val="10"/>
        <rFont val="Noto Sans CJK SC"/>
        <family val="2"/>
      </rPr>
      <t xml:space="preserve">七、與管理層簡報對帳（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累計；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</si>
  <si>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X44</t>
  </si>
  <si>
    <r>
      <rPr>
        <sz val="10"/>
        <color rgb="FF000000"/>
        <rFont val="Noto Sans CJK SC"/>
        <family val="2"/>
      </rPr>
      <t xml:space="preserve">本模型反向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</si>
  <si>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35 </t>
    </r>
    <r>
      <rPr>
        <sz val="9"/>
        <color rgb="FF595959"/>
        <rFont val="Noto Sans CJK SC"/>
        <family val="2"/>
      </rPr>
      <t xml:space="preserve">列</t>
    </r>
  </si>
  <si>
    <t xml:space="preserve">X45</t>
  </si>
  <si>
    <r>
      <rPr>
        <sz val="10"/>
        <color rgb="FF000000"/>
        <rFont val="Noto Sans CJK SC"/>
        <family val="2"/>
      </rPr>
      <t xml:space="preserve">簡報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</si>
  <si>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）</t>
    </r>
  </si>
  <si>
    <t xml:space="preserve">X46</t>
  </si>
  <si>
    <t xml:space="preserve">差異（本模型 − 簡報）</t>
  </si>
  <si>
    <t xml:space="preserve">X47</t>
  </si>
  <si>
    <r>
      <rPr>
        <sz val="10"/>
        <color rgb="FF000000"/>
        <rFont val="Noto Sans CJK SC"/>
        <family val="2"/>
      </rPr>
      <t xml:space="preserve">其中：算力（簡報 </t>
    </r>
    <r>
      <rPr>
        <sz val="10"/>
        <color rgb="FF000000"/>
        <rFont val="Arial"/>
        <family val="0"/>
        <charset val="1"/>
      </rPr>
      <t xml:space="preserve">856 −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2026–30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</si>
  <si>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$856B </t>
    </r>
    <r>
      <rPr>
        <sz val="9"/>
        <color rgb="FF595959"/>
        <rFont val="Noto Sans CJK SC"/>
        <family val="2"/>
      </rPr>
      <t xml:space="preserve">算力與基礎設施）</t>
    </r>
  </si>
  <si>
    <t xml:space="preserve">X48</t>
  </si>
  <si>
    <t xml:space="preserve">其中：其餘（營運費用、分成上限、口徑）</t>
  </si>
  <si>
    <t xml:space="preserve">X49</t>
  </si>
  <si>
    <r>
      <rPr>
        <sz val="10"/>
        <color rgb="FF000000"/>
        <rFont val="Noto Sans CJK SC"/>
        <family val="2"/>
      </rPr>
      <t xml:space="preserve">對照：本模型正向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</si>
  <si>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</si>
  <si>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3"/>
        <rFont val="Arial"/>
        <family val="0"/>
        <charset val="1"/>
      </rPr>
      <t xml:space="preserve">PxQ — P×Q </t>
    </r>
    <r>
      <rPr>
        <b val="true"/>
        <sz val="13"/>
        <rFont val="Noto Sans CJK SC"/>
        <family val="2"/>
      </rPr>
      <t xml:space="preserve">與回本比值：實際 </t>
    </r>
    <r>
      <rPr>
        <b val="true"/>
        <sz val="13"/>
        <rFont val="Arial"/>
        <family val="0"/>
        <charset val="1"/>
      </rPr>
      <t xml:space="preserve">m×L ÷ </t>
    </r>
    <r>
      <rPr>
        <b val="true"/>
        <sz val="13"/>
        <rFont val="Noto Sans CJK SC"/>
        <family val="2"/>
      </rPr>
      <t xml:space="preserve">所需 </t>
    </r>
    <r>
      <rPr>
        <b val="true"/>
        <sz val="13"/>
        <rFont val="Arial"/>
        <family val="0"/>
        <charset val="1"/>
      </rPr>
      <t xml:space="preserve">m×L</t>
    </r>
    <r>
      <rPr>
        <b val="true"/>
        <sz val="13"/>
        <rFont val="Noto Sans CJK SC"/>
        <family val="2"/>
      </rPr>
      <t xml:space="preserve">（＝營收 </t>
    </r>
    <r>
      <rPr>
        <b val="true"/>
        <sz val="13"/>
        <rFont val="Arial"/>
        <family val="0"/>
        <charset val="1"/>
      </rPr>
      <t xml:space="preserve">÷ </t>
    </r>
    <r>
      <rPr>
        <b val="true"/>
        <sz val="13"/>
        <rFont val="Noto Sans CJK SC"/>
        <family val="2"/>
      </rPr>
      <t xml:space="preserve">算力成本）的年度序列（</t>
    </r>
    <r>
      <rPr>
        <b val="true"/>
        <sz val="13"/>
        <rFont val="Arial"/>
        <family val="0"/>
        <charset val="1"/>
      </rPr>
      <t xml:space="preserve">v0.6.1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</si>
  <si>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參數只取 </t>
    </r>
    <r>
      <rPr>
        <sz val="9"/>
        <color rgb="FF595959"/>
        <rFont val="Arial"/>
        <family val="0"/>
        <charset val="1"/>
      </rPr>
      <t xml:space="preserve">TK_PxQ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v19.0 </t>
    </r>
    <r>
      <rPr>
        <sz val="9"/>
        <color rgb="FF595959"/>
        <rFont val="Noto Sans CJK SC"/>
        <family val="2"/>
      </rPr>
      <t xml:space="preserve">快照，</t>
    </r>
    <r>
      <rPr>
        <sz val="9"/>
        <color rgb="FF595959"/>
        <rFont val="Arial"/>
        <family val="0"/>
        <charset val="1"/>
      </rPr>
      <t xml:space="preserve">TKQ_</t>
    </r>
    <r>
      <rPr>
        <sz val="9"/>
        <color rgb="FF595959"/>
        <rFont val="Noto Sans CJK SC"/>
        <family val="2"/>
      </rPr>
      <t xml:space="preserve">）；公司層級（平均上線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、世代組合、營收）取本模型。看的不是回本的絕對數字，而是實際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所需的比值趨勢（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</si>
  <si>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＝付費服務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的實收單價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有效牌價（有效牌價＝表列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d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TKQ_IF_Disc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取壽命期價格係數（判斷題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預設）。比值中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與牌價約掉，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只決定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Noto Sans CJK SC"/>
        <family val="2"/>
      </rPr>
      <t xml:space="preserve">的水準。欄 </t>
    </r>
    <r>
      <rPr>
        <sz val="9"/>
        <color rgb="FF595959"/>
        <rFont val="Arial"/>
        <family val="0"/>
        <charset val="1"/>
      </rPr>
      <t xml:space="preserve">D–H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指數／線性內插、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低／基準／高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）／年。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</si>
  <si>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指數內插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</si>
  <si>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線性內插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</si>
  <si>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</si>
  <si>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</si>
  <si>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</si>
  <si>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主輸出：回本比值（實際 </t>
    </r>
    <r>
      <rPr>
        <b val="true"/>
        <sz val="10"/>
        <rFont val="Arial"/>
        <family val="0"/>
        <charset val="1"/>
      </rPr>
      <t xml:space="preserve">m×L ÷ </t>
    </r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Noto Sans CJK SC"/>
        <family val="2"/>
      </rPr>
      <t xml:space="preserve">＝ 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算力成本）的年度序列</t>
    </r>
  </si>
  <si>
    <t xml:space="preserve">案例</t>
  </si>
  <si>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</si>
  <si>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比值（實際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所需）</t>
    </r>
  </si>
  <si>
    <r>
      <rPr>
        <sz val="9"/>
        <color rgb="FF595959"/>
        <rFont val="Noto Sans CJK SC"/>
        <family val="2"/>
      </rPr>
      <t xml:space="preserve">看的並不是回本的絕對數字，而是實際除以所需這個比例的趨勢（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Noto Sans CJK SC"/>
        <family val="2"/>
      </rPr>
      <t xml:space="preserve">）；比值＞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＝實收足以覆蓋機隊持有成本</t>
    </r>
  </si>
  <si>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</si>
  <si>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</si>
  <si>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主值比值（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開關：指數／線性）</t>
    </r>
  </si>
  <si>
    <t xml:space="preserve">讀法</t>
  </si>
  <si>
    <t xml:space="preserve">讀法句為公式文字（數字取自本頁儲存格，非手寫）</t>
  </si>
  <si>
    <r>
      <rPr>
        <b val="true"/>
        <sz val="10"/>
        <rFont val="Noto Sans CJK SC"/>
        <family val="2"/>
      </rPr>
      <t xml:space="preserve">一、案例定義：年度、平均上線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（欄 </t>
    </r>
    <r>
      <rPr>
        <b val="true"/>
        <sz val="10"/>
        <rFont val="Arial"/>
        <family val="0"/>
        <charset val="1"/>
      </rPr>
      <t xml:space="preserve">D–H</t>
    </r>
    <r>
      <rPr>
        <b val="true"/>
        <sz val="10"/>
        <rFont val="Noto Sans CJK SC"/>
        <family val="2"/>
      </rPr>
      <t xml:space="preserve">）、營收（基準）</t>
    </r>
  </si>
  <si>
    <r>
      <rPr>
        <sz val="9"/>
        <color rgb="FF595959"/>
        <rFont val="Arial"/>
        <family val="0"/>
        <charset val="1"/>
      </rPr>
      <t xml:space="preserve">INP_005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INP_006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為實際校準年）</t>
    </r>
  </si>
  <si>
    <r>
      <rPr>
        <sz val="10"/>
        <color rgb="FF000000"/>
        <rFont val="Noto Sans CJK SC"/>
        <family val="2"/>
      </rPr>
      <t xml:space="preserve">年度序位（年度 − 起始年 </t>
    </r>
    <r>
      <rPr>
        <sz val="10"/>
        <color rgb="FF000000"/>
        <rFont val="Arial"/>
        <family val="0"/>
        <charset val="1"/>
      </rPr>
      <t xml:space="preserve">+ 1</t>
    </r>
    <r>
      <rPr>
        <sz val="10"/>
        <color rgb="FF000000"/>
        <rFont val="Noto Sans CJK SC"/>
        <family val="2"/>
      </rPr>
      <t xml:space="preserve">；供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CMP_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REV_ </t>
    </r>
    <r>
      <rPr>
        <sz val="10"/>
        <color rgb="FF000000"/>
        <rFont val="Noto Sans CJK SC"/>
        <family val="2"/>
      </rPr>
      <t xml:space="preserve">年度向量）</t>
    </r>
  </si>
  <si>
    <t xml:space="preserve">序位</t>
  </si>
  <si>
    <r>
      <rPr>
        <sz val="9"/>
        <color rgb="FF595959"/>
        <rFont val="Noto Sans CJK SC"/>
        <family val="2"/>
      </rPr>
      <t xml:space="preserve">年數含頭尾的 </t>
    </r>
    <r>
      <rPr>
        <sz val="9"/>
        <color rgb="FF595959"/>
        <rFont val="Arial"/>
        <family val="0"/>
        <charset val="1"/>
      </rPr>
      <t xml:space="preserve">+1</t>
    </r>
    <r>
      <rPr>
        <sz val="9"/>
        <color rgb="FF595959"/>
        <rFont val="Noto Sans CJK SC"/>
        <family val="2"/>
      </rPr>
      <t xml:space="preserve">（恆等式）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</si>
  <si>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官方端點（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；電力口徑未明）內插——指數＝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端點差</t>
    </r>
    <r>
      <rPr>
        <sz val="9"/>
        <color rgb="FF595959"/>
        <rFont val="Arial"/>
        <family val="0"/>
        <charset val="1"/>
      </rPr>
      <t xml:space="preserve">)÷ln(</t>
    </r>
    <r>
      <rPr>
        <sz val="9"/>
        <color rgb="FF595959"/>
        <rFont val="Noto Sans CJK SC"/>
        <family val="2"/>
      </rPr>
      <t xml:space="preserve">端點比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，線性＝端點平均（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三情境（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；官方未公布）</t>
    </r>
  </si>
  <si>
    <t xml:space="preserve">營收（基準）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</si>
  <si>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13.07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驗等於 </t>
    </r>
    <r>
      <rPr>
        <sz val="9"/>
        <color rgb="FF595959"/>
        <rFont val="Arial"/>
        <family val="0"/>
        <charset val="1"/>
      </rPr>
      <t xml:space="preserve">TKQ_SRC_DEM_007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＝管理層目標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 </t>
    </r>
    <r>
      <rPr>
        <sz val="9"/>
        <color rgb="FF595959"/>
        <rFont val="Noto Sans CJK SC"/>
        <family val="2"/>
      </rPr>
      <t xml:space="preserve">七月投資人簡報；利害關係方的管理層目標，非市場傳聞）</t>
    </r>
  </si>
  <si>
    <r>
      <rPr>
        <b val="true"/>
        <sz val="10"/>
        <rFont val="Noto Sans CJK SC"/>
        <family val="2"/>
      </rPr>
      <t xml:space="preserve">二、世代參數（每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TK_PxQ </t>
    </r>
    <r>
      <rPr>
        <b val="true"/>
        <sz val="10"/>
        <rFont val="Noto Sans CJK SC"/>
        <family val="2"/>
      </rPr>
      <t xml:space="preserve">基準成本情境）：欄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年持有成本、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付費年產能、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生產折減（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生產折減（一律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採用（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開關）</t>
    </r>
  </si>
  <si>
    <r>
      <rPr>
        <b val="true"/>
        <sz val="10"/>
        <rFont val="Arial"/>
        <family val="0"/>
        <charset val="1"/>
      </rPr>
      <t xml:space="preserve">TKQ_HdrGen </t>
    </r>
    <r>
      <rPr>
        <b val="true"/>
        <sz val="10"/>
        <rFont val="Noto Sans CJK SC"/>
        <family val="2"/>
      </rPr>
      <t xml:space="preserve">對照名稱</t>
    </r>
  </si>
  <si>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$B/GW/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</si>
  <si>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付費年產能 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</si>
  <si>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</t>
    </r>
  </si>
  <si>
    <r>
      <rPr>
        <b val="true"/>
        <sz val="10"/>
        <rFont val="Noto Sans CJK SC"/>
        <family val="2"/>
      </rPr>
      <t xml:space="preserve">折減（一律 </t>
    </r>
    <r>
      <rPr>
        <b val="true"/>
        <sz val="10"/>
        <rFont val="Arial"/>
        <family val="0"/>
        <charset val="1"/>
      </rPr>
      <t xml:space="preserve">ProdDerate</t>
    </r>
    <r>
      <rPr>
        <b val="true"/>
        <sz val="10"/>
        <rFont val="Noto Sans CJK SC"/>
        <family val="2"/>
      </rPr>
      <t xml:space="preserve">）</t>
    </r>
  </si>
  <si>
    <t xml:space="preserve">折減（採用）</t>
  </si>
  <si>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TKQ_HdrCost</t>
    </r>
    <r>
      <rPr>
        <sz val="10"/>
        <color rgb="FF000000"/>
        <rFont val="Noto Sans CJK SC"/>
        <family val="2"/>
      </rPr>
      <t xml:space="preserve">；基準）</t>
    </r>
  </si>
  <si>
    <t xml:space="preserve">VR200</t>
  </si>
  <si>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IF_FleetProdRatio_VR200</t>
    </r>
    <r>
      <rPr>
        <sz val="9"/>
        <color rgb="FF595959"/>
        <rFont val="Noto Sans CJK SC"/>
        <family val="2"/>
      </rPr>
      <t xml:space="preserve">（重解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後的比）；其他世代用 </t>
    </r>
    <r>
      <rPr>
        <sz val="9"/>
        <color rgb="FF595959"/>
        <rFont val="Arial"/>
        <family val="0"/>
        <charset val="1"/>
      </rPr>
      <t xml:space="preserve">IF_ProdDerate</t>
    </r>
  </si>
  <si>
    <t xml:space="preserve">Rubin Ultra</t>
  </si>
  <si>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時才影響（基準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占比為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</si>
  <si>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世代產能係數）</t>
    </r>
  </si>
  <si>
    <r>
      <rPr>
        <sz val="9"/>
        <color rgb="FF595959"/>
        <rFont val="Noto Sans CJK SC"/>
        <family val="2"/>
      </rPr>
      <t xml:space="preserve">自研晶片：持有成本與產能＝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世代產能係數（沿用 </t>
    </r>
    <r>
      <rPr>
        <sz val="9"/>
        <color rgb="FF595959"/>
        <rFont val="Arial"/>
        <family val="0"/>
        <charset val="1"/>
      </rPr>
      <t xml:space="preserve">v0.6 P4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做法；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，係數區間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）；折減用 </t>
    </r>
    <r>
      <rPr>
        <sz val="9"/>
        <color rgb="FF595959"/>
        <rFont val="Arial"/>
        <family val="0"/>
        <charset val="1"/>
      </rPr>
      <t xml:space="preserve">IF_ProdDerate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</si>
  <si>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三、主序列（基準）：世代組合依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OpenAI v0.6 </t>
    </r>
    <r>
      <rPr>
        <b val="true"/>
        <sz val="10"/>
        <rFont val="Noto Sans CJK SC"/>
        <family val="2"/>
      </rPr>
      <t xml:space="preserve">自有 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組合）、生產折減依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讀法）、服務占比＝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</si>
  <si>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</si>
  <si>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</si>
  <si>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</si>
  <si>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</si>
  <si>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</si>
  <si>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世代占比：自研／其他</t>
  </si>
  <si>
    <r>
      <rPr>
        <sz val="10"/>
        <color rgb="FF000000"/>
        <rFont val="Noto Sans CJK SC"/>
        <family val="2"/>
      </rPr>
      <t xml:space="preserve">世代占比合計（應＝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</si>
  <si>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</si>
  <si>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（世代加權）</t>
    </r>
  </si>
  <si>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TKQ_IF_HoldEcon</t>
    </r>
    <r>
      <rPr>
        <sz val="9"/>
        <color rgb="FF595959"/>
        <rFont val="Noto Sans CJK SC"/>
        <family val="2"/>
      </rPr>
      <t xml:space="preserve">（基準欄）</t>
    </r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</si>
  <si>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＝平均 </t>
    </r>
    <r>
      <rPr>
        <sz val="10"/>
        <color rgb="FF000000"/>
        <rFont val="Arial"/>
        <family val="0"/>
        <charset val="1"/>
      </rPr>
      <t xml:space="preserve">GW × h</t>
    </r>
  </si>
  <si>
    <r>
      <rPr>
        <sz val="9"/>
        <color rgb="FF595959"/>
        <rFont val="Noto Sans CJK SC"/>
        <family val="2"/>
      </rPr>
      <t xml:space="preserve">年度算力成本（機隊持有成本口徑；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：『從持有的機隊成本去推算』）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</si>
  <si>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付費年產能（世代加權，已乘生產折減）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</si>
  <si>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TKQ_IF_TokGWPaidMix × </t>
    </r>
    <r>
      <rPr>
        <sz val="9"/>
        <color rgb="FF595959"/>
        <rFont val="Noto Sans CJK SC"/>
        <family val="2"/>
      </rPr>
      <t xml:space="preserve">生產折減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</si>
  <si>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</si>
  <si>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就是真正拿去用作服務的算力，去乘上每單位算力可以產生的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數』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</si>
  <si>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token</t>
    </r>
    <r>
      <rPr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</si>
  <si>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</si>
  <si>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顯示用（交接檔『約 </t>
    </r>
    <r>
      <rPr>
        <sz val="9"/>
        <color rgb="FF595959"/>
        <rFont val="Arial"/>
        <family val="0"/>
        <charset val="1"/>
      </rPr>
      <t xml:space="preserve">6.4×10¹⁵ token</t>
    </r>
    <r>
      <rPr>
        <sz val="9"/>
        <color rgb="FF595959"/>
        <rFont val="Noto Sans CJK SC"/>
        <family val="2"/>
      </rPr>
      <t xml:space="preserve">』＝</t>
    </r>
    <r>
      <rPr>
        <sz val="9"/>
        <color rgb="FF595959"/>
        <rFont val="Arial"/>
        <family val="0"/>
        <charset val="1"/>
      </rPr>
      <t xml:space="preserve">6,400 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</si>
  <si>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有效牌價 </t>
    </r>
    <r>
      <rPr>
        <sz val="10"/>
        <color rgb="FF000000"/>
        <rFont val="Arial"/>
        <family val="0"/>
        <charset val="1"/>
      </rPr>
      <t xml:space="preserve">P_eff</t>
    </r>
    <r>
      <rPr>
        <sz val="10"/>
        <color rgb="FF000000"/>
        <rFont val="Noto Sans CJK SC"/>
        <family val="2"/>
      </rPr>
      <t xml:space="preserve">（付費層級組合；已含折扣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</t>
    </r>
  </si>
  <si>
    <t xml:space="preserve">$/M tok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</si>
  <si>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IF_PxEffMix25</t>
    </r>
    <r>
      <rPr>
        <sz val="9"/>
        <color rgb="FF595959"/>
        <rFont val="Noto Sans CJK SC"/>
        <family val="2"/>
      </rPr>
      <t xml:space="preserve">（年度加權）；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</si>
  <si>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表列牌價＝</t>
    </r>
    <r>
      <rPr>
        <sz val="10"/>
        <color rgb="FF000000"/>
        <rFont val="Arial"/>
        <family val="0"/>
        <charset val="1"/>
      </rPr>
      <t xml:space="preserve">P_eff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</si>
  <si>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TKQ_IF_Disc</t>
    </r>
    <r>
      <rPr>
        <sz val="9"/>
        <color rgb="FF595959"/>
        <rFont val="Noto Sans CJK SC"/>
        <family val="2"/>
      </rPr>
      <t xml:space="preserve">，不寫死</t>
    </r>
  </si>
  <si>
    <t xml:space="preserve">營收</t>
  </si>
  <si>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</si>
  <si>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只看收費業務、跟營收有關跟成本無關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</si>
  <si>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＝算力成本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Noto Sans CJK SC"/>
        <family val="2"/>
      </rPr>
      <t xml:space="preserve">）</t>
    </r>
  </si>
  <si>
    <t xml:space="preserve">回本所需</t>
  </si>
  <si>
    <r>
      <rPr>
        <sz val="10"/>
        <color rgb="FF000000"/>
        <rFont val="Noto Sans CJK SC"/>
        <family val="2"/>
      </rPr>
      <t xml:space="preserve">比值＝實際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</si>
  <si>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9"/>
        <color rgb="FF595959"/>
        <rFont val="Noto Sans CJK SC"/>
        <family val="2"/>
      </rPr>
      <t xml:space="preserve">主輸出；＝營收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算力成本</t>
    </r>
  </si>
  <si>
    <r>
      <rPr>
        <sz val="10"/>
        <color rgb="FF000000"/>
        <rFont val="Noto Sans CJK SC"/>
        <family val="2"/>
      </rPr>
      <t xml:space="preserve">恆等式：比值 −（營收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算力成本）（應＝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</si>
  <si>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機隊，</t>
    </r>
    <r>
      <rPr>
        <sz val="10"/>
        <color rgb="FF000000"/>
        <rFont val="Arial"/>
        <family val="0"/>
        <charset val="1"/>
      </rPr>
      <t xml:space="preserve">TKQ_IF_LTotalFleetVDisc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</si>
  <si>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只作顯示（判斷題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讀法預設＝壽命期價格係數）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</si>
  <si>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＝新世代，</t>
    </r>
    <r>
      <rPr>
        <sz val="10"/>
        <color rgb="FF000000"/>
        <rFont val="Arial"/>
        <family val="0"/>
        <charset val="1"/>
      </rPr>
      <t xml:space="preserve">TKQ_IF_LTotalDisc</t>
    </r>
    <r>
      <rPr>
        <sz val="10"/>
        <color rgb="FF000000"/>
        <rFont val="Noto Sans CJK SC"/>
        <family val="2"/>
      </rPr>
      <t xml:space="preserve">）</t>
    </r>
  </si>
  <si>
    <t xml:space="preserve">只作顯示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</si>
  <si>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</si>
  <si>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</si>
  <si>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主值比值）＝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</si>
  <si>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平均上線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低於此值，比值才高於 </t>
    </r>
    <r>
      <rPr>
        <sz val="9"/>
        <color rgb="FF595959"/>
        <rFont val="Arial"/>
        <family val="0"/>
        <charset val="1"/>
      </rPr>
      <t xml:space="preserve">2025</t>
    </r>
  </si>
  <si>
    <t xml:space="preserve">四、敏感度與對照基準（下列各區塊與主序列只差一個條件；比值不受服務占比影響）</t>
  </si>
  <si>
    <r>
      <rPr>
        <b val="true"/>
        <sz val="10"/>
        <rFont val="Arial"/>
        <family val="0"/>
        <charset val="1"/>
      </rPr>
      <t xml:space="preserve">4.1 </t>
    </r>
    <r>
      <rPr>
        <b val="true"/>
        <sz val="10"/>
        <rFont val="Noto Sans CJK SC"/>
        <family val="2"/>
      </rPr>
      <t xml:space="preserve">預覽值基準：交接檔世代組合（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）＋一律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Noto Sans CJK SC"/>
        <family val="2"/>
      </rPr>
      <t xml:space="preserve">（對帳用；其餘同基準）</t>
    </r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</si>
  <si>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</si>
  <si>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</si>
  <si>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</si>
  <si>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</si>
  <si>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</si>
  <si>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</si>
  <si>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</si>
  <si>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</si>
  <si>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</si>
  <si>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</si>
  <si>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</si>
  <si>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r>
      <rPr>
        <b val="true"/>
        <sz val="10"/>
        <rFont val="Arial"/>
        <family val="0"/>
        <charset val="1"/>
      </rPr>
      <t xml:space="preserve">4.2 </t>
    </r>
    <r>
      <rPr>
        <b val="true"/>
        <sz val="10"/>
        <rFont val="Noto Sans CJK SC"/>
        <family val="2"/>
      </rPr>
      <t xml:space="preserve">服務占比改為 </t>
    </r>
    <r>
      <rPr>
        <b val="true"/>
        <sz val="10"/>
        <rFont val="Arial"/>
        <family val="0"/>
        <charset val="1"/>
      </rPr>
      <t xml:space="preserve">Epoch </t>
    </r>
    <r>
      <rPr>
        <b val="true"/>
        <sz val="10"/>
        <rFont val="Noto Sans CJK SC"/>
        <family val="2"/>
      </rPr>
      <t xml:space="preserve">對照值（</t>
    </r>
    <r>
      <rPr>
        <b val="true"/>
        <sz val="10"/>
        <rFont val="Arial"/>
        <family val="0"/>
        <charset val="1"/>
      </rPr>
      <t xml:space="preserve">SRC_OAI</t>
    </r>
    <r>
      <rPr>
        <b val="true"/>
        <sz val="10"/>
        <rFont val="Noto Sans CJK SC"/>
        <family val="2"/>
      </rPr>
      <t xml:space="preserve">『研發與推論約各半』）：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Noto Sans CJK SC"/>
        <family val="2"/>
      </rPr>
      <t xml:space="preserve">改變，比值不變</t>
    </r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</si>
  <si>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</si>
  <si>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</si>
  <si>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</si>
  <si>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</si>
  <si>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</si>
  <si>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</si>
  <si>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</si>
  <si>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</si>
  <si>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</si>
  <si>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</si>
  <si>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</si>
  <si>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</si>
  <si>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</si>
  <si>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</si>
  <si>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</si>
  <si>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</si>
  <si>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</si>
  <si>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</si>
  <si>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</si>
  <si>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r>
      <rPr>
        <b val="true"/>
        <sz val="10"/>
        <rFont val="Arial"/>
        <family val="0"/>
        <charset val="1"/>
      </rPr>
      <t xml:space="preserve">4.3 2026 </t>
    </r>
    <r>
      <rPr>
        <b val="true"/>
        <sz val="10"/>
        <rFont val="Noto Sans CJK SC"/>
        <family val="2"/>
      </rPr>
      <t xml:space="preserve">營收改用模型正向（</t>
    </r>
    <r>
      <rPr>
        <b val="true"/>
        <sz val="10"/>
        <rFont val="Arial"/>
        <family val="0"/>
        <charset val="1"/>
      </rPr>
      <t xml:space="preserve">REV_GrossCapped 2026</t>
    </r>
    <r>
      <rPr>
        <b val="true"/>
        <sz val="10"/>
        <rFont val="Noto Sans CJK SC"/>
        <family val="2"/>
      </rPr>
      <t xml:space="preserve">；截頂後總額）</t>
    </r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</si>
  <si>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</si>
  <si>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</si>
  <si>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</si>
  <si>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</si>
  <si>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</si>
  <si>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</si>
  <si>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</si>
  <si>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</si>
  <si>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</si>
  <si>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</si>
  <si>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</si>
  <si>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</si>
  <si>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</si>
  <si>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</si>
  <si>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</si>
  <si>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</si>
  <si>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</si>
  <si>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</si>
  <si>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</si>
  <si>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r>
      <rPr>
        <b val="true"/>
        <sz val="10"/>
        <rFont val="Arial"/>
        <family val="0"/>
        <charset val="1"/>
      </rPr>
      <t xml:space="preserve">4.4 </t>
    </r>
    <r>
      <rPr>
        <b val="true"/>
        <sz val="10"/>
        <rFont val="Noto Sans CJK SC"/>
        <family val="2"/>
      </rPr>
      <t xml:space="preserve">世代組合改用交接檔（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生產折減讀法不變）</t>
    </r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</si>
  <si>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</si>
  <si>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</si>
  <si>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</si>
  <si>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</si>
  <si>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</si>
  <si>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</si>
  <si>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</si>
  <si>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</si>
  <si>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</si>
  <si>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</si>
  <si>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</si>
  <si>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</si>
  <si>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</si>
  <si>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</si>
  <si>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</si>
  <si>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</si>
  <si>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</si>
  <si>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</si>
  <si>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</si>
  <si>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r>
      <rPr>
        <b val="true"/>
        <sz val="10"/>
        <rFont val="Arial"/>
        <family val="0"/>
        <charset val="1"/>
      </rPr>
      <t xml:space="preserve">4.5 2026 </t>
    </r>
    <r>
      <rPr>
        <b val="true"/>
        <sz val="10"/>
        <rFont val="Noto Sans CJK SC"/>
        <family val="2"/>
      </rPr>
      <t xml:space="preserve">平均上線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改用 </t>
    </r>
    <r>
      <rPr>
        <b val="true"/>
        <sz val="10"/>
        <rFont val="Arial"/>
        <family val="0"/>
        <charset val="1"/>
      </rPr>
      <t xml:space="preserve">v0.6 </t>
    </r>
    <r>
      <rPr>
        <b val="true"/>
        <sz val="10"/>
        <rFont val="Noto Sans CJK SC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CMP_SupplyGW 2026</t>
    </r>
    <r>
      <rPr>
        <b val="true"/>
        <sz val="10"/>
        <rFont val="Noto Sans CJK SC"/>
        <family val="2"/>
      </rPr>
      <t xml:space="preserve">；合約＋自建；是否年平均未明）</t>
    </r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</si>
  <si>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</si>
  <si>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</si>
  <si>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</si>
  <si>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</si>
  <si>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</si>
  <si>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</si>
  <si>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</si>
  <si>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</si>
  <si>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</si>
  <si>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</si>
  <si>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</si>
  <si>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</si>
  <si>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</si>
  <si>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</si>
  <si>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</si>
  <si>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</si>
  <si>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</si>
  <si>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</si>
  <si>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</si>
  <si>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r>
      <rPr>
        <b val="true"/>
        <sz val="10"/>
        <rFont val="Noto Sans CJK SC"/>
        <family val="2"/>
      </rPr>
      <t xml:space="preserve">五、對照列（外部報導的算力支出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GW × h</t>
    </r>
    <r>
      <rPr>
        <b val="true"/>
        <sz val="10"/>
        <rFont val="Noto Sans CJK SC"/>
        <family val="2"/>
      </rPr>
      <t xml:space="preserve">；不進主序列）</t>
    </r>
  </si>
  <si>
    <t xml:space="preserve">X137</t>
  </si>
  <si>
    <r>
      <rPr>
        <sz val="10"/>
        <color rgb="FF000000"/>
        <rFont val="Noto Sans CJK SC"/>
        <family val="2"/>
      </rPr>
      <t xml:space="preserve">外部報導算力支出（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：雲端，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引媒體；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</si>
  <si>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（新列；出處網址見該列）</t>
    </r>
  </si>
  <si>
    <t xml:space="preserve">X138</t>
  </si>
  <si>
    <r>
      <rPr>
        <sz val="10"/>
        <color rgb="FF000000"/>
        <rFont val="Noto Sans CJK SC"/>
        <family val="2"/>
      </rPr>
      <t xml:space="preserve">倍數＝外部支出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</t>
    </r>
  </si>
  <si>
    <t xml:space="preserve">固定倍數在比值趨勢中約掉，但須逐年用同一口徑</t>
  </si>
  <si>
    <t xml:space="preserve">X139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</si>
  <si>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推論＋訓練支出（</t>
    </r>
    <r>
      <rPr>
        <sz val="10"/>
        <color rgb="FF000000"/>
        <rFont val="Arial"/>
        <family val="0"/>
        <charset val="1"/>
      </rPr>
      <t xml:space="preserve">TKQ_SRC_DEM_004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</si>
  <si>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：『兩百零四億，很明顯是高估了』——只作對照，不作算力成本</t>
    </r>
  </si>
  <si>
    <t xml:space="preserve">X140</t>
  </si>
  <si>
    <r>
      <rPr>
        <sz val="10"/>
        <color rgb="FF000000"/>
        <rFont val="Noto Sans CJK SC"/>
        <family val="2"/>
      </rPr>
      <t xml:space="preserve">倍數＝（推論＋訓練）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</si>
  <si>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六、預覽值對帳（交接檔第 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節；以 </t>
    </r>
    <r>
      <rPr>
        <b val="true"/>
        <sz val="10"/>
        <rFont val="Arial"/>
        <family val="0"/>
        <charset val="1"/>
      </rPr>
      <t xml:space="preserve">4.1 </t>
    </r>
    <r>
      <rPr>
        <b val="true"/>
        <sz val="10"/>
        <rFont val="Noto Sans CJK SC"/>
        <family val="2"/>
      </rPr>
      <t xml:space="preserve">預覽值基準計；基準欄＝主序列）</t>
    </r>
  </si>
  <si>
    <t xml:space="preserve">交接檔值</t>
  </si>
  <si>
    <t xml:space="preserve">模型（預覽基準）</t>
  </si>
  <si>
    <t xml:space="preserve">相對差</t>
  </si>
  <si>
    <t xml:space="preserve">判定</t>
  </si>
  <si>
    <t xml:space="preserve">模型（主序列）</t>
  </si>
  <si>
    <t xml:space="preserve">主序列相對差</t>
  </si>
  <si>
    <t xml:space="preserve">X141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</si>
  <si>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93.5 </t>
    </r>
    <r>
      <rPr>
        <sz val="10"/>
        <color rgb="FF000000"/>
        <rFont val="Noto Sans CJK SC"/>
        <family val="2"/>
      </rPr>
      <t xml:space="preserve">億）</t>
    </r>
  </si>
  <si>
    <t xml:space="preserve">X142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</si>
  <si>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97.3 </t>
    </r>
    <r>
      <rPr>
        <sz val="10"/>
        <color rgb="FF000000"/>
        <rFont val="Noto Sans CJK SC"/>
        <family val="2"/>
      </rPr>
      <t xml:space="preserve">億）</t>
    </r>
  </si>
  <si>
    <t xml:space="preserve">X143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</si>
  <si>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指數（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億）</t>
    </r>
  </si>
  <si>
    <t xml:space="preserve">X144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</si>
  <si>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線性（</t>
    </r>
    <r>
      <rPr>
        <sz val="10"/>
        <color rgb="FF000000"/>
        <rFont val="Arial"/>
        <family val="0"/>
        <charset val="1"/>
      </rPr>
      <t xml:space="preserve">117 </t>
    </r>
    <r>
      <rPr>
        <sz val="10"/>
        <color rgb="FF000000"/>
        <rFont val="Noto Sans CJK SC"/>
        <family val="2"/>
      </rPr>
      <t xml:space="preserve">億）</t>
    </r>
  </si>
  <si>
    <t xml:space="preserve">X145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</si>
  <si>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243 </t>
    </r>
    <r>
      <rPr>
        <sz val="10"/>
        <color rgb="FF000000"/>
        <rFont val="Noto Sans CJK SC"/>
        <family val="2"/>
      </rPr>
      <t xml:space="preserve">億）</t>
    </r>
  </si>
  <si>
    <t xml:space="preserve">X146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</si>
  <si>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292 </t>
    </r>
    <r>
      <rPr>
        <sz val="10"/>
        <color rgb="FF000000"/>
        <rFont val="Noto Sans CJK SC"/>
        <family val="2"/>
      </rPr>
      <t xml:space="preserve">億）</t>
    </r>
  </si>
  <si>
    <t xml:space="preserve">X147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</si>
  <si>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341 </t>
    </r>
    <r>
      <rPr>
        <sz val="10"/>
        <color rgb="FF000000"/>
        <rFont val="Noto Sans CJK SC"/>
        <family val="2"/>
      </rPr>
      <t xml:space="preserve">億）</t>
    </r>
  </si>
  <si>
    <t xml:space="preserve">X148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</si>
  <si>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</t>
    </r>
  </si>
  <si>
    <t xml:space="preserve">X149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</si>
  <si>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</t>
    </r>
  </si>
  <si>
    <t xml:space="preserve">X150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</si>
  <si>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</si>
  <si>
    <t xml:space="preserve">X151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</si>
  <si>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</si>
  <si>
    <t xml:space="preserve">X152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</si>
  <si>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</si>
  <si>
    <t xml:space="preserve">X153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</si>
  <si>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指數比值）</t>
    </r>
  </si>
  <si>
    <t xml:space="preserve">X154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</si>
  <si>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線性比值）</t>
    </r>
  </si>
  <si>
    <t xml:space="preserve">X155</t>
  </si>
  <si>
    <r>
      <rPr>
        <sz val="10"/>
        <color rgb="FF000000"/>
        <rFont val="Arial"/>
        <family val="0"/>
        <charset val="1"/>
      </rPr>
      <t xml:space="preserve">Q 2025 </t>
    </r>
    <r>
      <rPr>
        <sz val="10"/>
        <color rgb="FF000000"/>
        <rFont val="Noto Sans CJK SC"/>
        <family val="2"/>
      </rPr>
      <t xml:space="preserve">線性 </t>
    </r>
    <r>
      <rPr>
        <sz val="10"/>
        <color rgb="FF000000"/>
        <rFont val="Arial"/>
        <family val="0"/>
        <charset val="1"/>
      </rPr>
      <t xml:space="preserve">1.25 GW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6.4×10¹⁵ token</t>
    </r>
    <r>
      <rPr>
        <sz val="10"/>
        <color rgb="FF000000"/>
        <rFont val="Noto Sans CJK SC"/>
        <family val="2"/>
      </rPr>
      <t xml:space="preserve">）</t>
    </r>
  </si>
  <si>
    <t xml:space="preserve">T tok</t>
  </si>
  <si>
    <t xml:space="preserve">對帳超出容許誤差（預覽基準）的項數</t>
  </si>
  <si>
    <r>
      <rPr>
        <sz val="9"/>
        <color rgb="FF595959"/>
        <rFont val="Noto Sans CJK SC"/>
        <family val="2"/>
      </rPr>
      <t xml:space="preserve">交接檔值為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計得的預覽（金額由『億』換算為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的常數，只作對照）；本表模型值取 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Noto Sans CJK SC"/>
        <family val="2"/>
      </rPr>
      <t xml:space="preserve">。差異逐項說明見報告</t>
    </r>
  </si>
  <si>
    <r>
      <rPr>
        <b val="true"/>
        <sz val="13"/>
        <rFont val="Arial"/>
        <family val="0"/>
        <charset val="1"/>
      </rPr>
      <t xml:space="preserve">Checks — P1–P5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</si>
  <si>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Noto Sans CJK SC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</si>
  <si>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</si>
  <si>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</si>
  <si>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</si>
  <si>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</si>
  <si>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</si>
  <si>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</si>
  <si>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</si>
  <si>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</si>
  <si>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</si>
  <si>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</si>
  <si>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</si>
  <si>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</si>
  <si>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</si>
  <si>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</si>
  <si>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</si>
  <si>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</si>
  <si>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</si>
  <si>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</si>
  <si>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</si>
  <si>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</si>
  <si>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</t>
    </r>
  </si>
  <si>
    <t xml:space="preserve">INFO</t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</si>
  <si>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</si>
  <si>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</si>
  <si>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</si>
  <si>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Noto Sans CJK SC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</si>
  <si>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</si>
  <si>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</si>
  <si>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</si>
  <si>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Noto Sans CJK SC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</si>
  <si>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</si>
  <si>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</si>
  <si>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</si>
  <si>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</si>
  <si>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</si>
  <si>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</si>
  <si>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組成加總）</t>
    </r>
  </si>
  <si>
    <t xml:space="preserve">C13</t>
  </si>
  <si>
    <r>
      <rPr>
        <sz val="10"/>
        <color rgb="FF000000"/>
        <rFont val="Noto Sans CJK SC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</si>
  <si>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</si>
  <si>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</si>
  <si>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</si>
  <si>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Noto Sans CJK SC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</t>
    </r>
  </si>
  <si>
    <t xml:space="preserve">C15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</si>
  <si>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</si>
  <si>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Noto Sans CJK SC"/>
        <family val="2"/>
      </rPr>
      <t xml:space="preserve">）</t>
    </r>
  </si>
  <si>
    <t xml:space="preserve">C16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</si>
  <si>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</si>
  <si>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對帳時說明</t>
    </r>
  </si>
  <si>
    <t xml:space="preserve">C17</t>
  </si>
  <si>
    <r>
      <rPr>
        <sz val="10"/>
        <color rgb="FF000000"/>
        <rFont val="Noto Sans CJK SC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</si>
  <si>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</si>
  <si>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</si>
  <si>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Noto Sans CJK SC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</si>
  <si>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Noto Sans CJK SC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</si>
  <si>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</si>
  <si>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</si>
  <si>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</si>
  <si>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</si>
  <si>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</si>
  <si>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</si>
  <si>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</si>
  <si>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</si>
  <si>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</si>
  <si>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</si>
  <si>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Noto Sans CJK SC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</si>
  <si>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</si>
  <si>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</si>
  <si>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Noto Sans CJK SC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</si>
  <si>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</si>
  <si>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</si>
  <si>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Noto Sans CJK SC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</si>
  <si>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</si>
  <si>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</si>
  <si>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</si>
  <si>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</si>
  <si>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</si>
  <si>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</si>
  <si>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年數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</si>
  <si>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</si>
  <si>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模型營收總額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校準恆等式）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</si>
  <si>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為倒推項；不為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表示校準鏈斷裂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</si>
  <si>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</si>
  <si>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API </t>
    </r>
    <r>
      <rPr>
        <sz val="10"/>
        <color rgb="FF000000"/>
        <rFont val="Noto Sans CJK SC"/>
        <family val="2"/>
      </rPr>
      <t xml:space="preserve">計費比例 ∈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</si>
  <si>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（營收倒推）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）；≤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表示訂閱＋廣告已超過實際營收</t>
    </r>
  </si>
  <si>
    <t xml:space="preserve">C30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</si>
  <si>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：方案模型組合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astra≠1 </t>
    </r>
    <r>
      <rPr>
        <sz val="10"/>
        <color rgb="FF000000"/>
        <rFont val="Noto Sans CJK SC"/>
        <family val="2"/>
      </rPr>
      <t xml:space="preserve">的方案數</t>
    </r>
  </si>
  <si>
    <r>
      <rPr>
        <sz val="9"/>
        <color rgb="FF595959"/>
        <rFont val="Arial"/>
        <family val="0"/>
        <charset val="1"/>
      </rPr>
      <t xml:space="preserve">Inputs INP_155–179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層級拆分的前提</t>
    </r>
  </si>
  <si>
    <t xml:space="preserve">C31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</si>
  <si>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</si>
  <si>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付費＋免費（層級）＝訂閱＋免費＋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</si>
  <si>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C32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</si>
  <si>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：消費端＋企業端＋其他 − 總額（各年絕對值合計，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</si>
  <si>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檢查列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</si>
  <si>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</si>
  <si>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</si>
  <si>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$38B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</si>
  <si>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</si>
  <si>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：價格事件生效日順序違反數（基準／提前／延後三欄）</t>
    </r>
  </si>
  <si>
    <r>
      <rPr>
        <sz val="9"/>
        <color rgb="FF595959"/>
        <rFont val="Arial"/>
        <family val="0"/>
        <charset val="1"/>
      </rPr>
      <t xml:space="preserve">top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（促銷）須不晚於事件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mid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須不晚於事件 </t>
    </r>
    <r>
      <rPr>
        <sz val="9"/>
        <color rgb="FF595959"/>
        <rFont val="Arial"/>
        <family val="0"/>
        <charset val="1"/>
      </rPr>
      <t xml:space="preserve">5</t>
    </r>
  </si>
  <si>
    <t xml:space="preserve">C35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</si>
  <si>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牌價區間 低 ≤ 基準 ≤ 高 的違反數（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</si>
  <si>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listPriceFYAvg 2026 </t>
    </r>
    <r>
      <rPr>
        <sz val="9"/>
        <color rgb="FF595959"/>
        <rFont val="Noto Sans CJK SC"/>
        <family val="2"/>
      </rPr>
      <t xml:space="preserve">區間由事件時點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傳遞（取代 </t>
    </r>
    <r>
      <rPr>
        <sz val="9"/>
        <color rgb="FF595959"/>
        <rFont val="Arial"/>
        <family val="0"/>
        <charset val="1"/>
      </rPr>
      <t xml:space="preserve">C27 WARN</t>
    </r>
    <r>
      <rPr>
        <sz val="9"/>
        <color rgb="FF595959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</si>
  <si>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</si>
  <si>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列＝各參數基準值（違反數）</t>
    </r>
  </si>
  <si>
    <r>
      <rPr>
        <sz val="9"/>
        <color rgb="FF595959"/>
        <rFont val="Noto Sans CJK SC"/>
        <family val="2"/>
      </rPr>
      <t xml:space="preserve">本版未設情境選擇器；基準引用各參數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值欄，情境列只作對照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</si>
  <si>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</si>
  <si>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Tokenomics IF_AllocDemand</t>
    </r>
  </si>
  <si>
    <r>
      <rPr>
        <sz val="9"/>
        <color rgb="FF595959"/>
        <rFont val="Noto Sans CJK SC"/>
        <family val="2"/>
      </rPr>
      <t xml:space="preserve">口徑不同，只列差距（工作單 </t>
    </r>
    <r>
      <rPr>
        <sz val="9"/>
        <color rgb="FF595959"/>
        <rFont val="Arial"/>
        <family val="0"/>
        <charset val="1"/>
      </rPr>
      <t xml:space="preserve">P2-3</t>
    </r>
    <r>
      <rPr>
        <sz val="9"/>
        <color rgb="FF595959"/>
        <rFont val="Noto Sans CJK SC"/>
        <family val="2"/>
      </rPr>
      <t xml:space="preserve">）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</si>
  <si>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</si>
  <si>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）＝訂閱＋廣告＋其他＋處理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單價 − 實際</t>
    </r>
  </si>
  <si>
    <t xml:space="preserve">自下而上口徑對實際</t>
  </si>
  <si>
    <t xml:space="preserve">C39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</si>
  <si>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淨營收（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</si>
  <si>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總額 −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</si>
  <si>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</si>
  <si>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：世代占比合計≠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的年數＋任一世代占比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的格數</t>
    </r>
  </si>
  <si>
    <r>
      <rPr>
        <sz val="9"/>
        <color rgb="FF595959"/>
        <rFont val="Noto Sans CJK SC"/>
        <family val="2"/>
      </rPr>
      <t xml:space="preserve">六世代（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、自研／其他）；自研＝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其餘，不得為負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</si>
  <si>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</si>
  <si>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</si>
  <si>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</si>
  <si>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C42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</si>
  <si>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世代名稱在 </t>
    </r>
    <r>
      <rPr>
        <sz val="10"/>
        <color rgb="FF000000"/>
        <rFont val="Arial"/>
        <family val="0"/>
        <charset val="1"/>
      </rPr>
      <t xml:space="preserve">TK_HdrGen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</si>
  <si>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TK_IF_TokGW_* </t>
    </r>
    <r>
      <rPr>
        <sz val="9"/>
        <color rgb="FF595959"/>
        <rFont val="Noto Sans CJK SC"/>
        <family val="2"/>
      </rPr>
      <t xml:space="preserve">的鍵；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改名時轉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</si>
  <si>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</si>
  <si>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或非數值（違反數）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</si>
  <si>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</si>
  <si>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恆等式 </t>
    </r>
    <r>
      <rPr>
        <sz val="10"/>
        <color rgb="FF000000"/>
        <rFont val="Arial"/>
        <family val="0"/>
        <charset val="1"/>
      </rPr>
      <t xml:space="preserve">η ×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 −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</si>
  <si>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計算鏈可逐列追出</t>
  </si>
  <si>
    <t xml:space="preserve">C45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</si>
  <si>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</si>
  <si>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定義使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兩者相等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</si>
  <si>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</si>
  <si>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：推論（截頂後）＋研發＋閒置 − 供給（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各年差的最大絕對值，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</si>
  <si>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列（以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取最大絕對值：</t>
    </r>
    <r>
      <rPr>
        <sz val="9"/>
        <color rgb="FF595959"/>
        <rFont val="Arial"/>
        <family val="0"/>
        <charset val="1"/>
      </rPr>
      <t xml:space="preserve">pycel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SUMPRODUCT(ABS()) </t>
    </r>
    <r>
      <rPr>
        <sz val="9"/>
        <color rgb="FF595959"/>
        <rFont val="Noto Sans CJK SC"/>
        <family val="2"/>
      </rPr>
      <t xml:space="preserve">在全為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時回傳整數型別，</t>
    </r>
    <r>
      <rPr>
        <sz val="9"/>
        <color rgb="FF595959"/>
        <rFont val="Arial"/>
        <family val="0"/>
        <charset val="1"/>
      </rPr>
      <t xml:space="preserve">ISNUMBER </t>
    </r>
    <r>
      <rPr>
        <sz val="9"/>
        <color rgb="FF595959"/>
        <rFont val="Noto Sans CJK SC"/>
        <family val="2"/>
      </rPr>
      <t xml:space="preserve">判定與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不同）</t>
    </r>
  </si>
  <si>
    <t xml:space="preserve">C47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</si>
  <si>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</si>
  <si>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</si>
  <si>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未截頂總額 的年數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</si>
  <si>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</si>
  <si>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</si>
  <si>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閒置）不足以容納截頂後推論時轉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</si>
  <si>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</si>
  <si>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：逐合約加總 − 合約供給合計（絕對值合計，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</si>
  <si>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揭露／未揭露小計＋自建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起計入供給）與合計一致</t>
    </r>
  </si>
  <si>
    <t xml:space="preserve">C51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</si>
  <si>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</si>
  <si>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</si>
  <si>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</si>
  <si>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工作單參考值 </t>
    </r>
    <r>
      <rPr>
        <sz val="9"/>
        <color rgb="FF595959"/>
        <rFont val="Arial"/>
        <family val="0"/>
        <charset val="1"/>
      </rPr>
      <t xml:space="preserve">0.196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Tokenomics v5.14 Block 6 </t>
    </r>
    <r>
      <rPr>
        <sz val="9"/>
        <color rgb="FF595959"/>
        <rFont val="Noto Sans CJK SC"/>
        <family val="2"/>
      </rPr>
      <t xml:space="preserve">需求口徑；本模型需求口徑不同（</t>
    </r>
    <r>
      <rPr>
        <sz val="9"/>
        <color rgb="FF595959"/>
        <rFont val="Arial"/>
        <family val="0"/>
        <charset val="1"/>
      </rPr>
      <t xml:space="preserve">P2</t>
    </r>
    <r>
      <rPr>
        <sz val="9"/>
        <color rgb="FF595959"/>
        <rFont val="Noto Sans CJK SC"/>
        <family val="2"/>
      </rPr>
      <t xml:space="preserve">），以實算為準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</si>
  <si>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</si>
  <si>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</si>
  <si>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：本模型組合 </t>
    </r>
    <r>
      <rPr>
        <sz val="9"/>
        <color rgb="FF595959"/>
        <rFont val="Arial"/>
        <family val="0"/>
        <charset val="1"/>
      </rPr>
      <t xml:space="preserve">× TK </t>
    </r>
    <r>
      <rPr>
        <sz val="9"/>
        <color rgb="FF595959"/>
        <rFont val="Noto Sans CJK SC"/>
        <family val="2"/>
      </rPr>
      <t xml:space="preserve">世代產能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</si>
  <si>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</si>
  <si>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Alloc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</si>
  <si>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對應值只在檢查頁並列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</si>
  <si>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</si>
  <si>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Alloc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IF_AllocDemand ÷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</si>
  <si>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對照本模型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付費＋免費加權產能（下一列）</t>
    </r>
  </si>
  <si>
    <t xml:space="preserve">C56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</si>
  <si>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年產能（付費＋免費加權＝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 GW</t>
    </r>
    <r>
      <rPr>
        <sz val="10"/>
        <color rgb="FF000000"/>
        <rFont val="Noto Sans CJK SC"/>
        <family val="2"/>
      </rPr>
      <t xml:space="preserve">）</t>
    </r>
  </si>
  <si>
    <t xml:space="preserve">C57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</si>
  <si>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</si>
  <si>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t xml:space="preserve">r6 P3-4</t>
  </si>
  <si>
    <t xml:space="preserve">C58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</si>
  <si>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年，物理下限）</t>
    </r>
  </si>
  <si>
    <r>
      <rPr>
        <sz val="9"/>
        <color rgb="FF595959"/>
        <rFont val="Noto Sans CJK SC"/>
        <family val="2"/>
      </rPr>
      <t xml:space="preserve">只並列（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</si>
  <si>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</si>
  <si>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IF_AllocImpliedNk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</si>
  <si>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</si>
  <si>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三角對照：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 − 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</si>
  <si>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r6 P3-3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16.3 − 12</t>
    </r>
    <r>
      <rPr>
        <sz val="9"/>
        <color rgb="FF595959"/>
        <rFont val="Noto Sans CJK SC"/>
        <family val="2"/>
      </rPr>
      <t xml:space="preserve">；只列差距</t>
    </r>
  </si>
  <si>
    <t xml:space="preserve">C61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</si>
  <si>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</si>
  <si>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r6 P3-5</t>
    </r>
    <r>
      <rPr>
        <sz val="9"/>
        <color rgb="FF595959"/>
        <rFont val="Noto Sans CJK SC"/>
        <family val="2"/>
      </rPr>
      <t xml:space="preserve">；只列差距</t>
    </r>
  </si>
  <si>
    <t xml:space="preserve">C62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</si>
  <si>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預覽：容量截頂年數（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</si>
  <si>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V1a </t>
    </r>
    <r>
      <rPr>
        <sz val="9"/>
        <color rgb="FF595959"/>
        <rFont val="Noto Sans CJK SC"/>
        <family val="2"/>
      </rPr>
      <t xml:space="preserve">旗標</t>
    </r>
  </si>
  <si>
    <t xml:space="preserve">C63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</si>
  <si>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對照：計畫算力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累計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</si>
  <si>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SRC_OAI 856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600–856</t>
    </r>
    <r>
      <rPr>
        <sz val="9"/>
        <color rgb="FF595959"/>
        <rFont val="Noto Sans CJK SC"/>
        <family val="2"/>
      </rPr>
      <t xml:space="preserve">）；只作檢查（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</si>
  <si>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C64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</si>
  <si>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</si>
  <si>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</si>
  <si>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</si>
  <si>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</si>
  <si>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</si>
  <si>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路徑開關（基準沿用）</t>
    </r>
  </si>
  <si>
    <t xml:space="preserve">C67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</si>
  <si>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：逐合約實付加總 − 合約實付合計（各年差的最大絕對值，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</si>
  <si>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</si>
  <si>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t xml:space="preserve">C68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</si>
  <si>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合約（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AWS 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（各年最大值，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</si>
  <si>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合約價；成本與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同一時程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</si>
  <si>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</si>
  <si>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：算力成本（現金）−（合約實付＋自有資本支出扣合作方）（最大絕對值，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</si>
  <si>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V3</t>
  </si>
  <si>
    <t xml:space="preserve">C70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</si>
  <si>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</si>
  <si>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</si>
  <si>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</si>
  <si>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：非算力研發＋銷售＋管理（不含股權報酬）− 合計（最大絕對值，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</si>
  <si>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功能別占比加總＝</t>
    </r>
    <r>
      <rPr>
        <sz val="9"/>
        <color rgb="FF595959"/>
        <rFont val="Arial"/>
        <family val="0"/>
        <charset val="1"/>
      </rPr>
      <t xml:space="preserve">1</t>
    </r>
  </si>
  <si>
    <t xml:space="preserve">C72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</si>
  <si>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費用對帳：營收 −（營業成本＋研發＋銷售＋管理）＋營業損失（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</si>
  <si>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外流財報各列四捨五入；應接近 </t>
    </r>
    <r>
      <rPr>
        <sz val="9"/>
        <color rgb="FF595959"/>
        <rFont val="Arial"/>
        <family val="0"/>
        <charset val="1"/>
      </rPr>
      <t xml:space="preserve">0</t>
    </r>
  </si>
  <si>
    <t xml:space="preserve">C73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</si>
  <si>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：非算力營運費用（不含股權報酬）≤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</si>
  <si>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股權報酬；股權報酬超過財報費用時轉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</si>
  <si>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C74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</si>
  <si>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：員工人數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的年數＋自建 </t>
    </r>
    <r>
      <rPr>
        <sz val="10"/>
        <color rgb="FF000000"/>
        <rFont val="Arial"/>
        <family val="0"/>
        <charset val="1"/>
      </rPr>
      <t xml:space="preserve">GW &lt;0 </t>
    </r>
    <r>
      <rPr>
        <sz val="10"/>
        <color rgb="FF000000"/>
        <rFont val="Noto Sans CJK SC"/>
        <family val="2"/>
      </rPr>
      <t xml:space="preserve">的年數</t>
    </r>
  </si>
  <si>
    <t xml:space="preserve">C75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</si>
  <si>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Q3 ∉ [0,1] </t>
    </r>
    <r>
      <rPr>
        <sz val="10"/>
        <color rgb="FF000000"/>
        <rFont val="Noto Sans CJK SC"/>
        <family val="2"/>
      </rPr>
      <t xml:space="preserve">的年數</t>
    </r>
  </si>
  <si>
    <t xml:space="preserve">C76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</si>
  <si>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</si>
  <si>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C77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</si>
  <si>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非算力研發（財報口徑，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</si>
  <si>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</si>
  <si>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C78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</si>
  <si>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非算力營運費用（財報口徑）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vs v0.5 1.216</t>
    </r>
  </si>
  <si>
    <r>
      <rPr>
        <sz val="9"/>
        <color rgb="FF595959"/>
        <rFont val="Noto Sans CJK SC"/>
        <family val="2"/>
      </rPr>
      <t xml:space="preserve">研發不含付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＋銷售＋管理</t>
    </r>
  </si>
  <si>
    <t xml:space="preserve">C79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</si>
  <si>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WSJ 46.2% ×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</si>
  <si>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占營收比，兩個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數字的一致性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</si>
  <si>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</si>
  <si>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雲端毛利率（基準持有成本）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</si>
  <si>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</si>
  <si>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Q3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</si>
  <si>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</si>
  <si>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研發算力 −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</si>
  <si>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</si>
  <si>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差額（含股權報酬；現金口徑，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</si>
  <si>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</t>
  </si>
  <si>
    <t xml:space="preserve">C84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</si>
  <si>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差額（含股權報酬；經濟口徑，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</si>
  <si>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命題（經濟口徑）</t>
  </si>
  <si>
    <t xml:space="preserve">C85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</si>
  <si>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累計差額（含股權報酬；現金口徑，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</si>
  <si>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融資需求的起點（不含既有現金與融資）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</si>
  <si>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</si>
  <si>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預覽：差額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的年數（含股權報酬；現金口徑）</t>
    </r>
  </si>
  <si>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＝每一年營收都未覆蓋全成本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</si>
  <si>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</si>
  <si>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Azure </t>
    </r>
    <r>
      <rPr>
        <sz val="10"/>
        <color rgb="FF000000"/>
        <rFont val="Noto Sans CJK SC"/>
        <family val="2"/>
      </rPr>
      <t xml:space="preserve">攤入額超過實際算力支出（旗標）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</si>
  <si>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預設：只立旗標；基準起點維持 </t>
    </r>
    <r>
      <rPr>
        <sz val="9"/>
        <color rgb="FF595959"/>
        <rFont val="Arial"/>
        <family val="0"/>
        <charset val="1"/>
      </rPr>
      <t xml:space="preserve">2025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</si>
  <si>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</si>
  <si>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攤入額差異（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</si>
  <si>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起點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攤入額為 </t>
    </r>
    <r>
      <rPr>
        <sz val="9"/>
        <color rgb="FF595959"/>
        <rFont val="Arial"/>
        <family val="0"/>
        <charset val="1"/>
      </rPr>
      <t xml:space="preserve">0</t>
    </r>
  </si>
  <si>
    <t xml:space="preserve">C89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</si>
  <si>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年全成本（下游預設）−（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</si>
  <si>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預設：下游預設為基準，</t>
    </r>
    <r>
      <rPr>
        <sz val="9"/>
        <color rgb="FF595959"/>
        <rFont val="Arial"/>
        <family val="0"/>
        <charset val="1"/>
      </rPr>
      <t xml:space="preserve">IF_FullCost </t>
    </r>
    <r>
      <rPr>
        <sz val="9"/>
        <color rgb="FF595959"/>
        <rFont val="Noto Sans CJK SC"/>
        <family val="2"/>
      </rPr>
      <t xml:space="preserve">並列</t>
    </r>
  </si>
  <si>
    <t xml:space="preserve">C90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</si>
  <si>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</si>
  <si>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計入供給</t>
    </r>
  </si>
  <si>
    <t xml:space="preserve">C91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</si>
  <si>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（營收淨額 − 算力成本 − 非算力成本）（各年絕對值合計，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</si>
  <si>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現金流恆等式</t>
  </si>
  <si>
    <t xml:space="preserve">C92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</si>
  <si>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</t>
    </r>
    <r>
      <rPr>
        <sz val="10"/>
        <color rgb="FF000000"/>
        <rFont val="Arial"/>
        <family val="0"/>
        <charset val="1"/>
      </rPr>
      <t xml:space="preserve">COST_GapCash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COST_SBC</t>
    </r>
    <r>
      <rPr>
        <sz val="10"/>
        <color rgb="FF000000"/>
        <rFont val="Noto Sans CJK SC"/>
        <family val="2"/>
      </rPr>
      <t xml:space="preserve">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</si>
  <si>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：股權報酬為非現金，加回</t>
    </r>
  </si>
  <si>
    <t xml:space="preserve">C93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</si>
  <si>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</si>
  <si>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現金流量恆等式（來源順序 ①②③）</t>
  </si>
  <si>
    <t xml:space="preserve">C94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</si>
  <si>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：已到位融資＋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非現金部分 −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</si>
  <si>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到位年須落在 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；組成＝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四列（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）</t>
    </r>
  </si>
  <si>
    <t xml:space="preserve">C95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</si>
  <si>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：最低現金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&lt;0</t>
    </r>
    <r>
      <rPr>
        <sz val="10"/>
        <color rgb="FF000000"/>
        <rFont val="Noto Sans CJK SC"/>
        <family val="2"/>
      </rPr>
      <t xml:space="preserve">（違反數）</t>
    </r>
  </si>
  <si>
    <t xml:space="preserve">C96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</si>
  <si>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條件式開關 ∉ </t>
    </r>
    <r>
      <rPr>
        <sz val="10"/>
        <color rgb="FF000000"/>
        <rFont val="Arial"/>
        <family val="0"/>
        <charset val="1"/>
      </rPr>
      <t xml:space="preserve">{0,1}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</si>
  <si>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（不計入）</t>
    </r>
  </si>
  <si>
    <t xml:space="preserve">C97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</si>
  <si>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：外部資金需求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的年數＋年底現金低於最低現金的年數（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</si>
  <si>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補足至最低現金的定義</t>
  </si>
  <si>
    <t xml:space="preserve">C98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</si>
  <si>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</si>
  <si>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r6 P5-1</t>
  </si>
  <si>
    <t xml:space="preserve">C99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</si>
  <si>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</si>
  <si>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</si>
  <si>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結果：峰值年度</t>
    </r>
  </si>
  <si>
    <t xml:space="preserve">C101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</si>
  <si>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結果：首次需要外部資金的年度（現金跌破最低現金）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</si>
  <si>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</t>
    </r>
  </si>
  <si>
    <t xml:space="preserve">C102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</si>
  <si>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結果：只靠已到位融資，現金首次低於最低現金的年度</t>
    </r>
  </si>
  <si>
    <t xml:space="preserve">已到位融資能撐到此年度的前一年</t>
  </si>
  <si>
    <t xml:space="preserve">C103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</si>
  <si>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結果：缺口旗標年數（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</si>
  <si>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C104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</si>
  <si>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</si>
  <si>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＝最低現金（有缺口時）</t>
  </si>
  <si>
    <t xml:space="preserve">C105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</si>
  <si>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的累計外部資金需求（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</si>
  <si>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預設：不計入基準，列情境</t>
    </r>
  </si>
  <si>
    <t xml:space="preserve">C106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</si>
  <si>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條件式使累計外部資金需求減少（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</si>
  <si>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</si>
  <si>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或有負債合計（只列示，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</si>
  <si>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擔保＋晶片融資洽談；不作資金來源</t>
    </r>
  </si>
  <si>
    <t xml:space="preserve">C108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</si>
  <si>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或有：合約剩餘承諾（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</si>
  <si>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</t>
    </r>
  </si>
  <si>
    <t xml:space="preserve">C109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</si>
  <si>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營收：模型總額（截頂後）−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</si>
  <si>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</t>
    </r>
  </si>
  <si>
    <t xml:space="preserve">C110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</si>
  <si>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推論支出：有效推論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</t>
    </r>
    <r>
      <rPr>
        <sz val="10"/>
        <color rgb="FF000000"/>
        <rFont val="Arial"/>
        <family val="0"/>
        <charset val="1"/>
      </rPr>
      <t xml:space="preserve">SRC 8.4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</si>
  <si>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推論支出校準，故為 </t>
    </r>
    <r>
      <rPr>
        <sz val="9"/>
        <color rgb="FF595959"/>
        <rFont val="Arial"/>
        <family val="0"/>
        <charset val="1"/>
      </rPr>
      <t xml:space="preserve">0</t>
    </r>
  </si>
  <si>
    <t xml:space="preserve">C111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</si>
  <si>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− 財報營業成本（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</si>
  <si>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（口徑差異；營業成本可能不含部分推論或已扣折扣）</t>
    </r>
  </si>
  <si>
    <t xml:space="preserve">C112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</si>
  <si>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訓練支出：研發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</si>
  <si>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</si>
  <si>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C113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</si>
  <si>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：模型總需求 </t>
    </r>
    <r>
      <rPr>
        <sz val="10"/>
        <color rgb="FF000000"/>
        <rFont val="Arial"/>
        <family val="0"/>
        <charset val="1"/>
      </rPr>
      <t xml:space="preserve">GW − SRC 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</si>
  <si>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只列差距（口徑未明：年底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年均）</t>
    </r>
  </si>
  <si>
    <t xml:space="preserve">C114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</si>
  <si>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：合約推得供給 </t>
    </r>
    <r>
      <rPr>
        <sz val="10"/>
        <color rgb="FF000000"/>
        <rFont val="Arial"/>
        <family val="0"/>
        <charset val="1"/>
      </rPr>
      <t xml:space="preserve">GW − SRC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(0.6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1.9)÷2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</si>
  <si>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：合約推得 </t>
    </r>
    <r>
      <rPr>
        <sz val="9"/>
        <color rgb="FF595959"/>
        <rFont val="Arial"/>
        <family val="0"/>
        <charset val="1"/>
      </rPr>
      <t xml:space="preserve">1.23 </t>
    </r>
    <r>
      <rPr>
        <sz val="9"/>
        <color rgb="FF595959"/>
        <rFont val="Noto Sans CJK SC"/>
        <family val="2"/>
      </rPr>
      <t xml:space="preserve">對年均 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C65 </t>
    </r>
    <r>
      <rPr>
        <sz val="9"/>
        <color rgb="FF595959"/>
        <rFont val="Noto Sans CJK SC"/>
        <family val="2"/>
      </rPr>
      <t xml:space="preserve">同源）</t>
    </r>
  </si>
  <si>
    <t xml:space="preserve">C115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</si>
  <si>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算力成本：合約實付 − 實際算力支出 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</si>
  <si>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預設：基準用合約實付（</t>
    </r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）</t>
    </r>
  </si>
  <si>
    <t xml:space="preserve">C116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</si>
  <si>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營業損益：模型（總額 − 實際算力 − 非算力 − 股權報酬）（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</si>
  <si>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以實際算力支出 </t>
    </r>
    <r>
      <rPr>
        <sz val="9"/>
        <color rgb="FF595959"/>
        <rFont val="Arial"/>
        <family val="0"/>
        <charset val="1"/>
      </rPr>
      <t xml:space="preserve">20.4 </t>
    </r>
    <r>
      <rPr>
        <sz val="9"/>
        <color rgb="FF595959"/>
        <rFont val="Noto Sans CJK SC"/>
        <family val="2"/>
      </rPr>
      <t xml:space="preserve">計</t>
    </r>
  </si>
  <si>
    <t xml:space="preserve">C117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</si>
  <si>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 − 財報（−營業損失）（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</si>
  <si>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差距主要＝推論 </t>
    </r>
    <r>
      <rPr>
        <sz val="9"/>
        <color rgb="FF595959"/>
        <rFont val="Arial"/>
        <family val="0"/>
        <charset val="1"/>
      </rPr>
      <t xml:space="preserve">8.4 − </t>
    </r>
    <r>
      <rPr>
        <sz val="9"/>
        <color rgb="FF595959"/>
        <rFont val="Noto Sans CJK SC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（下一列為扣除後殘差）</t>
    </r>
  </si>
  <si>
    <t xml:space="preserve">C118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</si>
  <si>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營業損益殘差：差距 ＋（推論 − 營業成本）（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</si>
  <si>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≈0</t>
    </r>
    <r>
      <rPr>
        <sz val="9"/>
        <color rgb="FF595959"/>
        <rFont val="Noto Sans CJK SC"/>
        <family val="2"/>
      </rPr>
      <t xml:space="preserve">（財報各列四捨五入）</t>
    </r>
  </si>
  <si>
    <t xml:space="preserve">C119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</si>
  <si>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Microsoft </t>
    </r>
    <r>
      <rPr>
        <sz val="10"/>
        <color rgb="FF000000"/>
        <rFont val="Noto Sans CJK SC"/>
        <family val="2"/>
      </rPr>
      <t xml:space="preserve">分成（現金流已扣；財報位置未揭露，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</si>
  <si>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若財報營業成本已含分成，現金流有重複扣除之虞（資料缺口）</t>
  </si>
  <si>
    <t xml:space="preserve">C120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</si>
  <si>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自由現金流（實際算力支出口徑，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</si>
  <si>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只對照；現金流自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</si>
  <si>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C121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</si>
  <si>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</si>
  <si>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＝殘差，恆為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</si>
  <si>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C122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</si>
  <si>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反向：目標路徑非遞增的年數（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</si>
  <si>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）使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殘差低於前一年時轉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</si>
  <si>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C123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</si>
  <si>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</si>
  <si>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同上限規則</t>
  </si>
  <si>
    <t xml:space="preserve">C124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</si>
  <si>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的倍數</t>
    </r>
  </si>
  <si>
    <t xml:space="preserve">v0.5 4.55</t>
  </si>
  <si>
    <t xml:space="preserve">C125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</si>
  <si>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只靠訂閱的倍數</t>
    </r>
  </si>
  <si>
    <t xml:space="preserve">v0.5 5.66</t>
  </si>
  <si>
    <t xml:space="preserve">C126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</si>
  <si>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兩線等比例倍數</t>
    </r>
  </si>
  <si>
    <t xml:space="preserve">v0.5 3.01</t>
  </si>
  <si>
    <t xml:space="preserve">C127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</si>
  <si>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累計外部資金需求（目標營收、同一支出，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</si>
  <si>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v0.5 115.5</t>
  </si>
  <si>
    <t xml:space="preserve">C128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</si>
  <si>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2026–30 − </t>
    </r>
    <r>
      <rPr>
        <sz val="10"/>
        <color rgb="FF000000"/>
        <rFont val="Noto Sans CJK SC"/>
        <family val="2"/>
      </rPr>
      <t xml:space="preserve">簡報 −</t>
    </r>
    <r>
      <rPr>
        <sz val="10"/>
        <color rgb="FF000000"/>
        <rFont val="Arial"/>
        <family val="0"/>
        <charset val="1"/>
      </rPr>
      <t xml:space="preserve">278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</si>
  <si>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+118.3</t>
  </si>
  <si>
    <t xml:space="preserve">C129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</si>
  <si>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</si>
  <si>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</si>
  <si>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t xml:space="preserve">C130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</si>
  <si>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</si>
  <si>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</si>
  <si>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：比值恆等式（比值 − 營收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成本）平方和（主序列；應＝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</si>
  <si>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m×L ÷ </t>
    </r>
    <r>
      <rPr>
        <sz val="9"/>
        <color rgb="FF595959"/>
        <rFont val="Noto Sans CJK SC"/>
        <family val="2"/>
      </rPr>
      <t xml:space="preserve">所需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Noto Sans CJK SC"/>
        <family val="2"/>
      </rPr>
      <t xml:space="preserve">＝ 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算力成本（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與牌價約掉）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</si>
  <si>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</si>
  <si>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營收兩來源相等（</t>
    </r>
    <r>
      <rPr>
        <sz val="10"/>
        <color rgb="FF000000"/>
        <rFont val="Arial"/>
        <family val="0"/>
        <charset val="1"/>
      </rPr>
      <t xml:space="preserve">SRC_OAI_002 − TKQ_SRC_DEM_007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</si>
  <si>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13.07</t>
  </si>
  <si>
    <t xml:space="preserve">C133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</si>
  <si>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禁用前綴名稱數（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</si>
  <si>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README </t>
    </r>
    <r>
      <rPr>
        <sz val="9"/>
        <color rgb="FF595959"/>
        <rFont val="Noto Sans CJK SC"/>
        <family val="2"/>
      </rPr>
      <t xml:space="preserve">規定；</t>
    </r>
    <r>
      <rPr>
        <sz val="9"/>
        <color rgb="FF595959"/>
        <rFont val="Arial"/>
        <family val="0"/>
        <charset val="1"/>
      </rPr>
      <t xml:space="preserve">PxQ </t>
    </r>
    <r>
      <rPr>
        <sz val="9"/>
        <color rgb="FF595959"/>
        <rFont val="Noto Sans CJK SC"/>
        <family val="2"/>
      </rPr>
      <t xml:space="preserve">頁引用另由 </t>
    </r>
    <r>
      <rPr>
        <sz val="9"/>
        <color rgb="FF595959"/>
        <rFont val="Arial"/>
        <family val="0"/>
        <charset val="1"/>
      </rPr>
      <t xml:space="preserve">test_builder </t>
    </r>
    <r>
      <rPr>
        <sz val="9"/>
        <color rgb="FF595959"/>
        <rFont val="Noto Sans CJK SC"/>
        <family val="2"/>
      </rPr>
      <t xml:space="preserve">白名單測試把關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</si>
  <si>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</si>
  <si>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版本維持 </t>
    </r>
    <r>
      <rPr>
        <sz val="10"/>
        <color rgb="FF000000"/>
        <rFont val="Arial"/>
        <family val="0"/>
        <charset val="1"/>
      </rPr>
      <t xml:space="preserve">v5.26</t>
    </r>
  </si>
  <si>
    <r>
      <rPr>
        <sz val="9"/>
        <color rgb="FF595959"/>
        <rFont val="Noto Sans CJK SC"/>
        <family val="2"/>
      </rPr>
      <t xml:space="preserve">既有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名不隨 </t>
    </r>
    <r>
      <rPr>
        <sz val="9"/>
        <color rgb="FF595959"/>
        <rFont val="Arial"/>
        <family val="0"/>
        <charset val="1"/>
      </rPr>
      <t xml:space="preserve">v0.6.1 </t>
    </r>
    <r>
      <rPr>
        <sz val="9"/>
        <color rgb="FF595959"/>
        <rFont val="Noto Sans CJK SC"/>
        <family val="2"/>
      </rPr>
      <t xml:space="preserve">更新（全量同步另案）；值相同由 </t>
    </r>
    <r>
      <rPr>
        <sz val="9"/>
        <color rgb="FF595959"/>
        <rFont val="Arial"/>
        <family val="0"/>
        <charset val="1"/>
      </rPr>
      <t xml:space="preserve">test_builder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逐格比對</t>
    </r>
  </si>
  <si>
    <t xml:space="preserve">C135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</si>
  <si>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已取值名稱數維持 </t>
    </r>
    <r>
      <rPr>
        <sz val="10"/>
        <color rgb="FF000000"/>
        <rFont val="Arial"/>
        <family val="0"/>
        <charset val="1"/>
      </rPr>
      <t xml:space="preserve">63</t>
    </r>
  </si>
  <si>
    <t xml:space="preserve">C136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</si>
  <si>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版本＝</t>
    </r>
    <r>
      <rPr>
        <sz val="10"/>
        <color rgb="FF000000"/>
        <rFont val="Arial"/>
        <family val="0"/>
        <charset val="1"/>
      </rPr>
      <t xml:space="preserve">v19.0</t>
    </r>
  </si>
  <si>
    <r>
      <rPr>
        <sz val="9"/>
        <color rgb="FF595959"/>
        <rFont val="Noto Sans CJK SC"/>
        <family val="2"/>
      </rPr>
      <t xml:space="preserve">釘選 </t>
    </r>
    <r>
      <rPr>
        <sz val="9"/>
        <color rgb="FF595959"/>
        <rFont val="Arial"/>
        <family val="0"/>
        <charset val="1"/>
      </rPr>
      <t xml:space="preserve">Tokenomics master ad33e28</t>
    </r>
  </si>
  <si>
    <t xml:space="preserve">C137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</si>
  <si>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</si>
  <si>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工作單點名、</t>
    </r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Noto Sans CJK SC"/>
        <family val="2"/>
      </rPr>
      <t xml:space="preserve">無：</t>
    </r>
    <r>
      <rPr>
        <sz val="9"/>
        <color rgb="FF595959"/>
        <rFont val="Arial"/>
        <family val="0"/>
        <charset val="1"/>
      </rPr>
      <t xml:space="preserve">IF_PxEffMix_Lo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IF_PxEffMix25 </t>
    </r>
    <r>
      <rPr>
        <sz val="9"/>
        <color rgb="FF595959"/>
        <rFont val="Noto Sans CJK SC"/>
        <family val="2"/>
      </rPr>
      <t xml:space="preserve">有低高）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</si>
  <si>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</si>
  <si>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錯誤值格數</t>
    </r>
  </si>
  <si>
    <t xml:space="preserve">C139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</si>
  <si>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頁錯誤值格數</t>
    </r>
  </si>
  <si>
    <t xml:space="preserve">C142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</si>
  <si>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開關值不在 </t>
    </r>
    <r>
      <rPr>
        <sz val="10"/>
        <color rgb="FF000000"/>
        <rFont val="Arial"/>
        <family val="0"/>
        <charset val="1"/>
      </rPr>
      <t xml:space="preserve">{0,1} </t>
    </r>
    <r>
      <rPr>
        <sz val="10"/>
        <color rgb="FF000000"/>
        <rFont val="Noto Sans CJK SC"/>
        <family val="2"/>
      </rPr>
      <t xml:space="preserve">的程度（</t>
    </r>
    <r>
      <rPr>
        <sz val="10"/>
        <color rgb="FF000000"/>
        <rFont val="Arial"/>
        <family val="0"/>
        <charset val="1"/>
      </rPr>
      <t xml:space="preserve">x(1−x) </t>
    </r>
    <r>
      <rPr>
        <sz val="10"/>
        <color rgb="FF000000"/>
        <rFont val="Noto Sans CJK SC"/>
        <family val="2"/>
      </rPr>
      <t xml:space="preserve">之和）</t>
    </r>
  </si>
  <si>
    <r>
      <rPr>
        <sz val="9"/>
        <color rgb="FF595959"/>
        <rFont val="Arial"/>
        <family val="0"/>
        <charset val="1"/>
      </rPr>
      <t xml:space="preserve">2025 GW </t>
    </r>
    <r>
      <rPr>
        <sz val="9"/>
        <color rgb="FF595959"/>
        <rFont val="Noto Sans CJK SC"/>
        <family val="2"/>
      </rPr>
      <t xml:space="preserve">主值、世代組合來源、生產折減讀法</t>
    </r>
  </si>
  <si>
    <t xml:space="preserve">C143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</si>
  <si>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：平均上線 </t>
    </r>
    <r>
      <rPr>
        <sz val="10"/>
        <color rgb="FF000000"/>
        <rFont val="Arial"/>
        <family val="0"/>
        <charset val="1"/>
      </rPr>
      <t xml:space="preserve">GW ≤ 0 </t>
    </r>
    <r>
      <rPr>
        <sz val="10"/>
        <color rgb="FF000000"/>
        <rFont val="Noto Sans CJK SC"/>
        <family val="2"/>
      </rPr>
      <t xml:space="preserve">的案例數</t>
    </r>
  </si>
  <si>
    <t xml:space="preserve">C144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</si>
  <si>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 ≤ 0 </t>
    </r>
    <r>
      <rPr>
        <sz val="10"/>
        <color rgb="FF000000"/>
        <rFont val="Noto Sans CJK SC"/>
        <family val="2"/>
      </rPr>
      <t xml:space="preserve">的案例數</t>
    </r>
  </si>
  <si>
    <t xml:space="preserve">C145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</si>
  <si>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：預覽值對帳超出容許誤差的項數（預覽基準）</t>
    </r>
  </si>
  <si>
    <r>
      <rPr>
        <sz val="9"/>
        <color rgb="FF595959"/>
        <rFont val="Noto Sans CJK SC"/>
        <family val="2"/>
      </rPr>
      <t xml:space="preserve">逐項說明見報告；容許誤差 </t>
    </r>
    <r>
      <rPr>
        <sz val="9"/>
        <color rgb="FF595959"/>
        <rFont val="Arial"/>
        <family val="0"/>
        <charset val="1"/>
      </rPr>
      <t xml:space="preserve">INP_288</t>
    </r>
  </si>
  <si>
    <t xml:space="preserve">C146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</si>
  <si>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指數內插</t>
    </r>
  </si>
  <si>
    <r>
      <rPr>
        <sz val="9"/>
        <color rgb="FF595959"/>
        <rFont val="Noto Sans CJK SC"/>
        <family val="2"/>
      </rPr>
      <t xml:space="preserve">交接檔預覽 </t>
    </r>
    <r>
      <rPr>
        <sz val="9"/>
        <color rgb="FF595959"/>
        <rFont val="Arial"/>
        <family val="0"/>
        <charset val="1"/>
      </rPr>
      <t xml:space="preserve">1.24</t>
    </r>
    <r>
      <rPr>
        <sz val="9"/>
        <color rgb="FF595959"/>
        <rFont val="Noto Sans CJK SC"/>
        <family val="2"/>
      </rPr>
      <t xml:space="preserve">（交接檔組合與一律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</t>
    </r>
  </si>
  <si>
    <t xml:space="preserve">C147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</si>
  <si>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線性內插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</si>
  <si>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1.12</t>
    </r>
  </si>
  <si>
    <t xml:space="preserve">C148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</si>
  <si>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</si>
  <si>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1.48</t>
    </r>
  </si>
  <si>
    <t xml:space="preserve">C149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</si>
  <si>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</si>
  <si>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1.23</t>
    </r>
  </si>
  <si>
    <t xml:space="preserve">C150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</si>
  <si>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</si>
  <si>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1.06</t>
    </r>
  </si>
  <si>
    <t xml:space="preserve">C151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</si>
  <si>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雲端支出（</t>
    </r>
    <r>
      <rPr>
        <sz val="10"/>
        <color rgb="FF000000"/>
        <rFont val="Arial"/>
        <family val="0"/>
        <charset val="1"/>
      </rPr>
      <t xml:space="preserve">Epoch 16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），指數內插</t>
    </r>
  </si>
  <si>
    <t xml:space="preserve">不進主序列</t>
  </si>
  <si>
    <t xml:space="preserve">C152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</si>
  <si>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支出（</t>
    </r>
    <r>
      <rPr>
        <sz val="10"/>
        <color rgb="FF000000"/>
        <rFont val="Arial"/>
        <family val="0"/>
        <charset val="1"/>
      </rPr>
      <t xml:space="preserve">Brockman 50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GW</t>
    </r>
  </si>
  <si>
    <t xml:space="preserve">C153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</si>
  <si>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的絕對差之和（主序列）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</si>
  <si>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開關與交接檔組合（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</si>
  <si>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</si>
  <si>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的絕對差之和（預覽基準＝交接檔組合）</t>
    </r>
  </si>
  <si>
    <r>
      <rPr>
        <sz val="9"/>
        <color rgb="FF595959"/>
        <rFont val="Noto Sans CJK SC"/>
        <family val="2"/>
      </rPr>
      <t xml:space="preserve">交接檔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組合六列合計須為 </t>
    </r>
    <r>
      <rPr>
        <sz val="9"/>
        <color rgb="FF595959"/>
        <rFont val="Arial"/>
        <family val="0"/>
        <charset val="1"/>
      </rPr>
      <t xml:space="preserve">1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</si>
  <si>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</si>
  <si>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Noto Sans CJK SC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的明細）</t>
    </r>
  </si>
  <si>
    <r>
      <rPr>
        <sz val="9"/>
        <color rgb="FF595959"/>
        <rFont val="Noto Sans CJK SC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</si>
  <si>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</si>
  <si>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</si>
  <si>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</si>
  <si>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</si>
  <si>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</si>
  <si>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Noto Sans CJK SC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Noto Sans CJK SC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</si>
  <si>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</si>
  <si>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Noto Sans CJK SC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</si>
  <si>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</si>
  <si>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</si>
  <si>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</si>
  <si>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</si>
  <si>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</si>
  <si>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</si>
  <si>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</si>
  <si>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</si>
  <si>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Noto Sans CJK SC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</si>
  <si>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</si>
  <si>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</si>
  <si>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</si>
  <si>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</si>
  <si>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</si>
  <si>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</si>
  <si>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</si>
  <si>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</si>
  <si>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</si>
  <si>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Noto Sans CJK SC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</si>
  <si>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</si>
  <si>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</si>
  <si>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</si>
  <si>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</si>
  <si>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</si>
  <si>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</si>
  <si>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</si>
  <si>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</si>
  <si>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</si>
  <si>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</si>
  <si>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</si>
  <si>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</si>
  <si>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</si>
  <si>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</si>
  <si>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</si>
  <si>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</si>
  <si>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</si>
  <si>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</si>
  <si>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</si>
  <si>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</si>
  <si>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</si>
  <si>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</si>
  <si>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</si>
  <si>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</si>
  <si>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Noto Sans CJK SC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</si>
  <si>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</si>
  <si>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</si>
  <si>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</si>
  <si>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</si>
  <si>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Noto Sans CJK SC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</si>
  <si>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</si>
  <si>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</si>
  <si>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</si>
  <si>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</si>
  <si>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</si>
  <si>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</si>
  <si>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</si>
  <si>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</si>
  <si>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</si>
  <si>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</si>
  <si>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</si>
  <si>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</si>
  <si>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</si>
  <si>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</si>
  <si>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</si>
  <si>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</si>
  <si>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</si>
  <si>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</si>
  <si>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</si>
  <si>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</si>
  <si>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</si>
  <si>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Noto Sans CJK SC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</si>
  <si>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</si>
  <si>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</si>
  <si>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</si>
  <si>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</si>
  <si>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</si>
  <si>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</si>
  <si>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</si>
  <si>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</si>
  <si>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</si>
  <si>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</si>
  <si>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</si>
  <si>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</si>
  <si>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</si>
  <si>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</si>
  <si>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</si>
  <si>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</si>
  <si>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</si>
  <si>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</si>
  <si>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</si>
  <si>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</si>
  <si>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</si>
  <si>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</si>
  <si>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</si>
  <si>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</si>
  <si>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</si>
  <si>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</si>
  <si>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</si>
  <si>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</si>
  <si>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</si>
  <si>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</si>
  <si>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</si>
  <si>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</si>
  <si>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</si>
  <si>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</si>
  <si>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</si>
  <si>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</si>
  <si>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</si>
  <si>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</si>
  <si>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</si>
  <si>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Noto Sans CJK SC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</si>
  <si>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</si>
  <si>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</si>
  <si>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</si>
  <si>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</si>
  <si>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</si>
  <si>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</si>
  <si>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</si>
  <si>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</si>
  <si>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</si>
  <si>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</si>
  <si>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</si>
  <si>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</si>
  <si>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</si>
  <si>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</si>
  <si>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</si>
  <si>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</si>
  <si>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</si>
  <si>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</si>
  <si>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</si>
  <si>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</si>
  <si>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</si>
  <si>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</si>
  <si>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</si>
  <si>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</si>
  <si>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</si>
  <si>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</si>
  <si>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</si>
  <si>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</si>
  <si>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</si>
  <si>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</si>
  <si>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</si>
  <si>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</si>
  <si>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</si>
  <si>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</si>
  <si>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</si>
  <si>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</si>
  <si>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</si>
  <si>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</si>
  <si>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</si>
  <si>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</si>
  <si>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Noto Sans CJK SC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</si>
  <si>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</si>
  <si>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</si>
  <si>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</si>
  <si>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</si>
  <si>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</si>
  <si>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</si>
  <si>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</si>
  <si>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</si>
  <si>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</si>
  <si>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</si>
  <si>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Revenue R01–R06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實作：價格事件時點天數加權，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第七節；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</si>
  <si>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Noto Sans CJK SC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</si>
  <si>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</si>
  <si>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</si>
  <si>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</si>
  <si>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</si>
  <si>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</si>
  <si>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</si>
  <si>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</si>
  <si>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</si>
  <si>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</si>
  <si>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Noto Sans CJK SC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</si>
  <si>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</si>
  <si>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</si>
  <si>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</si>
  <si>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</si>
  <si>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</si>
  <si>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</si>
  <si>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</si>
  <si>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</si>
  <si>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</si>
  <si>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</si>
  <si>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</si>
  <si>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</si>
  <si>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</si>
  <si>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</si>
  <si>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</si>
  <si>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</si>
  <si>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</si>
  <si>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</si>
  <si>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</si>
  <si>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</si>
  <si>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</si>
  <si>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</si>
  <si>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</si>
  <si>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</si>
  <si>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</si>
  <si>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</si>
  <si>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</si>
  <si>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</si>
  <si>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</si>
  <si>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</si>
  <si>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</si>
  <si>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</si>
  <si>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</si>
  <si>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</si>
  <si>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</si>
  <si>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</si>
  <si>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</si>
  <si>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</si>
  <si>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</si>
  <si>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</si>
  <si>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</si>
  <si>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</si>
  <si>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</si>
  <si>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</si>
  <si>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</si>
  <si>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</si>
  <si>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</si>
  <si>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</si>
  <si>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</si>
  <si>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</si>
  <si>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Noto Sans CJK SC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</si>
  <si>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</si>
  <si>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</si>
  <si>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</si>
  <si>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</si>
  <si>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</si>
  <si>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</si>
  <si>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</si>
  <si>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</si>
  <si>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</si>
  <si>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</si>
  <si>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</si>
  <si>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</si>
  <si>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</si>
  <si>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</si>
  <si>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</si>
  <si>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</si>
  <si>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</si>
  <si>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</si>
  <si>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</si>
  <si>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</si>
  <si>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</si>
  <si>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</si>
  <si>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</si>
  <si>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</si>
  <si>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</si>
  <si>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</si>
  <si>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</si>
  <si>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</si>
  <si>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</si>
  <si>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</si>
  <si>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</si>
  <si>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</si>
  <si>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</si>
  <si>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</si>
  <si>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</si>
  <si>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</si>
  <si>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</si>
  <si>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</si>
  <si>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</si>
  <si>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</si>
  <si>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</si>
  <si>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</si>
  <si>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</si>
  <si>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</si>
  <si>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</si>
  <si>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</si>
  <si>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Revenue R12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</si>
  <si>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</si>
  <si>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</si>
  <si>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</si>
  <si>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</si>
  <si>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</si>
  <si>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</si>
  <si>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</si>
  <si>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</si>
  <si>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</si>
  <si>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</si>
  <si>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</si>
  <si>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</si>
  <si>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</si>
  <si>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</si>
  <si>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</si>
  <si>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Noto Sans CJK SC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</si>
  <si>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</si>
  <si>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</si>
  <si>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</si>
  <si>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</si>
  <si>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</si>
  <si>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</si>
  <si>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</si>
  <si>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</si>
  <si>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</si>
  <si>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</si>
  <si>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Noto Sans CJK SC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</si>
  <si>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</si>
  <si>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</si>
  <si>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</si>
  <si>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</si>
  <si>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</si>
  <si>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</si>
  <si>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</si>
  <si>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</si>
  <si>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</si>
  <si>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</si>
  <si>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</si>
  <si>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</si>
  <si>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Noto Sans CJK SC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Noto Sans CJK SC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Noto Sans CJK SC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Noto Sans CJK SC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</si>
  <si>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</si>
  <si>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</si>
  <si>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</si>
  <si>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</si>
  <si>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</si>
  <si>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</si>
  <si>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</si>
  <si>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</si>
  <si>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</si>
  <si>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</si>
  <si>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</si>
  <si>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</si>
  <si>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</si>
  <si>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</si>
  <si>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</si>
  <si>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</si>
  <si>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</si>
  <si>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</si>
  <si>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</si>
  <si>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</si>
  <si>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</si>
  <si>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</si>
  <si>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</si>
  <si>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</si>
  <si>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</si>
  <si>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</si>
  <si>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</si>
  <si>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</si>
  <si>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</si>
  <si>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</si>
  <si>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</si>
  <si>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</si>
  <si>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</si>
  <si>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</si>
  <si>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</si>
  <si>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</si>
  <si>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Noto Sans CJK SC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Noto Sans CJK SC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Noto Sans CJK SC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</si>
  <si>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</si>
  <si>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</si>
  <si>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</si>
  <si>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</si>
  <si>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</si>
  <si>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</si>
  <si>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Noto Sans CJK SC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</si>
  <si>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</si>
  <si>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</si>
  <si>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</si>
  <si>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</si>
  <si>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</si>
  <si>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</si>
  <si>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</si>
  <si>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</si>
  <si>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</si>
  <si>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</si>
  <si>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</si>
  <si>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</si>
  <si>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</si>
  <si>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Noto Sans CJK SC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</si>
  <si>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</si>
  <si>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</si>
  <si>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</si>
  <si>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</si>
  <si>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</si>
  <si>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</si>
  <si>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</si>
  <si>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</si>
  <si>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</si>
  <si>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</si>
  <si>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</si>
  <si>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</si>
  <si>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</si>
  <si>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</si>
  <si>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</si>
  <si>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</si>
  <si>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</si>
  <si>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</si>
  <si>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</si>
  <si>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</si>
  <si>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</si>
  <si>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</si>
  <si>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</si>
  <si>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</si>
  <si>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</si>
  <si>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</si>
  <si>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</si>
  <si>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</si>
  <si>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</si>
  <si>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</si>
  <si>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</si>
  <si>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</si>
  <si>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</si>
  <si>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</si>
  <si>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</si>
  <si>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</si>
  <si>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</si>
  <si>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</si>
  <si>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</si>
  <si>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</si>
  <si>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</si>
  <si>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</si>
  <si>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</si>
  <si>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</si>
  <si>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</si>
  <si>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</si>
  <si>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</si>
  <si>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</si>
  <si>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</si>
  <si>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</si>
  <si>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</si>
  <si>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</si>
  <si>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</si>
  <si>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</si>
  <si>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</si>
  <si>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</si>
  <si>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</si>
  <si>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</si>
  <si>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</si>
  <si>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</si>
  <si>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</si>
  <si>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</si>
  <si>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</si>
  <si>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</si>
  <si>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</si>
  <si>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</si>
  <si>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</si>
  <si>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</si>
  <si>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</si>
  <si>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</si>
  <si>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</si>
  <si>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</si>
  <si>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</si>
  <si>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</si>
  <si>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</si>
  <si>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</si>
  <si>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</si>
  <si>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</si>
  <si>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</si>
  <si>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</si>
  <si>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</si>
  <si>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</si>
  <si>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</si>
  <si>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</si>
  <si>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</si>
  <si>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</si>
  <si>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</si>
  <si>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</si>
  <si>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</si>
  <si>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</si>
  <si>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</si>
  <si>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</si>
  <si>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</si>
  <si>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</si>
  <si>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</si>
  <si>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</si>
  <si>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</si>
  <si>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</si>
  <si>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</si>
  <si>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</si>
  <si>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</si>
  <si>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</si>
  <si>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Noto Sans CJK SC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</si>
  <si>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</si>
  <si>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</si>
  <si>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</si>
  <si>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</si>
  <si>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</si>
  <si>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</si>
  <si>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</si>
  <si>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</si>
  <si>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</si>
  <si>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</si>
  <si>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</si>
  <si>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</si>
  <si>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</si>
  <si>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</si>
  <si>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</si>
  <si>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</si>
  <si>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</si>
  <si>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</si>
  <si>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</si>
  <si>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</si>
  <si>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</si>
  <si>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</si>
  <si>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</si>
  <si>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</si>
  <si>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</si>
  <si>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</si>
  <si>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</si>
  <si>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Noto Sans CJK SC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</si>
  <si>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</si>
  <si>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</si>
  <si>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</si>
  <si>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</si>
  <si>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</si>
  <si>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</si>
  <si>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</si>
  <si>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</si>
  <si>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</si>
  <si>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</si>
  <si>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</si>
  <si>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</si>
  <si>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</si>
  <si>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</si>
  <si>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</si>
  <si>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</si>
  <si>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</si>
  <si>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</si>
  <si>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</si>
  <si>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</si>
  <si>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</si>
  <si>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Noto Sans CJK SC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</si>
  <si>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</si>
  <si>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</si>
  <si>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</si>
  <si>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</si>
  <si>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</si>
  <si>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</si>
  <si>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</si>
  <si>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</si>
  <si>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</si>
  <si>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</si>
  <si>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</si>
  <si>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Noto Sans CJK SC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Noto Sans CJK SC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</si>
  <si>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</si>
  <si>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</si>
  <si>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</si>
  <si>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</si>
  <si>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</si>
  <si>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</si>
  <si>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</si>
  <si>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</si>
  <si>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</si>
  <si>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</si>
  <si>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</si>
  <si>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</si>
  <si>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</si>
  <si>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</si>
  <si>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</si>
  <si>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</si>
  <si>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</si>
  <si>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</si>
  <si>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</si>
  <si>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</si>
  <si>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</si>
  <si>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</si>
  <si>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</si>
  <si>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</si>
  <si>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</si>
  <si>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</si>
  <si>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</si>
  <si>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</si>
  <si>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</si>
  <si>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</si>
  <si>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</si>
  <si>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</si>
  <si>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Noto Sans CJK SC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</si>
  <si>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</si>
  <si>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</si>
  <si>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Noto Sans CJK SC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</si>
  <si>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</si>
  <si>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</si>
  <si>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</si>
  <si>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</si>
  <si>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</si>
  <si>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</si>
  <si>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</si>
  <si>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</si>
  <si>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</si>
  <si>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</si>
  <si>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</si>
  <si>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</si>
  <si>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</si>
  <si>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</si>
  <si>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</si>
  <si>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</si>
  <si>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</si>
  <si>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</si>
  <si>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</si>
  <si>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Noto Sans CJK SC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</si>
  <si>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</si>
  <si>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</si>
  <si>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</si>
  <si>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</si>
  <si>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</si>
  <si>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</si>
  <si>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</si>
  <si>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</si>
  <si>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</si>
  <si>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</si>
  <si>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</si>
  <si>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</si>
  <si>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</si>
  <si>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</si>
  <si>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</si>
  <si>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</si>
  <si>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</si>
  <si>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</si>
  <si>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Noto Sans CJK SC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</si>
  <si>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</si>
  <si>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Noto Sans CJK SC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</si>
  <si>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</si>
  <si>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</si>
  <si>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</si>
  <si>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</si>
  <si>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Noto Sans CJK SC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</si>
  <si>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</si>
  <si>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</si>
  <si>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</si>
  <si>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</si>
  <si>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</si>
  <si>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</si>
  <si>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</si>
  <si>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</si>
  <si>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</si>
  <si>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</si>
  <si>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</si>
  <si>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</si>
  <si>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</si>
  <si>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</si>
  <si>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</si>
  <si>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Noto Sans CJK SC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</si>
  <si>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</si>
  <si>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Noto Sans CJK SC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</si>
  <si>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</si>
  <si>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Noto Sans CJK SC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</si>
  <si>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</si>
  <si>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</si>
  <si>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</si>
  <si>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</si>
  <si>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</si>
  <si>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</si>
  <si>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</si>
  <si>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</si>
  <si>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</si>
  <si>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</si>
  <si>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</si>
  <si>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</si>
  <si>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</si>
  <si>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</si>
  <si>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</si>
  <si>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</si>
  <si>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</si>
  <si>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</si>
  <si>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</si>
  <si>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</si>
  <si>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</si>
  <si>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</si>
  <si>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</si>
  <si>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</si>
  <si>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</si>
  <si>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</si>
  <si>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</si>
  <si>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</si>
  <si>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</si>
  <si>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</si>
  <si>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</si>
  <si>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</si>
  <si>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</si>
  <si>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</si>
  <si>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</si>
  <si>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</si>
  <si>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</si>
  <si>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</si>
  <si>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</si>
  <si>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</si>
  <si>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</si>
  <si>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</si>
  <si>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</si>
  <si>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</si>
  <si>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</si>
  <si>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</si>
  <si>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</si>
  <si>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</si>
  <si>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</si>
  <si>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</si>
  <si>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</si>
  <si>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</si>
  <si>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</si>
  <si>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</si>
  <si>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</si>
  <si>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</si>
  <si>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</si>
  <si>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</si>
  <si>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</si>
  <si>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</si>
  <si>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</si>
  <si>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</si>
  <si>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</si>
  <si>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</si>
  <si>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</si>
  <si>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</si>
  <si>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</si>
  <si>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</si>
  <si>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</si>
  <si>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</si>
  <si>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</si>
  <si>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</si>
  <si>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</si>
  <si>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</si>
  <si>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</si>
  <si>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</si>
  <si>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</si>
  <si>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</si>
  <si>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</si>
  <si>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</si>
  <si>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Noto Sans CJK SC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Noto Sans CJK SC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</si>
  <si>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</si>
  <si>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</si>
  <si>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Noto Sans CJK SC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Noto Sans CJK SC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</si>
  <si>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</si>
  <si>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</si>
  <si>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</si>
  <si>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Noto Sans CJK SC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</si>
  <si>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</si>
  <si>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</si>
  <si>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</si>
  <si>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Noto Sans CJK SC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</si>
  <si>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</si>
  <si>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Noto Sans CJK SC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</si>
  <si>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</si>
  <si>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</si>
  <si>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</si>
  <si>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</si>
  <si>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</si>
  <si>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</si>
  <si>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</si>
  <si>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</si>
  <si>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</si>
  <si>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</si>
  <si>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</si>
  <si>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</si>
  <si>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Revenue R41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ARR×</t>
    </r>
    <r>
      <rPr>
        <sz val="10"/>
        <color rgb="FF000000"/>
        <rFont val="Noto Sans CJK SC"/>
        <family val="2"/>
      </rPr>
      <t xml:space="preserve">下半年月數</t>
    </r>
    <r>
      <rPr>
        <sz val="10"/>
        <color rgb="FF000000"/>
        <rFont val="Arial"/>
        <family val="0"/>
        <charset val="1"/>
      </rPr>
      <t xml:space="preserve">÷12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</si>
  <si>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Noto Sans CJK SC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</si>
  <si>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</si>
  <si>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</si>
  <si>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</si>
  <si>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</si>
  <si>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</si>
  <si>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Noto Sans CJK SC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</si>
  <si>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</si>
  <si>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</si>
  <si>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</si>
  <si>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</si>
  <si>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</si>
  <si>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Noto Sans CJK SC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</si>
  <si>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</si>
  <si>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Noto Sans CJK SC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</si>
  <si>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</si>
  <si>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</si>
  <si>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</si>
  <si>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</si>
  <si>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</si>
  <si>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</si>
  <si>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（產能）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</si>
  <si>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</si>
  <si>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</si>
  <si>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</si>
  <si>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</si>
  <si>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</si>
  <si>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</si>
  <si>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</si>
  <si>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</si>
  <si>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</si>
  <si>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Noto Sans CJK SC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Noto Sans CJK SC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</si>
  <si>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</si>
  <si>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</si>
  <si>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Noto Sans CJK SC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</si>
  <si>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</si>
  <si>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</si>
  <si>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</si>
  <si>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</si>
  <si>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</si>
  <si>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</si>
  <si>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Noto Sans CJK SC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</si>
  <si>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</si>
  <si>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</si>
  <si>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</si>
  <si>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</si>
  <si>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</si>
  <si>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</si>
  <si>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</si>
  <si>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</si>
  <si>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</si>
  <si>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</si>
  <si>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</si>
  <si>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</si>
  <si>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</si>
  <si>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</si>
  <si>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</si>
  <si>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</si>
  <si>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</si>
  <si>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</si>
  <si>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</si>
  <si>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</si>
  <si>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</si>
  <si>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</si>
  <si>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</si>
  <si>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</si>
  <si>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</si>
  <si>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</si>
  <si>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</si>
  <si>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</si>
  <si>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</si>
  <si>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</si>
  <si>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</si>
  <si>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</si>
  <si>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</si>
  <si>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</si>
  <si>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</si>
  <si>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</si>
  <si>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</si>
  <si>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</si>
  <si>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</si>
  <si>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</si>
  <si>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</si>
  <si>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</si>
  <si>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</si>
  <si>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</si>
  <si>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</si>
  <si>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</si>
  <si>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</si>
  <si>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</si>
  <si>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</si>
  <si>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</si>
  <si>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</si>
  <si>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</si>
  <si>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</si>
  <si>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</si>
  <si>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</si>
  <si>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</si>
  <si>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</si>
  <si>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</si>
  <si>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</si>
  <si>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</si>
  <si>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</si>
  <si>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</si>
  <si>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</si>
  <si>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</si>
  <si>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</si>
  <si>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</si>
  <si>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</si>
  <si>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</si>
  <si>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Noto Sans CJK SC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</si>
  <si>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</si>
  <si>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Noto Sans CJK SC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Noto Sans CJK SC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</si>
  <si>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</si>
  <si>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</si>
  <si>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</si>
  <si>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</si>
  <si>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</si>
  <si>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</si>
  <si>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</si>
  <si>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</si>
  <si>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</si>
  <si>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</si>
  <si>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</si>
  <si>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</si>
  <si>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</si>
  <si>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</si>
  <si>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</si>
  <si>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</si>
  <si>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</si>
  <si>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</si>
  <si>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</si>
  <si>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</si>
  <si>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</si>
  <si>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</si>
  <si>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</si>
  <si>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</si>
  <si>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</si>
  <si>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</si>
  <si>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</si>
  <si>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</si>
  <si>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Noto Sans CJK SC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</si>
  <si>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</si>
  <si>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</si>
  <si>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</si>
  <si>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</si>
  <si>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</si>
  <si>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</si>
  <si>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</si>
  <si>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</si>
  <si>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</si>
  <si>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</si>
  <si>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</si>
  <si>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</si>
  <si>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</si>
  <si>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</si>
  <si>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</si>
  <si>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</si>
  <si>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</si>
  <si>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</si>
  <si>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</si>
  <si>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</si>
  <si>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</si>
  <si>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</si>
  <si>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</si>
  <si>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</si>
  <si>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</si>
  <si>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</si>
  <si>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</si>
  <si>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</si>
  <si>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Noto Sans CJK SC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</si>
  <si>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</si>
  <si>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</si>
  <si>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</si>
  <si>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</si>
  <si>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</si>
  <si>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</si>
  <si>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</si>
  <si>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</si>
  <si>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</si>
  <si>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</si>
  <si>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</si>
  <si>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</si>
  <si>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</si>
  <si>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</si>
  <si>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</si>
  <si>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</si>
  <si>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</si>
  <si>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</si>
  <si>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</si>
  <si>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</si>
  <si>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</si>
  <si>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Noto Sans CJK SC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</si>
  <si>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</si>
  <si>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</si>
  <si>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</si>
  <si>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</si>
  <si>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Noto Sans CJK SC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Noto Sans CJK SC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</si>
  <si>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</si>
  <si>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</si>
  <si>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Noto Sans CJK SC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</si>
  <si>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</si>
  <si>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</si>
  <si>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</si>
  <si>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</si>
  <si>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Noto Sans CJK SC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Noto Sans CJK SC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</si>
  <si>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</si>
  <si>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</si>
  <si>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</si>
  <si>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</si>
  <si>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Noto Sans CJK SC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</si>
  <si>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reverse.targetRevenue.v.2</t>
  </si>
  <si>
    <t xml:space="preserve">75.1</t>
  </si>
  <si>
    <t xml:space="preserve">reverse.targetRevenue.v.3</t>
  </si>
  <si>
    <t xml:space="preserve">141.5</t>
  </si>
  <si>
    <t xml:space="preserve">reverse.targetRevenue.v.4</t>
  </si>
  <si>
    <t xml:space="preserve">237.4</t>
  </si>
  <si>
    <r>
      <rPr>
        <sz val="10"/>
        <color rgb="FF000000"/>
        <rFont val="Arial"/>
        <family val="0"/>
        <charset val="1"/>
      </rPr>
      <t xml:space="preserve">Reverse X01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Σ840 − 2026 − 2027 − 2028 − 2030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</si>
  <si>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為殘差使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合計＝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Noto Sans CJK SC"/>
        <family val="2"/>
      </rPr>
      <t xml:space="preserve">混合；依元素拆分）</t>
    </r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</si>
  <si>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</si>
  <si>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Noto Sans CJK SC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</si>
  <si>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</si>
  <si>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</si>
  <si>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</si>
  <si>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</si>
  <si>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</si>
  <si>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</si>
  <si>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</si>
  <si>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</si>
  <si>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</si>
  <si>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</si>
  <si>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</si>
  <si>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Noto Sans CJK SC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</si>
  <si>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</si>
  <si>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</si>
  <si>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</si>
  <si>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</si>
  <si>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</si>
  <si>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</si>
  <si>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</si>
  <si>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</si>
  <si>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</si>
  <si>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Noto Sans CJK SC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</si>
  <si>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</si>
  <si>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</si>
  <si>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</si>
  <si>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</si>
  <si>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</si>
  <si>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</si>
  <si>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Noto Sans CJK SC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</si>
  <si>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</si>
  <si>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</si>
  <si>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</si>
  <si>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</si>
  <si>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Noto Sans CJK SC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</si>
  <si>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</si>
  <si>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</si>
  <si>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</si>
  <si>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</si>
  <si>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</si>
  <si>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</si>
  <si>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</si>
  <si>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</si>
  <si>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</si>
  <si>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</si>
  <si>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</si>
  <si>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</si>
  <si>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</si>
  <si>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Noto Sans CJK SC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</si>
  <si>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Noto Sans CJK SC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</si>
  <si>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</si>
  <si>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</si>
  <si>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</si>
  <si>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</si>
  <si>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Noto Sans CJK SC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</si>
  <si>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</si>
  <si>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</si>
  <si>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</si>
  <si>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Noto Sans CJK SC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</si>
  <si>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</si>
  <si>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</si>
  <si>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</si>
  <si>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</si>
  <si>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</si>
  <si>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</si>
  <si>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</si>
  <si>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</si>
  <si>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</si>
  <si>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Noto Sans CJK SC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</si>
  <si>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</si>
  <si>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</si>
  <si>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</si>
  <si>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</si>
  <si>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</si>
  <si>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</si>
  <si>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</si>
  <si>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Noto Sans CJK SC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</si>
  <si>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Noto Sans CJK SC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</si>
  <si>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</si>
  <si>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</si>
  <si>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</si>
  <si>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</si>
  <si>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</si>
  <si>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</si>
  <si>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</si>
  <si>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</si>
  <si>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</si>
  <si>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</si>
  <si>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</si>
  <si>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</si>
  <si>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</si>
  <si>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</si>
  <si>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</si>
  <si>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</si>
  <si>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</si>
  <si>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</si>
  <si>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</si>
  <si>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</si>
  <si>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</si>
  <si>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</si>
  <si>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</si>
  <si>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</si>
  <si>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</si>
  <si>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</si>
  <si>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</si>
  <si>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</si>
  <si>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</si>
  <si>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</si>
  <si>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</si>
  <si>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</si>
  <si>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</si>
  <si>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</si>
  <si>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</si>
  <si>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</si>
  <si>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</si>
  <si>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</si>
  <si>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</si>
  <si>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</si>
  <si>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</si>
  <si>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</si>
  <si>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</si>
  <si>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</si>
  <si>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Noto Sans CJK SC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Noto Sans CJK SC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</si>
  <si>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</si>
  <si>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</si>
  <si>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</si>
  <si>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</si>
  <si>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</si>
  <si>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</si>
  <si>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</si>
  <si>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</si>
  <si>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</si>
  <si>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</si>
  <si>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</si>
  <si>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</si>
  <si>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</si>
  <si>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</si>
  <si>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</si>
  <si>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</si>
  <si>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</si>
  <si>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</si>
  <si>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</si>
  <si>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</si>
  <si>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Noto Sans CJK SC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</si>
  <si>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</si>
  <si>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</si>
  <si>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</si>
  <si>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</si>
  <si>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</si>
  <si>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</si>
  <si>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</si>
  <si>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</si>
  <si>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Noto Sans CJK SC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</si>
  <si>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</si>
  <si>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</si>
  <si>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</si>
  <si>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</si>
  <si>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</si>
  <si>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</si>
  <si>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</si>
  <si>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</si>
  <si>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</si>
  <si>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</si>
  <si>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</si>
  <si>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</si>
  <si>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</si>
  <si>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</si>
  <si>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Noto Sans CJK SC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Noto Sans CJK SC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</si>
  <si>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</si>
  <si>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</si>
  <si>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</si>
  <si>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</si>
  <si>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</si>
  <si>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</si>
  <si>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</si>
  <si>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</si>
  <si>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</si>
  <si>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</si>
  <si>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</si>
  <si>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</si>
  <si>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</si>
  <si>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</si>
  <si>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</si>
  <si>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</si>
  <si>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</si>
  <si>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</si>
  <si>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</si>
  <si>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Noto Sans CJK SC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</si>
  <si>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</si>
  <si>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</si>
  <si>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</si>
  <si>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</si>
  <si>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</si>
  <si>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</si>
  <si>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</si>
  <si>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</si>
  <si>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</si>
  <si>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</si>
  <si>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</si>
  <si>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</si>
  <si>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Noto Sans CJK SC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</si>
  <si>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</si>
  <si>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</si>
  <si>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</si>
  <si>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</si>
  <si>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</si>
  <si>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</si>
  <si>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</si>
  <si>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</si>
  <si>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</si>
  <si>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</si>
  <si>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</si>
  <si>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</si>
  <si>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</si>
  <si>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</si>
  <si>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</si>
  <si>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</si>
  <si>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</si>
  <si>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</si>
  <si>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</si>
  <si>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</si>
  <si>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</si>
  <si>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</si>
  <si>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</si>
  <si>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Noto Sans CJK SC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</si>
  <si>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</si>
  <si>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</si>
  <si>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Noto Sans CJK SC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Noto Sans CJK SC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</si>
  <si>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</si>
  <si>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</si>
  <si>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</si>
  <si>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</si>
  <si>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</si>
  <si>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</si>
  <si>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</si>
  <si>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</si>
  <si>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Noto Sans CJK SC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</si>
  <si>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</si>
  <si>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</si>
  <si>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</si>
  <si>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</si>
  <si>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</si>
  <si>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</si>
  <si>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</si>
  <si>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</si>
  <si>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</si>
  <si>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</si>
  <si>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</si>
  <si>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</si>
  <si>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</si>
  <si>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</si>
  <si>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</si>
  <si>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</si>
  <si>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</si>
  <si>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</si>
  <si>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</si>
  <si>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</si>
  <si>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</si>
  <si>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</si>
  <si>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</si>
  <si>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</si>
  <si>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</si>
  <si>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</si>
  <si>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</si>
  <si>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</si>
  <si>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</si>
  <si>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</si>
  <si>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</si>
  <si>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</si>
  <si>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</si>
  <si>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</si>
  <si>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</si>
  <si>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</si>
  <si>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</si>
  <si>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</si>
  <si>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</si>
  <si>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</si>
  <si>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</si>
  <si>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</si>
  <si>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</si>
  <si>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</si>
  <si>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</si>
  <si>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</si>
  <si>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</si>
  <si>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</si>
  <si>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</si>
  <si>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</si>
  <si>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</si>
  <si>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</si>
  <si>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</si>
  <si>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</si>
  <si>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</si>
  <si>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</si>
  <si>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</si>
  <si>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</si>
  <si>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</si>
  <si>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</si>
  <si>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</si>
  <si>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</si>
  <si>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</si>
  <si>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</si>
  <si>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</si>
  <si>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</si>
  <si>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</si>
  <si>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</si>
  <si>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</si>
  <si>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</si>
  <si>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</si>
  <si>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</si>
  <si>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</si>
  <si>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</si>
  <si>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</si>
  <si>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</si>
  <si>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</si>
  <si>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</si>
  <si>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</si>
  <si>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</si>
  <si>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</si>
  <si>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</si>
  <si>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Noto Sans CJK SC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</si>
  <si>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</si>
  <si>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</si>
  <si>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</si>
  <si>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Noto Sans CJK SC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</si>
  <si>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</si>
  <si>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</si>
  <si>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</si>
  <si>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</si>
  <si>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</si>
  <si>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</si>
  <si>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</si>
  <si>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</si>
  <si>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</si>
  <si>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</si>
  <si>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</si>
  <si>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</si>
  <si>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</si>
  <si>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</si>
  <si>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</si>
  <si>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</si>
  <si>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</si>
  <si>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</si>
  <si>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</si>
  <si>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</si>
  <si>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</si>
  <si>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</si>
  <si>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</si>
  <si>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</si>
  <si>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</si>
  <si>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Noto Sans CJK SC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</si>
  <si>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</si>
  <si>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</si>
  <si>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</si>
  <si>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</si>
  <si>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</si>
  <si>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</si>
  <si>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</si>
  <si>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</si>
  <si>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</si>
  <si>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</si>
  <si>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</si>
  <si>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</si>
  <si>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</si>
  <si>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</si>
  <si>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</si>
  <si>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</si>
  <si>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</si>
  <si>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</si>
  <si>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</si>
  <si>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</si>
  <si>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</si>
  <si>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Noto Sans CJK SC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</si>
  <si>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</si>
  <si>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</si>
  <si>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</si>
  <si>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</si>
  <si>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</si>
  <si>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</si>
  <si>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</si>
  <si>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</si>
  <si>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</si>
  <si>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</si>
  <si>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Noto Sans CJK SC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</si>
  <si>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Noto Sans CJK SC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</si>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</sst>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"/>
    <numFmt numFmtId="167" formatCode="0.000"/>
    <numFmt numFmtId="168" formatCode="0.00"/>
    <numFmt numFmtId="169" formatCode="0.00E+00"/>
    <numFmt numFmtId="170" formatCode="0.0%"/>
    <numFmt numFmtId="171" formatCode="#,##0"/>
    <numFmt numFmtId="172" formatCode="0.0E+00"/>
    <numFmt numFmtId="173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4" t="s">
        <v>9</v>
      </c>
    </row>
    <row r="8" customFormat="false" ht="29.85" hidden="false" customHeight="false" outlineLevel="0" collapsed="false">
      <c r="A8" s="5" t="s">
        <v>10</v>
      </c>
      <c r="B8" s="4" t="s">
        <v>11</v>
      </c>
    </row>
    <row r="9" customFormat="false" ht="29.8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15" hidden="false" customHeight="false" outlineLevel="0" collapsed="false">
      <c r="A12" s="5" t="s">
        <v>18</v>
      </c>
      <c r="B12" s="4" t="s">
        <v>19</v>
      </c>
    </row>
    <row r="13" customFormat="false" ht="15" hidden="false" customHeight="false" outlineLevel="0" collapsed="false">
      <c r="A13" s="5" t="s">
        <v>20</v>
      </c>
      <c r="B13" s="4" t="s">
        <v>21</v>
      </c>
    </row>
    <row r="14" customFormat="false" ht="44" hidden="false" customHeight="false" outlineLevel="0" collapsed="false">
      <c r="A14" s="5" t="s">
        <v>22</v>
      </c>
      <c r="B14" s="4" t="s">
        <v>23</v>
      </c>
    </row>
    <row r="15" customFormat="false" ht="44" hidden="false" customHeight="false" outlineLevel="0" collapsed="false">
      <c r="A15" s="5" t="s">
        <v>24</v>
      </c>
      <c r="B15" s="4" t="s">
        <v>25</v>
      </c>
    </row>
    <row r="16" customFormat="false" ht="29.85" hidden="false" customHeight="false" outlineLevel="0" collapsed="false">
      <c r="A16" s="5" t="s">
        <v>26</v>
      </c>
      <c r="B16" s="4" t="s">
        <v>27</v>
      </c>
    </row>
    <row r="17" customFormat="false" ht="29.85" hidden="false" customHeight="false" outlineLevel="0" collapsed="false">
      <c r="A17" s="5" t="s">
        <v>28</v>
      </c>
      <c r="B17" s="4" t="s">
        <v>29</v>
      </c>
    </row>
    <row r="18" customFormat="false" ht="15" hidden="false" customHeight="false" outlineLevel="0" collapsed="false">
      <c r="A18" s="5" t="s">
        <v>30</v>
      </c>
      <c r="B18" s="4" t="s">
        <v>31</v>
      </c>
    </row>
    <row r="19" customFormat="false" ht="29.85" hidden="false" customHeight="false" outlineLevel="0" collapsed="false">
      <c r="A19" s="3" t="s">
        <v>32</v>
      </c>
      <c r="B19" s="6" t="s">
        <v>33</v>
      </c>
    </row>
    <row r="20" customFormat="false" ht="15" hidden="false" customHeight="false" outlineLevel="0" collapsed="false">
      <c r="A20" s="3" t="s">
        <v>34</v>
      </c>
      <c r="B20" s="4" t="s">
        <v>35</v>
      </c>
    </row>
    <row r="21" customFormat="false" ht="15" hidden="false" customHeight="false" outlineLevel="0" collapsed="false">
      <c r="A21" s="3" t="s">
        <v>36</v>
      </c>
      <c r="B21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20.1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2" t="s">
        <v>40</v>
      </c>
    </row>
    <row r="4" customFormat="false" ht="44" hidden="false" customHeight="false" outlineLevel="0" collapsed="false">
      <c r="A4" s="7" t="s">
        <v>41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8" t="s">
        <v>51</v>
      </c>
      <c r="L4" s="8" t="s">
        <v>52</v>
      </c>
      <c r="M4" s="8" t="s">
        <v>53</v>
      </c>
      <c r="N4" s="8" t="s">
        <v>54</v>
      </c>
      <c r="O4" s="8" t="s">
        <v>55</v>
      </c>
      <c r="P4" s="8" t="s">
        <v>56</v>
      </c>
      <c r="Q4" s="7" t="s">
        <v>57</v>
      </c>
      <c r="R4" s="8" t="s">
        <v>58</v>
      </c>
      <c r="S4" s="7" t="s">
        <v>59</v>
      </c>
      <c r="T4" s="8" t="s">
        <v>60</v>
      </c>
      <c r="U4" s="8" t="s">
        <v>61</v>
      </c>
      <c r="V4" s="8" t="s">
        <v>62</v>
      </c>
      <c r="W4" s="8" t="s">
        <v>63</v>
      </c>
      <c r="X4" s="8" t="s">
        <v>64</v>
      </c>
      <c r="Y4" s="8" t="s">
        <v>65</v>
      </c>
    </row>
    <row r="5" customFormat="false" ht="15" hidden="false" customHeight="false" outlineLevel="0" collapsed="false">
      <c r="A5" s="9" t="s">
        <v>66</v>
      </c>
      <c r="B5" s="10" t="s">
        <v>67</v>
      </c>
      <c r="C5" s="11" t="n">
        <v>3.7</v>
      </c>
      <c r="D5" s="9"/>
      <c r="E5" s="9"/>
      <c r="F5" s="9" t="s">
        <v>68</v>
      </c>
      <c r="G5" s="9" t="s">
        <v>69</v>
      </c>
      <c r="H5" s="9" t="s">
        <v>70</v>
      </c>
      <c r="I5" s="9" t="s">
        <v>71</v>
      </c>
      <c r="J5" s="9" t="s">
        <v>72</v>
      </c>
      <c r="K5" s="9" t="s">
        <v>73</v>
      </c>
      <c r="L5" s="10" t="s">
        <v>74</v>
      </c>
      <c r="M5" s="10" t="s">
        <v>75</v>
      </c>
      <c r="N5" s="10" t="s">
        <v>76</v>
      </c>
      <c r="O5" s="9" t="s">
        <v>77</v>
      </c>
      <c r="P5" s="9" t="s">
        <v>71</v>
      </c>
      <c r="Q5" s="9" t="s">
        <v>78</v>
      </c>
      <c r="R5" s="9" t="s">
        <v>71</v>
      </c>
      <c r="S5" s="9" t="s">
        <v>79</v>
      </c>
      <c r="T5" s="9" t="s">
        <v>80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81</v>
      </c>
    </row>
    <row r="6" customFormat="false" ht="15" hidden="false" customHeight="false" outlineLevel="0" collapsed="false">
      <c r="A6" s="9" t="s">
        <v>82</v>
      </c>
      <c r="B6" s="10" t="s">
        <v>83</v>
      </c>
      <c r="C6" s="11" t="n">
        <v>13.07</v>
      </c>
      <c r="D6" s="9"/>
      <c r="E6" s="9"/>
      <c r="F6" s="9" t="s">
        <v>68</v>
      </c>
      <c r="G6" s="9" t="s">
        <v>84</v>
      </c>
      <c r="H6" s="9" t="s">
        <v>70</v>
      </c>
      <c r="I6" s="9" t="s">
        <v>85</v>
      </c>
      <c r="J6" s="9" t="s">
        <v>86</v>
      </c>
      <c r="K6" s="9" t="s">
        <v>73</v>
      </c>
      <c r="L6" s="10" t="s">
        <v>74</v>
      </c>
      <c r="M6" s="10" t="s">
        <v>87</v>
      </c>
      <c r="N6" s="10" t="s">
        <v>88</v>
      </c>
      <c r="O6" s="9" t="s">
        <v>77</v>
      </c>
      <c r="P6" s="9" t="s">
        <v>71</v>
      </c>
      <c r="Q6" s="9" t="s">
        <v>78</v>
      </c>
      <c r="R6" s="9" t="s">
        <v>71</v>
      </c>
      <c r="S6" s="9" t="s">
        <v>89</v>
      </c>
      <c r="T6" s="9" t="s">
        <v>80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81</v>
      </c>
    </row>
    <row r="7" customFormat="false" ht="15" hidden="false" customHeight="false" outlineLevel="0" collapsed="false">
      <c r="A7" s="9" t="s">
        <v>90</v>
      </c>
      <c r="B7" s="10" t="s">
        <v>91</v>
      </c>
      <c r="C7" s="11" t="n">
        <v>7.5</v>
      </c>
      <c r="D7" s="9"/>
      <c r="E7" s="9"/>
      <c r="F7" s="9" t="s">
        <v>68</v>
      </c>
      <c r="G7" s="10" t="s">
        <v>92</v>
      </c>
      <c r="H7" s="9" t="s">
        <v>70</v>
      </c>
      <c r="I7" s="9" t="s">
        <v>85</v>
      </c>
      <c r="J7" s="9" t="s">
        <v>93</v>
      </c>
      <c r="K7" s="9" t="s">
        <v>73</v>
      </c>
      <c r="L7" s="10" t="s">
        <v>74</v>
      </c>
      <c r="M7" s="10" t="s">
        <v>87</v>
      </c>
      <c r="N7" s="10" t="s">
        <v>88</v>
      </c>
      <c r="O7" s="9" t="s">
        <v>77</v>
      </c>
      <c r="P7" s="9" t="s">
        <v>71</v>
      </c>
      <c r="Q7" s="9" t="s">
        <v>78</v>
      </c>
      <c r="R7" s="9" t="s">
        <v>71</v>
      </c>
      <c r="S7" s="9" t="s">
        <v>94</v>
      </c>
      <c r="T7" s="9" t="s">
        <v>95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81</v>
      </c>
    </row>
    <row r="8" customFormat="false" ht="15" hidden="false" customHeight="false" outlineLevel="0" collapsed="false">
      <c r="A8" s="9" t="s">
        <v>96</v>
      </c>
      <c r="B8" s="10" t="s">
        <v>97</v>
      </c>
      <c r="C8" s="11" t="n">
        <v>5.7</v>
      </c>
      <c r="D8" s="9"/>
      <c r="E8" s="9"/>
      <c r="F8" s="9" t="s">
        <v>68</v>
      </c>
      <c r="G8" s="9" t="s">
        <v>98</v>
      </c>
      <c r="H8" s="9" t="s">
        <v>70</v>
      </c>
      <c r="I8" s="9" t="s">
        <v>99</v>
      </c>
      <c r="J8" s="9" t="s">
        <v>100</v>
      </c>
      <c r="K8" s="9" t="s">
        <v>73</v>
      </c>
      <c r="L8" s="10" t="s">
        <v>74</v>
      </c>
      <c r="M8" s="10" t="s">
        <v>87</v>
      </c>
      <c r="N8" s="10" t="s">
        <v>101</v>
      </c>
      <c r="O8" s="9" t="s">
        <v>77</v>
      </c>
      <c r="P8" s="9" t="s">
        <v>71</v>
      </c>
      <c r="Q8" s="9" t="s">
        <v>78</v>
      </c>
      <c r="R8" s="9" t="s">
        <v>71</v>
      </c>
      <c r="S8" s="9" t="s">
        <v>102</v>
      </c>
      <c r="T8" s="9" t="s">
        <v>103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81</v>
      </c>
    </row>
    <row r="9" customFormat="false" ht="15" hidden="false" customHeight="false" outlineLevel="0" collapsed="false">
      <c r="A9" s="9" t="s">
        <v>104</v>
      </c>
      <c r="B9" s="10" t="s">
        <v>105</v>
      </c>
      <c r="C9" s="11" t="n">
        <v>6.7</v>
      </c>
      <c r="D9" s="9"/>
      <c r="E9" s="9"/>
      <c r="F9" s="9" t="s">
        <v>68</v>
      </c>
      <c r="G9" s="9" t="s">
        <v>106</v>
      </c>
      <c r="H9" s="9" t="s">
        <v>70</v>
      </c>
      <c r="I9" s="9" t="s">
        <v>107</v>
      </c>
      <c r="J9" s="9" t="s">
        <v>108</v>
      </c>
      <c r="K9" s="9" t="s">
        <v>73</v>
      </c>
      <c r="L9" s="10" t="s">
        <v>74</v>
      </c>
      <c r="M9" s="10" t="s">
        <v>87</v>
      </c>
      <c r="N9" s="10" t="s">
        <v>101</v>
      </c>
      <c r="O9" s="9" t="s">
        <v>77</v>
      </c>
      <c r="P9" s="9" t="s">
        <v>71</v>
      </c>
      <c r="Q9" s="9" t="s">
        <v>78</v>
      </c>
      <c r="R9" s="9" t="s">
        <v>71</v>
      </c>
      <c r="S9" s="9" t="s">
        <v>109</v>
      </c>
      <c r="T9" s="9" t="s">
        <v>110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81</v>
      </c>
    </row>
    <row r="10" customFormat="false" ht="15" hidden="false" customHeight="false" outlineLevel="0" collapsed="false">
      <c r="A10" s="9" t="s">
        <v>111</v>
      </c>
      <c r="B10" s="10" t="s">
        <v>112</v>
      </c>
      <c r="C10" s="11" t="n">
        <v>40</v>
      </c>
      <c r="D10" s="9"/>
      <c r="E10" s="9"/>
      <c r="F10" s="9" t="s">
        <v>68</v>
      </c>
      <c r="G10" s="9" t="s">
        <v>113</v>
      </c>
      <c r="H10" s="9" t="s">
        <v>70</v>
      </c>
      <c r="I10" s="9" t="s">
        <v>114</v>
      </c>
      <c r="J10" s="9" t="s">
        <v>115</v>
      </c>
      <c r="K10" s="9" t="s">
        <v>73</v>
      </c>
      <c r="L10" s="10" t="s">
        <v>74</v>
      </c>
      <c r="M10" s="10" t="s">
        <v>116</v>
      </c>
      <c r="N10" s="10" t="s">
        <v>101</v>
      </c>
      <c r="O10" s="9" t="s">
        <v>77</v>
      </c>
      <c r="P10" s="9" t="s">
        <v>71</v>
      </c>
      <c r="Q10" s="9" t="s">
        <v>78</v>
      </c>
      <c r="R10" s="9" t="s">
        <v>71</v>
      </c>
      <c r="S10" s="9" t="s">
        <v>117</v>
      </c>
      <c r="T10" s="9" t="s">
        <v>110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81</v>
      </c>
    </row>
    <row r="11" customFormat="false" ht="15" hidden="false" customHeight="false" outlineLevel="0" collapsed="false">
      <c r="A11" s="9" t="s">
        <v>118</v>
      </c>
      <c r="B11" s="10" t="s">
        <v>119</v>
      </c>
      <c r="C11" s="11" t="n">
        <v>0.6</v>
      </c>
      <c r="D11" s="9"/>
      <c r="E11" s="9"/>
      <c r="F11" s="10" t="s">
        <v>120</v>
      </c>
      <c r="G11" s="10" t="s">
        <v>121</v>
      </c>
      <c r="H11" s="9" t="s">
        <v>70</v>
      </c>
      <c r="I11" s="9" t="s">
        <v>122</v>
      </c>
      <c r="J11" s="9" t="s">
        <v>123</v>
      </c>
      <c r="K11" s="9" t="s">
        <v>73</v>
      </c>
      <c r="L11" s="10" t="s">
        <v>74</v>
      </c>
      <c r="M11" s="10" t="s">
        <v>87</v>
      </c>
      <c r="N11" s="10" t="s">
        <v>101</v>
      </c>
      <c r="O11" s="9" t="s">
        <v>77</v>
      </c>
      <c r="P11" s="9" t="s">
        <v>71</v>
      </c>
      <c r="Q11" s="9" t="s">
        <v>78</v>
      </c>
      <c r="R11" s="9" t="s">
        <v>71</v>
      </c>
      <c r="S11" s="9" t="s">
        <v>124</v>
      </c>
      <c r="T11" s="9" t="s">
        <v>110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81</v>
      </c>
    </row>
    <row r="12" customFormat="false" ht="15" hidden="false" customHeight="false" outlineLevel="0" collapsed="false">
      <c r="A12" s="9" t="s">
        <v>125</v>
      </c>
      <c r="B12" s="9" t="s">
        <v>126</v>
      </c>
      <c r="C12" s="11" t="n">
        <v>6</v>
      </c>
      <c r="D12" s="9"/>
      <c r="E12" s="9"/>
      <c r="F12" s="9" t="s">
        <v>127</v>
      </c>
      <c r="G12" s="9" t="s">
        <v>128</v>
      </c>
      <c r="H12" s="9" t="s">
        <v>70</v>
      </c>
      <c r="I12" s="9" t="s">
        <v>129</v>
      </c>
      <c r="J12" s="9" t="s">
        <v>130</v>
      </c>
      <c r="K12" s="9" t="s">
        <v>73</v>
      </c>
      <c r="L12" s="10" t="s">
        <v>74</v>
      </c>
      <c r="M12" s="10" t="s">
        <v>116</v>
      </c>
      <c r="N12" s="10" t="s">
        <v>131</v>
      </c>
      <c r="O12" s="9" t="s">
        <v>77</v>
      </c>
      <c r="P12" s="9" t="s">
        <v>71</v>
      </c>
      <c r="Q12" s="9" t="s">
        <v>78</v>
      </c>
      <c r="R12" s="9" t="s">
        <v>71</v>
      </c>
      <c r="S12" s="9" t="s">
        <v>132</v>
      </c>
      <c r="T12" s="9" t="s">
        <v>133</v>
      </c>
      <c r="U12" s="9" t="s">
        <v>134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81</v>
      </c>
    </row>
    <row r="13" customFormat="false" ht="15" hidden="false" customHeight="false" outlineLevel="0" collapsed="false">
      <c r="A13" s="9" t="s">
        <v>135</v>
      </c>
      <c r="B13" s="9" t="s">
        <v>136</v>
      </c>
      <c r="C13" s="11" t="n">
        <v>0.2</v>
      </c>
      <c r="D13" s="9"/>
      <c r="E13" s="9"/>
      <c r="F13" s="10" t="s">
        <v>120</v>
      </c>
      <c r="G13" s="9" t="s">
        <v>137</v>
      </c>
      <c r="H13" s="9" t="s">
        <v>138</v>
      </c>
      <c r="I13" s="9" t="s">
        <v>139</v>
      </c>
      <c r="J13" s="9" t="s">
        <v>140</v>
      </c>
      <c r="K13" s="9" t="s">
        <v>73</v>
      </c>
      <c r="L13" s="10" t="s">
        <v>74</v>
      </c>
      <c r="M13" s="10" t="s">
        <v>141</v>
      </c>
      <c r="N13" s="10" t="s">
        <v>101</v>
      </c>
      <c r="O13" s="9" t="s">
        <v>77</v>
      </c>
      <c r="P13" s="9" t="s">
        <v>71</v>
      </c>
      <c r="Q13" s="9" t="s">
        <v>78</v>
      </c>
      <c r="R13" s="9" t="s">
        <v>71</v>
      </c>
      <c r="S13" s="9" t="s">
        <v>142</v>
      </c>
      <c r="T13" s="9" t="s">
        <v>143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81</v>
      </c>
    </row>
    <row r="14" customFormat="false" ht="15" hidden="false" customHeight="false" outlineLevel="0" collapsed="false">
      <c r="A14" s="9" t="s">
        <v>144</v>
      </c>
      <c r="B14" s="9" t="s">
        <v>145</v>
      </c>
      <c r="C14" s="11" t="n">
        <v>38</v>
      </c>
      <c r="D14" s="9"/>
      <c r="E14" s="9"/>
      <c r="F14" s="9" t="s">
        <v>68</v>
      </c>
      <c r="G14" s="10" t="s">
        <v>146</v>
      </c>
      <c r="H14" s="9" t="s">
        <v>138</v>
      </c>
      <c r="I14" s="9" t="s">
        <v>147</v>
      </c>
      <c r="J14" s="9" t="s">
        <v>148</v>
      </c>
      <c r="K14" s="9" t="s">
        <v>73</v>
      </c>
      <c r="L14" s="10" t="s">
        <v>74</v>
      </c>
      <c r="M14" s="10" t="s">
        <v>141</v>
      </c>
      <c r="N14" s="10" t="s">
        <v>101</v>
      </c>
      <c r="O14" s="9" t="s">
        <v>77</v>
      </c>
      <c r="P14" s="9" t="s">
        <v>71</v>
      </c>
      <c r="Q14" s="9" t="s">
        <v>78</v>
      </c>
      <c r="R14" s="9" t="s">
        <v>71</v>
      </c>
      <c r="S14" s="9" t="s">
        <v>149</v>
      </c>
      <c r="T14" s="9" t="s">
        <v>143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81</v>
      </c>
    </row>
    <row r="15" customFormat="false" ht="15" hidden="false" customHeight="false" outlineLevel="0" collapsed="false">
      <c r="A15" s="9" t="s">
        <v>150</v>
      </c>
      <c r="B15" s="9" t="s">
        <v>151</v>
      </c>
      <c r="C15" s="11" t="n">
        <v>2030</v>
      </c>
      <c r="D15" s="9"/>
      <c r="E15" s="9"/>
      <c r="F15" s="10" t="s">
        <v>152</v>
      </c>
      <c r="G15" s="10" t="s">
        <v>153</v>
      </c>
      <c r="H15" s="9" t="s">
        <v>138</v>
      </c>
      <c r="I15" s="9" t="s">
        <v>139</v>
      </c>
      <c r="J15" s="9" t="s">
        <v>154</v>
      </c>
      <c r="K15" s="9" t="s">
        <v>73</v>
      </c>
      <c r="L15" s="10" t="s">
        <v>74</v>
      </c>
      <c r="M15" s="10" t="s">
        <v>155</v>
      </c>
      <c r="N15" s="10" t="s">
        <v>131</v>
      </c>
      <c r="O15" s="9" t="s">
        <v>77</v>
      </c>
      <c r="P15" s="9" t="s">
        <v>71</v>
      </c>
      <c r="Q15" s="9" t="s">
        <v>156</v>
      </c>
      <c r="R15" s="9" t="s">
        <v>71</v>
      </c>
      <c r="S15" s="9" t="s">
        <v>157</v>
      </c>
      <c r="T15" s="9" t="s">
        <v>143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81</v>
      </c>
    </row>
    <row r="16" customFormat="false" ht="15" hidden="false" customHeight="false" outlineLevel="0" collapsed="false">
      <c r="A16" s="9" t="s">
        <v>158</v>
      </c>
      <c r="B16" s="9" t="s">
        <v>159</v>
      </c>
      <c r="C16" s="11" t="n">
        <v>0</v>
      </c>
      <c r="D16" s="9"/>
      <c r="E16" s="9"/>
      <c r="F16" s="9" t="s">
        <v>68</v>
      </c>
      <c r="G16" s="9" t="s">
        <v>160</v>
      </c>
      <c r="H16" s="9" t="s">
        <v>138</v>
      </c>
      <c r="I16" s="9" t="s">
        <v>139</v>
      </c>
      <c r="J16" s="9" t="s">
        <v>161</v>
      </c>
      <c r="K16" s="9" t="s">
        <v>73</v>
      </c>
      <c r="L16" s="10" t="s">
        <v>74</v>
      </c>
      <c r="M16" s="10" t="s">
        <v>155</v>
      </c>
      <c r="N16" s="10" t="s">
        <v>131</v>
      </c>
      <c r="O16" s="9" t="s">
        <v>77</v>
      </c>
      <c r="P16" s="9" t="s">
        <v>71</v>
      </c>
      <c r="Q16" s="9" t="s">
        <v>156</v>
      </c>
      <c r="R16" s="9" t="s">
        <v>71</v>
      </c>
      <c r="S16" s="9" t="s">
        <v>162</v>
      </c>
      <c r="T16" s="9" t="s">
        <v>143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81</v>
      </c>
    </row>
    <row r="17" customFormat="false" ht="15" hidden="false" customHeight="false" outlineLevel="0" collapsed="false">
      <c r="A17" s="9" t="s">
        <v>163</v>
      </c>
      <c r="B17" s="9" t="s">
        <v>164</v>
      </c>
      <c r="C17" s="11" t="n">
        <v>10</v>
      </c>
      <c r="D17" s="9"/>
      <c r="E17" s="9"/>
      <c r="F17" s="9" t="s">
        <v>165</v>
      </c>
      <c r="G17" s="10" t="s">
        <v>166</v>
      </c>
      <c r="H17" s="9" t="s">
        <v>70</v>
      </c>
      <c r="I17" s="9" t="s">
        <v>167</v>
      </c>
      <c r="J17" s="9" t="s">
        <v>168</v>
      </c>
      <c r="K17" s="9" t="s">
        <v>73</v>
      </c>
      <c r="L17" s="10" t="s">
        <v>74</v>
      </c>
      <c r="M17" s="10" t="s">
        <v>169</v>
      </c>
      <c r="N17" s="10" t="s">
        <v>131</v>
      </c>
      <c r="O17" s="9" t="s">
        <v>77</v>
      </c>
      <c r="P17" s="9" t="s">
        <v>71</v>
      </c>
      <c r="Q17" s="9" t="s">
        <v>156</v>
      </c>
      <c r="R17" s="9" t="s">
        <v>71</v>
      </c>
      <c r="S17" s="9" t="s">
        <v>170</v>
      </c>
      <c r="T17" s="9" t="s">
        <v>171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81</v>
      </c>
    </row>
    <row r="18" customFormat="false" ht="15" hidden="false" customHeight="false" outlineLevel="0" collapsed="false">
      <c r="A18" s="9" t="s">
        <v>172</v>
      </c>
      <c r="B18" s="9" t="s">
        <v>173</v>
      </c>
      <c r="C18" s="11" t="n">
        <v>1</v>
      </c>
      <c r="D18" s="9"/>
      <c r="E18" s="9"/>
      <c r="F18" s="9" t="s">
        <v>165</v>
      </c>
      <c r="G18" s="10" t="s">
        <v>166</v>
      </c>
      <c r="H18" s="9" t="s">
        <v>70</v>
      </c>
      <c r="I18" s="9" t="s">
        <v>167</v>
      </c>
      <c r="J18" s="9" t="s">
        <v>168</v>
      </c>
      <c r="K18" s="9" t="s">
        <v>73</v>
      </c>
      <c r="L18" s="10" t="s">
        <v>74</v>
      </c>
      <c r="M18" s="10" t="s">
        <v>169</v>
      </c>
      <c r="N18" s="10" t="s">
        <v>131</v>
      </c>
      <c r="O18" s="9" t="s">
        <v>77</v>
      </c>
      <c r="P18" s="9" t="s">
        <v>71</v>
      </c>
      <c r="Q18" s="9" t="s">
        <v>156</v>
      </c>
      <c r="R18" s="9" t="s">
        <v>71</v>
      </c>
      <c r="S18" s="9" t="s">
        <v>170</v>
      </c>
      <c r="T18" s="9" t="s">
        <v>171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81</v>
      </c>
    </row>
    <row r="19" customFormat="false" ht="15" hidden="false" customHeight="false" outlineLevel="0" collapsed="false">
      <c r="A19" s="9" t="s">
        <v>174</v>
      </c>
      <c r="B19" s="9" t="s">
        <v>175</v>
      </c>
      <c r="C19" s="11" t="n">
        <v>50</v>
      </c>
      <c r="D19" s="9"/>
      <c r="E19" s="9"/>
      <c r="F19" s="9" t="s">
        <v>165</v>
      </c>
      <c r="G19" s="10" t="s">
        <v>166</v>
      </c>
      <c r="H19" s="9" t="s">
        <v>70</v>
      </c>
      <c r="I19" s="9" t="s">
        <v>167</v>
      </c>
      <c r="J19" s="9" t="s">
        <v>168</v>
      </c>
      <c r="K19" s="9" t="s">
        <v>73</v>
      </c>
      <c r="L19" s="10" t="s">
        <v>74</v>
      </c>
      <c r="M19" s="10" t="s">
        <v>169</v>
      </c>
      <c r="N19" s="10" t="s">
        <v>131</v>
      </c>
      <c r="O19" s="9" t="s">
        <v>77</v>
      </c>
      <c r="P19" s="9" t="s">
        <v>71</v>
      </c>
      <c r="Q19" s="9" t="s">
        <v>156</v>
      </c>
      <c r="R19" s="9" t="s">
        <v>71</v>
      </c>
      <c r="S19" s="9" t="s">
        <v>170</v>
      </c>
      <c r="T19" s="9" t="s">
        <v>171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81</v>
      </c>
    </row>
    <row r="20" customFormat="false" ht="15" hidden="false" customHeight="false" outlineLevel="0" collapsed="false">
      <c r="A20" s="9" t="s">
        <v>176</v>
      </c>
      <c r="B20" s="9" t="s">
        <v>177</v>
      </c>
      <c r="C20" s="11" t="n">
        <v>2</v>
      </c>
      <c r="D20" s="9"/>
      <c r="E20" s="9"/>
      <c r="F20" s="9" t="s">
        <v>165</v>
      </c>
      <c r="G20" s="10" t="s">
        <v>178</v>
      </c>
      <c r="H20" s="9" t="s">
        <v>70</v>
      </c>
      <c r="I20" s="9" t="s">
        <v>167</v>
      </c>
      <c r="J20" s="9" t="s">
        <v>168</v>
      </c>
      <c r="K20" s="9" t="s">
        <v>73</v>
      </c>
      <c r="L20" s="10" t="s">
        <v>74</v>
      </c>
      <c r="M20" s="10" t="s">
        <v>169</v>
      </c>
      <c r="N20" s="10" t="s">
        <v>131</v>
      </c>
      <c r="O20" s="9" t="s">
        <v>77</v>
      </c>
      <c r="P20" s="9" t="s">
        <v>71</v>
      </c>
      <c r="Q20" s="9" t="s">
        <v>156</v>
      </c>
      <c r="R20" s="9" t="s">
        <v>71</v>
      </c>
      <c r="S20" s="9" t="s">
        <v>170</v>
      </c>
      <c r="T20" s="9" t="s">
        <v>171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81</v>
      </c>
    </row>
    <row r="21" customFormat="false" ht="15" hidden="false" customHeight="false" outlineLevel="0" collapsed="false">
      <c r="A21" s="9" t="s">
        <v>179</v>
      </c>
      <c r="B21" s="9" t="s">
        <v>180</v>
      </c>
      <c r="C21" s="11" t="n">
        <v>0.2</v>
      </c>
      <c r="D21" s="9"/>
      <c r="E21" s="9"/>
      <c r="F21" s="9" t="s">
        <v>165</v>
      </c>
      <c r="G21" s="10" t="s">
        <v>178</v>
      </c>
      <c r="H21" s="9" t="s">
        <v>70</v>
      </c>
      <c r="I21" s="9" t="s">
        <v>167</v>
      </c>
      <c r="J21" s="9" t="s">
        <v>168</v>
      </c>
      <c r="K21" s="9" t="s">
        <v>73</v>
      </c>
      <c r="L21" s="10" t="s">
        <v>74</v>
      </c>
      <c r="M21" s="10" t="s">
        <v>169</v>
      </c>
      <c r="N21" s="10" t="s">
        <v>131</v>
      </c>
      <c r="O21" s="9" t="s">
        <v>77</v>
      </c>
      <c r="P21" s="9" t="s">
        <v>71</v>
      </c>
      <c r="Q21" s="9" t="s">
        <v>156</v>
      </c>
      <c r="R21" s="9" t="s">
        <v>71</v>
      </c>
      <c r="S21" s="9" t="s">
        <v>170</v>
      </c>
      <c r="T21" s="9" t="s">
        <v>171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81</v>
      </c>
    </row>
    <row r="22" customFormat="false" ht="15" hidden="false" customHeight="false" outlineLevel="0" collapsed="false">
      <c r="A22" s="9" t="s">
        <v>181</v>
      </c>
      <c r="B22" s="9" t="s">
        <v>182</v>
      </c>
      <c r="C22" s="11" t="n">
        <v>10</v>
      </c>
      <c r="D22" s="9"/>
      <c r="E22" s="9"/>
      <c r="F22" s="9" t="s">
        <v>165</v>
      </c>
      <c r="G22" s="10" t="s">
        <v>178</v>
      </c>
      <c r="H22" s="9" t="s">
        <v>70</v>
      </c>
      <c r="I22" s="9" t="s">
        <v>167</v>
      </c>
      <c r="J22" s="9" t="s">
        <v>168</v>
      </c>
      <c r="K22" s="9" t="s">
        <v>73</v>
      </c>
      <c r="L22" s="10" t="s">
        <v>74</v>
      </c>
      <c r="M22" s="10" t="s">
        <v>169</v>
      </c>
      <c r="N22" s="10" t="s">
        <v>131</v>
      </c>
      <c r="O22" s="9" t="s">
        <v>77</v>
      </c>
      <c r="P22" s="9" t="s">
        <v>71</v>
      </c>
      <c r="Q22" s="9" t="s">
        <v>156</v>
      </c>
      <c r="R22" s="9" t="s">
        <v>71</v>
      </c>
      <c r="S22" s="9" t="s">
        <v>170</v>
      </c>
      <c r="T22" s="9" t="s">
        <v>171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81</v>
      </c>
    </row>
    <row r="23" customFormat="false" ht="15" hidden="false" customHeight="false" outlineLevel="0" collapsed="false">
      <c r="A23" s="9" t="s">
        <v>183</v>
      </c>
      <c r="B23" s="9" t="s">
        <v>184</v>
      </c>
      <c r="C23" s="11" t="n">
        <v>0.1</v>
      </c>
      <c r="D23" s="9"/>
      <c r="E23" s="9"/>
      <c r="F23" s="9" t="s">
        <v>165</v>
      </c>
      <c r="G23" s="10" t="s">
        <v>185</v>
      </c>
      <c r="H23" s="9" t="s">
        <v>70</v>
      </c>
      <c r="I23" s="9" t="s">
        <v>167</v>
      </c>
      <c r="J23" s="9" t="s">
        <v>168</v>
      </c>
      <c r="K23" s="9" t="s">
        <v>73</v>
      </c>
      <c r="L23" s="10" t="s">
        <v>74</v>
      </c>
      <c r="M23" s="10" t="s">
        <v>169</v>
      </c>
      <c r="N23" s="10" t="s">
        <v>131</v>
      </c>
      <c r="O23" s="9" t="s">
        <v>77</v>
      </c>
      <c r="P23" s="9" t="s">
        <v>71</v>
      </c>
      <c r="Q23" s="9" t="s">
        <v>156</v>
      </c>
      <c r="R23" s="9" t="s">
        <v>71</v>
      </c>
      <c r="S23" s="9" t="s">
        <v>170</v>
      </c>
      <c r="T23" s="9" t="s">
        <v>171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81</v>
      </c>
    </row>
    <row r="24" customFormat="false" ht="15" hidden="false" customHeight="false" outlineLevel="0" collapsed="false">
      <c r="A24" s="9" t="s">
        <v>186</v>
      </c>
      <c r="B24" s="9" t="s">
        <v>187</v>
      </c>
      <c r="C24" s="11" t="n">
        <v>0.01</v>
      </c>
      <c r="D24" s="9"/>
      <c r="E24" s="9"/>
      <c r="F24" s="9" t="s">
        <v>165</v>
      </c>
      <c r="G24" s="10" t="s">
        <v>185</v>
      </c>
      <c r="H24" s="9" t="s">
        <v>70</v>
      </c>
      <c r="I24" s="9" t="s">
        <v>167</v>
      </c>
      <c r="J24" s="9" t="s">
        <v>168</v>
      </c>
      <c r="K24" s="9" t="s">
        <v>73</v>
      </c>
      <c r="L24" s="10" t="s">
        <v>74</v>
      </c>
      <c r="M24" s="10" t="s">
        <v>169</v>
      </c>
      <c r="N24" s="10" t="s">
        <v>131</v>
      </c>
      <c r="O24" s="9" t="s">
        <v>77</v>
      </c>
      <c r="P24" s="9" t="s">
        <v>71</v>
      </c>
      <c r="Q24" s="9" t="s">
        <v>156</v>
      </c>
      <c r="R24" s="9" t="s">
        <v>71</v>
      </c>
      <c r="S24" s="9" t="s">
        <v>170</v>
      </c>
      <c r="T24" s="9" t="s">
        <v>171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81</v>
      </c>
    </row>
    <row r="25" customFormat="false" ht="15" hidden="false" customHeight="false" outlineLevel="0" collapsed="false">
      <c r="A25" s="9" t="s">
        <v>188</v>
      </c>
      <c r="B25" s="9" t="s">
        <v>189</v>
      </c>
      <c r="C25" s="11" t="n">
        <v>0.5</v>
      </c>
      <c r="D25" s="9"/>
      <c r="E25" s="9"/>
      <c r="F25" s="9" t="s">
        <v>165</v>
      </c>
      <c r="G25" s="10" t="s">
        <v>185</v>
      </c>
      <c r="H25" s="9" t="s">
        <v>70</v>
      </c>
      <c r="I25" s="9" t="s">
        <v>167</v>
      </c>
      <c r="J25" s="9" t="s">
        <v>168</v>
      </c>
      <c r="K25" s="9" t="s">
        <v>73</v>
      </c>
      <c r="L25" s="10" t="s">
        <v>74</v>
      </c>
      <c r="M25" s="10" t="s">
        <v>169</v>
      </c>
      <c r="N25" s="10" t="s">
        <v>131</v>
      </c>
      <c r="O25" s="9" t="s">
        <v>77</v>
      </c>
      <c r="P25" s="9" t="s">
        <v>71</v>
      </c>
      <c r="Q25" s="9" t="s">
        <v>156</v>
      </c>
      <c r="R25" s="9" t="s">
        <v>71</v>
      </c>
      <c r="S25" s="9" t="s">
        <v>170</v>
      </c>
      <c r="T25" s="9" t="s">
        <v>171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81</v>
      </c>
    </row>
    <row r="26" customFormat="false" ht="15" hidden="false" customHeight="false" outlineLevel="0" collapsed="false">
      <c r="A26" s="9" t="s">
        <v>190</v>
      </c>
      <c r="B26" s="9" t="s">
        <v>191</v>
      </c>
      <c r="C26" s="9" t="s">
        <v>192</v>
      </c>
      <c r="D26" s="9"/>
      <c r="E26" s="9"/>
      <c r="F26" s="10" t="s">
        <v>193</v>
      </c>
      <c r="G26" s="9" t="s">
        <v>194</v>
      </c>
      <c r="H26" s="9" t="s">
        <v>70</v>
      </c>
      <c r="I26" s="9" t="s">
        <v>167</v>
      </c>
      <c r="J26" s="9" t="s">
        <v>195</v>
      </c>
      <c r="K26" s="9" t="s">
        <v>73</v>
      </c>
      <c r="L26" s="10" t="s">
        <v>74</v>
      </c>
      <c r="M26" s="10" t="s">
        <v>169</v>
      </c>
      <c r="N26" s="10" t="s">
        <v>131</v>
      </c>
      <c r="O26" s="9" t="s">
        <v>77</v>
      </c>
      <c r="P26" s="9" t="s">
        <v>71</v>
      </c>
      <c r="Q26" s="9" t="s">
        <v>156</v>
      </c>
      <c r="R26" s="9" t="s">
        <v>71</v>
      </c>
      <c r="S26" s="9" t="s">
        <v>196</v>
      </c>
      <c r="T26" s="9" t="s">
        <v>197</v>
      </c>
      <c r="U26" s="9" t="s">
        <v>198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81</v>
      </c>
    </row>
    <row r="27" customFormat="false" ht="15" hidden="false" customHeight="false" outlineLevel="0" collapsed="false">
      <c r="A27" s="9" t="s">
        <v>199</v>
      </c>
      <c r="B27" s="9" t="s">
        <v>200</v>
      </c>
      <c r="C27" s="9" t="s">
        <v>201</v>
      </c>
      <c r="D27" s="9"/>
      <c r="E27" s="9"/>
      <c r="F27" s="10" t="s">
        <v>193</v>
      </c>
      <c r="G27" s="9" t="s">
        <v>194</v>
      </c>
      <c r="H27" s="9" t="s">
        <v>70</v>
      </c>
      <c r="I27" s="9" t="s">
        <v>167</v>
      </c>
      <c r="J27" s="9" t="s">
        <v>195</v>
      </c>
      <c r="K27" s="9" t="s">
        <v>73</v>
      </c>
      <c r="L27" s="10" t="s">
        <v>74</v>
      </c>
      <c r="M27" s="10" t="s">
        <v>169</v>
      </c>
      <c r="N27" s="10" t="s">
        <v>131</v>
      </c>
      <c r="O27" s="9" t="s">
        <v>77</v>
      </c>
      <c r="P27" s="9" t="s">
        <v>71</v>
      </c>
      <c r="Q27" s="9" t="s">
        <v>156</v>
      </c>
      <c r="R27" s="9" t="s">
        <v>71</v>
      </c>
      <c r="S27" s="9" t="s">
        <v>202</v>
      </c>
      <c r="T27" s="9" t="s">
        <v>197</v>
      </c>
      <c r="U27" s="9" t="s">
        <v>198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81</v>
      </c>
    </row>
    <row r="28" customFormat="false" ht="15" hidden="false" customHeight="false" outlineLevel="0" collapsed="false">
      <c r="A28" s="9" t="s">
        <v>203</v>
      </c>
      <c r="B28" s="9" t="s">
        <v>204</v>
      </c>
      <c r="C28" s="9" t="s">
        <v>205</v>
      </c>
      <c r="D28" s="9"/>
      <c r="E28" s="9"/>
      <c r="F28" s="10" t="s">
        <v>193</v>
      </c>
      <c r="G28" s="9" t="s">
        <v>194</v>
      </c>
      <c r="H28" s="9" t="s">
        <v>70</v>
      </c>
      <c r="I28" s="9" t="s">
        <v>167</v>
      </c>
      <c r="J28" s="9" t="s">
        <v>195</v>
      </c>
      <c r="K28" s="9" t="s">
        <v>73</v>
      </c>
      <c r="L28" s="10" t="s">
        <v>74</v>
      </c>
      <c r="M28" s="10" t="s">
        <v>169</v>
      </c>
      <c r="N28" s="10" t="s">
        <v>131</v>
      </c>
      <c r="O28" s="9" t="s">
        <v>77</v>
      </c>
      <c r="P28" s="9" t="s">
        <v>71</v>
      </c>
      <c r="Q28" s="9" t="s">
        <v>156</v>
      </c>
      <c r="R28" s="9" t="s">
        <v>71</v>
      </c>
      <c r="S28" s="9" t="s">
        <v>206</v>
      </c>
      <c r="T28" s="9" t="s">
        <v>197</v>
      </c>
      <c r="U28" s="9" t="s">
        <v>198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81</v>
      </c>
    </row>
    <row r="29" customFormat="false" ht="15" hidden="false" customHeight="false" outlineLevel="0" collapsed="false">
      <c r="A29" s="9" t="s">
        <v>207</v>
      </c>
      <c r="B29" s="9" t="s">
        <v>208</v>
      </c>
      <c r="C29" s="9" t="s">
        <v>209</v>
      </c>
      <c r="D29" s="9"/>
      <c r="E29" s="9"/>
      <c r="F29" s="10" t="s">
        <v>193</v>
      </c>
      <c r="G29" s="10" t="s">
        <v>210</v>
      </c>
      <c r="H29" s="9" t="s">
        <v>70</v>
      </c>
      <c r="I29" s="9" t="s">
        <v>211</v>
      </c>
      <c r="J29" s="9" t="s">
        <v>212</v>
      </c>
      <c r="K29" s="9" t="s">
        <v>73</v>
      </c>
      <c r="L29" s="10" t="s">
        <v>74</v>
      </c>
      <c r="M29" s="10" t="s">
        <v>169</v>
      </c>
      <c r="N29" s="10" t="s">
        <v>131</v>
      </c>
      <c r="O29" s="9" t="s">
        <v>77</v>
      </c>
      <c r="P29" s="9" t="s">
        <v>71</v>
      </c>
      <c r="Q29" s="9" t="s">
        <v>156</v>
      </c>
      <c r="R29" s="9" t="s">
        <v>71</v>
      </c>
      <c r="S29" s="9" t="s">
        <v>213</v>
      </c>
      <c r="T29" s="9" t="s">
        <v>214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81</v>
      </c>
    </row>
    <row r="30" customFormat="false" ht="15" hidden="false" customHeight="false" outlineLevel="0" collapsed="false">
      <c r="A30" s="9" t="s">
        <v>215</v>
      </c>
      <c r="B30" s="9" t="s">
        <v>216</v>
      </c>
      <c r="C30" s="9" t="s">
        <v>217</v>
      </c>
      <c r="D30" s="9"/>
      <c r="E30" s="9"/>
      <c r="F30" s="10" t="s">
        <v>193</v>
      </c>
      <c r="G30" s="10" t="s">
        <v>210</v>
      </c>
      <c r="H30" s="9" t="s">
        <v>70</v>
      </c>
      <c r="I30" s="9" t="s">
        <v>218</v>
      </c>
      <c r="J30" s="9" t="s">
        <v>212</v>
      </c>
      <c r="K30" s="9" t="s">
        <v>73</v>
      </c>
      <c r="L30" s="10" t="s">
        <v>74</v>
      </c>
      <c r="M30" s="10" t="s">
        <v>169</v>
      </c>
      <c r="N30" s="10" t="s">
        <v>131</v>
      </c>
      <c r="O30" s="9" t="s">
        <v>77</v>
      </c>
      <c r="P30" s="9" t="s">
        <v>71</v>
      </c>
      <c r="Q30" s="9" t="s">
        <v>156</v>
      </c>
      <c r="R30" s="9" t="s">
        <v>71</v>
      </c>
      <c r="S30" s="9" t="s">
        <v>213</v>
      </c>
      <c r="T30" s="9" t="s">
        <v>214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81</v>
      </c>
    </row>
    <row r="31" customFormat="false" ht="15" hidden="false" customHeight="false" outlineLevel="0" collapsed="false">
      <c r="A31" s="9" t="s">
        <v>219</v>
      </c>
      <c r="B31" s="9" t="s">
        <v>220</v>
      </c>
      <c r="C31" s="9" t="s">
        <v>221</v>
      </c>
      <c r="D31" s="9"/>
      <c r="E31" s="9"/>
      <c r="F31" s="10" t="s">
        <v>193</v>
      </c>
      <c r="G31" s="10" t="s">
        <v>210</v>
      </c>
      <c r="H31" s="9" t="s">
        <v>70</v>
      </c>
      <c r="I31" s="9" t="s">
        <v>222</v>
      </c>
      <c r="J31" s="9" t="s">
        <v>212</v>
      </c>
      <c r="K31" s="9" t="s">
        <v>73</v>
      </c>
      <c r="L31" s="10" t="s">
        <v>74</v>
      </c>
      <c r="M31" s="10" t="s">
        <v>169</v>
      </c>
      <c r="N31" s="10" t="s">
        <v>131</v>
      </c>
      <c r="O31" s="9" t="s">
        <v>77</v>
      </c>
      <c r="P31" s="9" t="s">
        <v>71</v>
      </c>
      <c r="Q31" s="9" t="s">
        <v>156</v>
      </c>
      <c r="R31" s="9" t="s">
        <v>71</v>
      </c>
      <c r="S31" s="9" t="s">
        <v>213</v>
      </c>
      <c r="T31" s="9" t="s">
        <v>214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81</v>
      </c>
    </row>
    <row r="32" customFormat="false" ht="15" hidden="false" customHeight="false" outlineLevel="0" collapsed="false">
      <c r="A32" s="9" t="s">
        <v>223</v>
      </c>
      <c r="B32" s="9" t="s">
        <v>224</v>
      </c>
      <c r="C32" s="9" t="s">
        <v>225</v>
      </c>
      <c r="D32" s="9"/>
      <c r="E32" s="9"/>
      <c r="F32" s="10" t="s">
        <v>193</v>
      </c>
      <c r="G32" s="10" t="s">
        <v>210</v>
      </c>
      <c r="H32" s="9" t="s">
        <v>70</v>
      </c>
      <c r="I32" s="9" t="s">
        <v>226</v>
      </c>
      <c r="J32" s="9" t="s">
        <v>212</v>
      </c>
      <c r="K32" s="9" t="s">
        <v>73</v>
      </c>
      <c r="L32" s="10" t="s">
        <v>74</v>
      </c>
      <c r="M32" s="10" t="s">
        <v>169</v>
      </c>
      <c r="N32" s="10" t="s">
        <v>131</v>
      </c>
      <c r="O32" s="9" t="s">
        <v>77</v>
      </c>
      <c r="P32" s="9" t="s">
        <v>71</v>
      </c>
      <c r="Q32" s="9" t="s">
        <v>156</v>
      </c>
      <c r="R32" s="9" t="s">
        <v>71</v>
      </c>
      <c r="S32" s="9" t="s">
        <v>213</v>
      </c>
      <c r="T32" s="9" t="s">
        <v>214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81</v>
      </c>
    </row>
    <row r="33" customFormat="false" ht="15" hidden="false" customHeight="false" outlineLevel="0" collapsed="false">
      <c r="A33" s="9" t="s">
        <v>227</v>
      </c>
      <c r="B33" s="9" t="s">
        <v>228</v>
      </c>
      <c r="C33" s="9" t="s">
        <v>229</v>
      </c>
      <c r="D33" s="9"/>
      <c r="E33" s="9"/>
      <c r="F33" s="10" t="s">
        <v>193</v>
      </c>
      <c r="G33" s="10" t="s">
        <v>210</v>
      </c>
      <c r="H33" s="9" t="s">
        <v>70</v>
      </c>
      <c r="I33" s="9" t="s">
        <v>230</v>
      </c>
      <c r="J33" s="9" t="s">
        <v>212</v>
      </c>
      <c r="K33" s="9" t="s">
        <v>73</v>
      </c>
      <c r="L33" s="10" t="s">
        <v>74</v>
      </c>
      <c r="M33" s="10" t="s">
        <v>169</v>
      </c>
      <c r="N33" s="10" t="s">
        <v>131</v>
      </c>
      <c r="O33" s="9" t="s">
        <v>77</v>
      </c>
      <c r="P33" s="9" t="s">
        <v>71</v>
      </c>
      <c r="Q33" s="9" t="s">
        <v>156</v>
      </c>
      <c r="R33" s="9" t="s">
        <v>71</v>
      </c>
      <c r="S33" s="9" t="s">
        <v>213</v>
      </c>
      <c r="T33" s="9" t="s">
        <v>214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81</v>
      </c>
    </row>
    <row r="34" customFormat="false" ht="15" hidden="false" customHeight="false" outlineLevel="0" collapsed="false">
      <c r="A34" s="9" t="s">
        <v>231</v>
      </c>
      <c r="B34" s="10" t="s">
        <v>232</v>
      </c>
      <c r="C34" s="11" t="n">
        <v>0.1</v>
      </c>
      <c r="D34" s="9"/>
      <c r="E34" s="9"/>
      <c r="F34" s="10" t="s">
        <v>120</v>
      </c>
      <c r="G34" s="10" t="s">
        <v>233</v>
      </c>
      <c r="H34" s="9" t="s">
        <v>70</v>
      </c>
      <c r="I34" s="9" t="s">
        <v>234</v>
      </c>
      <c r="J34" s="10" t="s">
        <v>235</v>
      </c>
      <c r="K34" s="9" t="s">
        <v>73</v>
      </c>
      <c r="L34" s="10" t="s">
        <v>74</v>
      </c>
      <c r="M34" s="10" t="s">
        <v>169</v>
      </c>
      <c r="N34" s="10" t="s">
        <v>131</v>
      </c>
      <c r="O34" s="9" t="s">
        <v>77</v>
      </c>
      <c r="P34" s="9" t="s">
        <v>71</v>
      </c>
      <c r="Q34" s="9" t="s">
        <v>156</v>
      </c>
      <c r="R34" s="9" t="s">
        <v>71</v>
      </c>
      <c r="S34" s="9" t="s">
        <v>236</v>
      </c>
      <c r="T34" s="9" t="s">
        <v>237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81</v>
      </c>
    </row>
    <row r="35" customFormat="false" ht="15" hidden="false" customHeight="false" outlineLevel="0" collapsed="false">
      <c r="A35" s="9" t="s">
        <v>238</v>
      </c>
      <c r="B35" s="10" t="s">
        <v>239</v>
      </c>
      <c r="C35" s="11" t="n">
        <v>8</v>
      </c>
      <c r="D35" s="9"/>
      <c r="E35" s="9"/>
      <c r="F35" s="9" t="s">
        <v>240</v>
      </c>
      <c r="G35" s="9" t="s">
        <v>241</v>
      </c>
      <c r="H35" s="9" t="s">
        <v>70</v>
      </c>
      <c r="I35" s="9" t="s">
        <v>234</v>
      </c>
      <c r="J35" s="9" t="s">
        <v>242</v>
      </c>
      <c r="K35" s="9" t="s">
        <v>73</v>
      </c>
      <c r="L35" s="10" t="s">
        <v>74</v>
      </c>
      <c r="M35" s="10" t="s">
        <v>169</v>
      </c>
      <c r="N35" s="10" t="s">
        <v>131</v>
      </c>
      <c r="O35" s="9" t="s">
        <v>77</v>
      </c>
      <c r="P35" s="9" t="s">
        <v>71</v>
      </c>
      <c r="Q35" s="9" t="s">
        <v>156</v>
      </c>
      <c r="R35" s="9" t="s">
        <v>71</v>
      </c>
      <c r="S35" s="9" t="s">
        <v>243</v>
      </c>
      <c r="T35" s="9" t="s">
        <v>244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81</v>
      </c>
    </row>
    <row r="36" customFormat="false" ht="15" hidden="false" customHeight="false" outlineLevel="0" collapsed="false">
      <c r="A36" s="9" t="s">
        <v>245</v>
      </c>
      <c r="B36" s="10" t="s">
        <v>246</v>
      </c>
      <c r="C36" s="11" t="n">
        <v>20</v>
      </c>
      <c r="D36" s="9"/>
      <c r="E36" s="9"/>
      <c r="F36" s="9" t="s">
        <v>240</v>
      </c>
      <c r="G36" s="9" t="s">
        <v>241</v>
      </c>
      <c r="H36" s="9" t="s">
        <v>70</v>
      </c>
      <c r="I36" s="9" t="s">
        <v>234</v>
      </c>
      <c r="J36" s="9" t="s">
        <v>242</v>
      </c>
      <c r="K36" s="9" t="s">
        <v>73</v>
      </c>
      <c r="L36" s="10" t="s">
        <v>74</v>
      </c>
      <c r="M36" s="10" t="s">
        <v>169</v>
      </c>
      <c r="N36" s="10" t="s">
        <v>131</v>
      </c>
      <c r="O36" s="9" t="s">
        <v>77</v>
      </c>
      <c r="P36" s="9" t="s">
        <v>71</v>
      </c>
      <c r="Q36" s="9" t="s">
        <v>156</v>
      </c>
      <c r="R36" s="9" t="s">
        <v>71</v>
      </c>
      <c r="S36" s="9" t="s">
        <v>243</v>
      </c>
      <c r="T36" s="9" t="s">
        <v>237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81</v>
      </c>
    </row>
    <row r="37" customFormat="false" ht="15" hidden="false" customHeight="false" outlineLevel="0" collapsed="false">
      <c r="A37" s="9" t="s">
        <v>247</v>
      </c>
      <c r="B37" s="10" t="s">
        <v>248</v>
      </c>
      <c r="C37" s="11" t="n">
        <v>100</v>
      </c>
      <c r="D37" s="9"/>
      <c r="E37" s="9"/>
      <c r="F37" s="9" t="s">
        <v>240</v>
      </c>
      <c r="G37" s="9" t="s">
        <v>249</v>
      </c>
      <c r="H37" s="9" t="s">
        <v>70</v>
      </c>
      <c r="I37" s="9" t="s">
        <v>234</v>
      </c>
      <c r="J37" s="9" t="s">
        <v>242</v>
      </c>
      <c r="K37" s="9" t="s">
        <v>73</v>
      </c>
      <c r="L37" s="10" t="s">
        <v>74</v>
      </c>
      <c r="M37" s="10" t="s">
        <v>169</v>
      </c>
      <c r="N37" s="10" t="s">
        <v>131</v>
      </c>
      <c r="O37" s="9" t="s">
        <v>77</v>
      </c>
      <c r="P37" s="9" t="s">
        <v>71</v>
      </c>
      <c r="Q37" s="9" t="s">
        <v>156</v>
      </c>
      <c r="R37" s="9" t="s">
        <v>71</v>
      </c>
      <c r="S37" s="9" t="s">
        <v>243</v>
      </c>
      <c r="T37" s="9" t="s">
        <v>237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81</v>
      </c>
    </row>
    <row r="38" customFormat="false" ht="15" hidden="false" customHeight="false" outlineLevel="0" collapsed="false">
      <c r="A38" s="9" t="s">
        <v>250</v>
      </c>
      <c r="B38" s="10" t="s">
        <v>251</v>
      </c>
      <c r="C38" s="11" t="n">
        <v>200</v>
      </c>
      <c r="D38" s="9"/>
      <c r="E38" s="9"/>
      <c r="F38" s="9" t="s">
        <v>240</v>
      </c>
      <c r="G38" s="9" t="s">
        <v>249</v>
      </c>
      <c r="H38" s="9" t="s">
        <v>70</v>
      </c>
      <c r="I38" s="9" t="s">
        <v>234</v>
      </c>
      <c r="J38" s="9" t="s">
        <v>242</v>
      </c>
      <c r="K38" s="9" t="s">
        <v>73</v>
      </c>
      <c r="L38" s="10" t="s">
        <v>74</v>
      </c>
      <c r="M38" s="10" t="s">
        <v>169</v>
      </c>
      <c r="N38" s="10" t="s">
        <v>131</v>
      </c>
      <c r="O38" s="9" t="s">
        <v>77</v>
      </c>
      <c r="P38" s="9" t="s">
        <v>71</v>
      </c>
      <c r="Q38" s="9" t="s">
        <v>156</v>
      </c>
      <c r="R38" s="9" t="s">
        <v>71</v>
      </c>
      <c r="S38" s="9" t="s">
        <v>243</v>
      </c>
      <c r="T38" s="9" t="s">
        <v>237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81</v>
      </c>
    </row>
    <row r="39" customFormat="false" ht="15" hidden="false" customHeight="false" outlineLevel="0" collapsed="false">
      <c r="A39" s="9" t="s">
        <v>252</v>
      </c>
      <c r="B39" s="10" t="s">
        <v>253</v>
      </c>
      <c r="C39" s="9"/>
      <c r="D39" s="11" t="n">
        <v>20</v>
      </c>
      <c r="E39" s="11" t="n">
        <v>25</v>
      </c>
      <c r="F39" s="9" t="s">
        <v>254</v>
      </c>
      <c r="G39" s="9" t="s">
        <v>255</v>
      </c>
      <c r="H39" s="9" t="s">
        <v>70</v>
      </c>
      <c r="I39" s="9" t="s">
        <v>234</v>
      </c>
      <c r="J39" s="9" t="s">
        <v>242</v>
      </c>
      <c r="K39" s="9" t="s">
        <v>73</v>
      </c>
      <c r="L39" s="10" t="s">
        <v>74</v>
      </c>
      <c r="M39" s="10" t="s">
        <v>169</v>
      </c>
      <c r="N39" s="10" t="s">
        <v>131</v>
      </c>
      <c r="O39" s="9" t="s">
        <v>77</v>
      </c>
      <c r="P39" s="9" t="s">
        <v>71</v>
      </c>
      <c r="Q39" s="9" t="s">
        <v>156</v>
      </c>
      <c r="R39" s="9" t="s">
        <v>71</v>
      </c>
      <c r="S39" s="9" t="s">
        <v>243</v>
      </c>
      <c r="T39" s="9" t="s">
        <v>237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81</v>
      </c>
    </row>
    <row r="40" customFormat="false" ht="15" hidden="false" customHeight="false" outlineLevel="0" collapsed="false">
      <c r="A40" s="9" t="s">
        <v>256</v>
      </c>
      <c r="B40" s="10" t="s">
        <v>257</v>
      </c>
      <c r="C40" s="11" t="n">
        <v>112</v>
      </c>
      <c r="D40" s="9"/>
      <c r="E40" s="9"/>
      <c r="F40" s="9" t="s">
        <v>258</v>
      </c>
      <c r="G40" s="10" t="s">
        <v>259</v>
      </c>
      <c r="H40" s="9" t="s">
        <v>70</v>
      </c>
      <c r="I40" s="9" t="s">
        <v>260</v>
      </c>
      <c r="J40" s="9" t="s">
        <v>261</v>
      </c>
      <c r="K40" s="9" t="s">
        <v>262</v>
      </c>
      <c r="L40" s="10" t="s">
        <v>74</v>
      </c>
      <c r="M40" s="10" t="s">
        <v>87</v>
      </c>
      <c r="N40" s="10" t="s">
        <v>101</v>
      </c>
      <c r="O40" s="9" t="s">
        <v>77</v>
      </c>
      <c r="P40" s="9" t="s">
        <v>71</v>
      </c>
      <c r="Q40" s="9" t="s">
        <v>78</v>
      </c>
      <c r="R40" s="10" t="s">
        <v>263</v>
      </c>
      <c r="S40" s="9" t="s">
        <v>264</v>
      </c>
      <c r="T40" s="9" t="s">
        <v>265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81</v>
      </c>
    </row>
    <row r="41" customFormat="false" ht="15" hidden="false" customHeight="false" outlineLevel="0" collapsed="false">
      <c r="A41" s="9" t="s">
        <v>266</v>
      </c>
      <c r="B41" s="10" t="s">
        <v>267</v>
      </c>
      <c r="C41" s="11" t="n">
        <v>9</v>
      </c>
      <c r="D41" s="9"/>
      <c r="E41" s="9"/>
      <c r="F41" s="9" t="s">
        <v>258</v>
      </c>
      <c r="G41" s="10" t="s">
        <v>259</v>
      </c>
      <c r="H41" s="9" t="s">
        <v>70</v>
      </c>
      <c r="I41" s="9" t="s">
        <v>260</v>
      </c>
      <c r="J41" s="9" t="s">
        <v>268</v>
      </c>
      <c r="K41" s="9" t="s">
        <v>262</v>
      </c>
      <c r="L41" s="10" t="s">
        <v>74</v>
      </c>
      <c r="M41" s="10" t="s">
        <v>87</v>
      </c>
      <c r="N41" s="10" t="s">
        <v>101</v>
      </c>
      <c r="O41" s="9" t="s">
        <v>77</v>
      </c>
      <c r="P41" s="9" t="s">
        <v>71</v>
      </c>
      <c r="Q41" s="9" t="s">
        <v>78</v>
      </c>
      <c r="R41" s="10" t="s">
        <v>263</v>
      </c>
      <c r="S41" s="9" t="s">
        <v>269</v>
      </c>
      <c r="T41" s="9" t="s">
        <v>265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81</v>
      </c>
    </row>
    <row r="42" customFormat="false" ht="15" hidden="false" customHeight="false" outlineLevel="0" collapsed="false">
      <c r="A42" s="9" t="s">
        <v>270</v>
      </c>
      <c r="B42" s="10" t="s">
        <v>271</v>
      </c>
      <c r="C42" s="11" t="n">
        <v>2.5</v>
      </c>
      <c r="D42" s="9"/>
      <c r="E42" s="9"/>
      <c r="F42" s="9" t="s">
        <v>68</v>
      </c>
      <c r="G42" s="10" t="s">
        <v>272</v>
      </c>
      <c r="H42" s="9" t="s">
        <v>70</v>
      </c>
      <c r="I42" s="9" t="s">
        <v>273</v>
      </c>
      <c r="J42" s="9" t="s">
        <v>274</v>
      </c>
      <c r="K42" s="9" t="s">
        <v>73</v>
      </c>
      <c r="L42" s="10" t="s">
        <v>74</v>
      </c>
      <c r="M42" s="10" t="s">
        <v>87</v>
      </c>
      <c r="N42" s="10" t="s">
        <v>101</v>
      </c>
      <c r="O42" s="9" t="s">
        <v>77</v>
      </c>
      <c r="P42" s="9" t="s">
        <v>71</v>
      </c>
      <c r="Q42" s="9" t="s">
        <v>78</v>
      </c>
      <c r="R42" s="9" t="s">
        <v>71</v>
      </c>
      <c r="S42" s="9" t="s">
        <v>275</v>
      </c>
      <c r="T42" s="9" t="s">
        <v>276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81</v>
      </c>
    </row>
    <row r="43" customFormat="false" ht="15" hidden="false" customHeight="false" outlineLevel="0" collapsed="false">
      <c r="A43" s="9" t="s">
        <v>277</v>
      </c>
      <c r="B43" s="10" t="s">
        <v>278</v>
      </c>
      <c r="C43" s="11" t="n">
        <v>11</v>
      </c>
      <c r="D43" s="9"/>
      <c r="E43" s="9"/>
      <c r="F43" s="9" t="s">
        <v>68</v>
      </c>
      <c r="G43" s="10" t="s">
        <v>272</v>
      </c>
      <c r="H43" s="9" t="s">
        <v>70</v>
      </c>
      <c r="I43" s="9" t="s">
        <v>273</v>
      </c>
      <c r="J43" s="9" t="s">
        <v>274</v>
      </c>
      <c r="K43" s="9" t="s">
        <v>73</v>
      </c>
      <c r="L43" s="10" t="s">
        <v>74</v>
      </c>
      <c r="M43" s="10" t="s">
        <v>87</v>
      </c>
      <c r="N43" s="10" t="s">
        <v>101</v>
      </c>
      <c r="O43" s="9" t="s">
        <v>77</v>
      </c>
      <c r="P43" s="9" t="s">
        <v>71</v>
      </c>
      <c r="Q43" s="9" t="s">
        <v>78</v>
      </c>
      <c r="R43" s="9" t="s">
        <v>71</v>
      </c>
      <c r="S43" s="9" t="s">
        <v>275</v>
      </c>
      <c r="T43" s="9" t="s">
        <v>276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81</v>
      </c>
    </row>
    <row r="44" customFormat="false" ht="15" hidden="false" customHeight="false" outlineLevel="0" collapsed="false">
      <c r="A44" s="9" t="s">
        <v>279</v>
      </c>
      <c r="B44" s="10" t="s">
        <v>280</v>
      </c>
      <c r="C44" s="11" t="n">
        <v>25</v>
      </c>
      <c r="D44" s="9"/>
      <c r="E44" s="9"/>
      <c r="F44" s="9" t="s">
        <v>68</v>
      </c>
      <c r="G44" s="10" t="s">
        <v>272</v>
      </c>
      <c r="H44" s="9" t="s">
        <v>70</v>
      </c>
      <c r="I44" s="9" t="s">
        <v>273</v>
      </c>
      <c r="J44" s="9" t="s">
        <v>274</v>
      </c>
      <c r="K44" s="9" t="s">
        <v>73</v>
      </c>
      <c r="L44" s="10" t="s">
        <v>74</v>
      </c>
      <c r="M44" s="10" t="s">
        <v>87</v>
      </c>
      <c r="N44" s="10" t="s">
        <v>101</v>
      </c>
      <c r="O44" s="9" t="s">
        <v>77</v>
      </c>
      <c r="P44" s="9" t="s">
        <v>71</v>
      </c>
      <c r="Q44" s="9" t="s">
        <v>78</v>
      </c>
      <c r="R44" s="9" t="s">
        <v>71</v>
      </c>
      <c r="S44" s="9" t="s">
        <v>275</v>
      </c>
      <c r="T44" s="9" t="s">
        <v>276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81</v>
      </c>
    </row>
    <row r="45" customFormat="false" ht="15" hidden="false" customHeight="false" outlineLevel="0" collapsed="false">
      <c r="A45" s="9" t="s">
        <v>281</v>
      </c>
      <c r="B45" s="10" t="s">
        <v>282</v>
      </c>
      <c r="C45" s="11" t="n">
        <v>53</v>
      </c>
      <c r="D45" s="9"/>
      <c r="E45" s="9"/>
      <c r="F45" s="9" t="s">
        <v>68</v>
      </c>
      <c r="G45" s="10" t="s">
        <v>272</v>
      </c>
      <c r="H45" s="9" t="s">
        <v>70</v>
      </c>
      <c r="I45" s="9" t="s">
        <v>273</v>
      </c>
      <c r="J45" s="9" t="s">
        <v>274</v>
      </c>
      <c r="K45" s="9" t="s">
        <v>73</v>
      </c>
      <c r="L45" s="10" t="s">
        <v>74</v>
      </c>
      <c r="M45" s="10" t="s">
        <v>87</v>
      </c>
      <c r="N45" s="10" t="s">
        <v>101</v>
      </c>
      <c r="O45" s="9" t="s">
        <v>77</v>
      </c>
      <c r="P45" s="9" t="s">
        <v>71</v>
      </c>
      <c r="Q45" s="9" t="s">
        <v>78</v>
      </c>
      <c r="R45" s="9" t="s">
        <v>71</v>
      </c>
      <c r="S45" s="9" t="s">
        <v>275</v>
      </c>
      <c r="T45" s="9" t="s">
        <v>276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81</v>
      </c>
    </row>
    <row r="46" customFormat="false" ht="15" hidden="false" customHeight="false" outlineLevel="0" collapsed="false">
      <c r="A46" s="9" t="s">
        <v>283</v>
      </c>
      <c r="B46" s="10" t="s">
        <v>284</v>
      </c>
      <c r="C46" s="11" t="n">
        <v>100</v>
      </c>
      <c r="D46" s="9"/>
      <c r="E46" s="9"/>
      <c r="F46" s="9" t="s">
        <v>68</v>
      </c>
      <c r="G46" s="10" t="s">
        <v>272</v>
      </c>
      <c r="H46" s="9" t="s">
        <v>70</v>
      </c>
      <c r="I46" s="9" t="s">
        <v>273</v>
      </c>
      <c r="J46" s="9" t="s">
        <v>274</v>
      </c>
      <c r="K46" s="9" t="s">
        <v>73</v>
      </c>
      <c r="L46" s="10" t="s">
        <v>74</v>
      </c>
      <c r="M46" s="10" t="s">
        <v>87</v>
      </c>
      <c r="N46" s="10" t="s">
        <v>101</v>
      </c>
      <c r="O46" s="9" t="s">
        <v>77</v>
      </c>
      <c r="P46" s="9" t="s">
        <v>71</v>
      </c>
      <c r="Q46" s="9" t="s">
        <v>78</v>
      </c>
      <c r="R46" s="9" t="s">
        <v>71</v>
      </c>
      <c r="S46" s="9" t="s">
        <v>275</v>
      </c>
      <c r="T46" s="9" t="s">
        <v>276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81</v>
      </c>
    </row>
    <row r="47" customFormat="false" ht="15" hidden="false" customHeight="false" outlineLevel="0" collapsed="false">
      <c r="A47" s="9" t="s">
        <v>285</v>
      </c>
      <c r="B47" s="10" t="s">
        <v>286</v>
      </c>
      <c r="C47" s="11" t="n">
        <v>36</v>
      </c>
      <c r="D47" s="9"/>
      <c r="E47" s="9"/>
      <c r="F47" s="9" t="s">
        <v>68</v>
      </c>
      <c r="G47" s="9" t="s">
        <v>287</v>
      </c>
      <c r="H47" s="9" t="s">
        <v>70</v>
      </c>
      <c r="I47" s="9" t="s">
        <v>288</v>
      </c>
      <c r="J47" s="9" t="s">
        <v>289</v>
      </c>
      <c r="K47" s="9" t="s">
        <v>73</v>
      </c>
      <c r="L47" s="10" t="s">
        <v>74</v>
      </c>
      <c r="M47" s="10" t="s">
        <v>87</v>
      </c>
      <c r="N47" s="10" t="s">
        <v>76</v>
      </c>
      <c r="O47" s="9" t="s">
        <v>77</v>
      </c>
      <c r="P47" s="9" t="s">
        <v>71</v>
      </c>
      <c r="Q47" s="9" t="s">
        <v>78</v>
      </c>
      <c r="R47" s="9" t="s">
        <v>71</v>
      </c>
      <c r="S47" s="9" t="s">
        <v>290</v>
      </c>
      <c r="T47" s="9" t="s">
        <v>291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81</v>
      </c>
    </row>
    <row r="48" customFormat="false" ht="15" hidden="false" customHeight="false" outlineLevel="0" collapsed="false">
      <c r="A48" s="9" t="s">
        <v>292</v>
      </c>
      <c r="B48" s="10" t="s">
        <v>293</v>
      </c>
      <c r="C48" s="11" t="n">
        <v>350</v>
      </c>
      <c r="D48" s="9"/>
      <c r="E48" s="9"/>
      <c r="F48" s="9" t="s">
        <v>68</v>
      </c>
      <c r="G48" s="9" t="s">
        <v>294</v>
      </c>
      <c r="H48" s="9" t="s">
        <v>70</v>
      </c>
      <c r="I48" s="9" t="s">
        <v>288</v>
      </c>
      <c r="J48" s="9" t="s">
        <v>289</v>
      </c>
      <c r="K48" s="9" t="s">
        <v>73</v>
      </c>
      <c r="L48" s="10" t="s">
        <v>74</v>
      </c>
      <c r="M48" s="10" t="s">
        <v>87</v>
      </c>
      <c r="N48" s="10" t="s">
        <v>76</v>
      </c>
      <c r="O48" s="9" t="s">
        <v>77</v>
      </c>
      <c r="P48" s="9" t="s">
        <v>71</v>
      </c>
      <c r="Q48" s="9" t="s">
        <v>78</v>
      </c>
      <c r="R48" s="9" t="s">
        <v>71</v>
      </c>
      <c r="S48" s="9" t="s">
        <v>290</v>
      </c>
      <c r="T48" s="9" t="s">
        <v>291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81</v>
      </c>
    </row>
    <row r="49" customFormat="false" ht="15" hidden="false" customHeight="false" outlineLevel="0" collapsed="false">
      <c r="A49" s="9" t="s">
        <v>295</v>
      </c>
      <c r="B49" s="10" t="s">
        <v>296</v>
      </c>
      <c r="C49" s="11" t="n">
        <v>840</v>
      </c>
      <c r="D49" s="9"/>
      <c r="E49" s="9"/>
      <c r="F49" s="9" t="s">
        <v>68</v>
      </c>
      <c r="G49" s="9" t="s">
        <v>294</v>
      </c>
      <c r="H49" s="9" t="s">
        <v>70</v>
      </c>
      <c r="I49" s="9" t="s">
        <v>288</v>
      </c>
      <c r="J49" s="9" t="s">
        <v>289</v>
      </c>
      <c r="K49" s="9" t="s">
        <v>73</v>
      </c>
      <c r="L49" s="10" t="s">
        <v>74</v>
      </c>
      <c r="M49" s="10" t="s">
        <v>87</v>
      </c>
      <c r="N49" s="10" t="s">
        <v>76</v>
      </c>
      <c r="O49" s="9" t="s">
        <v>77</v>
      </c>
      <c r="P49" s="9" t="s">
        <v>71</v>
      </c>
      <c r="Q49" s="9" t="s">
        <v>78</v>
      </c>
      <c r="R49" s="9" t="s">
        <v>71</v>
      </c>
      <c r="S49" s="9" t="s">
        <v>290</v>
      </c>
      <c r="T49" s="9" t="s">
        <v>291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81</v>
      </c>
    </row>
    <row r="50" customFormat="false" ht="15" hidden="false" customHeight="false" outlineLevel="0" collapsed="false">
      <c r="A50" s="9" t="s">
        <v>297</v>
      </c>
      <c r="B50" s="9" t="s">
        <v>298</v>
      </c>
      <c r="C50" s="11" t="n">
        <v>2750</v>
      </c>
      <c r="D50" s="9"/>
      <c r="E50" s="9"/>
      <c r="F50" s="9" t="s">
        <v>258</v>
      </c>
      <c r="G50" s="10" t="s">
        <v>299</v>
      </c>
      <c r="H50" s="9" t="s">
        <v>70</v>
      </c>
      <c r="I50" s="9" t="s">
        <v>273</v>
      </c>
      <c r="J50" s="9" t="s">
        <v>300</v>
      </c>
      <c r="K50" s="9" t="s">
        <v>73</v>
      </c>
      <c r="L50" s="10" t="s">
        <v>74</v>
      </c>
      <c r="M50" s="10" t="s">
        <v>87</v>
      </c>
      <c r="N50" s="10" t="s">
        <v>101</v>
      </c>
      <c r="O50" s="9" t="s">
        <v>77</v>
      </c>
      <c r="P50" s="9" t="s">
        <v>71</v>
      </c>
      <c r="Q50" s="9" t="s">
        <v>78</v>
      </c>
      <c r="R50" s="9" t="s">
        <v>71</v>
      </c>
      <c r="S50" s="9" t="s">
        <v>301</v>
      </c>
      <c r="T50" s="9" t="s">
        <v>276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81</v>
      </c>
    </row>
    <row r="51" customFormat="false" ht="15" hidden="false" customHeight="false" outlineLevel="0" collapsed="false">
      <c r="A51" s="9" t="s">
        <v>302</v>
      </c>
      <c r="B51" s="10" t="s">
        <v>303</v>
      </c>
      <c r="C51" s="11" t="n">
        <v>8.4</v>
      </c>
      <c r="D51" s="9"/>
      <c r="E51" s="9"/>
      <c r="F51" s="9" t="s">
        <v>68</v>
      </c>
      <c r="G51" s="9" t="s">
        <v>304</v>
      </c>
      <c r="H51" s="9" t="s">
        <v>70</v>
      </c>
      <c r="I51" s="9" t="s">
        <v>305</v>
      </c>
      <c r="J51" s="9" t="s">
        <v>306</v>
      </c>
      <c r="K51" s="9" t="s">
        <v>262</v>
      </c>
      <c r="L51" s="10" t="s">
        <v>74</v>
      </c>
      <c r="M51" s="10" t="s">
        <v>87</v>
      </c>
      <c r="N51" s="10" t="s">
        <v>101</v>
      </c>
      <c r="O51" s="9" t="s">
        <v>77</v>
      </c>
      <c r="P51" s="9" t="s">
        <v>71</v>
      </c>
      <c r="Q51" s="9" t="s">
        <v>78</v>
      </c>
      <c r="R51" s="10" t="s">
        <v>263</v>
      </c>
      <c r="S51" s="9" t="s">
        <v>307</v>
      </c>
      <c r="T51" s="9" t="s">
        <v>308</v>
      </c>
      <c r="U51" s="9" t="s">
        <v>309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81</v>
      </c>
    </row>
    <row r="52" customFormat="false" ht="15" hidden="false" customHeight="false" outlineLevel="0" collapsed="false">
      <c r="A52" s="9" t="s">
        <v>310</v>
      </c>
      <c r="B52" s="10" t="s">
        <v>311</v>
      </c>
      <c r="C52" s="11" t="n">
        <v>3.9</v>
      </c>
      <c r="D52" s="9"/>
      <c r="E52" s="9"/>
      <c r="F52" s="9" t="s">
        <v>68</v>
      </c>
      <c r="G52" s="10" t="s">
        <v>312</v>
      </c>
      <c r="H52" s="9" t="s">
        <v>70</v>
      </c>
      <c r="I52" s="9" t="s">
        <v>305</v>
      </c>
      <c r="J52" s="9" t="s">
        <v>313</v>
      </c>
      <c r="K52" s="9" t="s">
        <v>262</v>
      </c>
      <c r="L52" s="10" t="s">
        <v>74</v>
      </c>
      <c r="M52" s="10" t="s">
        <v>87</v>
      </c>
      <c r="N52" s="10" t="s">
        <v>101</v>
      </c>
      <c r="O52" s="9" t="s">
        <v>77</v>
      </c>
      <c r="P52" s="9" t="s">
        <v>71</v>
      </c>
      <c r="Q52" s="9" t="s">
        <v>78</v>
      </c>
      <c r="R52" s="10" t="s">
        <v>263</v>
      </c>
      <c r="S52" s="9" t="s">
        <v>314</v>
      </c>
      <c r="T52" s="9" t="s">
        <v>315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81</v>
      </c>
    </row>
    <row r="53" customFormat="false" ht="15" hidden="false" customHeight="false" outlineLevel="0" collapsed="false">
      <c r="A53" s="9" t="s">
        <v>316</v>
      </c>
      <c r="B53" s="10" t="s">
        <v>317</v>
      </c>
      <c r="C53" s="11" t="n">
        <v>4.5</v>
      </c>
      <c r="D53" s="9"/>
      <c r="E53" s="9"/>
      <c r="F53" s="9" t="s">
        <v>68</v>
      </c>
      <c r="G53" s="10" t="s">
        <v>318</v>
      </c>
      <c r="H53" s="9" t="s">
        <v>70</v>
      </c>
      <c r="I53" s="9" t="s">
        <v>305</v>
      </c>
      <c r="J53" s="9" t="s">
        <v>319</v>
      </c>
      <c r="K53" s="9" t="s">
        <v>262</v>
      </c>
      <c r="L53" s="10" t="s">
        <v>74</v>
      </c>
      <c r="M53" s="10" t="s">
        <v>87</v>
      </c>
      <c r="N53" s="10" t="s">
        <v>101</v>
      </c>
      <c r="O53" s="9" t="s">
        <v>77</v>
      </c>
      <c r="P53" s="9" t="s">
        <v>71</v>
      </c>
      <c r="Q53" s="9" t="s">
        <v>78</v>
      </c>
      <c r="R53" s="10" t="s">
        <v>263</v>
      </c>
      <c r="S53" s="9" t="s">
        <v>320</v>
      </c>
      <c r="T53" s="9" t="s">
        <v>315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81</v>
      </c>
    </row>
    <row r="54" customFormat="false" ht="15" hidden="false" customHeight="false" outlineLevel="0" collapsed="false">
      <c r="A54" s="9" t="s">
        <v>321</v>
      </c>
      <c r="B54" s="10" t="s">
        <v>322</v>
      </c>
      <c r="C54" s="11" t="n">
        <v>14.1</v>
      </c>
      <c r="D54" s="9"/>
      <c r="E54" s="9"/>
      <c r="F54" s="9" t="s">
        <v>68</v>
      </c>
      <c r="G54" s="9" t="s">
        <v>323</v>
      </c>
      <c r="H54" s="9" t="s">
        <v>70</v>
      </c>
      <c r="I54" s="9" t="s">
        <v>305</v>
      </c>
      <c r="J54" s="9" t="s">
        <v>324</v>
      </c>
      <c r="K54" s="9" t="s">
        <v>73</v>
      </c>
      <c r="L54" s="10" t="s">
        <v>74</v>
      </c>
      <c r="M54" s="10" t="s">
        <v>87</v>
      </c>
      <c r="N54" s="10" t="s">
        <v>101</v>
      </c>
      <c r="O54" s="9" t="s">
        <v>77</v>
      </c>
      <c r="P54" s="9" t="s">
        <v>71</v>
      </c>
      <c r="Q54" s="9" t="s">
        <v>78</v>
      </c>
      <c r="R54" s="9" t="s">
        <v>71</v>
      </c>
      <c r="S54" s="9" t="s">
        <v>325</v>
      </c>
      <c r="T54" s="9" t="s">
        <v>326</v>
      </c>
      <c r="U54" s="10" t="s">
        <v>327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81</v>
      </c>
    </row>
    <row r="55" customFormat="false" ht="15" hidden="false" customHeight="false" outlineLevel="0" collapsed="false">
      <c r="A55" s="9" t="s">
        <v>328</v>
      </c>
      <c r="B55" s="10" t="s">
        <v>329</v>
      </c>
      <c r="C55" s="11" t="n">
        <v>85</v>
      </c>
      <c r="D55" s="9"/>
      <c r="E55" s="9"/>
      <c r="F55" s="9" t="s">
        <v>68</v>
      </c>
      <c r="G55" s="9" t="s">
        <v>330</v>
      </c>
      <c r="H55" s="9" t="s">
        <v>70</v>
      </c>
      <c r="I55" s="9" t="s">
        <v>305</v>
      </c>
      <c r="J55" s="9" t="s">
        <v>331</v>
      </c>
      <c r="K55" s="9" t="s">
        <v>73</v>
      </c>
      <c r="L55" s="10" t="s">
        <v>74</v>
      </c>
      <c r="M55" s="10" t="s">
        <v>87</v>
      </c>
      <c r="N55" s="10" t="s">
        <v>101</v>
      </c>
      <c r="O55" s="9" t="s">
        <v>77</v>
      </c>
      <c r="P55" s="9" t="s">
        <v>71</v>
      </c>
      <c r="Q55" s="9" t="s">
        <v>78</v>
      </c>
      <c r="R55" s="9" t="s">
        <v>71</v>
      </c>
      <c r="S55" s="9" t="s">
        <v>332</v>
      </c>
      <c r="T55" s="9" t="s">
        <v>326</v>
      </c>
      <c r="U55" s="10" t="s">
        <v>333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81</v>
      </c>
    </row>
    <row r="56" customFormat="false" ht="15" hidden="false" customHeight="false" outlineLevel="0" collapsed="false">
      <c r="A56" s="9" t="s">
        <v>334</v>
      </c>
      <c r="B56" s="10" t="s">
        <v>335</v>
      </c>
      <c r="C56" s="11" t="n">
        <v>-278</v>
      </c>
      <c r="D56" s="9"/>
      <c r="E56" s="9"/>
      <c r="F56" s="9" t="s">
        <v>68</v>
      </c>
      <c r="G56" s="9" t="s">
        <v>336</v>
      </c>
      <c r="H56" s="9" t="s">
        <v>70</v>
      </c>
      <c r="I56" s="9" t="s">
        <v>288</v>
      </c>
      <c r="J56" s="9" t="s">
        <v>337</v>
      </c>
      <c r="K56" s="9" t="s">
        <v>73</v>
      </c>
      <c r="L56" s="10" t="s">
        <v>74</v>
      </c>
      <c r="M56" s="10" t="s">
        <v>87</v>
      </c>
      <c r="N56" s="10" t="s">
        <v>101</v>
      </c>
      <c r="O56" s="9" t="s">
        <v>77</v>
      </c>
      <c r="P56" s="9" t="s">
        <v>71</v>
      </c>
      <c r="Q56" s="9" t="s">
        <v>78</v>
      </c>
      <c r="R56" s="9" t="s">
        <v>71</v>
      </c>
      <c r="S56" s="9" t="s">
        <v>338</v>
      </c>
      <c r="T56" s="9" t="s">
        <v>291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81</v>
      </c>
    </row>
    <row r="57" customFormat="false" ht="15" hidden="false" customHeight="false" outlineLevel="0" collapsed="false">
      <c r="A57" s="9" t="s">
        <v>339</v>
      </c>
      <c r="B57" s="10" t="s">
        <v>340</v>
      </c>
      <c r="C57" s="11" t="n">
        <v>856</v>
      </c>
      <c r="D57" s="11" t="n">
        <v>600</v>
      </c>
      <c r="E57" s="11" t="n">
        <v>856</v>
      </c>
      <c r="F57" s="9" t="s">
        <v>68</v>
      </c>
      <c r="G57" s="9" t="s">
        <v>341</v>
      </c>
      <c r="H57" s="9" t="s">
        <v>70</v>
      </c>
      <c r="I57" s="9" t="s">
        <v>288</v>
      </c>
      <c r="J57" s="9" t="s">
        <v>342</v>
      </c>
      <c r="K57" s="9" t="s">
        <v>262</v>
      </c>
      <c r="L57" s="10" t="s">
        <v>74</v>
      </c>
      <c r="M57" s="10" t="s">
        <v>87</v>
      </c>
      <c r="N57" s="10" t="s">
        <v>101</v>
      </c>
      <c r="O57" s="9" t="s">
        <v>77</v>
      </c>
      <c r="P57" s="9" t="s">
        <v>71</v>
      </c>
      <c r="Q57" s="9" t="s">
        <v>78</v>
      </c>
      <c r="R57" s="10" t="s">
        <v>263</v>
      </c>
      <c r="S57" s="9" t="s">
        <v>343</v>
      </c>
      <c r="T57" s="9" t="s">
        <v>344</v>
      </c>
      <c r="U57" s="10" t="s">
        <v>345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81</v>
      </c>
    </row>
    <row r="58" customFormat="false" ht="15" hidden="false" customHeight="false" outlineLevel="0" collapsed="false">
      <c r="A58" s="9" t="s">
        <v>346</v>
      </c>
      <c r="B58" s="10" t="s">
        <v>347</v>
      </c>
      <c r="C58" s="11" t="n">
        <v>280</v>
      </c>
      <c r="D58" s="9"/>
      <c r="E58" s="9"/>
      <c r="F58" s="9" t="s">
        <v>68</v>
      </c>
      <c r="G58" s="9" t="s">
        <v>348</v>
      </c>
      <c r="H58" s="9" t="s">
        <v>70</v>
      </c>
      <c r="I58" s="9" t="s">
        <v>305</v>
      </c>
      <c r="J58" s="9" t="s">
        <v>349</v>
      </c>
      <c r="K58" s="9" t="s">
        <v>73</v>
      </c>
      <c r="L58" s="10" t="s">
        <v>74</v>
      </c>
      <c r="M58" s="10" t="s">
        <v>87</v>
      </c>
      <c r="N58" s="10" t="s">
        <v>101</v>
      </c>
      <c r="O58" s="9" t="s">
        <v>77</v>
      </c>
      <c r="P58" s="9" t="s">
        <v>71</v>
      </c>
      <c r="Q58" s="9" t="s">
        <v>78</v>
      </c>
      <c r="R58" s="9" t="s">
        <v>71</v>
      </c>
      <c r="S58" s="9" t="s">
        <v>350</v>
      </c>
      <c r="T58" s="9" t="s">
        <v>351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81</v>
      </c>
    </row>
    <row r="59" customFormat="false" ht="15" hidden="false" customHeight="false" outlineLevel="0" collapsed="false">
      <c r="A59" s="9" t="s">
        <v>352</v>
      </c>
      <c r="B59" s="10" t="s">
        <v>353</v>
      </c>
      <c r="C59" s="11" t="n">
        <v>250</v>
      </c>
      <c r="D59" s="9"/>
      <c r="E59" s="9"/>
      <c r="F59" s="9" t="s">
        <v>68</v>
      </c>
      <c r="G59" s="9" t="s">
        <v>354</v>
      </c>
      <c r="H59" s="9" t="s">
        <v>138</v>
      </c>
      <c r="I59" s="9" t="s">
        <v>129</v>
      </c>
      <c r="J59" s="9" t="s">
        <v>355</v>
      </c>
      <c r="K59" s="9" t="s">
        <v>73</v>
      </c>
      <c r="L59" s="10" t="s">
        <v>74</v>
      </c>
      <c r="M59" s="10" t="s">
        <v>155</v>
      </c>
      <c r="N59" s="10" t="s">
        <v>131</v>
      </c>
      <c r="O59" s="9" t="s">
        <v>77</v>
      </c>
      <c r="P59" s="9" t="s">
        <v>71</v>
      </c>
      <c r="Q59" s="9" t="s">
        <v>156</v>
      </c>
      <c r="R59" s="9" t="s">
        <v>71</v>
      </c>
      <c r="S59" s="9" t="s">
        <v>356</v>
      </c>
      <c r="T59" s="9" t="s">
        <v>357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81</v>
      </c>
    </row>
    <row r="60" customFormat="false" ht="15" hidden="false" customHeight="false" outlineLevel="0" collapsed="false">
      <c r="A60" s="9" t="s">
        <v>358</v>
      </c>
      <c r="B60" s="10" t="s">
        <v>359</v>
      </c>
      <c r="C60" s="11" t="n">
        <v>300</v>
      </c>
      <c r="D60" s="9"/>
      <c r="E60" s="9"/>
      <c r="F60" s="9" t="s">
        <v>68</v>
      </c>
      <c r="G60" s="9" t="s">
        <v>360</v>
      </c>
      <c r="H60" s="9" t="s">
        <v>361</v>
      </c>
      <c r="I60" s="9" t="s">
        <v>362</v>
      </c>
      <c r="J60" s="9" t="s">
        <v>363</v>
      </c>
      <c r="K60" s="9" t="s">
        <v>73</v>
      </c>
      <c r="L60" s="10" t="s">
        <v>74</v>
      </c>
      <c r="M60" s="10" t="s">
        <v>141</v>
      </c>
      <c r="N60" s="10" t="s">
        <v>76</v>
      </c>
      <c r="O60" s="9" t="s">
        <v>77</v>
      </c>
      <c r="P60" s="9" t="s">
        <v>71</v>
      </c>
      <c r="Q60" s="9" t="s">
        <v>78</v>
      </c>
      <c r="R60" s="9" t="s">
        <v>71</v>
      </c>
      <c r="S60" s="9" t="s">
        <v>364</v>
      </c>
      <c r="T60" s="9" t="s">
        <v>365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81</v>
      </c>
    </row>
    <row r="61" customFormat="false" ht="15" hidden="false" customHeight="false" outlineLevel="0" collapsed="false">
      <c r="A61" s="9" t="s">
        <v>366</v>
      </c>
      <c r="B61" s="10" t="s">
        <v>367</v>
      </c>
      <c r="C61" s="11" t="n">
        <v>2027</v>
      </c>
      <c r="D61" s="9"/>
      <c r="E61" s="9"/>
      <c r="F61" s="10" t="s">
        <v>152</v>
      </c>
      <c r="G61" s="9" t="s">
        <v>368</v>
      </c>
      <c r="H61" s="9" t="s">
        <v>361</v>
      </c>
      <c r="I61" s="9" t="s">
        <v>362</v>
      </c>
      <c r="J61" s="9" t="s">
        <v>363</v>
      </c>
      <c r="K61" s="9" t="s">
        <v>73</v>
      </c>
      <c r="L61" s="10" t="s">
        <v>74</v>
      </c>
      <c r="M61" s="10" t="s">
        <v>141</v>
      </c>
      <c r="N61" s="10" t="s">
        <v>76</v>
      </c>
      <c r="O61" s="9" t="s">
        <v>77</v>
      </c>
      <c r="P61" s="9" t="s">
        <v>71</v>
      </c>
      <c r="Q61" s="9" t="s">
        <v>78</v>
      </c>
      <c r="R61" s="9" t="s">
        <v>71</v>
      </c>
      <c r="S61" s="9" t="s">
        <v>364</v>
      </c>
      <c r="T61" s="9" t="s">
        <v>369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81</v>
      </c>
    </row>
    <row r="62" customFormat="false" ht="15" hidden="false" customHeight="false" outlineLevel="0" collapsed="false">
      <c r="A62" s="9" t="s">
        <v>370</v>
      </c>
      <c r="B62" s="10" t="s">
        <v>371</v>
      </c>
      <c r="C62" s="11" t="n">
        <v>2031</v>
      </c>
      <c r="D62" s="9"/>
      <c r="E62" s="9"/>
      <c r="F62" s="10" t="s">
        <v>152</v>
      </c>
      <c r="G62" s="9" t="s">
        <v>372</v>
      </c>
      <c r="H62" s="9" t="s">
        <v>361</v>
      </c>
      <c r="I62" s="9" t="s">
        <v>362</v>
      </c>
      <c r="J62" s="9" t="s">
        <v>363</v>
      </c>
      <c r="K62" s="9" t="s">
        <v>73</v>
      </c>
      <c r="L62" s="10" t="s">
        <v>74</v>
      </c>
      <c r="M62" s="10" t="s">
        <v>141</v>
      </c>
      <c r="N62" s="10" t="s">
        <v>76</v>
      </c>
      <c r="O62" s="9" t="s">
        <v>77</v>
      </c>
      <c r="P62" s="9" t="s">
        <v>71</v>
      </c>
      <c r="Q62" s="9" t="s">
        <v>78</v>
      </c>
      <c r="R62" s="9" t="s">
        <v>71</v>
      </c>
      <c r="S62" s="9" t="s">
        <v>364</v>
      </c>
      <c r="T62" s="9" t="s">
        <v>369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81</v>
      </c>
    </row>
    <row r="63" customFormat="false" ht="15" hidden="false" customHeight="false" outlineLevel="0" collapsed="false">
      <c r="A63" s="9" t="s">
        <v>373</v>
      </c>
      <c r="B63" s="10" t="s">
        <v>374</v>
      </c>
      <c r="C63" s="11" t="n">
        <v>4.5</v>
      </c>
      <c r="D63" s="9"/>
      <c r="E63" s="9"/>
      <c r="F63" s="9" t="s">
        <v>375</v>
      </c>
      <c r="G63" s="10" t="s">
        <v>376</v>
      </c>
      <c r="H63" s="9" t="s">
        <v>361</v>
      </c>
      <c r="I63" s="9" t="s">
        <v>362</v>
      </c>
      <c r="J63" s="9" t="s">
        <v>363</v>
      </c>
      <c r="K63" s="9" t="s">
        <v>73</v>
      </c>
      <c r="L63" s="10" t="s">
        <v>74</v>
      </c>
      <c r="M63" s="10" t="s">
        <v>141</v>
      </c>
      <c r="N63" s="10" t="s">
        <v>76</v>
      </c>
      <c r="O63" s="9" t="s">
        <v>77</v>
      </c>
      <c r="P63" s="9" t="s">
        <v>71</v>
      </c>
      <c r="Q63" s="9" t="s">
        <v>78</v>
      </c>
      <c r="R63" s="9" t="s">
        <v>71</v>
      </c>
      <c r="S63" s="9" t="s">
        <v>364</v>
      </c>
      <c r="T63" s="9" t="s">
        <v>377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81</v>
      </c>
    </row>
    <row r="64" customFormat="false" ht="15" hidden="false" customHeight="false" outlineLevel="0" collapsed="false">
      <c r="A64" s="9" t="s">
        <v>378</v>
      </c>
      <c r="B64" s="10" t="s">
        <v>379</v>
      </c>
      <c r="C64" s="11" t="n">
        <v>38</v>
      </c>
      <c r="D64" s="9"/>
      <c r="E64" s="9"/>
      <c r="F64" s="9" t="s">
        <v>68</v>
      </c>
      <c r="G64" s="9" t="s">
        <v>380</v>
      </c>
      <c r="H64" s="9" t="s">
        <v>381</v>
      </c>
      <c r="I64" s="9" t="s">
        <v>382</v>
      </c>
      <c r="J64" s="9" t="s">
        <v>383</v>
      </c>
      <c r="K64" s="9" t="s">
        <v>73</v>
      </c>
      <c r="L64" s="10" t="s">
        <v>74</v>
      </c>
      <c r="M64" s="10" t="s">
        <v>155</v>
      </c>
      <c r="N64" s="10" t="s">
        <v>131</v>
      </c>
      <c r="O64" s="9" t="s">
        <v>77</v>
      </c>
      <c r="P64" s="9" t="s">
        <v>71</v>
      </c>
      <c r="Q64" s="9" t="s">
        <v>156</v>
      </c>
      <c r="R64" s="9" t="s">
        <v>71</v>
      </c>
      <c r="S64" s="9" t="s">
        <v>384</v>
      </c>
      <c r="T64" s="9" t="s">
        <v>385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81</v>
      </c>
    </row>
    <row r="65" customFormat="false" ht="15" hidden="false" customHeight="false" outlineLevel="0" collapsed="false">
      <c r="A65" s="9" t="s">
        <v>386</v>
      </c>
      <c r="B65" s="10" t="s">
        <v>387</v>
      </c>
      <c r="C65" s="11" t="n">
        <v>2025</v>
      </c>
      <c r="D65" s="9"/>
      <c r="E65" s="9"/>
      <c r="F65" s="10" t="s">
        <v>152</v>
      </c>
      <c r="G65" s="10" t="s">
        <v>388</v>
      </c>
      <c r="H65" s="9" t="s">
        <v>381</v>
      </c>
      <c r="I65" s="9" t="s">
        <v>382</v>
      </c>
      <c r="J65" s="9" t="s">
        <v>383</v>
      </c>
      <c r="K65" s="9" t="s">
        <v>73</v>
      </c>
      <c r="L65" s="10" t="s">
        <v>74</v>
      </c>
      <c r="M65" s="10" t="s">
        <v>155</v>
      </c>
      <c r="N65" s="10" t="s">
        <v>131</v>
      </c>
      <c r="O65" s="9" t="s">
        <v>77</v>
      </c>
      <c r="P65" s="9" t="s">
        <v>71</v>
      </c>
      <c r="Q65" s="9" t="s">
        <v>156</v>
      </c>
      <c r="R65" s="9" t="s">
        <v>71</v>
      </c>
      <c r="S65" s="9" t="s">
        <v>384</v>
      </c>
      <c r="T65" s="9" t="s">
        <v>369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81</v>
      </c>
    </row>
    <row r="66" customFormat="false" ht="15" hidden="false" customHeight="false" outlineLevel="0" collapsed="false">
      <c r="A66" s="9" t="s">
        <v>389</v>
      </c>
      <c r="B66" s="10" t="s">
        <v>390</v>
      </c>
      <c r="C66" s="11" t="n">
        <v>2031</v>
      </c>
      <c r="D66" s="9"/>
      <c r="E66" s="9"/>
      <c r="F66" s="10" t="s">
        <v>152</v>
      </c>
      <c r="G66" s="9" t="s">
        <v>391</v>
      </c>
      <c r="H66" s="9" t="s">
        <v>381</v>
      </c>
      <c r="I66" s="9" t="s">
        <v>382</v>
      </c>
      <c r="J66" s="9" t="s">
        <v>383</v>
      </c>
      <c r="K66" s="9" t="s">
        <v>73</v>
      </c>
      <c r="L66" s="10" t="s">
        <v>74</v>
      </c>
      <c r="M66" s="10" t="s">
        <v>155</v>
      </c>
      <c r="N66" s="10" t="s">
        <v>131</v>
      </c>
      <c r="O66" s="9" t="s">
        <v>77</v>
      </c>
      <c r="P66" s="9" t="s">
        <v>71</v>
      </c>
      <c r="Q66" s="9" t="s">
        <v>156</v>
      </c>
      <c r="R66" s="9" t="s">
        <v>71</v>
      </c>
      <c r="S66" s="9" t="s">
        <v>384</v>
      </c>
      <c r="T66" s="9" t="s">
        <v>369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81</v>
      </c>
    </row>
    <row r="67" customFormat="false" ht="15" hidden="false" customHeight="false" outlineLevel="0" collapsed="false">
      <c r="A67" s="9" t="s">
        <v>392</v>
      </c>
      <c r="B67" s="10" t="s">
        <v>393</v>
      </c>
      <c r="C67" s="11" t="n">
        <v>100</v>
      </c>
      <c r="D67" s="9"/>
      <c r="E67" s="9"/>
      <c r="F67" s="9" t="s">
        <v>68</v>
      </c>
      <c r="G67" s="9" t="s">
        <v>394</v>
      </c>
      <c r="H67" s="9" t="s">
        <v>381</v>
      </c>
      <c r="I67" s="9" t="s">
        <v>305</v>
      </c>
      <c r="J67" s="9" t="s">
        <v>395</v>
      </c>
      <c r="K67" s="9" t="s">
        <v>73</v>
      </c>
      <c r="L67" s="10" t="s">
        <v>74</v>
      </c>
      <c r="M67" s="10" t="s">
        <v>155</v>
      </c>
      <c r="N67" s="10" t="s">
        <v>131</v>
      </c>
      <c r="O67" s="9" t="s">
        <v>77</v>
      </c>
      <c r="P67" s="9" t="s">
        <v>71</v>
      </c>
      <c r="Q67" s="9" t="s">
        <v>156</v>
      </c>
      <c r="R67" s="9" t="s">
        <v>71</v>
      </c>
      <c r="S67" s="9" t="s">
        <v>396</v>
      </c>
      <c r="T67" s="9" t="s">
        <v>385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81</v>
      </c>
    </row>
    <row r="68" customFormat="false" ht="15" hidden="false" customHeight="false" outlineLevel="0" collapsed="false">
      <c r="A68" s="9" t="s">
        <v>397</v>
      </c>
      <c r="B68" s="10" t="s">
        <v>398</v>
      </c>
      <c r="C68" s="11" t="n">
        <v>2026</v>
      </c>
      <c r="D68" s="9"/>
      <c r="E68" s="9"/>
      <c r="F68" s="10" t="s">
        <v>152</v>
      </c>
      <c r="G68" s="10" t="s">
        <v>388</v>
      </c>
      <c r="H68" s="9" t="s">
        <v>381</v>
      </c>
      <c r="I68" s="9" t="s">
        <v>305</v>
      </c>
      <c r="J68" s="9" t="s">
        <v>395</v>
      </c>
      <c r="K68" s="9" t="s">
        <v>73</v>
      </c>
      <c r="L68" s="10" t="s">
        <v>74</v>
      </c>
      <c r="M68" s="10" t="s">
        <v>155</v>
      </c>
      <c r="N68" s="10" t="s">
        <v>131</v>
      </c>
      <c r="O68" s="9" t="s">
        <v>77</v>
      </c>
      <c r="P68" s="9" t="s">
        <v>71</v>
      </c>
      <c r="Q68" s="9" t="s">
        <v>156</v>
      </c>
      <c r="R68" s="9" t="s">
        <v>71</v>
      </c>
      <c r="S68" s="9" t="s">
        <v>396</v>
      </c>
      <c r="T68" s="9" t="s">
        <v>369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81</v>
      </c>
    </row>
    <row r="69" customFormat="false" ht="15" hidden="false" customHeight="false" outlineLevel="0" collapsed="false">
      <c r="A69" s="9" t="s">
        <v>399</v>
      </c>
      <c r="B69" s="10" t="s">
        <v>400</v>
      </c>
      <c r="C69" s="11" t="n">
        <v>2033</v>
      </c>
      <c r="D69" s="9"/>
      <c r="E69" s="9"/>
      <c r="F69" s="10" t="s">
        <v>152</v>
      </c>
      <c r="G69" s="9" t="s">
        <v>401</v>
      </c>
      <c r="H69" s="9" t="s">
        <v>381</v>
      </c>
      <c r="I69" s="9" t="s">
        <v>305</v>
      </c>
      <c r="J69" s="9" t="s">
        <v>395</v>
      </c>
      <c r="K69" s="9" t="s">
        <v>73</v>
      </c>
      <c r="L69" s="10" t="s">
        <v>74</v>
      </c>
      <c r="M69" s="10" t="s">
        <v>155</v>
      </c>
      <c r="N69" s="10" t="s">
        <v>131</v>
      </c>
      <c r="O69" s="9" t="s">
        <v>77</v>
      </c>
      <c r="P69" s="9" t="s">
        <v>71</v>
      </c>
      <c r="Q69" s="9" t="s">
        <v>156</v>
      </c>
      <c r="R69" s="9" t="s">
        <v>71</v>
      </c>
      <c r="S69" s="9" t="s">
        <v>396</v>
      </c>
      <c r="T69" s="9" t="s">
        <v>369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81</v>
      </c>
    </row>
    <row r="70" customFormat="false" ht="15" hidden="false" customHeight="false" outlineLevel="0" collapsed="false">
      <c r="A70" s="9" t="s">
        <v>402</v>
      </c>
      <c r="B70" s="10" t="s">
        <v>403</v>
      </c>
      <c r="C70" s="11" t="n">
        <v>2</v>
      </c>
      <c r="D70" s="9"/>
      <c r="E70" s="9"/>
      <c r="F70" s="9" t="s">
        <v>375</v>
      </c>
      <c r="G70" s="9" t="s">
        <v>404</v>
      </c>
      <c r="H70" s="9" t="s">
        <v>381</v>
      </c>
      <c r="I70" s="9" t="s">
        <v>305</v>
      </c>
      <c r="J70" s="9" t="s">
        <v>395</v>
      </c>
      <c r="K70" s="9" t="s">
        <v>73</v>
      </c>
      <c r="L70" s="10" t="s">
        <v>74</v>
      </c>
      <c r="M70" s="10" t="s">
        <v>155</v>
      </c>
      <c r="N70" s="10" t="s">
        <v>131</v>
      </c>
      <c r="O70" s="9" t="s">
        <v>77</v>
      </c>
      <c r="P70" s="9" t="s">
        <v>71</v>
      </c>
      <c r="Q70" s="9" t="s">
        <v>156</v>
      </c>
      <c r="R70" s="9" t="s">
        <v>71</v>
      </c>
      <c r="S70" s="9" t="s">
        <v>396</v>
      </c>
      <c r="T70" s="9" t="s">
        <v>405</v>
      </c>
      <c r="U70" s="10" t="s">
        <v>406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81</v>
      </c>
    </row>
    <row r="71" customFormat="false" ht="15" hidden="false" customHeight="false" outlineLevel="0" collapsed="false">
      <c r="A71" s="9" t="s">
        <v>407</v>
      </c>
      <c r="B71" s="10" t="s">
        <v>408</v>
      </c>
      <c r="C71" s="11" t="n">
        <v>22.4</v>
      </c>
      <c r="D71" s="9"/>
      <c r="E71" s="9"/>
      <c r="F71" s="9" t="s">
        <v>68</v>
      </c>
      <c r="G71" s="9" t="s">
        <v>409</v>
      </c>
      <c r="H71" s="9" t="s">
        <v>410</v>
      </c>
      <c r="I71" s="9" t="s">
        <v>411</v>
      </c>
      <c r="J71" s="9" t="s">
        <v>412</v>
      </c>
      <c r="K71" s="9" t="s">
        <v>73</v>
      </c>
      <c r="L71" s="10" t="s">
        <v>74</v>
      </c>
      <c r="M71" s="10" t="s">
        <v>155</v>
      </c>
      <c r="N71" s="10" t="s">
        <v>131</v>
      </c>
      <c r="O71" s="9" t="s">
        <v>77</v>
      </c>
      <c r="P71" s="9" t="s">
        <v>71</v>
      </c>
      <c r="Q71" s="9" t="s">
        <v>156</v>
      </c>
      <c r="R71" s="9" t="s">
        <v>71</v>
      </c>
      <c r="S71" s="9" t="s">
        <v>413</v>
      </c>
      <c r="T71" s="9" t="s">
        <v>385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81</v>
      </c>
    </row>
    <row r="72" customFormat="false" ht="15" hidden="false" customHeight="false" outlineLevel="0" collapsed="false">
      <c r="A72" s="9" t="s">
        <v>414</v>
      </c>
      <c r="B72" s="10" t="s">
        <v>415</v>
      </c>
      <c r="C72" s="11" t="n">
        <v>2025</v>
      </c>
      <c r="D72" s="9"/>
      <c r="E72" s="9"/>
      <c r="F72" s="10" t="s">
        <v>152</v>
      </c>
      <c r="G72" s="9" t="s">
        <v>416</v>
      </c>
      <c r="H72" s="9" t="s">
        <v>410</v>
      </c>
      <c r="I72" s="9" t="s">
        <v>411</v>
      </c>
      <c r="J72" s="9" t="s">
        <v>412</v>
      </c>
      <c r="K72" s="9" t="s">
        <v>73</v>
      </c>
      <c r="L72" s="10" t="s">
        <v>74</v>
      </c>
      <c r="M72" s="10" t="s">
        <v>155</v>
      </c>
      <c r="N72" s="10" t="s">
        <v>131</v>
      </c>
      <c r="O72" s="9" t="s">
        <v>77</v>
      </c>
      <c r="P72" s="9" t="s">
        <v>71</v>
      </c>
      <c r="Q72" s="9" t="s">
        <v>156</v>
      </c>
      <c r="R72" s="9" t="s">
        <v>71</v>
      </c>
      <c r="S72" s="9" t="s">
        <v>413</v>
      </c>
      <c r="T72" s="9" t="s">
        <v>369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81</v>
      </c>
    </row>
    <row r="73" customFormat="false" ht="15" hidden="false" customHeight="false" outlineLevel="0" collapsed="false">
      <c r="A73" s="9" t="s">
        <v>417</v>
      </c>
      <c r="B73" s="10" t="s">
        <v>418</v>
      </c>
      <c r="C73" s="11" t="n">
        <v>2029</v>
      </c>
      <c r="D73" s="9"/>
      <c r="E73" s="9"/>
      <c r="F73" s="10" t="s">
        <v>152</v>
      </c>
      <c r="G73" s="9" t="s">
        <v>416</v>
      </c>
      <c r="H73" s="9" t="s">
        <v>410</v>
      </c>
      <c r="I73" s="9" t="s">
        <v>411</v>
      </c>
      <c r="J73" s="9" t="s">
        <v>412</v>
      </c>
      <c r="K73" s="9" t="s">
        <v>73</v>
      </c>
      <c r="L73" s="10" t="s">
        <v>74</v>
      </c>
      <c r="M73" s="10" t="s">
        <v>155</v>
      </c>
      <c r="N73" s="10" t="s">
        <v>131</v>
      </c>
      <c r="O73" s="9" t="s">
        <v>77</v>
      </c>
      <c r="P73" s="9" t="s">
        <v>71</v>
      </c>
      <c r="Q73" s="9" t="s">
        <v>156</v>
      </c>
      <c r="R73" s="9" t="s">
        <v>71</v>
      </c>
      <c r="S73" s="9" t="s">
        <v>413</v>
      </c>
      <c r="T73" s="9" t="s">
        <v>369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81</v>
      </c>
    </row>
    <row r="74" customFormat="false" ht="15" hidden="false" customHeight="false" outlineLevel="0" collapsed="false">
      <c r="A74" s="9" t="s">
        <v>419</v>
      </c>
      <c r="B74" s="10" t="s">
        <v>420</v>
      </c>
      <c r="C74" s="11" t="n">
        <v>20</v>
      </c>
      <c r="D74" s="11" t="n">
        <v>20</v>
      </c>
      <c r="E74" s="9"/>
      <c r="F74" s="9" t="s">
        <v>68</v>
      </c>
      <c r="G74" s="10" t="s">
        <v>421</v>
      </c>
      <c r="H74" s="9" t="s">
        <v>422</v>
      </c>
      <c r="I74" s="9" t="s">
        <v>423</v>
      </c>
      <c r="J74" s="9" t="s">
        <v>424</v>
      </c>
      <c r="K74" s="9" t="s">
        <v>73</v>
      </c>
      <c r="L74" s="10" t="s">
        <v>74</v>
      </c>
      <c r="M74" s="10" t="s">
        <v>155</v>
      </c>
      <c r="N74" s="10" t="s">
        <v>131</v>
      </c>
      <c r="O74" s="9" t="s">
        <v>77</v>
      </c>
      <c r="P74" s="9" t="s">
        <v>71</v>
      </c>
      <c r="Q74" s="9" t="s">
        <v>156</v>
      </c>
      <c r="R74" s="9" t="s">
        <v>71</v>
      </c>
      <c r="S74" s="9" t="s">
        <v>425</v>
      </c>
      <c r="T74" s="9" t="s">
        <v>385</v>
      </c>
      <c r="U74" s="9" t="s">
        <v>426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81</v>
      </c>
    </row>
    <row r="75" customFormat="false" ht="15" hidden="false" customHeight="false" outlineLevel="0" collapsed="false">
      <c r="A75" s="9" t="s">
        <v>427</v>
      </c>
      <c r="B75" s="10" t="s">
        <v>428</v>
      </c>
      <c r="C75" s="11" t="n">
        <v>2026</v>
      </c>
      <c r="D75" s="9"/>
      <c r="E75" s="9"/>
      <c r="F75" s="10" t="s">
        <v>152</v>
      </c>
      <c r="G75" s="9" t="s">
        <v>429</v>
      </c>
      <c r="H75" s="9" t="s">
        <v>422</v>
      </c>
      <c r="I75" s="9" t="s">
        <v>423</v>
      </c>
      <c r="J75" s="9" t="s">
        <v>424</v>
      </c>
      <c r="K75" s="9" t="s">
        <v>73</v>
      </c>
      <c r="L75" s="10" t="s">
        <v>74</v>
      </c>
      <c r="M75" s="10" t="s">
        <v>155</v>
      </c>
      <c r="N75" s="10" t="s">
        <v>131</v>
      </c>
      <c r="O75" s="9" t="s">
        <v>77</v>
      </c>
      <c r="P75" s="9" t="s">
        <v>71</v>
      </c>
      <c r="Q75" s="9" t="s">
        <v>156</v>
      </c>
      <c r="R75" s="9" t="s">
        <v>71</v>
      </c>
      <c r="S75" s="9" t="s">
        <v>425</v>
      </c>
      <c r="T75" s="9" t="s">
        <v>369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81</v>
      </c>
    </row>
    <row r="76" customFormat="false" ht="15" hidden="false" customHeight="false" outlineLevel="0" collapsed="false">
      <c r="A76" s="9" t="s">
        <v>430</v>
      </c>
      <c r="B76" s="10" t="s">
        <v>431</v>
      </c>
      <c r="C76" s="11" t="n">
        <v>0.75</v>
      </c>
      <c r="D76" s="9"/>
      <c r="E76" s="9"/>
      <c r="F76" s="9" t="s">
        <v>375</v>
      </c>
      <c r="G76" s="9" t="s">
        <v>432</v>
      </c>
      <c r="H76" s="9" t="s">
        <v>422</v>
      </c>
      <c r="I76" s="9" t="s">
        <v>423</v>
      </c>
      <c r="J76" s="9" t="s">
        <v>424</v>
      </c>
      <c r="K76" s="9" t="s">
        <v>73</v>
      </c>
      <c r="L76" s="10" t="s">
        <v>74</v>
      </c>
      <c r="M76" s="10" t="s">
        <v>155</v>
      </c>
      <c r="N76" s="10" t="s">
        <v>131</v>
      </c>
      <c r="O76" s="9" t="s">
        <v>77</v>
      </c>
      <c r="P76" s="9" t="s">
        <v>71</v>
      </c>
      <c r="Q76" s="9" t="s">
        <v>156</v>
      </c>
      <c r="R76" s="9" t="s">
        <v>71</v>
      </c>
      <c r="S76" s="9" t="s">
        <v>425</v>
      </c>
      <c r="T76" s="9" t="s">
        <v>369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81</v>
      </c>
    </row>
    <row r="77" customFormat="false" ht="15" hidden="false" customHeight="false" outlineLevel="0" collapsed="false">
      <c r="A77" s="9" t="s">
        <v>433</v>
      </c>
      <c r="B77" s="10" t="s">
        <v>434</v>
      </c>
      <c r="C77" s="11" t="n">
        <v>750</v>
      </c>
      <c r="D77" s="9"/>
      <c r="E77" s="9"/>
      <c r="F77" s="9" t="s">
        <v>68</v>
      </c>
      <c r="G77" s="9" t="s">
        <v>435</v>
      </c>
      <c r="H77" s="9" t="s">
        <v>70</v>
      </c>
      <c r="I77" s="9" t="s">
        <v>436</v>
      </c>
      <c r="J77" s="9" t="s">
        <v>435</v>
      </c>
      <c r="K77" s="9" t="s">
        <v>73</v>
      </c>
      <c r="L77" s="10" t="s">
        <v>74</v>
      </c>
      <c r="M77" s="10" t="s">
        <v>87</v>
      </c>
      <c r="N77" s="10" t="s">
        <v>101</v>
      </c>
      <c r="O77" s="9" t="s">
        <v>77</v>
      </c>
      <c r="P77" s="9" t="s">
        <v>71</v>
      </c>
      <c r="Q77" s="9" t="s">
        <v>78</v>
      </c>
      <c r="R77" s="9" t="s">
        <v>71</v>
      </c>
      <c r="S77" s="9" t="s">
        <v>437</v>
      </c>
      <c r="T77" s="9" t="s">
        <v>438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81</v>
      </c>
    </row>
    <row r="78" customFormat="false" ht="15" hidden="false" customHeight="false" outlineLevel="0" collapsed="false">
      <c r="A78" s="9" t="s">
        <v>439</v>
      </c>
      <c r="B78" s="10" t="s">
        <v>440</v>
      </c>
      <c r="C78" s="11" t="n">
        <v>665</v>
      </c>
      <c r="D78" s="9"/>
      <c r="E78" s="9"/>
      <c r="F78" s="9" t="s">
        <v>68</v>
      </c>
      <c r="G78" s="9" t="s">
        <v>441</v>
      </c>
      <c r="H78" s="9" t="s">
        <v>70</v>
      </c>
      <c r="I78" s="9" t="s">
        <v>71</v>
      </c>
      <c r="J78" s="9" t="s">
        <v>441</v>
      </c>
      <c r="K78" s="9" t="s">
        <v>73</v>
      </c>
      <c r="L78" s="10" t="s">
        <v>74</v>
      </c>
      <c r="M78" s="10" t="s">
        <v>87</v>
      </c>
      <c r="N78" s="10" t="s">
        <v>101</v>
      </c>
      <c r="O78" s="9" t="s">
        <v>77</v>
      </c>
      <c r="P78" s="9" t="s">
        <v>71</v>
      </c>
      <c r="Q78" s="9" t="s">
        <v>78</v>
      </c>
      <c r="R78" s="9" t="s">
        <v>71</v>
      </c>
      <c r="S78" s="9" t="s">
        <v>442</v>
      </c>
      <c r="T78" s="9" t="s">
        <v>351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81</v>
      </c>
    </row>
    <row r="79" customFormat="false" ht="15" hidden="false" customHeight="false" outlineLevel="0" collapsed="false">
      <c r="A79" s="9" t="s">
        <v>443</v>
      </c>
      <c r="B79" s="9" t="s">
        <v>444</v>
      </c>
      <c r="C79" s="11" t="n">
        <v>50</v>
      </c>
      <c r="D79" s="9"/>
      <c r="E79" s="9"/>
      <c r="F79" s="9" t="s">
        <v>68</v>
      </c>
      <c r="G79" s="9" t="s">
        <v>445</v>
      </c>
      <c r="H79" s="9" t="s">
        <v>70</v>
      </c>
      <c r="I79" s="9" t="s">
        <v>147</v>
      </c>
      <c r="J79" s="9" t="s">
        <v>445</v>
      </c>
      <c r="K79" s="9" t="s">
        <v>73</v>
      </c>
      <c r="L79" s="10" t="s">
        <v>74</v>
      </c>
      <c r="M79" s="10" t="s">
        <v>87</v>
      </c>
      <c r="N79" s="10" t="s">
        <v>76</v>
      </c>
      <c r="O79" s="9" t="s">
        <v>77</v>
      </c>
      <c r="P79" s="9" t="s">
        <v>71</v>
      </c>
      <c r="Q79" s="9" t="s">
        <v>78</v>
      </c>
      <c r="R79" s="9" t="s">
        <v>71</v>
      </c>
      <c r="S79" s="9" t="s">
        <v>446</v>
      </c>
      <c r="T79" s="9" t="s">
        <v>315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81</v>
      </c>
    </row>
    <row r="80" customFormat="false" ht="15" hidden="false" customHeight="false" outlineLevel="0" collapsed="false">
      <c r="A80" s="9" t="s">
        <v>447</v>
      </c>
      <c r="B80" s="10" t="s">
        <v>448</v>
      </c>
      <c r="C80" s="11" t="n">
        <v>40</v>
      </c>
      <c r="D80" s="11" t="n">
        <v>35</v>
      </c>
      <c r="E80" s="11" t="n">
        <v>45</v>
      </c>
      <c r="F80" s="9" t="s">
        <v>68</v>
      </c>
      <c r="G80" s="9" t="s">
        <v>449</v>
      </c>
      <c r="H80" s="9" t="s">
        <v>70</v>
      </c>
      <c r="I80" s="9" t="s">
        <v>71</v>
      </c>
      <c r="J80" s="9" t="s">
        <v>449</v>
      </c>
      <c r="K80" s="9" t="s">
        <v>73</v>
      </c>
      <c r="L80" s="10" t="s">
        <v>74</v>
      </c>
      <c r="M80" s="10" t="s">
        <v>87</v>
      </c>
      <c r="N80" s="10" t="s">
        <v>101</v>
      </c>
      <c r="O80" s="9" t="s">
        <v>77</v>
      </c>
      <c r="P80" s="9" t="s">
        <v>71</v>
      </c>
      <c r="Q80" s="9" t="s">
        <v>78</v>
      </c>
      <c r="R80" s="9" t="s">
        <v>71</v>
      </c>
      <c r="S80" s="9" t="s">
        <v>450</v>
      </c>
      <c r="T80" s="9" t="s">
        <v>451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81</v>
      </c>
    </row>
    <row r="81" customFormat="false" ht="15" hidden="false" customHeight="false" outlineLevel="0" collapsed="false">
      <c r="A81" s="9" t="s">
        <v>452</v>
      </c>
      <c r="B81" s="10" t="s">
        <v>453</v>
      </c>
      <c r="C81" s="11" t="n">
        <v>122</v>
      </c>
      <c r="D81" s="9"/>
      <c r="E81" s="9"/>
      <c r="F81" s="9" t="s">
        <v>68</v>
      </c>
      <c r="G81" s="9" t="s">
        <v>454</v>
      </c>
      <c r="H81" s="9" t="s">
        <v>70</v>
      </c>
      <c r="I81" s="9" t="s">
        <v>455</v>
      </c>
      <c r="J81" s="9" t="s">
        <v>456</v>
      </c>
      <c r="K81" s="9" t="s">
        <v>73</v>
      </c>
      <c r="L81" s="10" t="s">
        <v>74</v>
      </c>
      <c r="M81" s="10" t="s">
        <v>87</v>
      </c>
      <c r="N81" s="10" t="s">
        <v>131</v>
      </c>
      <c r="O81" s="9" t="s">
        <v>77</v>
      </c>
      <c r="P81" s="9" t="s">
        <v>71</v>
      </c>
      <c r="Q81" s="9" t="s">
        <v>78</v>
      </c>
      <c r="R81" s="9" t="s">
        <v>71</v>
      </c>
      <c r="S81" s="9" t="s">
        <v>457</v>
      </c>
      <c r="T81" s="9" t="s">
        <v>458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81</v>
      </c>
    </row>
    <row r="82" customFormat="false" ht="15" hidden="false" customHeight="false" outlineLevel="0" collapsed="false">
      <c r="A82" s="9" t="s">
        <v>459</v>
      </c>
      <c r="B82" s="10" t="s">
        <v>460</v>
      </c>
      <c r="C82" s="11" t="n">
        <v>35</v>
      </c>
      <c r="D82" s="9"/>
      <c r="E82" s="9"/>
      <c r="F82" s="9" t="s">
        <v>68</v>
      </c>
      <c r="G82" s="9" t="s">
        <v>461</v>
      </c>
      <c r="H82" s="9" t="s">
        <v>70</v>
      </c>
      <c r="I82" s="9" t="s">
        <v>71</v>
      </c>
      <c r="J82" s="9" t="s">
        <v>462</v>
      </c>
      <c r="K82" s="9" t="s">
        <v>73</v>
      </c>
      <c r="L82" s="10" t="s">
        <v>116</v>
      </c>
      <c r="M82" s="10" t="s">
        <v>463</v>
      </c>
      <c r="N82" s="10" t="s">
        <v>101</v>
      </c>
      <c r="O82" s="9" t="s">
        <v>77</v>
      </c>
      <c r="P82" s="9" t="s">
        <v>71</v>
      </c>
      <c r="Q82" s="9" t="s">
        <v>156</v>
      </c>
      <c r="R82" s="9" t="s">
        <v>71</v>
      </c>
      <c r="S82" s="9" t="s">
        <v>464</v>
      </c>
      <c r="T82" s="9" t="s">
        <v>458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81</v>
      </c>
    </row>
    <row r="83" customFormat="false" ht="15" hidden="false" customHeight="false" outlineLevel="0" collapsed="false">
      <c r="A83" s="9" t="s">
        <v>465</v>
      </c>
      <c r="B83" s="10" t="s">
        <v>466</v>
      </c>
      <c r="C83" s="11" t="n">
        <v>250</v>
      </c>
      <c r="D83" s="9"/>
      <c r="E83" s="9"/>
      <c r="F83" s="9" t="s">
        <v>68</v>
      </c>
      <c r="G83" s="9" t="s">
        <v>467</v>
      </c>
      <c r="H83" s="9" t="s">
        <v>70</v>
      </c>
      <c r="I83" s="9" t="s">
        <v>71</v>
      </c>
      <c r="J83" s="9" t="s">
        <v>467</v>
      </c>
      <c r="K83" s="9" t="s">
        <v>73</v>
      </c>
      <c r="L83" s="10" t="s">
        <v>74</v>
      </c>
      <c r="M83" s="10" t="s">
        <v>116</v>
      </c>
      <c r="N83" s="10" t="s">
        <v>101</v>
      </c>
      <c r="O83" s="9" t="s">
        <v>77</v>
      </c>
      <c r="P83" s="9" t="s">
        <v>71</v>
      </c>
      <c r="Q83" s="9" t="s">
        <v>78</v>
      </c>
      <c r="R83" s="9" t="s">
        <v>71</v>
      </c>
      <c r="S83" s="9" t="s">
        <v>468</v>
      </c>
      <c r="T83" s="9" t="s">
        <v>469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81</v>
      </c>
    </row>
    <row r="84" customFormat="false" ht="15" hidden="false" customHeight="false" outlineLevel="0" collapsed="false">
      <c r="A84" s="9" t="s">
        <v>470</v>
      </c>
      <c r="B84" s="10" t="s">
        <v>471</v>
      </c>
      <c r="C84" s="11" t="n">
        <v>350</v>
      </c>
      <c r="D84" s="9"/>
      <c r="E84" s="9"/>
      <c r="F84" s="9" t="s">
        <v>68</v>
      </c>
      <c r="G84" s="9" t="s">
        <v>472</v>
      </c>
      <c r="H84" s="9" t="s">
        <v>70</v>
      </c>
      <c r="I84" s="9" t="s">
        <v>71</v>
      </c>
      <c r="J84" s="9" t="s">
        <v>473</v>
      </c>
      <c r="K84" s="9" t="s">
        <v>73</v>
      </c>
      <c r="L84" s="10" t="s">
        <v>74</v>
      </c>
      <c r="M84" s="10" t="s">
        <v>87</v>
      </c>
      <c r="N84" s="10" t="s">
        <v>101</v>
      </c>
      <c r="O84" s="9" t="s">
        <v>77</v>
      </c>
      <c r="P84" s="9" t="s">
        <v>71</v>
      </c>
      <c r="Q84" s="9" t="s">
        <v>78</v>
      </c>
      <c r="R84" s="9" t="s">
        <v>71</v>
      </c>
      <c r="S84" s="9" t="s">
        <v>474</v>
      </c>
      <c r="T84" s="9" t="s">
        <v>469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81</v>
      </c>
    </row>
    <row r="85" customFormat="false" ht="15" hidden="false" customHeight="false" outlineLevel="0" collapsed="false">
      <c r="A85" s="9" t="s">
        <v>475</v>
      </c>
      <c r="B85" s="10" t="s">
        <v>476</v>
      </c>
      <c r="C85" s="11" t="n">
        <v>3</v>
      </c>
      <c r="D85" s="9"/>
      <c r="E85" s="9"/>
      <c r="F85" s="9" t="s">
        <v>68</v>
      </c>
      <c r="G85" s="9" t="s">
        <v>477</v>
      </c>
      <c r="H85" s="9" t="s">
        <v>70</v>
      </c>
      <c r="I85" s="9" t="s">
        <v>71</v>
      </c>
      <c r="J85" s="9" t="s">
        <v>477</v>
      </c>
      <c r="K85" s="9" t="s">
        <v>262</v>
      </c>
      <c r="L85" s="10" t="s">
        <v>74</v>
      </c>
      <c r="M85" s="10" t="s">
        <v>116</v>
      </c>
      <c r="N85" s="10" t="s">
        <v>101</v>
      </c>
      <c r="O85" s="9" t="s">
        <v>77</v>
      </c>
      <c r="P85" s="9" t="s">
        <v>71</v>
      </c>
      <c r="Q85" s="9" t="s">
        <v>78</v>
      </c>
      <c r="R85" s="10" t="s">
        <v>263</v>
      </c>
      <c r="S85" s="9" t="s">
        <v>478</v>
      </c>
      <c r="T85" s="9" t="s">
        <v>479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81</v>
      </c>
    </row>
    <row r="86" customFormat="false" ht="15" hidden="false" customHeight="false" outlineLevel="0" collapsed="false">
      <c r="A86" s="9" t="s">
        <v>480</v>
      </c>
      <c r="B86" s="10" t="s">
        <v>481</v>
      </c>
      <c r="C86" s="11" t="n">
        <v>19.18</v>
      </c>
      <c r="D86" s="9"/>
      <c r="E86" s="9"/>
      <c r="F86" s="9" t="s">
        <v>68</v>
      </c>
      <c r="G86" s="10" t="s">
        <v>482</v>
      </c>
      <c r="H86" s="9" t="s">
        <v>70</v>
      </c>
      <c r="I86" s="9" t="s">
        <v>71</v>
      </c>
      <c r="J86" s="10" t="s">
        <v>482</v>
      </c>
      <c r="K86" s="9" t="s">
        <v>73</v>
      </c>
      <c r="L86" s="10" t="s">
        <v>74</v>
      </c>
      <c r="M86" s="10" t="s">
        <v>87</v>
      </c>
      <c r="N86" s="10" t="s">
        <v>88</v>
      </c>
      <c r="O86" s="9" t="s">
        <v>77</v>
      </c>
      <c r="P86" s="9" t="s">
        <v>71</v>
      </c>
      <c r="Q86" s="9" t="s">
        <v>78</v>
      </c>
      <c r="R86" s="9" t="s">
        <v>71</v>
      </c>
      <c r="S86" s="9" t="s">
        <v>483</v>
      </c>
      <c r="T86" s="9" t="s">
        <v>484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81</v>
      </c>
    </row>
    <row r="87" customFormat="false" ht="15" hidden="false" customHeight="false" outlineLevel="0" collapsed="false">
      <c r="A87" s="9" t="s">
        <v>485</v>
      </c>
      <c r="B87" s="10" t="s">
        <v>486</v>
      </c>
      <c r="C87" s="11" t="n">
        <v>0.2</v>
      </c>
      <c r="D87" s="9"/>
      <c r="E87" s="9"/>
      <c r="F87" s="9" t="s">
        <v>375</v>
      </c>
      <c r="G87" s="9" t="s">
        <v>487</v>
      </c>
      <c r="H87" s="9" t="s">
        <v>70</v>
      </c>
      <c r="I87" s="9" t="s">
        <v>488</v>
      </c>
      <c r="J87" s="9" t="s">
        <v>489</v>
      </c>
      <c r="K87" s="9" t="s">
        <v>262</v>
      </c>
      <c r="L87" s="10" t="s">
        <v>74</v>
      </c>
      <c r="M87" s="10" t="s">
        <v>116</v>
      </c>
      <c r="N87" s="10" t="s">
        <v>131</v>
      </c>
      <c r="O87" s="9" t="s">
        <v>77</v>
      </c>
      <c r="P87" s="9" t="s">
        <v>71</v>
      </c>
      <c r="Q87" s="9" t="s">
        <v>78</v>
      </c>
      <c r="R87" s="10" t="s">
        <v>263</v>
      </c>
      <c r="S87" s="9" t="s">
        <v>490</v>
      </c>
      <c r="T87" s="9" t="s">
        <v>491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81</v>
      </c>
    </row>
    <row r="88" customFormat="false" ht="15" hidden="false" customHeight="false" outlineLevel="0" collapsed="false">
      <c r="A88" s="9" t="s">
        <v>492</v>
      </c>
      <c r="B88" s="10" t="s">
        <v>493</v>
      </c>
      <c r="C88" s="11" t="n">
        <v>0.6</v>
      </c>
      <c r="D88" s="9"/>
      <c r="E88" s="9"/>
      <c r="F88" s="9" t="s">
        <v>375</v>
      </c>
      <c r="G88" s="10" t="s">
        <v>388</v>
      </c>
      <c r="H88" s="9" t="s">
        <v>70</v>
      </c>
      <c r="I88" s="9" t="s">
        <v>488</v>
      </c>
      <c r="J88" s="9" t="s">
        <v>489</v>
      </c>
      <c r="K88" s="9" t="s">
        <v>262</v>
      </c>
      <c r="L88" s="10" t="s">
        <v>74</v>
      </c>
      <c r="M88" s="10" t="s">
        <v>116</v>
      </c>
      <c r="N88" s="10" t="s">
        <v>131</v>
      </c>
      <c r="O88" s="9" t="s">
        <v>77</v>
      </c>
      <c r="P88" s="9" t="s">
        <v>71</v>
      </c>
      <c r="Q88" s="9" t="s">
        <v>78</v>
      </c>
      <c r="R88" s="10" t="s">
        <v>263</v>
      </c>
      <c r="S88" s="9" t="s">
        <v>494</v>
      </c>
      <c r="T88" s="9" t="s">
        <v>495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81</v>
      </c>
    </row>
    <row r="89" customFormat="false" ht="15" hidden="false" customHeight="false" outlineLevel="0" collapsed="false">
      <c r="A89" s="9" t="s">
        <v>496</v>
      </c>
      <c r="B89" s="10" t="s">
        <v>497</v>
      </c>
      <c r="C89" s="11" t="n">
        <v>1.9</v>
      </c>
      <c r="D89" s="9"/>
      <c r="E89" s="9"/>
      <c r="F89" s="9" t="s">
        <v>375</v>
      </c>
      <c r="G89" s="10" t="s">
        <v>498</v>
      </c>
      <c r="H89" s="9" t="s">
        <v>70</v>
      </c>
      <c r="I89" s="9" t="s">
        <v>488</v>
      </c>
      <c r="J89" s="9" t="s">
        <v>489</v>
      </c>
      <c r="K89" s="9" t="s">
        <v>262</v>
      </c>
      <c r="L89" s="10" t="s">
        <v>74</v>
      </c>
      <c r="M89" s="10" t="s">
        <v>116</v>
      </c>
      <c r="N89" s="10" t="s">
        <v>131</v>
      </c>
      <c r="O89" s="9" t="s">
        <v>77</v>
      </c>
      <c r="P89" s="9" t="s">
        <v>71</v>
      </c>
      <c r="Q89" s="9" t="s">
        <v>78</v>
      </c>
      <c r="R89" s="10" t="s">
        <v>263</v>
      </c>
      <c r="S89" s="9" t="s">
        <v>499</v>
      </c>
      <c r="T89" s="9" t="s">
        <v>500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81</v>
      </c>
    </row>
    <row r="90" customFormat="false" ht="15" hidden="false" customHeight="false" outlineLevel="0" collapsed="false">
      <c r="A90" s="9" t="s">
        <v>501</v>
      </c>
      <c r="B90" s="10" t="s">
        <v>502</v>
      </c>
      <c r="C90" s="11" t="n">
        <v>20</v>
      </c>
      <c r="D90" s="9"/>
      <c r="E90" s="9"/>
      <c r="F90" s="9" t="s">
        <v>68</v>
      </c>
      <c r="G90" s="10" t="s">
        <v>503</v>
      </c>
      <c r="H90" s="9" t="s">
        <v>70</v>
      </c>
      <c r="I90" s="9" t="s">
        <v>488</v>
      </c>
      <c r="J90" s="9" t="s">
        <v>489</v>
      </c>
      <c r="K90" s="9" t="s">
        <v>262</v>
      </c>
      <c r="L90" s="10" t="s">
        <v>74</v>
      </c>
      <c r="M90" s="10" t="s">
        <v>116</v>
      </c>
      <c r="N90" s="10" t="s">
        <v>131</v>
      </c>
      <c r="O90" s="9" t="s">
        <v>77</v>
      </c>
      <c r="P90" s="9" t="s">
        <v>71</v>
      </c>
      <c r="Q90" s="9" t="s">
        <v>78</v>
      </c>
      <c r="R90" s="10" t="s">
        <v>263</v>
      </c>
      <c r="S90" s="9" t="s">
        <v>504</v>
      </c>
      <c r="T90" s="9" t="s">
        <v>110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81</v>
      </c>
    </row>
    <row r="91" customFormat="false" ht="15" hidden="false" customHeight="false" outlineLevel="0" collapsed="false">
      <c r="A91" s="9" t="s">
        <v>505</v>
      </c>
      <c r="B91" s="9" t="s">
        <v>506</v>
      </c>
      <c r="C91" s="11" t="n">
        <v>900</v>
      </c>
      <c r="D91" s="9"/>
      <c r="E91" s="9"/>
      <c r="F91" s="9" t="s">
        <v>258</v>
      </c>
      <c r="G91" s="9" t="s">
        <v>507</v>
      </c>
      <c r="H91" s="9" t="s">
        <v>70</v>
      </c>
      <c r="I91" s="9" t="s">
        <v>305</v>
      </c>
      <c r="J91" s="9" t="s">
        <v>508</v>
      </c>
      <c r="K91" s="9" t="s">
        <v>262</v>
      </c>
      <c r="L91" s="10" t="s">
        <v>74</v>
      </c>
      <c r="M91" s="10" t="s">
        <v>75</v>
      </c>
      <c r="N91" s="10" t="s">
        <v>131</v>
      </c>
      <c r="O91" s="9" t="s">
        <v>77</v>
      </c>
      <c r="P91" s="9" t="s">
        <v>71</v>
      </c>
      <c r="Q91" s="9" t="s">
        <v>78</v>
      </c>
      <c r="R91" s="10" t="s">
        <v>263</v>
      </c>
      <c r="S91" s="9" t="s">
        <v>509</v>
      </c>
      <c r="T91" s="9" t="s">
        <v>510</v>
      </c>
      <c r="U91" s="9" t="s">
        <v>511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81</v>
      </c>
    </row>
    <row r="92" customFormat="false" ht="15" hidden="false" customHeight="false" outlineLevel="0" collapsed="false">
      <c r="A92" s="9" t="s">
        <v>512</v>
      </c>
      <c r="B92" s="9" t="s">
        <v>513</v>
      </c>
      <c r="C92" s="11" t="n">
        <v>3</v>
      </c>
      <c r="D92" s="9"/>
      <c r="E92" s="9"/>
      <c r="F92" s="9" t="s">
        <v>258</v>
      </c>
      <c r="G92" s="10" t="s">
        <v>514</v>
      </c>
      <c r="H92" s="9" t="s">
        <v>70</v>
      </c>
      <c r="I92" s="9" t="s">
        <v>515</v>
      </c>
      <c r="J92" s="9" t="s">
        <v>516</v>
      </c>
      <c r="K92" s="9" t="s">
        <v>262</v>
      </c>
      <c r="L92" s="10" t="s">
        <v>74</v>
      </c>
      <c r="M92" s="10" t="s">
        <v>116</v>
      </c>
      <c r="N92" s="10" t="s">
        <v>101</v>
      </c>
      <c r="O92" s="9" t="s">
        <v>77</v>
      </c>
      <c r="P92" s="9" t="s">
        <v>71</v>
      </c>
      <c r="Q92" s="9" t="s">
        <v>78</v>
      </c>
      <c r="R92" s="10" t="s">
        <v>263</v>
      </c>
      <c r="S92" s="9" t="s">
        <v>517</v>
      </c>
      <c r="T92" s="9" t="s">
        <v>518</v>
      </c>
      <c r="U92" s="9" t="s">
        <v>511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81</v>
      </c>
    </row>
    <row r="93" customFormat="false" ht="15" hidden="false" customHeight="false" outlineLevel="0" collapsed="false">
      <c r="A93" s="9" t="s">
        <v>519</v>
      </c>
      <c r="B93" s="9" t="s">
        <v>520</v>
      </c>
      <c r="C93" s="11" t="n">
        <v>35</v>
      </c>
      <c r="D93" s="9"/>
      <c r="E93" s="9"/>
      <c r="F93" s="9" t="s">
        <v>258</v>
      </c>
      <c r="G93" s="9" t="s">
        <v>521</v>
      </c>
      <c r="H93" s="9" t="s">
        <v>70</v>
      </c>
      <c r="I93" s="9" t="s">
        <v>522</v>
      </c>
      <c r="J93" s="9" t="s">
        <v>523</v>
      </c>
      <c r="K93" s="9" t="s">
        <v>262</v>
      </c>
      <c r="L93" s="10" t="s">
        <v>74</v>
      </c>
      <c r="M93" s="10" t="s">
        <v>116</v>
      </c>
      <c r="N93" s="10" t="s">
        <v>101</v>
      </c>
      <c r="O93" s="9" t="s">
        <v>77</v>
      </c>
      <c r="P93" s="9" t="s">
        <v>71</v>
      </c>
      <c r="Q93" s="9" t="s">
        <v>78</v>
      </c>
      <c r="R93" s="10" t="s">
        <v>263</v>
      </c>
      <c r="S93" s="9" t="s">
        <v>524</v>
      </c>
      <c r="T93" s="9" t="s">
        <v>525</v>
      </c>
      <c r="U93" s="9" t="s">
        <v>511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81</v>
      </c>
    </row>
    <row r="94" customFormat="false" ht="15" hidden="false" customHeight="false" outlineLevel="0" collapsed="false">
      <c r="A94" s="9" t="s">
        <v>526</v>
      </c>
      <c r="B94" s="9" t="s">
        <v>527</v>
      </c>
      <c r="C94" s="11" t="n">
        <v>44</v>
      </c>
      <c r="D94" s="9"/>
      <c r="E94" s="9"/>
      <c r="F94" s="9" t="s">
        <v>258</v>
      </c>
      <c r="G94" s="9" t="s">
        <v>528</v>
      </c>
      <c r="H94" s="9" t="s">
        <v>70</v>
      </c>
      <c r="I94" s="9" t="s">
        <v>260</v>
      </c>
      <c r="J94" s="9" t="s">
        <v>529</v>
      </c>
      <c r="K94" s="9" t="s">
        <v>262</v>
      </c>
      <c r="L94" s="10" t="s">
        <v>74</v>
      </c>
      <c r="M94" s="10" t="s">
        <v>87</v>
      </c>
      <c r="N94" s="10" t="s">
        <v>101</v>
      </c>
      <c r="O94" s="9" t="s">
        <v>77</v>
      </c>
      <c r="P94" s="9" t="s">
        <v>71</v>
      </c>
      <c r="Q94" s="9" t="s">
        <v>78</v>
      </c>
      <c r="R94" s="10" t="s">
        <v>263</v>
      </c>
      <c r="S94" s="9" t="s">
        <v>524</v>
      </c>
      <c r="T94" s="9" t="s">
        <v>525</v>
      </c>
      <c r="U94" s="9" t="s">
        <v>511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81</v>
      </c>
    </row>
    <row r="95" customFormat="false" ht="15" hidden="false" customHeight="false" outlineLevel="0" collapsed="false">
      <c r="A95" s="9" t="s">
        <v>530</v>
      </c>
      <c r="B95" s="10" t="s">
        <v>531</v>
      </c>
      <c r="C95" s="11" t="n">
        <v>9</v>
      </c>
      <c r="D95" s="11" t="n">
        <v>9</v>
      </c>
      <c r="E95" s="9"/>
      <c r="F95" s="9" t="s">
        <v>258</v>
      </c>
      <c r="G95" s="10" t="s">
        <v>532</v>
      </c>
      <c r="H95" s="9" t="s">
        <v>70</v>
      </c>
      <c r="I95" s="9" t="s">
        <v>305</v>
      </c>
      <c r="J95" s="9" t="s">
        <v>533</v>
      </c>
      <c r="K95" s="9" t="s">
        <v>262</v>
      </c>
      <c r="L95" s="10" t="s">
        <v>74</v>
      </c>
      <c r="M95" s="10" t="s">
        <v>75</v>
      </c>
      <c r="N95" s="10" t="s">
        <v>131</v>
      </c>
      <c r="O95" s="9" t="s">
        <v>77</v>
      </c>
      <c r="P95" s="9" t="s">
        <v>71</v>
      </c>
      <c r="Q95" s="9" t="s">
        <v>78</v>
      </c>
      <c r="R95" s="10" t="s">
        <v>263</v>
      </c>
      <c r="S95" s="9" t="s">
        <v>534</v>
      </c>
      <c r="T95" s="9" t="s">
        <v>535</v>
      </c>
      <c r="U95" s="9" t="s">
        <v>511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81</v>
      </c>
    </row>
    <row r="96" customFormat="false" ht="15" hidden="false" customHeight="false" outlineLevel="0" collapsed="false">
      <c r="A96" s="9" t="s">
        <v>536</v>
      </c>
      <c r="B96" s="10" t="s">
        <v>537</v>
      </c>
      <c r="C96" s="11" t="n">
        <v>10.59</v>
      </c>
      <c r="D96" s="9"/>
      <c r="E96" s="9"/>
      <c r="F96" s="9" t="s">
        <v>68</v>
      </c>
      <c r="G96" s="9" t="s">
        <v>538</v>
      </c>
      <c r="H96" s="9" t="s">
        <v>70</v>
      </c>
      <c r="I96" s="9" t="s">
        <v>71</v>
      </c>
      <c r="J96" s="10" t="s">
        <v>539</v>
      </c>
      <c r="K96" s="9" t="s">
        <v>262</v>
      </c>
      <c r="L96" s="10" t="s">
        <v>74</v>
      </c>
      <c r="M96" s="10" t="s">
        <v>87</v>
      </c>
      <c r="N96" s="10" t="s">
        <v>88</v>
      </c>
      <c r="O96" s="9" t="s">
        <v>77</v>
      </c>
      <c r="P96" s="9" t="s">
        <v>71</v>
      </c>
      <c r="Q96" s="9" t="s">
        <v>78</v>
      </c>
      <c r="R96" s="10" t="s">
        <v>263</v>
      </c>
      <c r="S96" s="9" t="s">
        <v>540</v>
      </c>
      <c r="T96" s="9" t="s">
        <v>541</v>
      </c>
      <c r="U96" s="9" t="s">
        <v>542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81</v>
      </c>
    </row>
    <row r="97" customFormat="false" ht="15" hidden="false" customHeight="false" outlineLevel="0" collapsed="false">
      <c r="A97" s="9" t="s">
        <v>543</v>
      </c>
      <c r="B97" s="10" t="s">
        <v>544</v>
      </c>
      <c r="C97" s="11" t="n">
        <v>20</v>
      </c>
      <c r="D97" s="9"/>
      <c r="E97" s="9"/>
      <c r="F97" s="9" t="s">
        <v>68</v>
      </c>
      <c r="G97" s="10" t="s">
        <v>545</v>
      </c>
      <c r="H97" s="9" t="s">
        <v>70</v>
      </c>
      <c r="I97" s="9" t="s">
        <v>436</v>
      </c>
      <c r="J97" s="9" t="s">
        <v>546</v>
      </c>
      <c r="K97" s="9" t="s">
        <v>73</v>
      </c>
      <c r="L97" s="10" t="s">
        <v>74</v>
      </c>
      <c r="M97" s="10" t="s">
        <v>116</v>
      </c>
      <c r="N97" s="10" t="s">
        <v>101</v>
      </c>
      <c r="O97" s="9" t="s">
        <v>77</v>
      </c>
      <c r="P97" s="9" t="s">
        <v>71</v>
      </c>
      <c r="Q97" s="9" t="s">
        <v>78</v>
      </c>
      <c r="R97" s="9" t="s">
        <v>71</v>
      </c>
      <c r="S97" s="9" t="s">
        <v>547</v>
      </c>
      <c r="T97" s="9" t="s">
        <v>548</v>
      </c>
      <c r="U97" s="9" t="s">
        <v>549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81</v>
      </c>
    </row>
    <row r="98" customFormat="false" ht="15" hidden="false" customHeight="false" outlineLevel="0" collapsed="false">
      <c r="A98" s="9" t="s">
        <v>550</v>
      </c>
      <c r="B98" s="9" t="s">
        <v>551</v>
      </c>
      <c r="C98" s="11" t="n">
        <v>2.5</v>
      </c>
      <c r="D98" s="9"/>
      <c r="E98" s="9"/>
      <c r="F98" s="9" t="s">
        <v>552</v>
      </c>
      <c r="G98" s="10" t="s">
        <v>553</v>
      </c>
      <c r="H98" s="9" t="s">
        <v>70</v>
      </c>
      <c r="I98" s="9" t="s">
        <v>522</v>
      </c>
      <c r="J98" s="9" t="s">
        <v>554</v>
      </c>
      <c r="K98" s="9" t="s">
        <v>262</v>
      </c>
      <c r="L98" s="10" t="s">
        <v>74</v>
      </c>
      <c r="M98" s="10" t="s">
        <v>75</v>
      </c>
      <c r="N98" s="10" t="s">
        <v>131</v>
      </c>
      <c r="O98" s="9" t="s">
        <v>77</v>
      </c>
      <c r="P98" s="9" t="s">
        <v>71</v>
      </c>
      <c r="Q98" s="9" t="s">
        <v>78</v>
      </c>
      <c r="R98" s="10" t="s">
        <v>555</v>
      </c>
      <c r="S98" s="9" t="s">
        <v>556</v>
      </c>
      <c r="T98" s="9" t="s">
        <v>557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81</v>
      </c>
    </row>
    <row r="99" customFormat="false" ht="15" hidden="false" customHeight="false" outlineLevel="0" collapsed="false">
      <c r="A99" s="9" t="s">
        <v>558</v>
      </c>
      <c r="B99" s="9" t="s">
        <v>559</v>
      </c>
      <c r="C99" s="11" t="n">
        <v>2</v>
      </c>
      <c r="D99" s="9"/>
      <c r="E99" s="9"/>
      <c r="F99" s="10" t="s">
        <v>560</v>
      </c>
      <c r="G99" s="10" t="s">
        <v>561</v>
      </c>
      <c r="H99" s="9" t="s">
        <v>70</v>
      </c>
      <c r="I99" s="9" t="s">
        <v>260</v>
      </c>
      <c r="J99" s="9" t="s">
        <v>562</v>
      </c>
      <c r="K99" s="9" t="s">
        <v>262</v>
      </c>
      <c r="L99" s="10" t="s">
        <v>74</v>
      </c>
      <c r="M99" s="10" t="s">
        <v>87</v>
      </c>
      <c r="N99" s="10" t="s">
        <v>101</v>
      </c>
      <c r="O99" s="9" t="s">
        <v>77</v>
      </c>
      <c r="P99" s="9" t="s">
        <v>71</v>
      </c>
      <c r="Q99" s="9" t="s">
        <v>78</v>
      </c>
      <c r="R99" s="10" t="s">
        <v>263</v>
      </c>
      <c r="S99" s="9" t="s">
        <v>563</v>
      </c>
      <c r="T99" s="9" t="s">
        <v>564</v>
      </c>
      <c r="U99" s="9" t="s">
        <v>511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81</v>
      </c>
    </row>
    <row r="100" customFormat="false" ht="15" hidden="false" customHeight="false" outlineLevel="0" collapsed="false">
      <c r="A100" s="9" t="s">
        <v>565</v>
      </c>
      <c r="B100" s="9" t="s">
        <v>566</v>
      </c>
      <c r="C100" s="9"/>
      <c r="D100" s="9"/>
      <c r="E100" s="11" t="n">
        <v>0.01</v>
      </c>
      <c r="F100" s="10" t="s">
        <v>120</v>
      </c>
      <c r="G100" s="10" t="s">
        <v>567</v>
      </c>
      <c r="H100" s="9" t="s">
        <v>70</v>
      </c>
      <c r="I100" s="9" t="s">
        <v>260</v>
      </c>
      <c r="J100" s="9" t="s">
        <v>562</v>
      </c>
      <c r="K100" s="9" t="s">
        <v>262</v>
      </c>
      <c r="L100" s="10" t="s">
        <v>74</v>
      </c>
      <c r="M100" s="10" t="s">
        <v>87</v>
      </c>
      <c r="N100" s="10" t="s">
        <v>101</v>
      </c>
      <c r="O100" s="9" t="s">
        <v>77</v>
      </c>
      <c r="P100" s="9" t="s">
        <v>71</v>
      </c>
      <c r="Q100" s="9" t="s">
        <v>78</v>
      </c>
      <c r="R100" s="10" t="s">
        <v>263</v>
      </c>
      <c r="S100" s="9" t="s">
        <v>563</v>
      </c>
      <c r="T100" s="9" t="s">
        <v>568</v>
      </c>
      <c r="U100" s="9" t="s">
        <v>511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81</v>
      </c>
    </row>
    <row r="101" customFormat="false" ht="15" hidden="false" customHeight="false" outlineLevel="0" collapsed="false">
      <c r="A101" s="9" t="s">
        <v>569</v>
      </c>
      <c r="B101" s="10" t="s">
        <v>570</v>
      </c>
      <c r="C101" s="11" t="n">
        <v>3</v>
      </c>
      <c r="D101" s="9"/>
      <c r="E101" s="9"/>
      <c r="F101" s="9" t="s">
        <v>375</v>
      </c>
      <c r="G101" s="9" t="s">
        <v>571</v>
      </c>
      <c r="H101" s="9" t="s">
        <v>381</v>
      </c>
      <c r="I101" s="9" t="s">
        <v>572</v>
      </c>
      <c r="J101" s="9" t="s">
        <v>573</v>
      </c>
      <c r="K101" s="9" t="s">
        <v>73</v>
      </c>
      <c r="L101" s="10" t="s">
        <v>74</v>
      </c>
      <c r="M101" s="10" t="s">
        <v>141</v>
      </c>
      <c r="N101" s="10" t="s">
        <v>101</v>
      </c>
      <c r="O101" s="9" t="s">
        <v>574</v>
      </c>
      <c r="P101" s="9" t="s">
        <v>71</v>
      </c>
      <c r="Q101" s="9" t="s">
        <v>78</v>
      </c>
      <c r="R101" s="9" t="s">
        <v>71</v>
      </c>
      <c r="S101" s="9" t="s">
        <v>575</v>
      </c>
      <c r="T101" s="9" t="s">
        <v>576</v>
      </c>
      <c r="U101" s="10" t="s">
        <v>577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81</v>
      </c>
    </row>
    <row r="102" customFormat="false" ht="15" hidden="false" customHeight="false" outlineLevel="0" collapsed="false">
      <c r="A102" s="9" t="s">
        <v>578</v>
      </c>
      <c r="B102" s="10" t="s">
        <v>579</v>
      </c>
      <c r="C102" s="11" t="n">
        <v>2</v>
      </c>
      <c r="D102" s="9"/>
      <c r="E102" s="9"/>
      <c r="F102" s="9" t="s">
        <v>375</v>
      </c>
      <c r="G102" s="9" t="s">
        <v>580</v>
      </c>
      <c r="H102" s="9" t="s">
        <v>381</v>
      </c>
      <c r="I102" s="9" t="s">
        <v>572</v>
      </c>
      <c r="J102" s="9" t="s">
        <v>573</v>
      </c>
      <c r="K102" s="9" t="s">
        <v>73</v>
      </c>
      <c r="L102" s="10" t="s">
        <v>74</v>
      </c>
      <c r="M102" s="10" t="s">
        <v>141</v>
      </c>
      <c r="N102" s="10" t="s">
        <v>101</v>
      </c>
      <c r="O102" s="9" t="s">
        <v>574</v>
      </c>
      <c r="P102" s="9" t="s">
        <v>71</v>
      </c>
      <c r="Q102" s="9" t="s">
        <v>78</v>
      </c>
      <c r="R102" s="9" t="s">
        <v>71</v>
      </c>
      <c r="S102" s="9" t="s">
        <v>575</v>
      </c>
      <c r="T102" s="9" t="s">
        <v>581</v>
      </c>
      <c r="U102" s="10" t="s">
        <v>577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81</v>
      </c>
    </row>
    <row r="103" customFormat="false" ht="15" hidden="false" customHeight="false" outlineLevel="0" collapsed="false">
      <c r="A103" s="9" t="s">
        <v>582</v>
      </c>
      <c r="B103" s="9" t="s">
        <v>583</v>
      </c>
      <c r="C103" s="11" t="n">
        <v>10</v>
      </c>
      <c r="D103" s="9"/>
      <c r="E103" s="9"/>
      <c r="F103" s="9" t="s">
        <v>375</v>
      </c>
      <c r="G103" s="10" t="s">
        <v>584</v>
      </c>
      <c r="H103" s="9" t="s">
        <v>585</v>
      </c>
      <c r="I103" s="9" t="s">
        <v>586</v>
      </c>
      <c r="J103" s="9" t="s">
        <v>587</v>
      </c>
      <c r="K103" s="9" t="s">
        <v>73</v>
      </c>
      <c r="L103" s="10" t="s">
        <v>74</v>
      </c>
      <c r="M103" s="10" t="s">
        <v>588</v>
      </c>
      <c r="N103" s="10" t="s">
        <v>131</v>
      </c>
      <c r="O103" s="9" t="s">
        <v>77</v>
      </c>
      <c r="P103" s="9" t="s">
        <v>71</v>
      </c>
      <c r="Q103" s="10" t="s">
        <v>589</v>
      </c>
      <c r="R103" s="9" t="s">
        <v>71</v>
      </c>
      <c r="S103" s="9" t="s">
        <v>590</v>
      </c>
      <c r="T103" s="10" t="s">
        <v>591</v>
      </c>
      <c r="U103" s="10" t="s">
        <v>592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81</v>
      </c>
    </row>
    <row r="104" customFormat="false" ht="15" hidden="false" customHeight="false" outlineLevel="0" collapsed="false">
      <c r="A104" s="9" t="s">
        <v>593</v>
      </c>
      <c r="B104" s="9" t="s">
        <v>594</v>
      </c>
      <c r="C104" s="11" t="n">
        <v>100</v>
      </c>
      <c r="D104" s="9"/>
      <c r="E104" s="9"/>
      <c r="F104" s="9" t="s">
        <v>68</v>
      </c>
      <c r="G104" s="10" t="s">
        <v>595</v>
      </c>
      <c r="H104" s="9" t="s">
        <v>585</v>
      </c>
      <c r="I104" s="9" t="s">
        <v>586</v>
      </c>
      <c r="J104" s="9" t="s">
        <v>587</v>
      </c>
      <c r="K104" s="9" t="s">
        <v>73</v>
      </c>
      <c r="L104" s="10" t="s">
        <v>74</v>
      </c>
      <c r="M104" s="10" t="s">
        <v>588</v>
      </c>
      <c r="N104" s="10" t="s">
        <v>131</v>
      </c>
      <c r="O104" s="9" t="s">
        <v>77</v>
      </c>
      <c r="P104" s="9" t="s">
        <v>71</v>
      </c>
      <c r="Q104" s="10" t="s">
        <v>589</v>
      </c>
      <c r="R104" s="9" t="s">
        <v>71</v>
      </c>
      <c r="S104" s="9" t="s">
        <v>590</v>
      </c>
      <c r="T104" s="10" t="s">
        <v>591</v>
      </c>
      <c r="U104" s="10" t="s">
        <v>592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81</v>
      </c>
    </row>
    <row r="105" customFormat="false" ht="15" hidden="false" customHeight="false" outlineLevel="0" collapsed="false">
      <c r="A105" s="9" t="s">
        <v>596</v>
      </c>
      <c r="B105" s="9" t="s">
        <v>597</v>
      </c>
      <c r="C105" s="11" t="n">
        <v>10</v>
      </c>
      <c r="D105" s="9"/>
      <c r="E105" s="9"/>
      <c r="F105" s="9" t="s">
        <v>375</v>
      </c>
      <c r="G105" s="10" t="s">
        <v>598</v>
      </c>
      <c r="H105" s="9" t="s">
        <v>599</v>
      </c>
      <c r="I105" s="9" t="s">
        <v>600</v>
      </c>
      <c r="J105" s="9" t="s">
        <v>601</v>
      </c>
      <c r="K105" s="9" t="s">
        <v>73</v>
      </c>
      <c r="L105" s="10" t="s">
        <v>74</v>
      </c>
      <c r="M105" s="10" t="s">
        <v>602</v>
      </c>
      <c r="N105" s="10" t="s">
        <v>131</v>
      </c>
      <c r="O105" s="9" t="s">
        <v>77</v>
      </c>
      <c r="P105" s="9" t="s">
        <v>71</v>
      </c>
      <c r="Q105" s="10" t="s">
        <v>589</v>
      </c>
      <c r="R105" s="9" t="s">
        <v>71</v>
      </c>
      <c r="S105" s="9" t="s">
        <v>590</v>
      </c>
      <c r="T105" s="10" t="s">
        <v>591</v>
      </c>
      <c r="U105" s="10" t="s">
        <v>592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81</v>
      </c>
    </row>
    <row r="106" customFormat="false" ht="15" hidden="false" customHeight="false" outlineLevel="0" collapsed="false">
      <c r="A106" s="9" t="s">
        <v>603</v>
      </c>
      <c r="B106" s="9" t="s">
        <v>604</v>
      </c>
      <c r="C106" s="11" t="n">
        <v>6</v>
      </c>
      <c r="D106" s="9"/>
      <c r="E106" s="9"/>
      <c r="F106" s="9" t="s">
        <v>375</v>
      </c>
      <c r="G106" s="10" t="s">
        <v>605</v>
      </c>
      <c r="H106" s="9" t="s">
        <v>606</v>
      </c>
      <c r="I106" s="9" t="s">
        <v>607</v>
      </c>
      <c r="J106" s="9" t="s">
        <v>608</v>
      </c>
      <c r="K106" s="9" t="s">
        <v>73</v>
      </c>
      <c r="L106" s="10" t="s">
        <v>74</v>
      </c>
      <c r="M106" s="10" t="s">
        <v>609</v>
      </c>
      <c r="N106" s="10" t="s">
        <v>131</v>
      </c>
      <c r="O106" s="9" t="s">
        <v>77</v>
      </c>
      <c r="P106" s="9" t="s">
        <v>71</v>
      </c>
      <c r="Q106" s="10" t="s">
        <v>589</v>
      </c>
      <c r="R106" s="9" t="s">
        <v>71</v>
      </c>
      <c r="S106" s="9" t="s">
        <v>590</v>
      </c>
      <c r="T106" s="10" t="s">
        <v>591</v>
      </c>
      <c r="U106" s="10" t="s">
        <v>592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81</v>
      </c>
    </row>
    <row r="107" customFormat="false" ht="15" hidden="false" customHeight="false" outlineLevel="0" collapsed="false">
      <c r="A107" s="9" t="s">
        <v>610</v>
      </c>
      <c r="B107" s="10" t="s">
        <v>611</v>
      </c>
      <c r="C107" s="11" t="n">
        <v>15</v>
      </c>
      <c r="D107" s="9"/>
      <c r="E107" s="9"/>
      <c r="F107" s="9" t="s">
        <v>68</v>
      </c>
      <c r="G107" s="9" t="s">
        <v>612</v>
      </c>
      <c r="H107" s="9" t="s">
        <v>70</v>
      </c>
      <c r="I107" s="9" t="s">
        <v>455</v>
      </c>
      <c r="J107" s="9" t="s">
        <v>613</v>
      </c>
      <c r="K107" s="9" t="s">
        <v>73</v>
      </c>
      <c r="L107" s="10" t="s">
        <v>74</v>
      </c>
      <c r="M107" s="10" t="s">
        <v>87</v>
      </c>
      <c r="N107" s="10" t="s">
        <v>101</v>
      </c>
      <c r="O107" s="9" t="s">
        <v>77</v>
      </c>
      <c r="P107" s="9" t="s">
        <v>71</v>
      </c>
      <c r="Q107" s="9" t="s">
        <v>78</v>
      </c>
      <c r="R107" s="9" t="s">
        <v>71</v>
      </c>
      <c r="S107" s="9" t="s">
        <v>614</v>
      </c>
      <c r="T107" s="9" t="s">
        <v>615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81</v>
      </c>
    </row>
    <row r="108" customFormat="false" ht="15" hidden="false" customHeight="false" outlineLevel="0" collapsed="false">
      <c r="A108" s="9" t="s">
        <v>616</v>
      </c>
      <c r="B108" s="10" t="s">
        <v>617</v>
      </c>
      <c r="C108" s="11" t="n">
        <v>30</v>
      </c>
      <c r="D108" s="9"/>
      <c r="E108" s="9"/>
      <c r="F108" s="9" t="s">
        <v>68</v>
      </c>
      <c r="G108" s="9" t="s">
        <v>612</v>
      </c>
      <c r="H108" s="9" t="s">
        <v>70</v>
      </c>
      <c r="I108" s="9" t="s">
        <v>455</v>
      </c>
      <c r="J108" s="9" t="s">
        <v>613</v>
      </c>
      <c r="K108" s="9" t="s">
        <v>73</v>
      </c>
      <c r="L108" s="10" t="s">
        <v>74</v>
      </c>
      <c r="M108" s="10" t="s">
        <v>87</v>
      </c>
      <c r="N108" s="10" t="s">
        <v>101</v>
      </c>
      <c r="O108" s="9" t="s">
        <v>77</v>
      </c>
      <c r="P108" s="9" t="s">
        <v>71</v>
      </c>
      <c r="Q108" s="9" t="s">
        <v>78</v>
      </c>
      <c r="R108" s="9" t="s">
        <v>71</v>
      </c>
      <c r="S108" s="9" t="s">
        <v>614</v>
      </c>
      <c r="T108" s="9" t="s">
        <v>615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81</v>
      </c>
    </row>
    <row r="109" customFormat="false" ht="15" hidden="false" customHeight="false" outlineLevel="0" collapsed="false">
      <c r="A109" s="9" t="s">
        <v>618</v>
      </c>
      <c r="B109" s="10" t="s">
        <v>619</v>
      </c>
      <c r="C109" s="11" t="n">
        <v>30</v>
      </c>
      <c r="D109" s="9"/>
      <c r="E109" s="9"/>
      <c r="F109" s="9" t="s">
        <v>68</v>
      </c>
      <c r="G109" s="9" t="s">
        <v>620</v>
      </c>
      <c r="H109" s="9" t="s">
        <v>70</v>
      </c>
      <c r="I109" s="9" t="s">
        <v>455</v>
      </c>
      <c r="J109" s="9" t="s">
        <v>613</v>
      </c>
      <c r="K109" s="9" t="s">
        <v>73</v>
      </c>
      <c r="L109" s="10" t="s">
        <v>74</v>
      </c>
      <c r="M109" s="10" t="s">
        <v>87</v>
      </c>
      <c r="N109" s="10" t="s">
        <v>101</v>
      </c>
      <c r="O109" s="9" t="s">
        <v>77</v>
      </c>
      <c r="P109" s="9" t="s">
        <v>71</v>
      </c>
      <c r="Q109" s="9" t="s">
        <v>78</v>
      </c>
      <c r="R109" s="9" t="s">
        <v>71</v>
      </c>
      <c r="S109" s="9" t="s">
        <v>614</v>
      </c>
      <c r="T109" s="9" t="s">
        <v>615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81</v>
      </c>
    </row>
    <row r="110" customFormat="false" ht="15" hidden="false" customHeight="false" outlineLevel="0" collapsed="false">
      <c r="A110" s="9" t="s">
        <v>621</v>
      </c>
      <c r="B110" s="10" t="s">
        <v>622</v>
      </c>
      <c r="C110" s="11" t="n">
        <v>12</v>
      </c>
      <c r="D110" s="9"/>
      <c r="E110" s="9"/>
      <c r="F110" s="9" t="s">
        <v>68</v>
      </c>
      <c r="G110" s="9" t="s">
        <v>623</v>
      </c>
      <c r="H110" s="9" t="s">
        <v>70</v>
      </c>
      <c r="I110" s="9" t="s">
        <v>455</v>
      </c>
      <c r="J110" s="9" t="s">
        <v>613</v>
      </c>
      <c r="K110" s="9" t="s">
        <v>73</v>
      </c>
      <c r="L110" s="10" t="s">
        <v>74</v>
      </c>
      <c r="M110" s="10" t="s">
        <v>87</v>
      </c>
      <c r="N110" s="10" t="s">
        <v>101</v>
      </c>
      <c r="O110" s="9" t="s">
        <v>77</v>
      </c>
      <c r="P110" s="9" t="s">
        <v>71</v>
      </c>
      <c r="Q110" s="9" t="s">
        <v>78</v>
      </c>
      <c r="R110" s="9" t="s">
        <v>71</v>
      </c>
      <c r="S110" s="9" t="s">
        <v>614</v>
      </c>
      <c r="T110" s="9" t="s">
        <v>615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81</v>
      </c>
    </row>
    <row r="111" customFormat="false" ht="15" hidden="false" customHeight="false" outlineLevel="0" collapsed="false">
      <c r="A111" s="9" t="s">
        <v>624</v>
      </c>
      <c r="B111" s="9" t="s">
        <v>625</v>
      </c>
      <c r="C111" s="11" t="n">
        <v>5</v>
      </c>
      <c r="D111" s="9"/>
      <c r="E111" s="9"/>
      <c r="F111" s="9" t="s">
        <v>165</v>
      </c>
      <c r="G111" s="9" t="s">
        <v>626</v>
      </c>
      <c r="H111" s="9" t="s">
        <v>70</v>
      </c>
      <c r="I111" s="9" t="s">
        <v>211</v>
      </c>
      <c r="J111" s="9" t="s">
        <v>212</v>
      </c>
      <c r="K111" s="9" t="s">
        <v>73</v>
      </c>
      <c r="L111" s="10" t="s">
        <v>74</v>
      </c>
      <c r="M111" s="10" t="s">
        <v>169</v>
      </c>
      <c r="N111" s="10" t="s">
        <v>131</v>
      </c>
      <c r="O111" s="9" t="s">
        <v>77</v>
      </c>
      <c r="P111" s="9" t="s">
        <v>71</v>
      </c>
      <c r="Q111" s="9" t="s">
        <v>156</v>
      </c>
      <c r="R111" s="9" t="s">
        <v>71</v>
      </c>
      <c r="S111" s="9" t="s">
        <v>627</v>
      </c>
      <c r="T111" s="9" t="s">
        <v>628</v>
      </c>
      <c r="U111" s="10" t="s">
        <v>629</v>
      </c>
      <c r="V111" s="9" t="n">
        <f aca="false">IF(AND($O111="Active",$C111="",$D111="",$E111="",$F111&lt;&gt;"文字"),1,0)</f>
        <v>0</v>
      </c>
      <c r="W111" s="9" t="n">
        <f aca="false">IF(AND($O111="Active",OR($J111="",$J111="—")),1,0)</f>
        <v>0</v>
      </c>
      <c r="X111" s="9" t="n">
        <f aca="false">IF(AND(ISNUMBER($C111),ISNUMBER($D111),ISNUMBER($E111)),IF(AND($D111&lt;=$C111,$C111&lt;=$E111),0,1),0)</f>
        <v>0</v>
      </c>
      <c r="Y111" s="12" t="s">
        <v>81</v>
      </c>
    </row>
    <row r="112" customFormat="false" ht="15" hidden="false" customHeight="false" outlineLevel="0" collapsed="false">
      <c r="A112" s="9" t="s">
        <v>630</v>
      </c>
      <c r="B112" s="9" t="s">
        <v>631</v>
      </c>
      <c r="C112" s="11" t="n">
        <v>30</v>
      </c>
      <c r="D112" s="9"/>
      <c r="E112" s="9"/>
      <c r="F112" s="9" t="s">
        <v>165</v>
      </c>
      <c r="G112" s="9" t="s">
        <v>632</v>
      </c>
      <c r="H112" s="9" t="s">
        <v>70</v>
      </c>
      <c r="I112" s="9" t="s">
        <v>211</v>
      </c>
      <c r="J112" s="9" t="s">
        <v>212</v>
      </c>
      <c r="K112" s="9" t="s">
        <v>73</v>
      </c>
      <c r="L112" s="10" t="s">
        <v>74</v>
      </c>
      <c r="M112" s="10" t="s">
        <v>169</v>
      </c>
      <c r="N112" s="10" t="s">
        <v>131</v>
      </c>
      <c r="O112" s="9" t="s">
        <v>77</v>
      </c>
      <c r="P112" s="9" t="s">
        <v>71</v>
      </c>
      <c r="Q112" s="9" t="s">
        <v>156</v>
      </c>
      <c r="R112" s="9" t="s">
        <v>71</v>
      </c>
      <c r="S112" s="9" t="s">
        <v>627</v>
      </c>
      <c r="T112" s="9" t="s">
        <v>628</v>
      </c>
      <c r="U112" s="10" t="s">
        <v>629</v>
      </c>
      <c r="V112" s="9" t="n">
        <f aca="false">IF(AND($O112="Active",$C112="",$D112="",$E112="",$F112&lt;&gt;"文字"),1,0)</f>
        <v>0</v>
      </c>
      <c r="W112" s="9" t="n">
        <f aca="false">IF(AND($O112="Active",OR($J112="",$J112="—")),1,0)</f>
        <v>0</v>
      </c>
      <c r="X112" s="9" t="n">
        <f aca="false">IF(AND(ISNUMBER($C112),ISNUMBER($D112),ISNUMBER($E112)),IF(AND($D112&lt;=$C112,$C112&lt;=$E112),0,1),0)</f>
        <v>0</v>
      </c>
      <c r="Y112" s="12" t="s">
        <v>81</v>
      </c>
    </row>
    <row r="113" customFormat="false" ht="15" hidden="false" customHeight="false" outlineLevel="0" collapsed="false">
      <c r="A113" s="9" t="s">
        <v>633</v>
      </c>
      <c r="B113" s="9" t="s">
        <v>634</v>
      </c>
      <c r="C113" s="11" t="n">
        <v>2.5</v>
      </c>
      <c r="D113" s="9"/>
      <c r="E113" s="9"/>
      <c r="F113" s="9" t="s">
        <v>165</v>
      </c>
      <c r="G113" s="9" t="s">
        <v>635</v>
      </c>
      <c r="H113" s="9" t="s">
        <v>70</v>
      </c>
      <c r="I113" s="9" t="s">
        <v>211</v>
      </c>
      <c r="J113" s="9" t="s">
        <v>212</v>
      </c>
      <c r="K113" s="9" t="s">
        <v>73</v>
      </c>
      <c r="L113" s="10" t="s">
        <v>74</v>
      </c>
      <c r="M113" s="10" t="s">
        <v>169</v>
      </c>
      <c r="N113" s="10" t="s">
        <v>131</v>
      </c>
      <c r="O113" s="9" t="s">
        <v>77</v>
      </c>
      <c r="P113" s="9" t="s">
        <v>71</v>
      </c>
      <c r="Q113" s="9" t="s">
        <v>156</v>
      </c>
      <c r="R113" s="9" t="s">
        <v>71</v>
      </c>
      <c r="S113" s="9" t="s">
        <v>627</v>
      </c>
      <c r="T113" s="9" t="s">
        <v>628</v>
      </c>
      <c r="U113" s="10" t="s">
        <v>629</v>
      </c>
      <c r="V113" s="9" t="n">
        <f aca="false">IF(AND($O113="Active",$C113="",$D113="",$E113="",$F113&lt;&gt;"文字"),1,0)</f>
        <v>0</v>
      </c>
      <c r="W113" s="9" t="n">
        <f aca="false">IF(AND($O113="Active",OR($J113="",$J113="—")),1,0)</f>
        <v>0</v>
      </c>
      <c r="X113" s="9" t="n">
        <f aca="false">IF(AND(ISNUMBER($C113),ISNUMBER($D113),ISNUMBER($E113)),IF(AND($D113&lt;=$C113,$C113&lt;=$E113),0,1),0)</f>
        <v>0</v>
      </c>
      <c r="Y113" s="12" t="s">
        <v>81</v>
      </c>
    </row>
    <row r="114" customFormat="false" ht="15" hidden="false" customHeight="false" outlineLevel="0" collapsed="false">
      <c r="A114" s="9" t="s">
        <v>636</v>
      </c>
      <c r="B114" s="9" t="s">
        <v>637</v>
      </c>
      <c r="C114" s="11" t="n">
        <v>15</v>
      </c>
      <c r="D114" s="9"/>
      <c r="E114" s="9"/>
      <c r="F114" s="9" t="s">
        <v>165</v>
      </c>
      <c r="G114" s="9" t="s">
        <v>638</v>
      </c>
      <c r="H114" s="9" t="s">
        <v>70</v>
      </c>
      <c r="I114" s="9" t="s">
        <v>211</v>
      </c>
      <c r="J114" s="9" t="s">
        <v>212</v>
      </c>
      <c r="K114" s="9" t="s">
        <v>73</v>
      </c>
      <c r="L114" s="10" t="s">
        <v>74</v>
      </c>
      <c r="M114" s="10" t="s">
        <v>169</v>
      </c>
      <c r="N114" s="10" t="s">
        <v>131</v>
      </c>
      <c r="O114" s="9" t="s">
        <v>77</v>
      </c>
      <c r="P114" s="9" t="s">
        <v>71</v>
      </c>
      <c r="Q114" s="9" t="s">
        <v>156</v>
      </c>
      <c r="R114" s="9" t="s">
        <v>71</v>
      </c>
      <c r="S114" s="9" t="s">
        <v>627</v>
      </c>
      <c r="T114" s="9" t="s">
        <v>628</v>
      </c>
      <c r="U114" s="10" t="s">
        <v>629</v>
      </c>
      <c r="V114" s="9" t="n">
        <f aca="false">IF(AND($O114="Active",$C114="",$D114="",$E114="",$F114&lt;&gt;"文字"),1,0)</f>
        <v>0</v>
      </c>
      <c r="W114" s="9" t="n">
        <f aca="false">IF(AND($O114="Active",OR($J114="",$J114="—")),1,0)</f>
        <v>0</v>
      </c>
      <c r="X114" s="9" t="n">
        <f aca="false">IF(AND(ISNUMBER($C114),ISNUMBER($D114),ISNUMBER($E114)),IF(AND($D114&lt;=$C114,$C114&lt;=$E114),0,1),0)</f>
        <v>0</v>
      </c>
      <c r="Y114" s="12" t="s">
        <v>81</v>
      </c>
    </row>
    <row r="115" customFormat="false" ht="15" hidden="false" customHeight="false" outlineLevel="0" collapsed="false">
      <c r="A115" s="9" t="s">
        <v>639</v>
      </c>
      <c r="B115" s="9" t="s">
        <v>640</v>
      </c>
      <c r="C115" s="11" t="n">
        <v>1</v>
      </c>
      <c r="D115" s="9"/>
      <c r="E115" s="9"/>
      <c r="F115" s="9" t="s">
        <v>165</v>
      </c>
      <c r="G115" s="9" t="s">
        <v>641</v>
      </c>
      <c r="H115" s="9" t="s">
        <v>70</v>
      </c>
      <c r="I115" s="9" t="s">
        <v>211</v>
      </c>
      <c r="J115" s="9" t="s">
        <v>212</v>
      </c>
      <c r="K115" s="9" t="s">
        <v>73</v>
      </c>
      <c r="L115" s="10" t="s">
        <v>74</v>
      </c>
      <c r="M115" s="10" t="s">
        <v>169</v>
      </c>
      <c r="N115" s="10" t="s">
        <v>131</v>
      </c>
      <c r="O115" s="9" t="s">
        <v>77</v>
      </c>
      <c r="P115" s="9" t="s">
        <v>71</v>
      </c>
      <c r="Q115" s="9" t="s">
        <v>156</v>
      </c>
      <c r="R115" s="9" t="s">
        <v>71</v>
      </c>
      <c r="S115" s="9" t="s">
        <v>627</v>
      </c>
      <c r="T115" s="9" t="s">
        <v>628</v>
      </c>
      <c r="U115" s="10" t="s">
        <v>629</v>
      </c>
      <c r="V115" s="9" t="n">
        <f aca="false">IF(AND($O115="Active",$C115="",$D115="",$E115="",$F115&lt;&gt;"文字"),1,0)</f>
        <v>0</v>
      </c>
      <c r="W115" s="9" t="n">
        <f aca="false">IF(AND($O115="Active",OR($J115="",$J115="—")),1,0)</f>
        <v>0</v>
      </c>
      <c r="X115" s="9" t="n">
        <f aca="false">IF(AND(ISNUMBER($C115),ISNUMBER($D115),ISNUMBER($E115)),IF(AND($D115&lt;=$C115,$C115&lt;=$E115),0,1),0)</f>
        <v>0</v>
      </c>
      <c r="Y115" s="12" t="s">
        <v>81</v>
      </c>
    </row>
    <row r="116" customFormat="false" ht="15" hidden="false" customHeight="false" outlineLevel="0" collapsed="false">
      <c r="A116" s="9" t="s">
        <v>642</v>
      </c>
      <c r="B116" s="9" t="s">
        <v>643</v>
      </c>
      <c r="C116" s="11" t="n">
        <v>6</v>
      </c>
      <c r="D116" s="9"/>
      <c r="E116" s="9"/>
      <c r="F116" s="9" t="s">
        <v>165</v>
      </c>
      <c r="G116" s="9" t="s">
        <v>644</v>
      </c>
      <c r="H116" s="9" t="s">
        <v>70</v>
      </c>
      <c r="I116" s="9" t="s">
        <v>211</v>
      </c>
      <c r="J116" s="9" t="s">
        <v>212</v>
      </c>
      <c r="K116" s="9" t="s">
        <v>73</v>
      </c>
      <c r="L116" s="10" t="s">
        <v>74</v>
      </c>
      <c r="M116" s="10" t="s">
        <v>169</v>
      </c>
      <c r="N116" s="10" t="s">
        <v>131</v>
      </c>
      <c r="O116" s="9" t="s">
        <v>77</v>
      </c>
      <c r="P116" s="9" t="s">
        <v>71</v>
      </c>
      <c r="Q116" s="9" t="s">
        <v>156</v>
      </c>
      <c r="R116" s="9" t="s">
        <v>71</v>
      </c>
      <c r="S116" s="9" t="s">
        <v>627</v>
      </c>
      <c r="T116" s="9" t="s">
        <v>628</v>
      </c>
      <c r="U116" s="10" t="s">
        <v>629</v>
      </c>
      <c r="V116" s="9" t="n">
        <f aca="false">IF(AND($O116="Active",$C116="",$D116="",$E116="",$F116&lt;&gt;"文字"),1,0)</f>
        <v>0</v>
      </c>
      <c r="W116" s="9" t="n">
        <f aca="false">IF(AND($O116="Active",OR($J116="",$J116="—")),1,0)</f>
        <v>0</v>
      </c>
      <c r="X116" s="9" t="n">
        <f aca="false">IF(AND(ISNUMBER($C116),ISNUMBER($D116),ISNUMBER($E116)),IF(AND($D116&lt;=$C116,$C116&lt;=$E116),0,1),0)</f>
        <v>0</v>
      </c>
      <c r="Y116" s="12" t="s">
        <v>81</v>
      </c>
    </row>
    <row r="117" customFormat="false" ht="15" hidden="false" customHeight="false" outlineLevel="0" collapsed="false">
      <c r="A117" s="9" t="s">
        <v>645</v>
      </c>
      <c r="B117" s="9" t="s">
        <v>646</v>
      </c>
      <c r="C117" s="11" t="n">
        <v>2</v>
      </c>
      <c r="D117" s="9"/>
      <c r="E117" s="9"/>
      <c r="F117" s="9" t="s">
        <v>165</v>
      </c>
      <c r="G117" s="9" t="s">
        <v>647</v>
      </c>
      <c r="H117" s="9" t="s">
        <v>70</v>
      </c>
      <c r="I117" s="9" t="s">
        <v>218</v>
      </c>
      <c r="J117" s="9" t="s">
        <v>212</v>
      </c>
      <c r="K117" s="9" t="s">
        <v>73</v>
      </c>
      <c r="L117" s="10" t="s">
        <v>74</v>
      </c>
      <c r="M117" s="10" t="s">
        <v>169</v>
      </c>
      <c r="N117" s="10" t="s">
        <v>131</v>
      </c>
      <c r="O117" s="9" t="s">
        <v>77</v>
      </c>
      <c r="P117" s="9" t="s">
        <v>71</v>
      </c>
      <c r="Q117" s="9" t="s">
        <v>156</v>
      </c>
      <c r="R117" s="9" t="s">
        <v>71</v>
      </c>
      <c r="S117" s="9" t="s">
        <v>627</v>
      </c>
      <c r="T117" s="9" t="s">
        <v>628</v>
      </c>
      <c r="U117" s="10" t="s">
        <v>629</v>
      </c>
      <c r="V117" s="9" t="n">
        <f aca="false">IF(AND($O117="Active",$C117="",$D117="",$E117="",$F117&lt;&gt;"文字"),1,0)</f>
        <v>0</v>
      </c>
      <c r="W117" s="9" t="n">
        <f aca="false">IF(AND($O117="Active",OR($J117="",$J117="—")),1,0)</f>
        <v>0</v>
      </c>
      <c r="X117" s="9" t="n">
        <f aca="false">IF(AND(ISNUMBER($C117),ISNUMBER($D117),ISNUMBER($E117)),IF(AND($D117&lt;=$C117,$C117&lt;=$E117),0,1),0)</f>
        <v>0</v>
      </c>
      <c r="Y117" s="12" t="s">
        <v>81</v>
      </c>
    </row>
    <row r="118" customFormat="false" ht="15" hidden="false" customHeight="false" outlineLevel="0" collapsed="false">
      <c r="A118" s="9" t="s">
        <v>648</v>
      </c>
      <c r="B118" s="9" t="s">
        <v>649</v>
      </c>
      <c r="C118" s="11" t="n">
        <v>12</v>
      </c>
      <c r="D118" s="9"/>
      <c r="E118" s="9"/>
      <c r="F118" s="9" t="s">
        <v>165</v>
      </c>
      <c r="G118" s="9" t="s">
        <v>650</v>
      </c>
      <c r="H118" s="9" t="s">
        <v>70</v>
      </c>
      <c r="I118" s="9" t="s">
        <v>218</v>
      </c>
      <c r="J118" s="9" t="s">
        <v>212</v>
      </c>
      <c r="K118" s="9" t="s">
        <v>73</v>
      </c>
      <c r="L118" s="10" t="s">
        <v>74</v>
      </c>
      <c r="M118" s="10" t="s">
        <v>169</v>
      </c>
      <c r="N118" s="10" t="s">
        <v>131</v>
      </c>
      <c r="O118" s="9" t="s">
        <v>77</v>
      </c>
      <c r="P118" s="9" t="s">
        <v>71</v>
      </c>
      <c r="Q118" s="9" t="s">
        <v>156</v>
      </c>
      <c r="R118" s="9" t="s">
        <v>71</v>
      </c>
      <c r="S118" s="9" t="s">
        <v>627</v>
      </c>
      <c r="T118" s="9" t="s">
        <v>628</v>
      </c>
      <c r="U118" s="10" t="s">
        <v>629</v>
      </c>
      <c r="V118" s="9" t="n">
        <f aca="false">IF(AND($O118="Active",$C118="",$D118="",$E118="",$F118&lt;&gt;"文字"),1,0)</f>
        <v>0</v>
      </c>
      <c r="W118" s="9" t="n">
        <f aca="false">IF(AND($O118="Active",OR($J118="",$J118="—")),1,0)</f>
        <v>0</v>
      </c>
      <c r="X118" s="9" t="n">
        <f aca="false">IF(AND(ISNUMBER($C118),ISNUMBER($D118),ISNUMBER($E118)),IF(AND($D118&lt;=$C118,$C118&lt;=$E118),0,1),0)</f>
        <v>0</v>
      </c>
      <c r="Y118" s="12" t="s">
        <v>81</v>
      </c>
    </row>
    <row r="119" customFormat="false" ht="15" hidden="false" customHeight="false" outlineLevel="0" collapsed="false">
      <c r="A119" s="9" t="s">
        <v>651</v>
      </c>
      <c r="B119" s="9" t="s">
        <v>652</v>
      </c>
      <c r="C119" s="11" t="n">
        <v>0.2</v>
      </c>
      <c r="D119" s="9"/>
      <c r="E119" s="9"/>
      <c r="F119" s="9" t="s">
        <v>165</v>
      </c>
      <c r="G119" s="9" t="s">
        <v>653</v>
      </c>
      <c r="H119" s="9" t="s">
        <v>70</v>
      </c>
      <c r="I119" s="9" t="s">
        <v>218</v>
      </c>
      <c r="J119" s="9" t="s">
        <v>212</v>
      </c>
      <c r="K119" s="9" t="s">
        <v>73</v>
      </c>
      <c r="L119" s="10" t="s">
        <v>74</v>
      </c>
      <c r="M119" s="10" t="s">
        <v>169</v>
      </c>
      <c r="N119" s="10" t="s">
        <v>131</v>
      </c>
      <c r="O119" s="9" t="s">
        <v>77</v>
      </c>
      <c r="P119" s="9" t="s">
        <v>71</v>
      </c>
      <c r="Q119" s="9" t="s">
        <v>156</v>
      </c>
      <c r="R119" s="9" t="s">
        <v>71</v>
      </c>
      <c r="S119" s="9" t="s">
        <v>627</v>
      </c>
      <c r="T119" s="9" t="s">
        <v>628</v>
      </c>
      <c r="U119" s="10" t="s">
        <v>629</v>
      </c>
      <c r="V119" s="9" t="n">
        <f aca="false">IF(AND($O119="Active",$C119="",$D119="",$E119="",$F119&lt;&gt;"文字"),1,0)</f>
        <v>0</v>
      </c>
      <c r="W119" s="9" t="n">
        <f aca="false">IF(AND($O119="Active",OR($J119="",$J119="—")),1,0)</f>
        <v>0</v>
      </c>
      <c r="X119" s="9" t="n">
        <f aca="false">IF(AND(ISNUMBER($C119),ISNUMBER($D119),ISNUMBER($E119)),IF(AND($D119&lt;=$C119,$C119&lt;=$E119),0,1),0)</f>
        <v>0</v>
      </c>
      <c r="Y119" s="12" t="s">
        <v>81</v>
      </c>
    </row>
    <row r="120" customFormat="false" ht="15" hidden="false" customHeight="false" outlineLevel="0" collapsed="false">
      <c r="A120" s="9" t="s">
        <v>654</v>
      </c>
      <c r="B120" s="9" t="s">
        <v>655</v>
      </c>
      <c r="C120" s="11" t="n">
        <v>1.2</v>
      </c>
      <c r="D120" s="9"/>
      <c r="E120" s="9"/>
      <c r="F120" s="9" t="s">
        <v>165</v>
      </c>
      <c r="G120" s="9" t="s">
        <v>656</v>
      </c>
      <c r="H120" s="9" t="s">
        <v>70</v>
      </c>
      <c r="I120" s="9" t="s">
        <v>218</v>
      </c>
      <c r="J120" s="9" t="s">
        <v>212</v>
      </c>
      <c r="K120" s="9" t="s">
        <v>73</v>
      </c>
      <c r="L120" s="10" t="s">
        <v>74</v>
      </c>
      <c r="M120" s="10" t="s">
        <v>169</v>
      </c>
      <c r="N120" s="10" t="s">
        <v>131</v>
      </c>
      <c r="O120" s="9" t="s">
        <v>77</v>
      </c>
      <c r="P120" s="9" t="s">
        <v>71</v>
      </c>
      <c r="Q120" s="9" t="s">
        <v>156</v>
      </c>
      <c r="R120" s="9" t="s">
        <v>71</v>
      </c>
      <c r="S120" s="9" t="s">
        <v>627</v>
      </c>
      <c r="T120" s="9" t="s">
        <v>628</v>
      </c>
      <c r="U120" s="10" t="s">
        <v>629</v>
      </c>
      <c r="V120" s="9" t="n">
        <f aca="false">IF(AND($O120="Active",$C120="",$D120="",$E120="",$F120&lt;&gt;"文字"),1,0)</f>
        <v>0</v>
      </c>
      <c r="W120" s="9" t="n">
        <f aca="false">IF(AND($O120="Active",OR($J120="",$J120="—")),1,0)</f>
        <v>0</v>
      </c>
      <c r="X120" s="9" t="n">
        <f aca="false">IF(AND(ISNUMBER($C120),ISNUMBER($D120),ISNUMBER($E120)),IF(AND($D120&lt;=$C120,$C120&lt;=$E120),0,1),0)</f>
        <v>0</v>
      </c>
      <c r="Y120" s="12" t="s">
        <v>81</v>
      </c>
    </row>
    <row r="121" customFormat="false" ht="15" hidden="false" customHeight="false" outlineLevel="0" collapsed="false">
      <c r="A121" s="9" t="s">
        <v>657</v>
      </c>
      <c r="B121" s="9" t="s">
        <v>658</v>
      </c>
      <c r="C121" s="11" t="n">
        <v>4</v>
      </c>
      <c r="D121" s="9"/>
      <c r="E121" s="9"/>
      <c r="F121" s="9" t="s">
        <v>165</v>
      </c>
      <c r="G121" s="9" t="s">
        <v>659</v>
      </c>
      <c r="H121" s="9" t="s">
        <v>70</v>
      </c>
      <c r="I121" s="9" t="s">
        <v>222</v>
      </c>
      <c r="J121" s="9" t="s">
        <v>212</v>
      </c>
      <c r="K121" s="9" t="s">
        <v>73</v>
      </c>
      <c r="L121" s="10" t="s">
        <v>74</v>
      </c>
      <c r="M121" s="10" t="s">
        <v>169</v>
      </c>
      <c r="N121" s="10" t="s">
        <v>131</v>
      </c>
      <c r="O121" s="9" t="s">
        <v>77</v>
      </c>
      <c r="P121" s="9" t="s">
        <v>71</v>
      </c>
      <c r="Q121" s="9" t="s">
        <v>156</v>
      </c>
      <c r="R121" s="9" t="s">
        <v>71</v>
      </c>
      <c r="S121" s="9" t="s">
        <v>627</v>
      </c>
      <c r="T121" s="9" t="s">
        <v>628</v>
      </c>
      <c r="U121" s="10" t="s">
        <v>629</v>
      </c>
      <c r="V121" s="9" t="n">
        <f aca="false">IF(AND($O121="Active",$C121="",$D121="",$E121="",$F121&lt;&gt;"文字"),1,0)</f>
        <v>0</v>
      </c>
      <c r="W121" s="9" t="n">
        <f aca="false">IF(AND($O121="Active",OR($J121="",$J121="—")),1,0)</f>
        <v>0</v>
      </c>
      <c r="X121" s="9" t="n">
        <f aca="false">IF(AND(ISNUMBER($C121),ISNUMBER($D121),ISNUMBER($E121)),IF(AND($D121&lt;=$C121,$C121&lt;=$E121),0,1),0)</f>
        <v>0</v>
      </c>
      <c r="Y121" s="12" t="s">
        <v>81</v>
      </c>
    </row>
    <row r="122" customFormat="false" ht="15" hidden="false" customHeight="false" outlineLevel="0" collapsed="false">
      <c r="A122" s="9" t="s">
        <v>660</v>
      </c>
      <c r="B122" s="9" t="s">
        <v>661</v>
      </c>
      <c r="C122" s="11" t="n">
        <v>20</v>
      </c>
      <c r="D122" s="9"/>
      <c r="E122" s="9"/>
      <c r="F122" s="9" t="s">
        <v>165</v>
      </c>
      <c r="G122" s="9" t="s">
        <v>662</v>
      </c>
      <c r="H122" s="9" t="s">
        <v>70</v>
      </c>
      <c r="I122" s="9" t="s">
        <v>222</v>
      </c>
      <c r="J122" s="9" t="s">
        <v>212</v>
      </c>
      <c r="K122" s="9" t="s">
        <v>73</v>
      </c>
      <c r="L122" s="10" t="s">
        <v>74</v>
      </c>
      <c r="M122" s="10" t="s">
        <v>169</v>
      </c>
      <c r="N122" s="10" t="s">
        <v>131</v>
      </c>
      <c r="O122" s="9" t="s">
        <v>77</v>
      </c>
      <c r="P122" s="9" t="s">
        <v>71</v>
      </c>
      <c r="Q122" s="9" t="s">
        <v>156</v>
      </c>
      <c r="R122" s="9" t="s">
        <v>71</v>
      </c>
      <c r="S122" s="9" t="s">
        <v>627</v>
      </c>
      <c r="T122" s="9" t="s">
        <v>628</v>
      </c>
      <c r="U122" s="10" t="s">
        <v>629</v>
      </c>
      <c r="V122" s="9" t="n">
        <f aca="false">IF(AND($O122="Active",$C122="",$D122="",$E122="",$F122&lt;&gt;"文字"),1,0)</f>
        <v>0</v>
      </c>
      <c r="W122" s="9" t="n">
        <f aca="false">IF(AND($O122="Active",OR($J122="",$J122="—")),1,0)</f>
        <v>0</v>
      </c>
      <c r="X122" s="9" t="n">
        <f aca="false">IF(AND(ISNUMBER($C122),ISNUMBER($D122),ISNUMBER($E122)),IF(AND($D122&lt;=$C122,$C122&lt;=$E122),0,1),0)</f>
        <v>0</v>
      </c>
      <c r="Y122" s="12" t="s">
        <v>81</v>
      </c>
    </row>
    <row r="123" customFormat="false" ht="15" hidden="false" customHeight="false" outlineLevel="0" collapsed="false">
      <c r="A123" s="9" t="s">
        <v>663</v>
      </c>
      <c r="B123" s="9" t="s">
        <v>664</v>
      </c>
      <c r="C123" s="11" t="n">
        <v>46233</v>
      </c>
      <c r="D123" s="9"/>
      <c r="E123" s="9"/>
      <c r="F123" s="10" t="s">
        <v>665</v>
      </c>
      <c r="G123" s="9" t="s">
        <v>666</v>
      </c>
      <c r="H123" s="9" t="s">
        <v>70</v>
      </c>
      <c r="I123" s="9" t="s">
        <v>218</v>
      </c>
      <c r="J123" s="9" t="s">
        <v>212</v>
      </c>
      <c r="K123" s="9" t="s">
        <v>73</v>
      </c>
      <c r="L123" s="10" t="s">
        <v>74</v>
      </c>
      <c r="M123" s="10" t="s">
        <v>169</v>
      </c>
      <c r="N123" s="10" t="s">
        <v>131</v>
      </c>
      <c r="O123" s="9" t="s">
        <v>77</v>
      </c>
      <c r="P123" s="9" t="s">
        <v>71</v>
      </c>
      <c r="Q123" s="9" t="s">
        <v>156</v>
      </c>
      <c r="R123" s="9" t="s">
        <v>71</v>
      </c>
      <c r="S123" s="9" t="s">
        <v>627</v>
      </c>
      <c r="T123" s="9" t="s">
        <v>667</v>
      </c>
      <c r="U123" s="9" t="s">
        <v>668</v>
      </c>
      <c r="V123" s="9" t="n">
        <f aca="false">IF(AND($O123="Active",$C123="",$D123="",$E123="",$F123&lt;&gt;"文字"),1,0)</f>
        <v>0</v>
      </c>
      <c r="W123" s="9" t="n">
        <f aca="false">IF(AND($O123="Active",OR($J123="",$J123="—")),1,0)</f>
        <v>0</v>
      </c>
      <c r="X123" s="9" t="n">
        <f aca="false">IF(AND(ISNUMBER($C123),ISNUMBER($D123),ISNUMBER($E123)),IF(AND($D123&lt;=$C123,$C123&lt;=$E123),0,1),0)</f>
        <v>0</v>
      </c>
      <c r="Y123" s="12" t="s">
        <v>81</v>
      </c>
    </row>
    <row r="124" customFormat="false" ht="15" hidden="false" customHeight="false" outlineLevel="0" collapsed="false">
      <c r="A124" s="9" t="s">
        <v>669</v>
      </c>
      <c r="B124" s="9" t="s">
        <v>670</v>
      </c>
      <c r="C124" s="11" t="n">
        <v>46256</v>
      </c>
      <c r="D124" s="9"/>
      <c r="E124" s="9"/>
      <c r="F124" s="10" t="s">
        <v>665</v>
      </c>
      <c r="G124" s="9" t="s">
        <v>671</v>
      </c>
      <c r="H124" s="9" t="s">
        <v>70</v>
      </c>
      <c r="I124" s="9" t="s">
        <v>222</v>
      </c>
      <c r="J124" s="9" t="s">
        <v>212</v>
      </c>
      <c r="K124" s="9" t="s">
        <v>73</v>
      </c>
      <c r="L124" s="10" t="s">
        <v>74</v>
      </c>
      <c r="M124" s="10" t="s">
        <v>169</v>
      </c>
      <c r="N124" s="10" t="s">
        <v>131</v>
      </c>
      <c r="O124" s="9" t="s">
        <v>77</v>
      </c>
      <c r="P124" s="9" t="s">
        <v>71</v>
      </c>
      <c r="Q124" s="9" t="s">
        <v>156</v>
      </c>
      <c r="R124" s="9" t="s">
        <v>71</v>
      </c>
      <c r="S124" s="9" t="s">
        <v>627</v>
      </c>
      <c r="T124" s="9" t="s">
        <v>667</v>
      </c>
      <c r="U124" s="9" t="s">
        <v>668</v>
      </c>
      <c r="V124" s="9" t="n">
        <f aca="false">IF(AND($O124="Active",$C124="",$D124="",$E124="",$F124&lt;&gt;"文字"),1,0)</f>
        <v>0</v>
      </c>
      <c r="W124" s="9" t="n">
        <f aca="false">IF(AND($O124="Active",OR($J124="",$J124="—")),1,0)</f>
        <v>0</v>
      </c>
      <c r="X124" s="9" t="n">
        <f aca="false">IF(AND(ISNUMBER($C124),ISNUMBER($D124),ISNUMBER($E124)),IF(AND($D124&lt;=$C124,$C124&lt;=$E124),0,1),0)</f>
        <v>0</v>
      </c>
      <c r="Y124" s="12" t="s">
        <v>81</v>
      </c>
    </row>
    <row r="125" customFormat="false" ht="15" hidden="false" customHeight="false" outlineLevel="0" collapsed="false">
      <c r="A125" s="9" t="s">
        <v>672</v>
      </c>
      <c r="B125" s="9" t="s">
        <v>673</v>
      </c>
      <c r="C125" s="11" t="n">
        <v>46268</v>
      </c>
      <c r="D125" s="9"/>
      <c r="E125" s="9"/>
      <c r="F125" s="10" t="s">
        <v>665</v>
      </c>
      <c r="G125" s="9" t="s">
        <v>674</v>
      </c>
      <c r="H125" s="9" t="s">
        <v>70</v>
      </c>
      <c r="I125" s="9" t="s">
        <v>226</v>
      </c>
      <c r="J125" s="9" t="s">
        <v>212</v>
      </c>
      <c r="K125" s="9" t="s">
        <v>73</v>
      </c>
      <c r="L125" s="10" t="s">
        <v>74</v>
      </c>
      <c r="M125" s="10" t="s">
        <v>169</v>
      </c>
      <c r="N125" s="10" t="s">
        <v>131</v>
      </c>
      <c r="O125" s="9" t="s">
        <v>77</v>
      </c>
      <c r="P125" s="9" t="s">
        <v>71</v>
      </c>
      <c r="Q125" s="9" t="s">
        <v>156</v>
      </c>
      <c r="R125" s="9" t="s">
        <v>71</v>
      </c>
      <c r="S125" s="9" t="s">
        <v>627</v>
      </c>
      <c r="T125" s="9" t="s">
        <v>667</v>
      </c>
      <c r="U125" s="9" t="s">
        <v>668</v>
      </c>
      <c r="V125" s="9" t="n">
        <f aca="false">IF(AND($O125="Active",$C125="",$D125="",$E125="",$F125&lt;&gt;"文字"),1,0)</f>
        <v>0</v>
      </c>
      <c r="W125" s="9" t="n">
        <f aca="false">IF(AND($O125="Active",OR($J125="",$J125="—")),1,0)</f>
        <v>0</v>
      </c>
      <c r="X125" s="9" t="n">
        <f aca="false">IF(AND(ISNUMBER($C125),ISNUMBER($D125),ISNUMBER($E125)),IF(AND($D125&lt;=$C125,$C125&lt;=$E125),0,1),0)</f>
        <v>0</v>
      </c>
      <c r="Y125" s="12" t="s">
        <v>81</v>
      </c>
    </row>
    <row r="126" customFormat="false" ht="15" hidden="false" customHeight="false" outlineLevel="0" collapsed="false">
      <c r="A126" s="9" t="s">
        <v>675</v>
      </c>
      <c r="B126" s="9" t="s">
        <v>676</v>
      </c>
      <c r="C126" s="11" t="n">
        <v>46287</v>
      </c>
      <c r="D126" s="9"/>
      <c r="E126" s="9"/>
      <c r="F126" s="10" t="s">
        <v>665</v>
      </c>
      <c r="G126" s="9" t="s">
        <v>677</v>
      </c>
      <c r="H126" s="9" t="s">
        <v>70</v>
      </c>
      <c r="I126" s="9" t="s">
        <v>230</v>
      </c>
      <c r="J126" s="9" t="s">
        <v>212</v>
      </c>
      <c r="K126" s="9" t="s">
        <v>73</v>
      </c>
      <c r="L126" s="10" t="s">
        <v>74</v>
      </c>
      <c r="M126" s="10" t="s">
        <v>169</v>
      </c>
      <c r="N126" s="10" t="s">
        <v>131</v>
      </c>
      <c r="O126" s="9" t="s">
        <v>77</v>
      </c>
      <c r="P126" s="9" t="s">
        <v>71</v>
      </c>
      <c r="Q126" s="9" t="s">
        <v>156</v>
      </c>
      <c r="R126" s="9" t="s">
        <v>71</v>
      </c>
      <c r="S126" s="9" t="s">
        <v>627</v>
      </c>
      <c r="T126" s="9" t="s">
        <v>667</v>
      </c>
      <c r="U126" s="9" t="s">
        <v>668</v>
      </c>
      <c r="V126" s="9" t="n">
        <f aca="false">IF(AND($O126="Active",$C126="",$D126="",$E126="",$F126&lt;&gt;"文字"),1,0)</f>
        <v>0</v>
      </c>
      <c r="W126" s="9" t="n">
        <f aca="false">IF(AND($O126="Active",OR($J126="",$J126="—")),1,0)</f>
        <v>0</v>
      </c>
      <c r="X126" s="9" t="n">
        <f aca="false">IF(AND(ISNUMBER($C126),ISNUMBER($D126),ISNUMBER($E126)),IF(AND($D126&lt;=$C126,$C126&lt;=$E126),0,1),0)</f>
        <v>0</v>
      </c>
      <c r="Y126" s="12" t="s">
        <v>81</v>
      </c>
    </row>
    <row r="127" customFormat="false" ht="15" hidden="false" customHeight="false" outlineLevel="0" collapsed="false">
      <c r="A127" s="9" t="s">
        <v>678</v>
      </c>
      <c r="B127" s="10" t="s">
        <v>679</v>
      </c>
      <c r="C127" s="11" t="n">
        <v>5.73</v>
      </c>
      <c r="D127" s="9"/>
      <c r="E127" s="9"/>
      <c r="F127" s="9" t="s">
        <v>68</v>
      </c>
      <c r="G127" s="9" t="s">
        <v>680</v>
      </c>
      <c r="H127" s="9" t="s">
        <v>70</v>
      </c>
      <c r="I127" s="9" t="s">
        <v>681</v>
      </c>
      <c r="J127" s="9" t="s">
        <v>682</v>
      </c>
      <c r="K127" s="9" t="s">
        <v>73</v>
      </c>
      <c r="L127" s="10" t="s">
        <v>74</v>
      </c>
      <c r="M127" s="10" t="s">
        <v>87</v>
      </c>
      <c r="N127" s="10" t="s">
        <v>88</v>
      </c>
      <c r="O127" s="9" t="s">
        <v>77</v>
      </c>
      <c r="P127" s="9" t="s">
        <v>71</v>
      </c>
      <c r="Q127" s="9" t="s">
        <v>78</v>
      </c>
      <c r="R127" s="9" t="s">
        <v>71</v>
      </c>
      <c r="S127" s="9" t="s">
        <v>683</v>
      </c>
      <c r="T127" s="9" t="s">
        <v>684</v>
      </c>
      <c r="U127" s="9" t="s">
        <v>685</v>
      </c>
      <c r="V127" s="9" t="n">
        <f aca="false">IF(AND($O127="Active",$C127="",$D127="",$E127="",$F127&lt;&gt;"文字"),1,0)</f>
        <v>0</v>
      </c>
      <c r="W127" s="9" t="n">
        <f aca="false">IF(AND($O127="Active",OR($J127="",$J127="—")),1,0)</f>
        <v>0</v>
      </c>
      <c r="X127" s="9" t="n">
        <f aca="false">IF(AND(ISNUMBER($C127),ISNUMBER($D127),ISNUMBER($E127)),IF(AND($D127&lt;=$C127,$C127&lt;=$E127),0,1),0)</f>
        <v>0</v>
      </c>
      <c r="Y127" s="12" t="s">
        <v>81</v>
      </c>
    </row>
    <row r="128" customFormat="false" ht="15" hidden="false" customHeight="false" outlineLevel="0" collapsed="false">
      <c r="A128" s="9" t="s">
        <v>686</v>
      </c>
      <c r="B128" s="10" t="s">
        <v>687</v>
      </c>
      <c r="C128" s="11" t="n">
        <v>1.57</v>
      </c>
      <c r="D128" s="9"/>
      <c r="E128" s="9"/>
      <c r="F128" s="9" t="s">
        <v>68</v>
      </c>
      <c r="G128" s="9" t="s">
        <v>680</v>
      </c>
      <c r="H128" s="9" t="s">
        <v>70</v>
      </c>
      <c r="I128" s="9" t="s">
        <v>681</v>
      </c>
      <c r="J128" s="9" t="s">
        <v>682</v>
      </c>
      <c r="K128" s="9" t="s">
        <v>73</v>
      </c>
      <c r="L128" s="10" t="s">
        <v>74</v>
      </c>
      <c r="M128" s="10" t="s">
        <v>87</v>
      </c>
      <c r="N128" s="10" t="s">
        <v>88</v>
      </c>
      <c r="O128" s="9" t="s">
        <v>77</v>
      </c>
      <c r="P128" s="9" t="s">
        <v>71</v>
      </c>
      <c r="Q128" s="9" t="s">
        <v>78</v>
      </c>
      <c r="R128" s="9" t="s">
        <v>71</v>
      </c>
      <c r="S128" s="9" t="s">
        <v>683</v>
      </c>
      <c r="T128" s="9" t="s">
        <v>688</v>
      </c>
      <c r="U128" s="9" t="s">
        <v>685</v>
      </c>
      <c r="V128" s="9" t="n">
        <f aca="false">IF(AND($O128="Active",$C128="",$D128="",$E128="",$F128&lt;&gt;"文字"),1,0)</f>
        <v>0</v>
      </c>
      <c r="W128" s="9" t="n">
        <f aca="false">IF(AND($O128="Active",OR($J128="",$J128="—")),1,0)</f>
        <v>0</v>
      </c>
      <c r="X128" s="9" t="n">
        <f aca="false">IF(AND(ISNUMBER($C128),ISNUMBER($D128),ISNUMBER($E128)),IF(AND($D128&lt;=$C128,$C128&lt;=$E128),0,1),0)</f>
        <v>0</v>
      </c>
      <c r="Y128" s="12" t="s">
        <v>81</v>
      </c>
    </row>
    <row r="129" customFormat="false" ht="15" hidden="false" customHeight="false" outlineLevel="0" collapsed="false">
      <c r="A129" s="9" t="s">
        <v>689</v>
      </c>
      <c r="B129" s="10" t="s">
        <v>690</v>
      </c>
      <c r="C129" s="11" t="n">
        <v>20.92</v>
      </c>
      <c r="D129" s="9"/>
      <c r="E129" s="9"/>
      <c r="F129" s="9" t="s">
        <v>68</v>
      </c>
      <c r="G129" s="9" t="s">
        <v>691</v>
      </c>
      <c r="H129" s="9" t="s">
        <v>70</v>
      </c>
      <c r="I129" s="9" t="s">
        <v>681</v>
      </c>
      <c r="J129" s="9" t="s">
        <v>682</v>
      </c>
      <c r="K129" s="9" t="s">
        <v>73</v>
      </c>
      <c r="L129" s="10" t="s">
        <v>74</v>
      </c>
      <c r="M129" s="10" t="s">
        <v>87</v>
      </c>
      <c r="N129" s="10" t="s">
        <v>88</v>
      </c>
      <c r="O129" s="9" t="s">
        <v>77</v>
      </c>
      <c r="P129" s="9" t="s">
        <v>71</v>
      </c>
      <c r="Q129" s="9" t="s">
        <v>78</v>
      </c>
      <c r="R129" s="9" t="s">
        <v>71</v>
      </c>
      <c r="S129" s="9" t="s">
        <v>683</v>
      </c>
      <c r="T129" s="9" t="s">
        <v>692</v>
      </c>
      <c r="U129" s="9" t="s">
        <v>685</v>
      </c>
      <c r="V129" s="9" t="n">
        <f aca="false">IF(AND($O129="Active",$C129="",$D129="",$E129="",$F129&lt;&gt;"文字"),1,0)</f>
        <v>0</v>
      </c>
      <c r="W129" s="9" t="n">
        <f aca="false">IF(AND($O129="Active",OR($J129="",$J129="—")),1,0)</f>
        <v>0</v>
      </c>
      <c r="X129" s="9" t="n">
        <f aca="false">IF(AND(ISNUMBER($C129),ISNUMBER($D129),ISNUMBER($E129)),IF(AND($D129&lt;=$C129,$C129&lt;=$E129),0,1),0)</f>
        <v>0</v>
      </c>
      <c r="Y129" s="12" t="s">
        <v>81</v>
      </c>
    </row>
    <row r="130" customFormat="false" ht="15" hidden="false" customHeight="false" outlineLevel="0" collapsed="false">
      <c r="A130" s="9" t="s">
        <v>693</v>
      </c>
      <c r="B130" s="10" t="s">
        <v>694</v>
      </c>
      <c r="C130" s="11" t="n">
        <v>4000</v>
      </c>
      <c r="D130" s="9"/>
      <c r="E130" s="9"/>
      <c r="F130" s="10" t="s">
        <v>695</v>
      </c>
      <c r="G130" s="9" t="s">
        <v>696</v>
      </c>
      <c r="H130" s="9" t="s">
        <v>70</v>
      </c>
      <c r="I130" s="9" t="s">
        <v>697</v>
      </c>
      <c r="J130" s="9" t="s">
        <v>698</v>
      </c>
      <c r="K130" s="9" t="s">
        <v>73</v>
      </c>
      <c r="L130" s="10" t="s">
        <v>74</v>
      </c>
      <c r="M130" s="10" t="s">
        <v>87</v>
      </c>
      <c r="N130" s="10" t="s">
        <v>101</v>
      </c>
      <c r="O130" s="9" t="s">
        <v>77</v>
      </c>
      <c r="P130" s="9" t="s">
        <v>71</v>
      </c>
      <c r="Q130" s="9" t="s">
        <v>78</v>
      </c>
      <c r="R130" s="9" t="s">
        <v>71</v>
      </c>
      <c r="S130" s="9" t="s">
        <v>699</v>
      </c>
      <c r="T130" s="9" t="s">
        <v>700</v>
      </c>
      <c r="U130" s="9" t="s">
        <v>701</v>
      </c>
      <c r="V130" s="9" t="n">
        <f aca="false">IF(AND($O130="Active",$C130="",$D130="",$E130="",$F130&lt;&gt;"文字"),1,0)</f>
        <v>0</v>
      </c>
      <c r="W130" s="9" t="n">
        <f aca="false">IF(AND($O130="Active",OR($J130="",$J130="—")),1,0)</f>
        <v>0</v>
      </c>
      <c r="X130" s="9" t="n">
        <f aca="false">IF(AND(ISNUMBER($C130),ISNUMBER($D130),ISNUMBER($E130)),IF(AND($D130&lt;=$C130,$C130&lt;=$E130),0,1),0)</f>
        <v>0</v>
      </c>
      <c r="Y130" s="12" t="s">
        <v>81</v>
      </c>
    </row>
    <row r="131" customFormat="false" ht="15" hidden="false" customHeight="false" outlineLevel="0" collapsed="false">
      <c r="A131" s="9" t="s">
        <v>702</v>
      </c>
      <c r="B131" s="10" t="s">
        <v>703</v>
      </c>
      <c r="C131" s="11" t="n">
        <v>1.5</v>
      </c>
      <c r="D131" s="9"/>
      <c r="E131" s="9"/>
      <c r="F131" s="9" t="s">
        <v>704</v>
      </c>
      <c r="G131" s="9" t="s">
        <v>705</v>
      </c>
      <c r="H131" s="9" t="s">
        <v>70</v>
      </c>
      <c r="I131" s="9" t="s">
        <v>697</v>
      </c>
      <c r="J131" s="9" t="s">
        <v>698</v>
      </c>
      <c r="K131" s="9" t="s">
        <v>73</v>
      </c>
      <c r="L131" s="10" t="s">
        <v>74</v>
      </c>
      <c r="M131" s="10" t="s">
        <v>87</v>
      </c>
      <c r="N131" s="10" t="s">
        <v>101</v>
      </c>
      <c r="O131" s="9" t="s">
        <v>77</v>
      </c>
      <c r="P131" s="9" t="s">
        <v>71</v>
      </c>
      <c r="Q131" s="9" t="s">
        <v>78</v>
      </c>
      <c r="R131" s="9" t="s">
        <v>71</v>
      </c>
      <c r="S131" s="9" t="s">
        <v>699</v>
      </c>
      <c r="T131" s="9" t="s">
        <v>706</v>
      </c>
      <c r="U131" s="9" t="s">
        <v>701</v>
      </c>
      <c r="V131" s="9" t="n">
        <f aca="false">IF(AND($O131="Active",$C131="",$D131="",$E131="",$F131&lt;&gt;"文字"),1,0)</f>
        <v>0</v>
      </c>
      <c r="W131" s="9" t="n">
        <f aca="false">IF(AND($O131="Active",OR($J131="",$J131="—")),1,0)</f>
        <v>0</v>
      </c>
      <c r="X131" s="9" t="n">
        <f aca="false">IF(AND(ISNUMBER($C131),ISNUMBER($D131),ISNUMBER($E131)),IF(AND($D131&lt;=$C131,$C131&lt;=$E131),0,1),0)</f>
        <v>0</v>
      </c>
      <c r="Y131" s="12" t="s">
        <v>81</v>
      </c>
    </row>
    <row r="132" customFormat="false" ht="15" hidden="false" customHeight="false" outlineLevel="0" collapsed="false">
      <c r="A132" s="9" t="s">
        <v>707</v>
      </c>
      <c r="B132" s="10" t="s">
        <v>708</v>
      </c>
      <c r="C132" s="11" t="n">
        <v>0.462</v>
      </c>
      <c r="D132" s="9"/>
      <c r="E132" s="9"/>
      <c r="F132" s="10" t="s">
        <v>120</v>
      </c>
      <c r="G132" s="9" t="s">
        <v>709</v>
      </c>
      <c r="H132" s="9" t="s">
        <v>70</v>
      </c>
      <c r="I132" s="9" t="s">
        <v>697</v>
      </c>
      <c r="J132" s="9" t="s">
        <v>698</v>
      </c>
      <c r="K132" s="9" t="s">
        <v>73</v>
      </c>
      <c r="L132" s="10" t="s">
        <v>74</v>
      </c>
      <c r="M132" s="10" t="s">
        <v>87</v>
      </c>
      <c r="N132" s="10" t="s">
        <v>101</v>
      </c>
      <c r="O132" s="9" t="s">
        <v>77</v>
      </c>
      <c r="P132" s="9" t="s">
        <v>71</v>
      </c>
      <c r="Q132" s="9" t="s">
        <v>78</v>
      </c>
      <c r="R132" s="9" t="s">
        <v>71</v>
      </c>
      <c r="S132" s="9" t="s">
        <v>699</v>
      </c>
      <c r="T132" s="9" t="s">
        <v>710</v>
      </c>
      <c r="U132" s="9" t="s">
        <v>701</v>
      </c>
      <c r="V132" s="9" t="n">
        <f aca="false">IF(AND($O132="Active",$C132="",$D132="",$E132="",$F132&lt;&gt;"文字"),1,0)</f>
        <v>0</v>
      </c>
      <c r="W132" s="9" t="n">
        <f aca="false">IF(AND($O132="Active",OR($J132="",$J132="—")),1,0)</f>
        <v>0</v>
      </c>
      <c r="X132" s="9" t="n">
        <f aca="false">IF(AND(ISNUMBER($C132),ISNUMBER($D132),ISNUMBER($E132)),IF(AND($D132&lt;=$C132,$C132&lt;=$E132),0,1),0)</f>
        <v>0</v>
      </c>
      <c r="Y132" s="12" t="s">
        <v>81</v>
      </c>
    </row>
    <row r="133" customFormat="false" ht="15" hidden="false" customHeight="false" outlineLevel="0" collapsed="false">
      <c r="A133" s="9" t="s">
        <v>711</v>
      </c>
      <c r="B133" s="10" t="s">
        <v>712</v>
      </c>
      <c r="C133" s="11" t="n">
        <v>3</v>
      </c>
      <c r="D133" s="9"/>
      <c r="E133" s="9"/>
      <c r="F133" s="9" t="s">
        <v>713</v>
      </c>
      <c r="G133" s="10" t="s">
        <v>714</v>
      </c>
      <c r="H133" s="9" t="s">
        <v>70</v>
      </c>
      <c r="I133" s="9" t="s">
        <v>697</v>
      </c>
      <c r="J133" s="9" t="s">
        <v>698</v>
      </c>
      <c r="K133" s="9" t="s">
        <v>73</v>
      </c>
      <c r="L133" s="10" t="s">
        <v>74</v>
      </c>
      <c r="M133" s="10" t="s">
        <v>87</v>
      </c>
      <c r="N133" s="10" t="s">
        <v>101</v>
      </c>
      <c r="O133" s="9" t="s">
        <v>77</v>
      </c>
      <c r="P133" s="9" t="s">
        <v>71</v>
      </c>
      <c r="Q133" s="9" t="s">
        <v>78</v>
      </c>
      <c r="R133" s="9" t="s">
        <v>71</v>
      </c>
      <c r="S133" s="9" t="s">
        <v>699</v>
      </c>
      <c r="T133" s="9" t="s">
        <v>715</v>
      </c>
      <c r="U133" s="9" t="s">
        <v>701</v>
      </c>
      <c r="V133" s="9" t="n">
        <f aca="false">IF(AND($O133="Active",$C133="",$D133="",$E133="",$F133&lt;&gt;"文字"),1,0)</f>
        <v>0</v>
      </c>
      <c r="W133" s="9" t="n">
        <f aca="false">IF(AND($O133="Active",OR($J133="",$J133="—")),1,0)</f>
        <v>0</v>
      </c>
      <c r="X133" s="9" t="n">
        <f aca="false">IF(AND(ISNUMBER($C133),ISNUMBER($D133),ISNUMBER($E133)),IF(AND($D133&lt;=$C133,$C133&lt;=$E133),0,1),0)</f>
        <v>0</v>
      </c>
      <c r="Y133" s="12" t="s">
        <v>81</v>
      </c>
    </row>
    <row r="134" customFormat="false" ht="15" hidden="false" customHeight="false" outlineLevel="0" collapsed="false">
      <c r="A134" s="9" t="s">
        <v>716</v>
      </c>
      <c r="B134" s="10" t="s">
        <v>717</v>
      </c>
      <c r="C134" s="11" t="n">
        <v>4500</v>
      </c>
      <c r="D134" s="9"/>
      <c r="E134" s="9"/>
      <c r="F134" s="10" t="s">
        <v>695</v>
      </c>
      <c r="G134" s="9" t="s">
        <v>718</v>
      </c>
      <c r="H134" s="9" t="s">
        <v>70</v>
      </c>
      <c r="I134" s="9" t="s">
        <v>719</v>
      </c>
      <c r="J134" s="9" t="s">
        <v>720</v>
      </c>
      <c r="K134" s="9" t="s">
        <v>73</v>
      </c>
      <c r="L134" s="10" t="s">
        <v>74</v>
      </c>
      <c r="M134" s="10" t="s">
        <v>87</v>
      </c>
      <c r="N134" s="10" t="s">
        <v>101</v>
      </c>
      <c r="O134" s="9" t="s">
        <v>77</v>
      </c>
      <c r="P134" s="9" t="s">
        <v>71</v>
      </c>
      <c r="Q134" s="9" t="s">
        <v>78</v>
      </c>
      <c r="R134" s="9" t="s">
        <v>71</v>
      </c>
      <c r="S134" s="9" t="s">
        <v>721</v>
      </c>
      <c r="T134" s="9" t="s">
        <v>722</v>
      </c>
      <c r="U134" s="9" t="s">
        <v>723</v>
      </c>
      <c r="V134" s="9" t="n">
        <f aca="false">IF(AND($O134="Active",$C134="",$D134="",$E134="",$F134&lt;&gt;"文字"),1,0)</f>
        <v>0</v>
      </c>
      <c r="W134" s="9" t="n">
        <f aca="false">IF(AND($O134="Active",OR($J134="",$J134="—")),1,0)</f>
        <v>0</v>
      </c>
      <c r="X134" s="9" t="n">
        <f aca="false">IF(AND(ISNUMBER($C134),ISNUMBER($D134),ISNUMBER($E134)),IF(AND($D134&lt;=$C134,$C134&lt;=$E134),0,1),0)</f>
        <v>0</v>
      </c>
      <c r="Y134" s="12" t="s">
        <v>81</v>
      </c>
    </row>
    <row r="135" customFormat="false" ht="15" hidden="false" customHeight="false" outlineLevel="0" collapsed="false">
      <c r="A135" s="9" t="s">
        <v>724</v>
      </c>
      <c r="B135" s="10" t="s">
        <v>725</v>
      </c>
      <c r="C135" s="11" t="n">
        <v>8000</v>
      </c>
      <c r="D135" s="9"/>
      <c r="E135" s="9"/>
      <c r="F135" s="10" t="s">
        <v>695</v>
      </c>
      <c r="G135" s="9" t="s">
        <v>726</v>
      </c>
      <c r="H135" s="9" t="s">
        <v>70</v>
      </c>
      <c r="I135" s="9" t="s">
        <v>719</v>
      </c>
      <c r="J135" s="9" t="s">
        <v>720</v>
      </c>
      <c r="K135" s="9" t="s">
        <v>73</v>
      </c>
      <c r="L135" s="10" t="s">
        <v>74</v>
      </c>
      <c r="M135" s="10" t="s">
        <v>87</v>
      </c>
      <c r="N135" s="10" t="s">
        <v>101</v>
      </c>
      <c r="O135" s="9" t="s">
        <v>77</v>
      </c>
      <c r="P135" s="9" t="s">
        <v>71</v>
      </c>
      <c r="Q135" s="9" t="s">
        <v>78</v>
      </c>
      <c r="R135" s="9" t="s">
        <v>71</v>
      </c>
      <c r="S135" s="9" t="s">
        <v>721</v>
      </c>
      <c r="T135" s="9" t="s">
        <v>722</v>
      </c>
      <c r="U135" s="9" t="s">
        <v>723</v>
      </c>
      <c r="V135" s="9" t="n">
        <f aca="false">IF(AND($O135="Active",$C135="",$D135="",$E135="",$F135&lt;&gt;"文字"),1,0)</f>
        <v>0</v>
      </c>
      <c r="W135" s="9" t="n">
        <f aca="false">IF(AND($O135="Active",OR($J135="",$J135="—")),1,0)</f>
        <v>0</v>
      </c>
      <c r="X135" s="9" t="n">
        <f aca="false">IF(AND(ISNUMBER($C135),ISNUMBER($D135),ISNUMBER($E135)),IF(AND($D135&lt;=$C135,$C135&lt;=$E135),0,1),0)</f>
        <v>0</v>
      </c>
      <c r="Y135" s="12" t="s">
        <v>81</v>
      </c>
    </row>
    <row r="136" customFormat="false" ht="15" hidden="false" customHeight="false" outlineLevel="0" collapsed="false">
      <c r="A136" s="9" t="s">
        <v>727</v>
      </c>
      <c r="B136" s="10" t="s">
        <v>728</v>
      </c>
      <c r="C136" s="11" t="n">
        <v>16</v>
      </c>
      <c r="D136" s="9"/>
      <c r="E136" s="9"/>
      <c r="F136" s="9" t="s">
        <v>68</v>
      </c>
      <c r="G136" s="9" t="s">
        <v>729</v>
      </c>
      <c r="H136" s="9" t="s">
        <v>70</v>
      </c>
      <c r="I136" s="9" t="s">
        <v>730</v>
      </c>
      <c r="J136" s="9" t="s">
        <v>731</v>
      </c>
      <c r="K136" s="9" t="s">
        <v>73</v>
      </c>
      <c r="L136" s="10" t="s">
        <v>732</v>
      </c>
      <c r="M136" s="9" t="s">
        <v>733</v>
      </c>
      <c r="N136" s="10" t="s">
        <v>101</v>
      </c>
      <c r="O136" s="9" t="s">
        <v>77</v>
      </c>
      <c r="P136" s="9" t="s">
        <v>71</v>
      </c>
      <c r="Q136" s="9" t="s">
        <v>78</v>
      </c>
      <c r="R136" s="9" t="s">
        <v>71</v>
      </c>
      <c r="S136" s="9" t="s">
        <v>734</v>
      </c>
      <c r="T136" s="9" t="s">
        <v>735</v>
      </c>
      <c r="U136" s="9" t="s">
        <v>736</v>
      </c>
      <c r="V136" s="9" t="n">
        <f aca="false">IF(AND($O136="Active",$C136="",$D136="",$E136="",$F136&lt;&gt;"文字"),1,0)</f>
        <v>0</v>
      </c>
      <c r="W136" s="9" t="n">
        <f aca="false">IF(AND($O136="Active",OR($J136="",$J136="—")),1,0)</f>
        <v>0</v>
      </c>
      <c r="X136" s="9" t="n">
        <f aca="false">IF(AND(ISNUMBER($C136),ISNUMBER($D136),ISNUMBER($E136)),IF(AND($D136&lt;=$C136,$C136&lt;=$E136),0,1),0)</f>
        <v>0</v>
      </c>
      <c r="Y136" s="12" t="s">
        <v>81</v>
      </c>
    </row>
    <row r="137" customFormat="false" ht="15" hidden="false" customHeight="false" outlineLevel="0" collapsed="false">
      <c r="A137" s="9" t="s">
        <v>737</v>
      </c>
      <c r="B137" s="10" t="s">
        <v>738</v>
      </c>
      <c r="C137" s="11" t="n">
        <v>50</v>
      </c>
      <c r="D137" s="9"/>
      <c r="E137" s="9"/>
      <c r="F137" s="9" t="s">
        <v>68</v>
      </c>
      <c r="G137" s="9" t="s">
        <v>739</v>
      </c>
      <c r="H137" s="9" t="s">
        <v>70</v>
      </c>
      <c r="I137" s="9" t="s">
        <v>740</v>
      </c>
      <c r="J137" s="9" t="s">
        <v>741</v>
      </c>
      <c r="K137" s="9" t="s">
        <v>73</v>
      </c>
      <c r="L137" s="10" t="s">
        <v>74</v>
      </c>
      <c r="M137" s="10" t="s">
        <v>87</v>
      </c>
      <c r="N137" s="10" t="s">
        <v>101</v>
      </c>
      <c r="O137" s="9" t="s">
        <v>77</v>
      </c>
      <c r="P137" s="9" t="s">
        <v>71</v>
      </c>
      <c r="Q137" s="9" t="s">
        <v>78</v>
      </c>
      <c r="R137" s="9" t="s">
        <v>71</v>
      </c>
      <c r="S137" s="9" t="s">
        <v>734</v>
      </c>
      <c r="T137" s="9" t="s">
        <v>735</v>
      </c>
      <c r="U137" s="9" t="s">
        <v>742</v>
      </c>
      <c r="V137" s="9" t="n">
        <f aca="false">IF(AND($O137="Active",$C137="",$D137="",$E137="",$F137&lt;&gt;"文字"),1,0)</f>
        <v>0</v>
      </c>
      <c r="W137" s="9" t="n">
        <f aca="false">IF(AND($O137="Active",OR($J137="",$J137="—")),1,0)</f>
        <v>0</v>
      </c>
      <c r="X137" s="9" t="n">
        <f aca="false">IF(AND(ISNUMBER($C137),ISNUMBER($D137),ISNUMBER($E137)),IF(AND($D137&lt;=$C137,$C137&lt;=$E137),0,1),0)</f>
        <v>0</v>
      </c>
      <c r="Y137" s="12" t="s">
        <v>81</v>
      </c>
    </row>
    <row r="138" customFormat="false" ht="15" hidden="false" customHeight="false" outlineLevel="0" collapsed="false">
      <c r="A138" s="9" t="s">
        <v>743</v>
      </c>
      <c r="B138" s="10" t="s">
        <v>744</v>
      </c>
      <c r="C138" s="11" t="n">
        <v>0.5</v>
      </c>
      <c r="D138" s="9"/>
      <c r="E138" s="9"/>
      <c r="F138" s="10" t="s">
        <v>120</v>
      </c>
      <c r="G138" s="9" t="s">
        <v>745</v>
      </c>
      <c r="H138" s="9" t="s">
        <v>70</v>
      </c>
      <c r="I138" s="9" t="s">
        <v>746</v>
      </c>
      <c r="J138" s="9" t="s">
        <v>747</v>
      </c>
      <c r="K138" s="9" t="s">
        <v>73</v>
      </c>
      <c r="L138" s="10" t="s">
        <v>748</v>
      </c>
      <c r="M138" s="9" t="s">
        <v>749</v>
      </c>
      <c r="N138" s="10" t="s">
        <v>101</v>
      </c>
      <c r="O138" s="9" t="s">
        <v>77</v>
      </c>
      <c r="P138" s="9" t="s">
        <v>71</v>
      </c>
      <c r="Q138" s="9" t="s">
        <v>78</v>
      </c>
      <c r="R138" s="9" t="s">
        <v>71</v>
      </c>
      <c r="S138" s="9" t="s">
        <v>750</v>
      </c>
      <c r="T138" s="9" t="s">
        <v>751</v>
      </c>
      <c r="U138" s="9" t="s">
        <v>752</v>
      </c>
      <c r="V138" s="9" t="n">
        <f aca="false">IF(AND($O138="Active",$C138="",$D138="",$E138="",$F138&lt;&gt;"文字"),1,0)</f>
        <v>0</v>
      </c>
      <c r="W138" s="9" t="n">
        <f aca="false">IF(AND($O138="Active",OR($J138="",$J138="—")),1,0)</f>
        <v>0</v>
      </c>
      <c r="X138" s="9" t="n">
        <f aca="false">IF(AND(ISNUMBER($C138),ISNUMBER($D138),ISNUMBER($E138)),IF(AND($D138&lt;=$C138,$C138&lt;=$E138),0,1),0)</f>
        <v>0</v>
      </c>
      <c r="Y138" s="1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753</v>
      </c>
    </row>
    <row r="2" customFormat="false" ht="15" hidden="false" customHeight="false" outlineLevel="0" collapsed="false">
      <c r="A2" s="2" t="s">
        <v>754</v>
      </c>
    </row>
    <row r="3" customFormat="false" ht="15" hidden="false" customHeight="false" outlineLevel="0" collapsed="false">
      <c r="A3" s="5" t="s">
        <v>755</v>
      </c>
      <c r="B3" s="9" t="s">
        <v>756</v>
      </c>
    </row>
    <row r="4" customFormat="false" ht="15" hidden="false" customHeight="false" outlineLevel="0" collapsed="false">
      <c r="A4" s="5" t="s">
        <v>757</v>
      </c>
      <c r="B4" s="9" t="s">
        <v>758</v>
      </c>
    </row>
    <row r="5" customFormat="false" ht="15" hidden="false" customHeight="false" outlineLevel="0" collapsed="false">
      <c r="A5" s="5" t="s">
        <v>759</v>
      </c>
      <c r="B5" s="9" t="s">
        <v>760</v>
      </c>
    </row>
    <row r="6" customFormat="false" ht="15" hidden="false" customHeight="false" outlineLevel="0" collapsed="false">
      <c r="A6" s="3" t="s">
        <v>761</v>
      </c>
      <c r="B6" s="9" t="s">
        <v>762</v>
      </c>
    </row>
    <row r="7" customFormat="false" ht="15" hidden="false" customHeight="false" outlineLevel="0" collapsed="false">
      <c r="A7" s="3" t="s">
        <v>763</v>
      </c>
      <c r="B7" s="9" t="s">
        <v>764</v>
      </c>
      <c r="I7" s="3" t="s">
        <v>765</v>
      </c>
      <c r="J7" s="9" t="s">
        <v>766</v>
      </c>
      <c r="K7" s="9" t="s">
        <v>766</v>
      </c>
      <c r="L7" s="9" t="s">
        <v>766</v>
      </c>
      <c r="M7" s="9" t="s">
        <v>767</v>
      </c>
      <c r="N7" s="9" t="s">
        <v>767</v>
      </c>
      <c r="O7" s="9" t="s">
        <v>767</v>
      </c>
      <c r="P7" s="9" t="s">
        <v>768</v>
      </c>
      <c r="Q7" s="9" t="s">
        <v>768</v>
      </c>
      <c r="R7" s="9" t="s">
        <v>768</v>
      </c>
      <c r="S7" s="9" t="s">
        <v>769</v>
      </c>
      <c r="T7" s="9" t="s">
        <v>769</v>
      </c>
      <c r="U7" s="9" t="s">
        <v>769</v>
      </c>
      <c r="V7" s="9" t="s">
        <v>770</v>
      </c>
      <c r="W7" s="9" t="s">
        <v>770</v>
      </c>
      <c r="X7" s="9" t="s">
        <v>770</v>
      </c>
    </row>
    <row r="8" customFormat="false" ht="15" hidden="false" customHeight="false" outlineLevel="0" collapsed="false">
      <c r="I8" s="3" t="s">
        <v>771</v>
      </c>
      <c r="J8" s="10" t="s">
        <v>772</v>
      </c>
      <c r="K8" s="10" t="s">
        <v>773</v>
      </c>
      <c r="L8" s="10" t="s">
        <v>774</v>
      </c>
      <c r="M8" s="10" t="s">
        <v>772</v>
      </c>
      <c r="N8" s="10" t="s">
        <v>773</v>
      </c>
      <c r="O8" s="10" t="s">
        <v>774</v>
      </c>
      <c r="P8" s="10" t="s">
        <v>772</v>
      </c>
      <c r="Q8" s="10" t="s">
        <v>773</v>
      </c>
      <c r="R8" s="10" t="s">
        <v>774</v>
      </c>
      <c r="S8" s="10" t="s">
        <v>772</v>
      </c>
      <c r="T8" s="10" t="s">
        <v>773</v>
      </c>
      <c r="U8" s="10" t="s">
        <v>774</v>
      </c>
      <c r="V8" s="10" t="s">
        <v>772</v>
      </c>
      <c r="W8" s="10" t="s">
        <v>773</v>
      </c>
      <c r="X8" s="10" t="s">
        <v>774</v>
      </c>
    </row>
    <row r="9" customFormat="false" ht="26.85" hidden="false" customHeight="false" outlineLevel="0" collapsed="false">
      <c r="A9" s="7" t="s">
        <v>775</v>
      </c>
      <c r="B9" s="8" t="s">
        <v>776</v>
      </c>
      <c r="C9" s="8" t="s">
        <v>777</v>
      </c>
      <c r="D9" s="8" t="s">
        <v>46</v>
      </c>
      <c r="E9" s="8" t="s">
        <v>778</v>
      </c>
      <c r="F9" s="8" t="s">
        <v>55</v>
      </c>
      <c r="G9" s="7" t="s">
        <v>757</v>
      </c>
      <c r="H9" s="8" t="s">
        <v>779</v>
      </c>
      <c r="I9" s="8" t="s">
        <v>761</v>
      </c>
      <c r="J9" s="8" t="s">
        <v>780</v>
      </c>
      <c r="K9" s="8" t="s">
        <v>781</v>
      </c>
      <c r="L9" s="8" t="s">
        <v>782</v>
      </c>
      <c r="M9" s="8" t="s">
        <v>783</v>
      </c>
      <c r="N9" s="8" t="s">
        <v>784</v>
      </c>
      <c r="O9" s="8" t="s">
        <v>785</v>
      </c>
      <c r="P9" s="8" t="s">
        <v>786</v>
      </c>
      <c r="Q9" s="8" t="s">
        <v>787</v>
      </c>
      <c r="R9" s="8" t="s">
        <v>788</v>
      </c>
      <c r="S9" s="8" t="s">
        <v>789</v>
      </c>
      <c r="T9" s="8" t="s">
        <v>790</v>
      </c>
      <c r="U9" s="8" t="s">
        <v>791</v>
      </c>
      <c r="V9" s="8" t="s">
        <v>792</v>
      </c>
      <c r="W9" s="8" t="s">
        <v>793</v>
      </c>
      <c r="X9" s="8" t="s">
        <v>794</v>
      </c>
    </row>
    <row r="10" customFormat="false" ht="15" hidden="false" customHeight="false" outlineLevel="0" collapsed="false">
      <c r="A10" s="9" t="s">
        <v>795</v>
      </c>
      <c r="B10" s="9" t="s">
        <v>796</v>
      </c>
      <c r="C10" s="10" t="s">
        <v>797</v>
      </c>
      <c r="D10" s="9" t="s">
        <v>798</v>
      </c>
      <c r="E10" s="9" t="n">
        <v>15</v>
      </c>
      <c r="F10" s="9" t="s">
        <v>799</v>
      </c>
      <c r="G10" s="9" t="s">
        <v>758</v>
      </c>
      <c r="H10" s="9" t="s">
        <v>800</v>
      </c>
      <c r="I10" s="9" t="s">
        <v>762</v>
      </c>
      <c r="J10" s="11" t="n">
        <v>3876518295.93805</v>
      </c>
      <c r="K10" s="11" t="n">
        <v>3876518295.93805</v>
      </c>
      <c r="L10" s="11" t="n">
        <v>3876518295.93805</v>
      </c>
      <c r="M10" s="11" t="n">
        <v>20041838664.2467</v>
      </c>
      <c r="N10" s="11" t="n">
        <v>20041838664.2467</v>
      </c>
      <c r="O10" s="11" t="n">
        <v>20041838664.2467</v>
      </c>
      <c r="P10" s="11" t="n">
        <v>24234237528.7831</v>
      </c>
      <c r="Q10" s="11" t="n">
        <v>24234237528.7831</v>
      </c>
      <c r="R10" s="11" t="n">
        <v>24234237528.7831</v>
      </c>
      <c r="S10" s="11" t="n">
        <v>51167890551.5595</v>
      </c>
      <c r="T10" s="11" t="n">
        <v>51167890551.5595</v>
      </c>
      <c r="U10" s="11" t="n">
        <v>51167890551.5595</v>
      </c>
      <c r="V10" s="11" t="n">
        <v>74400955991.7707</v>
      </c>
      <c r="W10" s="11" t="n">
        <v>74400955991.7707</v>
      </c>
      <c r="X10" s="11" t="n">
        <v>74400955991.7707</v>
      </c>
    </row>
    <row r="11" customFormat="false" ht="15" hidden="false" customHeight="false" outlineLevel="0" collapsed="false">
      <c r="A11" s="9" t="s">
        <v>801</v>
      </c>
      <c r="B11" s="9" t="s">
        <v>802</v>
      </c>
      <c r="C11" s="10" t="s">
        <v>797</v>
      </c>
      <c r="D11" s="9" t="s">
        <v>798</v>
      </c>
      <c r="E11" s="9" t="n">
        <v>15</v>
      </c>
      <c r="F11" s="9" t="s">
        <v>799</v>
      </c>
      <c r="G11" s="9" t="s">
        <v>758</v>
      </c>
      <c r="H11" s="9" t="s">
        <v>800</v>
      </c>
      <c r="I11" s="9" t="s">
        <v>762</v>
      </c>
      <c r="J11" s="11" t="n">
        <v>74067251304.9223</v>
      </c>
      <c r="K11" s="11" t="n">
        <v>74067251304.9223</v>
      </c>
      <c r="L11" s="11" t="n">
        <v>74067251304.9223</v>
      </c>
      <c r="M11" s="11" t="n">
        <v>362306894085.614</v>
      </c>
      <c r="N11" s="11" t="n">
        <v>362306894085.614</v>
      </c>
      <c r="O11" s="11" t="n">
        <v>362306894085.614</v>
      </c>
      <c r="P11" s="11" t="n">
        <v>527473919843.971</v>
      </c>
      <c r="Q11" s="11" t="n">
        <v>527473919843.971</v>
      </c>
      <c r="R11" s="11" t="n">
        <v>527473919843.971</v>
      </c>
      <c r="S11" s="11" t="n">
        <v>772778400993.445</v>
      </c>
      <c r="T11" s="11" t="n">
        <v>772778400993.445</v>
      </c>
      <c r="U11" s="11" t="n">
        <v>772778400993.445</v>
      </c>
      <c r="V11" s="11" t="n">
        <v>1044373713057.39</v>
      </c>
      <c r="W11" s="11" t="n">
        <v>1044373713057.39</v>
      </c>
      <c r="X11" s="11" t="n">
        <v>1044373713057.39</v>
      </c>
    </row>
    <row r="12" customFormat="false" ht="15" hidden="false" customHeight="false" outlineLevel="0" collapsed="false">
      <c r="A12" s="9" t="s">
        <v>803</v>
      </c>
      <c r="B12" s="9" t="s">
        <v>804</v>
      </c>
      <c r="C12" s="10" t="s">
        <v>797</v>
      </c>
      <c r="D12" s="9" t="s">
        <v>798</v>
      </c>
      <c r="E12" s="9" t="n">
        <v>15</v>
      </c>
      <c r="F12" s="9" t="s">
        <v>799</v>
      </c>
      <c r="G12" s="9" t="s">
        <v>758</v>
      </c>
      <c r="H12" s="9" t="s">
        <v>800</v>
      </c>
      <c r="I12" s="9" t="s">
        <v>762</v>
      </c>
      <c r="J12" s="11" t="n">
        <v>21490429685.4234</v>
      </c>
      <c r="K12" s="11" t="n">
        <v>21490429685.4234</v>
      </c>
      <c r="L12" s="11" t="n">
        <v>21490429685.4234</v>
      </c>
      <c r="M12" s="11" t="n">
        <v>104125401080.667</v>
      </c>
      <c r="N12" s="11" t="n">
        <v>104125401080.667</v>
      </c>
      <c r="O12" s="11" t="n">
        <v>104125401080.667</v>
      </c>
      <c r="P12" s="11" t="n">
        <v>151593674754.548</v>
      </c>
      <c r="Q12" s="11" t="n">
        <v>151593674754.548</v>
      </c>
      <c r="R12" s="11" t="n">
        <v>151593674754.548</v>
      </c>
      <c r="S12" s="11" t="n">
        <v>237287338734.99</v>
      </c>
      <c r="T12" s="11" t="n">
        <v>237287338734.99</v>
      </c>
      <c r="U12" s="11" t="n">
        <v>237287338734.99</v>
      </c>
      <c r="V12" s="11" t="n">
        <v>326185670522.351</v>
      </c>
      <c r="W12" s="11" t="n">
        <v>326185670522.351</v>
      </c>
      <c r="X12" s="11" t="n">
        <v>326185670522.351</v>
      </c>
    </row>
    <row r="13" customFormat="false" ht="15" hidden="false" customHeight="false" outlineLevel="0" collapsed="false">
      <c r="A13" s="9" t="s">
        <v>805</v>
      </c>
      <c r="B13" s="9" t="s">
        <v>806</v>
      </c>
      <c r="C13" s="10" t="s">
        <v>807</v>
      </c>
      <c r="D13" s="9" t="s">
        <v>808</v>
      </c>
      <c r="E13" s="9" t="n">
        <v>1</v>
      </c>
      <c r="F13" s="9" t="s">
        <v>799</v>
      </c>
      <c r="G13" s="9" t="s">
        <v>758</v>
      </c>
      <c r="H13" s="9" t="s">
        <v>800</v>
      </c>
      <c r="I13" s="9" t="s">
        <v>762</v>
      </c>
      <c r="J13" s="11" t="n">
        <v>0.6</v>
      </c>
    </row>
    <row r="14" customFormat="false" ht="15" hidden="false" customHeight="false" outlineLevel="0" collapsed="false">
      <c r="A14" s="9" t="s">
        <v>809</v>
      </c>
      <c r="B14" s="9" t="s">
        <v>810</v>
      </c>
      <c r="C14" s="10" t="s">
        <v>811</v>
      </c>
      <c r="D14" s="9" t="s">
        <v>713</v>
      </c>
      <c r="E14" s="9" t="n">
        <v>15</v>
      </c>
      <c r="F14" s="9" t="s">
        <v>799</v>
      </c>
      <c r="G14" s="9" t="s">
        <v>758</v>
      </c>
      <c r="H14" s="9" t="s">
        <v>800</v>
      </c>
      <c r="I14" s="9" t="s">
        <v>762</v>
      </c>
      <c r="J14" s="11" t="n">
        <v>7.0000433103819</v>
      </c>
      <c r="K14" s="11" t="n">
        <v>10.0957952959174</v>
      </c>
      <c r="L14" s="11" t="n">
        <v>17.4059720636914</v>
      </c>
      <c r="M14" s="11" t="n">
        <v>6.81316695089878</v>
      </c>
      <c r="N14" s="11" t="n">
        <v>9.17098191725462</v>
      </c>
      <c r="O14" s="11" t="n">
        <v>14.9200285257983</v>
      </c>
      <c r="P14" s="11" t="n">
        <v>8.70747076237914</v>
      </c>
      <c r="Q14" s="11" t="n">
        <v>12.7247463559608</v>
      </c>
      <c r="R14" s="11" t="n">
        <v>23.87186935202</v>
      </c>
      <c r="S14" s="11" t="n">
        <v>9.83668060375303</v>
      </c>
      <c r="T14" s="11" t="n">
        <v>12.7620157762701</v>
      </c>
      <c r="U14" s="11" t="n">
        <v>20.6780894215396</v>
      </c>
      <c r="V14" s="11" t="n">
        <v>10.4522416094636</v>
      </c>
      <c r="W14" s="11" t="n">
        <v>16.0694566753819</v>
      </c>
      <c r="X14" s="11" t="n">
        <v>29.454615058956</v>
      </c>
    </row>
    <row r="15" customFormat="false" ht="15" hidden="false" customHeight="false" outlineLevel="0" collapsed="false">
      <c r="A15" s="9" t="s">
        <v>812</v>
      </c>
      <c r="B15" s="9" t="s">
        <v>813</v>
      </c>
      <c r="C15" s="10" t="s">
        <v>814</v>
      </c>
      <c r="D15" s="9" t="s">
        <v>815</v>
      </c>
      <c r="E15" s="9" t="n">
        <v>15</v>
      </c>
      <c r="F15" s="9" t="s">
        <v>799</v>
      </c>
      <c r="G15" s="9" t="s">
        <v>758</v>
      </c>
      <c r="H15" s="9" t="s">
        <v>800</v>
      </c>
      <c r="I15" s="9" t="s">
        <v>762</v>
      </c>
      <c r="J15" s="11" t="n">
        <v>6.98232343835803</v>
      </c>
      <c r="K15" s="11" t="n">
        <v>10.0701401279639</v>
      </c>
      <c r="L15" s="11" t="n">
        <v>17.3615788262088</v>
      </c>
      <c r="M15" s="11" t="n">
        <v>0.929824661004986</v>
      </c>
      <c r="N15" s="11" t="n">
        <v>1.25152940803565</v>
      </c>
      <c r="O15" s="11" t="n">
        <v>2.03594023384679</v>
      </c>
      <c r="P15" s="11" t="n">
        <v>0.933052266852849</v>
      </c>
      <c r="Q15" s="11" t="n">
        <v>1.36342193413465</v>
      </c>
      <c r="R15" s="11" t="n">
        <v>2.55761025983181</v>
      </c>
      <c r="S15" s="11" t="n">
        <v>0.425384609769744</v>
      </c>
      <c r="T15" s="11" t="n">
        <v>0.551823554780618</v>
      </c>
      <c r="U15" s="11" t="n">
        <v>0.8939723826276</v>
      </c>
      <c r="V15" s="11" t="n">
        <v>0.278094026413058</v>
      </c>
      <c r="W15" s="11" t="n">
        <v>0.427426585241239</v>
      </c>
      <c r="X15" s="11" t="n">
        <v>0.783268390883916</v>
      </c>
    </row>
    <row r="16" customFormat="false" ht="15" hidden="false" customHeight="false" outlineLevel="0" collapsed="false">
      <c r="A16" s="9" t="s">
        <v>816</v>
      </c>
      <c r="B16" s="9" t="s">
        <v>817</v>
      </c>
      <c r="C16" s="10" t="s">
        <v>814</v>
      </c>
      <c r="D16" s="9" t="s">
        <v>815</v>
      </c>
      <c r="E16" s="9" t="n">
        <v>15</v>
      </c>
      <c r="F16" s="9" t="s">
        <v>799</v>
      </c>
      <c r="G16" s="9" t="s">
        <v>758</v>
      </c>
      <c r="H16" s="9" t="s">
        <v>800</v>
      </c>
      <c r="I16" s="9" t="s">
        <v>762</v>
      </c>
      <c r="J16" s="11" t="n">
        <v>0.133329814173381</v>
      </c>
      <c r="K16" s="11" t="n">
        <v>0.192289806873558</v>
      </c>
      <c r="L16" s="11" t="n">
        <v>0.331515420191033</v>
      </c>
      <c r="M16" s="11" t="n">
        <v>0.0276536496722329</v>
      </c>
      <c r="N16" s="11" t="n">
        <v>0.0372199275435518</v>
      </c>
      <c r="O16" s="11" t="n">
        <v>0.0605453276013408</v>
      </c>
      <c r="P16" s="11" t="n">
        <v>0.0242079987569706</v>
      </c>
      <c r="Q16" s="11" t="n">
        <v>0.0353715947566594</v>
      </c>
      <c r="R16" s="11" t="n">
        <v>0.0663483039188753</v>
      </c>
      <c r="S16" s="11" t="n">
        <v>0.018368231651997</v>
      </c>
      <c r="T16" s="11" t="n">
        <v>0.0238275474334597</v>
      </c>
      <c r="U16" s="11" t="n">
        <v>0.0386006736669421</v>
      </c>
      <c r="V16" s="11" t="n">
        <v>0.014351217590964</v>
      </c>
      <c r="W16" s="11" t="n">
        <v>0.0220579881248366</v>
      </c>
      <c r="X16" s="11" t="n">
        <v>0.0404223097702075</v>
      </c>
    </row>
    <row r="17" customFormat="false" ht="15" hidden="false" customHeight="false" outlineLevel="0" collapsed="false">
      <c r="A17" s="9" t="s">
        <v>818</v>
      </c>
      <c r="B17" s="9" t="s">
        <v>819</v>
      </c>
      <c r="C17" s="10" t="s">
        <v>814</v>
      </c>
      <c r="D17" s="9" t="s">
        <v>815</v>
      </c>
      <c r="E17" s="9" t="n">
        <v>15</v>
      </c>
      <c r="F17" s="9" t="s">
        <v>799</v>
      </c>
      <c r="G17" s="9" t="s">
        <v>758</v>
      </c>
      <c r="H17" s="9" t="s">
        <v>800</v>
      </c>
      <c r="I17" s="9" t="s">
        <v>762</v>
      </c>
      <c r="J17" s="11" t="n">
        <v>0.531910528331284</v>
      </c>
      <c r="K17" s="11" t="n">
        <v>0.767139858927169</v>
      </c>
      <c r="L17" s="11" t="n">
        <v>1.32260037244879</v>
      </c>
      <c r="M17" s="11" t="n">
        <v>0.103191989823563</v>
      </c>
      <c r="N17" s="11" t="n">
        <v>0.138898055360943</v>
      </c>
      <c r="O17" s="11" t="n">
        <v>0.22595994864402</v>
      </c>
      <c r="P17" s="11" t="n">
        <v>0.0903712380397286</v>
      </c>
      <c r="Q17" s="11" t="n">
        <v>0.132057790392487</v>
      </c>
      <c r="R17" s="11" t="n">
        <v>0.247729497631164</v>
      </c>
      <c r="S17" s="11" t="n">
        <v>0.0615718912295467</v>
      </c>
      <c r="T17" s="11" t="n">
        <v>0.0798782155803801</v>
      </c>
      <c r="U17" s="11" t="n">
        <v>0.129415859367946</v>
      </c>
      <c r="V17" s="11" t="n">
        <v>0.0464745260500349</v>
      </c>
      <c r="W17" s="11" t="n">
        <v>0.0714424801387287</v>
      </c>
      <c r="X17" s="11" t="n">
        <v>0.130938158347436</v>
      </c>
    </row>
    <row r="18" customFormat="false" ht="15" hidden="false" customHeight="false" outlineLevel="0" collapsed="false">
      <c r="A18" s="9" t="s">
        <v>820</v>
      </c>
      <c r="B18" s="9" t="s">
        <v>821</v>
      </c>
      <c r="C18" s="10" t="s">
        <v>822</v>
      </c>
      <c r="D18" s="9" t="s">
        <v>815</v>
      </c>
      <c r="E18" s="9" t="n">
        <v>1</v>
      </c>
      <c r="F18" s="9" t="s">
        <v>799</v>
      </c>
      <c r="G18" s="9" t="s">
        <v>758</v>
      </c>
      <c r="H18" s="9" t="s">
        <v>800</v>
      </c>
      <c r="I18" s="9" t="s">
        <v>762</v>
      </c>
      <c r="J18" s="11" t="n">
        <v>0.8</v>
      </c>
    </row>
    <row r="19" customFormat="false" ht="15" hidden="false" customHeight="false" outlineLevel="0" collapsed="false">
      <c r="A19" s="9" t="s">
        <v>823</v>
      </c>
      <c r="B19" s="9" t="s">
        <v>824</v>
      </c>
      <c r="C19" s="10" t="s">
        <v>822</v>
      </c>
      <c r="D19" s="9" t="s">
        <v>815</v>
      </c>
      <c r="E19" s="9" t="n">
        <v>1</v>
      </c>
      <c r="F19" s="9" t="s">
        <v>799</v>
      </c>
      <c r="G19" s="9" t="s">
        <v>758</v>
      </c>
      <c r="H19" s="9" t="s">
        <v>800</v>
      </c>
      <c r="I19" s="9" t="s">
        <v>762</v>
      </c>
      <c r="J19" s="11" t="n">
        <v>0.008</v>
      </c>
    </row>
    <row r="20" customFormat="false" ht="15" hidden="false" customHeight="false" outlineLevel="0" collapsed="false">
      <c r="A20" s="9" t="s">
        <v>825</v>
      </c>
      <c r="B20" s="9" t="s">
        <v>826</v>
      </c>
      <c r="C20" s="10" t="s">
        <v>822</v>
      </c>
      <c r="D20" s="9" t="s">
        <v>815</v>
      </c>
      <c r="E20" s="9" t="n">
        <v>1</v>
      </c>
      <c r="F20" s="9" t="s">
        <v>799</v>
      </c>
      <c r="G20" s="9" t="s">
        <v>758</v>
      </c>
      <c r="H20" s="9" t="s">
        <v>800</v>
      </c>
      <c r="I20" s="9" t="s">
        <v>762</v>
      </c>
      <c r="J20" s="11" t="n">
        <v>0.16</v>
      </c>
    </row>
    <row r="21" customFormat="false" ht="15" hidden="false" customHeight="false" outlineLevel="0" collapsed="false">
      <c r="A21" s="9" t="s">
        <v>827</v>
      </c>
      <c r="B21" s="9" t="s">
        <v>828</v>
      </c>
      <c r="C21" s="10" t="s">
        <v>829</v>
      </c>
      <c r="D21" s="9" t="s">
        <v>815</v>
      </c>
      <c r="E21" s="9" t="n">
        <v>1</v>
      </c>
      <c r="F21" s="9" t="s">
        <v>799</v>
      </c>
      <c r="G21" s="9" t="s">
        <v>758</v>
      </c>
      <c r="H21" s="9" t="s">
        <v>800</v>
      </c>
      <c r="I21" s="9" t="s">
        <v>762</v>
      </c>
      <c r="J21" s="11" t="n">
        <v>8</v>
      </c>
    </row>
    <row r="22" customFormat="false" ht="15" hidden="false" customHeight="false" outlineLevel="0" collapsed="false">
      <c r="A22" s="9" t="s">
        <v>830</v>
      </c>
      <c r="B22" s="9" t="s">
        <v>831</v>
      </c>
      <c r="C22" s="10" t="s">
        <v>829</v>
      </c>
      <c r="D22" s="9" t="s">
        <v>815</v>
      </c>
      <c r="E22" s="9" t="n">
        <v>1</v>
      </c>
      <c r="F22" s="9" t="s">
        <v>799</v>
      </c>
      <c r="G22" s="9" t="s">
        <v>758</v>
      </c>
      <c r="H22" s="9" t="s">
        <v>800</v>
      </c>
      <c r="I22" s="9" t="s">
        <v>762</v>
      </c>
      <c r="J22" s="11" t="n">
        <v>0.08</v>
      </c>
    </row>
    <row r="23" customFormat="false" ht="15" hidden="false" customHeight="false" outlineLevel="0" collapsed="false">
      <c r="A23" s="9" t="s">
        <v>832</v>
      </c>
      <c r="B23" s="9" t="s">
        <v>833</v>
      </c>
      <c r="C23" s="10" t="s">
        <v>829</v>
      </c>
      <c r="D23" s="9" t="s">
        <v>815</v>
      </c>
      <c r="E23" s="9" t="n">
        <v>1</v>
      </c>
      <c r="F23" s="9" t="s">
        <v>799</v>
      </c>
      <c r="G23" s="9" t="s">
        <v>758</v>
      </c>
      <c r="H23" s="9" t="s">
        <v>800</v>
      </c>
      <c r="I23" s="9" t="s">
        <v>762</v>
      </c>
      <c r="J23" s="11" t="n">
        <v>1.6</v>
      </c>
    </row>
    <row r="24" customFormat="false" ht="15" hidden="false" customHeight="false" outlineLevel="0" collapsed="false">
      <c r="A24" s="9" t="s">
        <v>834</v>
      </c>
      <c r="B24" s="9" t="s">
        <v>835</v>
      </c>
      <c r="C24" s="10" t="s">
        <v>836</v>
      </c>
      <c r="D24" s="9" t="s">
        <v>815</v>
      </c>
      <c r="E24" s="9" t="n">
        <v>1</v>
      </c>
      <c r="F24" s="9" t="s">
        <v>799</v>
      </c>
      <c r="G24" s="9" t="s">
        <v>758</v>
      </c>
      <c r="H24" s="9" t="s">
        <v>800</v>
      </c>
      <c r="I24" s="9" t="s">
        <v>762</v>
      </c>
      <c r="J24" s="11" t="n">
        <v>40</v>
      </c>
    </row>
    <row r="25" customFormat="false" ht="15" hidden="false" customHeight="false" outlineLevel="0" collapsed="false">
      <c r="A25" s="9" t="s">
        <v>837</v>
      </c>
      <c r="B25" s="9" t="s">
        <v>838</v>
      </c>
      <c r="C25" s="10" t="s">
        <v>836</v>
      </c>
      <c r="D25" s="9" t="s">
        <v>815</v>
      </c>
      <c r="E25" s="9" t="n">
        <v>1</v>
      </c>
      <c r="F25" s="9" t="s">
        <v>799</v>
      </c>
      <c r="G25" s="9" t="s">
        <v>758</v>
      </c>
      <c r="H25" s="9" t="s">
        <v>800</v>
      </c>
      <c r="I25" s="9" t="s">
        <v>762</v>
      </c>
      <c r="J25" s="11" t="n">
        <v>0.4</v>
      </c>
    </row>
    <row r="26" customFormat="false" ht="15" hidden="false" customHeight="false" outlineLevel="0" collapsed="false">
      <c r="A26" s="9" t="s">
        <v>839</v>
      </c>
      <c r="B26" s="9" t="s">
        <v>840</v>
      </c>
      <c r="C26" s="10" t="s">
        <v>836</v>
      </c>
      <c r="D26" s="9" t="s">
        <v>815</v>
      </c>
      <c r="E26" s="9" t="n">
        <v>1</v>
      </c>
      <c r="F26" s="9" t="s">
        <v>799</v>
      </c>
      <c r="G26" s="9" t="s">
        <v>758</v>
      </c>
      <c r="H26" s="9" t="s">
        <v>800</v>
      </c>
      <c r="I26" s="9" t="s">
        <v>762</v>
      </c>
      <c r="J26" s="11" t="n">
        <v>8</v>
      </c>
    </row>
    <row r="27" customFormat="false" ht="15" hidden="false" customHeight="false" outlineLevel="0" collapsed="false">
      <c r="A27" s="9" t="s">
        <v>841</v>
      </c>
      <c r="B27" s="9" t="s">
        <v>842</v>
      </c>
      <c r="C27" s="10" t="s">
        <v>843</v>
      </c>
      <c r="D27" s="9" t="s">
        <v>815</v>
      </c>
      <c r="E27" s="9" t="n">
        <v>1</v>
      </c>
      <c r="F27" s="9" t="s">
        <v>799</v>
      </c>
      <c r="G27" s="9" t="s">
        <v>758</v>
      </c>
      <c r="H27" s="9" t="s">
        <v>800</v>
      </c>
      <c r="I27" s="9" t="s">
        <v>762</v>
      </c>
      <c r="J27" s="11" t="n">
        <v>8.03555555555555</v>
      </c>
    </row>
    <row r="28" customFormat="false" ht="15" hidden="false" customHeight="false" outlineLevel="0" collapsed="false">
      <c r="A28" s="9" t="s">
        <v>844</v>
      </c>
      <c r="B28" s="9" t="s">
        <v>845</v>
      </c>
      <c r="C28" s="10" t="s">
        <v>843</v>
      </c>
      <c r="D28" s="9" t="s">
        <v>815</v>
      </c>
      <c r="E28" s="9" t="n">
        <v>1</v>
      </c>
      <c r="F28" s="9" t="s">
        <v>799</v>
      </c>
      <c r="G28" s="9" t="s">
        <v>758</v>
      </c>
      <c r="H28" s="9" t="s">
        <v>800</v>
      </c>
      <c r="I28" s="9" t="s">
        <v>762</v>
      </c>
      <c r="J28" s="11" t="n">
        <v>0.0803555555555556</v>
      </c>
    </row>
    <row r="29" customFormat="false" ht="15" hidden="false" customHeight="false" outlineLevel="0" collapsed="false">
      <c r="A29" s="9" t="s">
        <v>846</v>
      </c>
      <c r="B29" s="9" t="s">
        <v>847</v>
      </c>
      <c r="C29" s="10" t="s">
        <v>843</v>
      </c>
      <c r="D29" s="9" t="s">
        <v>815</v>
      </c>
      <c r="E29" s="9" t="n">
        <v>1</v>
      </c>
      <c r="F29" s="9" t="s">
        <v>799</v>
      </c>
      <c r="G29" s="9" t="s">
        <v>758</v>
      </c>
      <c r="H29" s="9" t="s">
        <v>800</v>
      </c>
      <c r="I29" s="9" t="s">
        <v>762</v>
      </c>
      <c r="J29" s="11" t="n">
        <v>1.60711111111111</v>
      </c>
    </row>
    <row r="30" customFormat="false" ht="15" hidden="false" customHeight="false" outlineLevel="0" collapsed="false">
      <c r="A30" s="9" t="s">
        <v>848</v>
      </c>
      <c r="B30" s="9" t="s">
        <v>849</v>
      </c>
      <c r="C30" s="10" t="s">
        <v>850</v>
      </c>
      <c r="D30" s="9" t="s">
        <v>815</v>
      </c>
      <c r="E30" s="9" t="n">
        <v>1</v>
      </c>
      <c r="F30" s="9" t="s">
        <v>799</v>
      </c>
      <c r="G30" s="9" t="s">
        <v>758</v>
      </c>
      <c r="H30" s="9" t="s">
        <v>800</v>
      </c>
      <c r="I30" s="9" t="s">
        <v>762</v>
      </c>
      <c r="J30" s="11" t="n">
        <v>40</v>
      </c>
    </row>
    <row r="31" customFormat="false" ht="15" hidden="false" customHeight="false" outlineLevel="0" collapsed="false">
      <c r="A31" s="9" t="s">
        <v>851</v>
      </c>
      <c r="B31" s="9" t="s">
        <v>852</v>
      </c>
      <c r="C31" s="10" t="s">
        <v>850</v>
      </c>
      <c r="D31" s="9" t="s">
        <v>815</v>
      </c>
      <c r="E31" s="9" t="n">
        <v>1</v>
      </c>
      <c r="F31" s="9" t="s">
        <v>799</v>
      </c>
      <c r="G31" s="9" t="s">
        <v>758</v>
      </c>
      <c r="H31" s="9" t="s">
        <v>800</v>
      </c>
      <c r="I31" s="9" t="s">
        <v>762</v>
      </c>
      <c r="J31" s="11" t="n">
        <v>0.4</v>
      </c>
    </row>
    <row r="32" customFormat="false" ht="15" hidden="false" customHeight="false" outlineLevel="0" collapsed="false">
      <c r="A32" s="9" t="s">
        <v>853</v>
      </c>
      <c r="B32" s="9" t="s">
        <v>854</v>
      </c>
      <c r="C32" s="10" t="s">
        <v>850</v>
      </c>
      <c r="D32" s="9" t="s">
        <v>815</v>
      </c>
      <c r="E32" s="9" t="n">
        <v>1</v>
      </c>
      <c r="F32" s="9" t="s">
        <v>799</v>
      </c>
      <c r="G32" s="9" t="s">
        <v>758</v>
      </c>
      <c r="H32" s="9" t="s">
        <v>800</v>
      </c>
      <c r="I32" s="9" t="s">
        <v>762</v>
      </c>
      <c r="J32" s="11" t="n">
        <v>8</v>
      </c>
    </row>
    <row r="33" customFormat="false" ht="15" hidden="false" customHeight="false" outlineLevel="0" collapsed="false">
      <c r="A33" s="9" t="s">
        <v>855</v>
      </c>
      <c r="B33" s="9" t="s">
        <v>856</v>
      </c>
      <c r="C33" s="10" t="s">
        <v>857</v>
      </c>
      <c r="D33" s="9" t="s">
        <v>815</v>
      </c>
      <c r="E33" s="9" t="n">
        <v>1</v>
      </c>
      <c r="F33" s="9" t="s">
        <v>799</v>
      </c>
      <c r="G33" s="9" t="s">
        <v>758</v>
      </c>
      <c r="H33" s="9" t="s">
        <v>800</v>
      </c>
      <c r="I33" s="9" t="s">
        <v>762</v>
      </c>
      <c r="J33" s="11" t="n">
        <v>7.74222222222222</v>
      </c>
    </row>
    <row r="34" customFormat="false" ht="15" hidden="false" customHeight="false" outlineLevel="0" collapsed="false">
      <c r="A34" s="9" t="s">
        <v>858</v>
      </c>
      <c r="B34" s="9" t="s">
        <v>859</v>
      </c>
      <c r="C34" s="10" t="s">
        <v>857</v>
      </c>
      <c r="D34" s="9" t="s">
        <v>815</v>
      </c>
      <c r="E34" s="9" t="n">
        <v>1</v>
      </c>
      <c r="F34" s="9" t="s">
        <v>799</v>
      </c>
      <c r="G34" s="9" t="s">
        <v>758</v>
      </c>
      <c r="H34" s="9" t="s">
        <v>800</v>
      </c>
      <c r="I34" s="9" t="s">
        <v>762</v>
      </c>
      <c r="J34" s="11" t="n">
        <v>0.0803555555555556</v>
      </c>
    </row>
    <row r="35" customFormat="false" ht="15" hidden="false" customHeight="false" outlineLevel="0" collapsed="false">
      <c r="A35" s="9" t="s">
        <v>860</v>
      </c>
      <c r="B35" s="9" t="s">
        <v>861</v>
      </c>
      <c r="C35" s="10" t="s">
        <v>857</v>
      </c>
      <c r="D35" s="9" t="s">
        <v>815</v>
      </c>
      <c r="E35" s="9" t="n">
        <v>1</v>
      </c>
      <c r="F35" s="9" t="s">
        <v>799</v>
      </c>
      <c r="G35" s="9" t="s">
        <v>758</v>
      </c>
      <c r="H35" s="9" t="s">
        <v>800</v>
      </c>
      <c r="I35" s="9" t="s">
        <v>762</v>
      </c>
      <c r="J35" s="11" t="n">
        <v>1.60711111111111</v>
      </c>
    </row>
    <row r="36" customFormat="false" ht="15" hidden="false" customHeight="false" outlineLevel="0" collapsed="false">
      <c r="A36" s="9" t="s">
        <v>862</v>
      </c>
      <c r="B36" s="9" t="s">
        <v>863</v>
      </c>
      <c r="C36" s="10" t="s">
        <v>864</v>
      </c>
      <c r="D36" s="9" t="s">
        <v>808</v>
      </c>
      <c r="E36" s="9" t="n">
        <v>15</v>
      </c>
      <c r="F36" s="9" t="s">
        <v>799</v>
      </c>
      <c r="G36" s="9" t="s">
        <v>758</v>
      </c>
      <c r="H36" s="9" t="s">
        <v>800</v>
      </c>
      <c r="I36" s="9" t="s">
        <v>762</v>
      </c>
      <c r="J36" s="11" t="n">
        <v>0.142679390737942</v>
      </c>
      <c r="K36" s="11" t="n">
        <v>0.142679390737942</v>
      </c>
      <c r="L36" s="11" t="n">
        <v>0.142679390737942</v>
      </c>
      <c r="M36" s="11" t="n">
        <v>0.0703975899347298</v>
      </c>
      <c r="N36" s="11" t="n">
        <v>0.0703975899347298</v>
      </c>
      <c r="O36" s="11" t="n">
        <v>0.0703975899347298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865</v>
      </c>
      <c r="B37" s="9" t="s">
        <v>866</v>
      </c>
      <c r="C37" s="10" t="s">
        <v>864</v>
      </c>
      <c r="D37" s="9" t="s">
        <v>808</v>
      </c>
      <c r="E37" s="9" t="n">
        <v>15</v>
      </c>
      <c r="F37" s="9" t="s">
        <v>799</v>
      </c>
      <c r="G37" s="9" t="s">
        <v>758</v>
      </c>
      <c r="H37" s="9" t="s">
        <v>800</v>
      </c>
      <c r="I37" s="9" t="s">
        <v>762</v>
      </c>
      <c r="J37" s="11" t="n">
        <v>0.00813235831640886</v>
      </c>
      <c r="K37" s="11" t="n">
        <v>0.00813235831640886</v>
      </c>
      <c r="L37" s="11" t="n">
        <v>0.00813235831640886</v>
      </c>
      <c r="M37" s="11" t="n">
        <v>0.00378530041866208</v>
      </c>
      <c r="N37" s="11" t="n">
        <v>0.00378530041866208</v>
      </c>
      <c r="O37" s="11" t="n">
        <v>0.00378530041866208</v>
      </c>
      <c r="P37" s="11" t="n">
        <v>0.00332896549749013</v>
      </c>
      <c r="Q37" s="11" t="n">
        <v>0.00332896549749013</v>
      </c>
      <c r="R37" s="11" t="n">
        <v>0.00332896549749013</v>
      </c>
      <c r="S37" s="11" t="n">
        <v>0.00220433968028437</v>
      </c>
      <c r="T37" s="11" t="n">
        <v>0.00220433968028437</v>
      </c>
      <c r="U37" s="11" t="n">
        <v>0.00220433968028437</v>
      </c>
      <c r="V37" s="11" t="n">
        <v>0.00143044852589726</v>
      </c>
      <c r="W37" s="11" t="n">
        <v>0.00143044852589726</v>
      </c>
      <c r="X37" s="11" t="n">
        <v>0.00143044852589726</v>
      </c>
    </row>
    <row r="38" customFormat="false" ht="15" hidden="false" customHeight="false" outlineLevel="0" collapsed="false">
      <c r="A38" s="9" t="s">
        <v>867</v>
      </c>
      <c r="B38" s="9" t="s">
        <v>868</v>
      </c>
      <c r="C38" s="10" t="s">
        <v>864</v>
      </c>
      <c r="D38" s="9" t="s">
        <v>808</v>
      </c>
      <c r="E38" s="9" t="n">
        <v>15</v>
      </c>
      <c r="F38" s="9" t="s">
        <v>799</v>
      </c>
      <c r="G38" s="9" t="s">
        <v>758</v>
      </c>
      <c r="H38" s="9" t="s">
        <v>800</v>
      </c>
      <c r="I38" s="9" t="s">
        <v>762</v>
      </c>
      <c r="J38" s="11" t="n">
        <v>0.0231462920032773</v>
      </c>
      <c r="K38" s="11" t="n">
        <v>0.0231462920032773</v>
      </c>
      <c r="L38" s="11" t="n">
        <v>0.0231462920032773</v>
      </c>
      <c r="M38" s="11" t="n">
        <v>0.0111975472382432</v>
      </c>
      <c r="N38" s="11" t="n">
        <v>0.0111975472382432</v>
      </c>
      <c r="O38" s="11" t="n">
        <v>0.0111975472382432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869</v>
      </c>
      <c r="B39" s="9" t="s">
        <v>870</v>
      </c>
      <c r="C39" s="10" t="s">
        <v>871</v>
      </c>
      <c r="D39" s="9" t="s">
        <v>872</v>
      </c>
      <c r="E39" s="9" t="n">
        <v>1</v>
      </c>
      <c r="F39" s="9" t="s">
        <v>799</v>
      </c>
      <c r="G39" s="9" t="s">
        <v>758</v>
      </c>
      <c r="H39" s="9" t="s">
        <v>800</v>
      </c>
      <c r="I39" s="9" t="s">
        <v>762</v>
      </c>
      <c r="J39" s="11" t="n">
        <v>8</v>
      </c>
    </row>
    <row r="40" customFormat="false" ht="15" hidden="false" customHeight="false" outlineLevel="0" collapsed="false">
      <c r="A40" s="9" t="s">
        <v>873</v>
      </c>
      <c r="B40" s="9" t="s">
        <v>874</v>
      </c>
      <c r="C40" s="10" t="s">
        <v>875</v>
      </c>
      <c r="D40" s="10" t="s">
        <v>876</v>
      </c>
      <c r="E40" s="9" t="n">
        <v>1</v>
      </c>
      <c r="F40" s="9" t="s">
        <v>799</v>
      </c>
      <c r="G40" s="9" t="s">
        <v>758</v>
      </c>
      <c r="H40" s="9" t="s">
        <v>800</v>
      </c>
      <c r="I40" s="9" t="s">
        <v>762</v>
      </c>
      <c r="J40" s="11" t="n">
        <v>4</v>
      </c>
    </row>
    <row r="41" customFormat="false" ht="15" hidden="false" customHeight="false" outlineLevel="0" collapsed="false">
      <c r="A41" s="9" t="s">
        <v>877</v>
      </c>
      <c r="B41" s="9" t="s">
        <v>878</v>
      </c>
      <c r="C41" s="9" t="s">
        <v>879</v>
      </c>
      <c r="D41" s="9" t="s">
        <v>68</v>
      </c>
      <c r="E41" s="9" t="n">
        <v>1</v>
      </c>
      <c r="F41" s="9" t="s">
        <v>799</v>
      </c>
      <c r="G41" s="9" t="s">
        <v>758</v>
      </c>
      <c r="H41" s="9" t="s">
        <v>800</v>
      </c>
      <c r="I41" s="9" t="s">
        <v>762</v>
      </c>
      <c r="J41" s="11" t="n">
        <v>8.4</v>
      </c>
    </row>
    <row r="42" customFormat="false" ht="15" hidden="false" customHeight="false" outlineLevel="0" collapsed="false">
      <c r="A42" s="9" t="s">
        <v>880</v>
      </c>
      <c r="B42" s="9" t="s">
        <v>881</v>
      </c>
      <c r="C42" s="9" t="s">
        <v>882</v>
      </c>
      <c r="D42" s="9" t="s">
        <v>68</v>
      </c>
      <c r="E42" s="9" t="n">
        <v>1</v>
      </c>
      <c r="F42" s="9" t="s">
        <v>799</v>
      </c>
      <c r="G42" s="9" t="s">
        <v>758</v>
      </c>
      <c r="H42" s="9" t="s">
        <v>800</v>
      </c>
      <c r="I42" s="9" t="s">
        <v>762</v>
      </c>
      <c r="J42" s="11" t="n">
        <v>3.9</v>
      </c>
    </row>
    <row r="43" customFormat="false" ht="15" hidden="false" customHeight="false" outlineLevel="0" collapsed="false">
      <c r="A43" s="9" t="s">
        <v>883</v>
      </c>
      <c r="B43" s="9" t="s">
        <v>884</v>
      </c>
      <c r="C43" s="9" t="s">
        <v>885</v>
      </c>
      <c r="D43" s="9" t="s">
        <v>68</v>
      </c>
      <c r="E43" s="9" t="n">
        <v>1</v>
      </c>
      <c r="F43" s="9" t="s">
        <v>799</v>
      </c>
      <c r="G43" s="9" t="s">
        <v>758</v>
      </c>
      <c r="H43" s="9" t="s">
        <v>800</v>
      </c>
      <c r="I43" s="9" t="s">
        <v>762</v>
      </c>
      <c r="J43" s="11" t="n">
        <v>12</v>
      </c>
    </row>
    <row r="44" customFormat="false" ht="15" hidden="false" customHeight="false" outlineLevel="0" collapsed="false">
      <c r="A44" s="9" t="s">
        <v>886</v>
      </c>
      <c r="B44" s="9" t="s">
        <v>887</v>
      </c>
      <c r="C44" s="9" t="s">
        <v>888</v>
      </c>
      <c r="D44" s="9" t="s">
        <v>68</v>
      </c>
      <c r="E44" s="9" t="n">
        <v>1</v>
      </c>
      <c r="F44" s="9" t="s">
        <v>799</v>
      </c>
      <c r="G44" s="9" t="s">
        <v>758</v>
      </c>
      <c r="H44" s="9" t="s">
        <v>800</v>
      </c>
      <c r="I44" s="9" t="s">
        <v>762</v>
      </c>
      <c r="J44" s="11" t="n">
        <v>13.07</v>
      </c>
    </row>
    <row r="45" customFormat="false" ht="15" hidden="false" customHeight="false" outlineLevel="0" collapsed="false">
      <c r="A45" s="9" t="s">
        <v>889</v>
      </c>
      <c r="B45" s="9" t="s">
        <v>890</v>
      </c>
      <c r="C45" s="9" t="s">
        <v>891</v>
      </c>
      <c r="D45" s="9" t="s">
        <v>375</v>
      </c>
      <c r="E45" s="9" t="n">
        <v>1</v>
      </c>
      <c r="F45" s="9" t="s">
        <v>799</v>
      </c>
      <c r="G45" s="9" t="s">
        <v>758</v>
      </c>
      <c r="H45" s="9" t="s">
        <v>800</v>
      </c>
      <c r="I45" s="9" t="s">
        <v>762</v>
      </c>
      <c r="J45" s="11" t="n">
        <v>0.6</v>
      </c>
    </row>
    <row r="46" customFormat="false" ht="15" hidden="false" customHeight="false" outlineLevel="0" collapsed="false">
      <c r="A46" s="9" t="s">
        <v>892</v>
      </c>
      <c r="B46" s="9" t="s">
        <v>893</v>
      </c>
      <c r="C46" s="9" t="s">
        <v>894</v>
      </c>
      <c r="D46" s="9" t="s">
        <v>375</v>
      </c>
      <c r="E46" s="9" t="n">
        <v>1</v>
      </c>
      <c r="F46" s="9" t="s">
        <v>799</v>
      </c>
      <c r="G46" s="9" t="s">
        <v>758</v>
      </c>
      <c r="H46" s="9" t="s">
        <v>800</v>
      </c>
      <c r="I46" s="9" t="s">
        <v>762</v>
      </c>
      <c r="J46" s="11" t="n">
        <v>1.9</v>
      </c>
    </row>
    <row r="47" customFormat="false" ht="15" hidden="false" customHeight="false" outlineLevel="0" collapsed="false">
      <c r="A47" s="9" t="s">
        <v>895</v>
      </c>
      <c r="B47" s="9" t="s">
        <v>896</v>
      </c>
      <c r="C47" s="9" t="s">
        <v>897</v>
      </c>
      <c r="D47" s="9" t="s">
        <v>127</v>
      </c>
      <c r="E47" s="9" t="n">
        <v>1</v>
      </c>
      <c r="F47" s="9" t="s">
        <v>799</v>
      </c>
      <c r="G47" s="9" t="s">
        <v>758</v>
      </c>
      <c r="H47" s="9" t="s">
        <v>800</v>
      </c>
      <c r="I47" s="9" t="s">
        <v>762</v>
      </c>
      <c r="J47" s="11" t="n">
        <v>6</v>
      </c>
    </row>
    <row r="48" customFormat="false" ht="15" hidden="false" customHeight="false" outlineLevel="0" collapsed="false">
      <c r="A48" s="9" t="s">
        <v>898</v>
      </c>
      <c r="B48" s="9" t="s">
        <v>899</v>
      </c>
      <c r="C48" s="9" t="s">
        <v>900</v>
      </c>
      <c r="D48" s="9" t="s">
        <v>127</v>
      </c>
      <c r="E48" s="9" t="n">
        <v>1</v>
      </c>
      <c r="F48" s="9" t="s">
        <v>799</v>
      </c>
      <c r="G48" s="9" t="s">
        <v>758</v>
      </c>
      <c r="H48" s="9" t="s">
        <v>800</v>
      </c>
      <c r="I48" s="9" t="s">
        <v>762</v>
      </c>
      <c r="J48" s="11" t="n">
        <v>15</v>
      </c>
    </row>
    <row r="49" customFormat="false" ht="15" hidden="false" customHeight="false" outlineLevel="0" collapsed="false">
      <c r="A49" s="9" t="s">
        <v>901</v>
      </c>
      <c r="B49" s="9" t="s">
        <v>902</v>
      </c>
      <c r="C49" s="9" t="s">
        <v>903</v>
      </c>
      <c r="D49" s="9" t="s">
        <v>552</v>
      </c>
      <c r="E49" s="9" t="n">
        <v>1</v>
      </c>
      <c r="F49" s="9" t="s">
        <v>799</v>
      </c>
      <c r="G49" s="9" t="s">
        <v>758</v>
      </c>
      <c r="H49" s="9" t="s">
        <v>800</v>
      </c>
      <c r="I49" s="9" t="s">
        <v>762</v>
      </c>
      <c r="J49" s="11" t="n">
        <v>2.5</v>
      </c>
    </row>
    <row r="50" customFormat="false" ht="15" hidden="false" customHeight="false" outlineLevel="0" collapsed="false">
      <c r="A50" s="9" t="s">
        <v>904</v>
      </c>
      <c r="B50" s="9" t="s">
        <v>905</v>
      </c>
      <c r="C50" s="10" t="s">
        <v>906</v>
      </c>
      <c r="D50" s="9" t="s">
        <v>907</v>
      </c>
      <c r="E50" s="9" t="n">
        <v>1</v>
      </c>
      <c r="F50" s="9" t="s">
        <v>799</v>
      </c>
      <c r="G50" s="9" t="s">
        <v>758</v>
      </c>
      <c r="H50" s="9" t="s">
        <v>800</v>
      </c>
      <c r="I50" s="9" t="s">
        <v>762</v>
      </c>
      <c r="J50" s="11"/>
    </row>
    <row r="51" customFormat="false" ht="15" hidden="false" customHeight="false" outlineLevel="0" collapsed="false">
      <c r="A51" s="9" t="s">
        <v>908</v>
      </c>
      <c r="B51" s="9" t="s">
        <v>909</v>
      </c>
      <c r="C51" s="10" t="s">
        <v>906</v>
      </c>
      <c r="D51" s="9" t="s">
        <v>907</v>
      </c>
      <c r="E51" s="9" t="n">
        <v>1</v>
      </c>
      <c r="F51" s="9" t="s">
        <v>799</v>
      </c>
      <c r="G51" s="9" t="s">
        <v>758</v>
      </c>
      <c r="H51" s="9" t="s">
        <v>800</v>
      </c>
      <c r="I51" s="9" t="s">
        <v>762</v>
      </c>
      <c r="J51" s="11" t="n">
        <v>10</v>
      </c>
    </row>
    <row r="52" customFormat="false" ht="15" hidden="false" customHeight="false" outlineLevel="0" collapsed="false">
      <c r="A52" s="9" t="s">
        <v>910</v>
      </c>
      <c r="B52" s="9" t="s">
        <v>911</v>
      </c>
      <c r="C52" s="10" t="s">
        <v>906</v>
      </c>
      <c r="D52" s="9" t="s">
        <v>907</v>
      </c>
      <c r="E52" s="9" t="n">
        <v>1</v>
      </c>
      <c r="F52" s="9" t="s">
        <v>799</v>
      </c>
      <c r="G52" s="9" t="s">
        <v>758</v>
      </c>
      <c r="H52" s="9" t="s">
        <v>800</v>
      </c>
      <c r="I52" s="9" t="s">
        <v>762</v>
      </c>
      <c r="J52" s="11" t="n">
        <v>100</v>
      </c>
    </row>
    <row r="53" customFormat="false" ht="15" hidden="false" customHeight="false" outlineLevel="0" collapsed="false">
      <c r="A53" s="9" t="s">
        <v>912</v>
      </c>
      <c r="B53" s="9" t="s">
        <v>913</v>
      </c>
      <c r="C53" s="10" t="s">
        <v>914</v>
      </c>
      <c r="D53" s="9" t="s">
        <v>808</v>
      </c>
      <c r="E53" s="9" t="n">
        <v>1</v>
      </c>
      <c r="F53" s="9" t="s">
        <v>799</v>
      </c>
      <c r="G53" s="9" t="s">
        <v>758</v>
      </c>
      <c r="H53" s="9" t="s">
        <v>800</v>
      </c>
      <c r="I53" s="9" t="s">
        <v>762</v>
      </c>
      <c r="J53" s="11" t="n">
        <v>0.63609601991434</v>
      </c>
    </row>
    <row r="54" customFormat="false" ht="15" hidden="false" customHeight="false" outlineLevel="0" collapsed="false">
      <c r="A54" s="9" t="s">
        <v>915</v>
      </c>
      <c r="B54" s="9" t="s">
        <v>916</v>
      </c>
      <c r="C54" s="10" t="s">
        <v>917</v>
      </c>
      <c r="D54" s="9" t="s">
        <v>808</v>
      </c>
      <c r="E54" s="9" t="n">
        <v>1</v>
      </c>
      <c r="F54" s="9" t="s">
        <v>799</v>
      </c>
      <c r="G54" s="9" t="s">
        <v>758</v>
      </c>
      <c r="H54" s="9" t="s">
        <v>800</v>
      </c>
      <c r="I54" s="9" t="s">
        <v>762</v>
      </c>
      <c r="J54" s="11" t="n">
        <v>0.667220154597978</v>
      </c>
    </row>
    <row r="55" customFormat="false" ht="15" hidden="false" customHeight="false" outlineLevel="0" collapsed="false">
      <c r="A55" s="9" t="s">
        <v>918</v>
      </c>
      <c r="B55" s="9" t="s">
        <v>919</v>
      </c>
      <c r="C55" s="10" t="s">
        <v>920</v>
      </c>
      <c r="D55" s="9" t="s">
        <v>808</v>
      </c>
      <c r="E55" s="9" t="n">
        <v>1</v>
      </c>
      <c r="F55" s="9" t="s">
        <v>799</v>
      </c>
      <c r="G55" s="9" t="s">
        <v>758</v>
      </c>
      <c r="H55" s="9" t="s">
        <v>800</v>
      </c>
      <c r="I55" s="9" t="s">
        <v>762</v>
      </c>
      <c r="J55" s="11" t="n">
        <v>0.663556558253475</v>
      </c>
    </row>
    <row r="56" customFormat="false" ht="15" hidden="false" customHeight="false" outlineLevel="0" collapsed="false">
      <c r="A56" s="9" t="s">
        <v>921</v>
      </c>
      <c r="B56" s="9" t="s">
        <v>922</v>
      </c>
      <c r="C56" s="10" t="s">
        <v>923</v>
      </c>
      <c r="D56" s="9" t="s">
        <v>375</v>
      </c>
      <c r="E56" s="9" t="n">
        <v>1</v>
      </c>
      <c r="F56" s="9" t="s">
        <v>799</v>
      </c>
      <c r="G56" s="9" t="s">
        <v>758</v>
      </c>
      <c r="H56" s="9" t="s">
        <v>800</v>
      </c>
      <c r="I56" s="9" t="s">
        <v>762</v>
      </c>
      <c r="J56" s="11" t="n">
        <v>0.0518797846974362</v>
      </c>
    </row>
    <row r="57" customFormat="false" ht="15" hidden="false" customHeight="false" outlineLevel="0" collapsed="false">
      <c r="A57" s="9" t="s">
        <v>924</v>
      </c>
      <c r="B57" s="9" t="s">
        <v>925</v>
      </c>
      <c r="C57" s="10" t="s">
        <v>926</v>
      </c>
      <c r="D57" s="9" t="s">
        <v>927</v>
      </c>
      <c r="E57" s="9" t="n">
        <v>1</v>
      </c>
      <c r="F57" s="9" t="s">
        <v>799</v>
      </c>
      <c r="G57" s="9" t="s">
        <v>758</v>
      </c>
      <c r="H57" s="9" t="s">
        <v>800</v>
      </c>
      <c r="I57" s="9" t="s">
        <v>762</v>
      </c>
      <c r="J57" s="11" t="n">
        <v>0.0906847035646163</v>
      </c>
    </row>
    <row r="58" customFormat="false" ht="15" hidden="false" customHeight="false" outlineLevel="0" collapsed="false">
      <c r="A58" s="9" t="s">
        <v>928</v>
      </c>
      <c r="B58" s="9" t="s">
        <v>929</v>
      </c>
      <c r="C58" s="10" t="s">
        <v>930</v>
      </c>
      <c r="D58" s="9" t="s">
        <v>798</v>
      </c>
      <c r="E58" s="9" t="n">
        <v>1</v>
      </c>
      <c r="F58" s="9" t="s">
        <v>799</v>
      </c>
      <c r="G58" s="9" t="s">
        <v>758</v>
      </c>
      <c r="H58" s="9" t="s">
        <v>800</v>
      </c>
      <c r="I58" s="9" t="s">
        <v>762</v>
      </c>
      <c r="J58" s="11" t="n">
        <v>4190200000</v>
      </c>
    </row>
    <row r="59" customFormat="false" ht="15" hidden="false" customHeight="false" outlineLevel="0" collapsed="false">
      <c r="A59" s="9" t="s">
        <v>931</v>
      </c>
      <c r="B59" s="9" t="s">
        <v>932</v>
      </c>
      <c r="C59" s="10" t="s">
        <v>933</v>
      </c>
      <c r="D59" s="10" t="s">
        <v>934</v>
      </c>
      <c r="E59" s="9" t="n">
        <v>1</v>
      </c>
      <c r="F59" s="9" t="s">
        <v>799</v>
      </c>
      <c r="G59" s="9" t="s">
        <v>758</v>
      </c>
      <c r="H59" s="9" t="s">
        <v>800</v>
      </c>
      <c r="I59" s="9" t="s">
        <v>762</v>
      </c>
      <c r="J59" s="11" t="n">
        <v>1.52362137919411</v>
      </c>
    </row>
    <row r="60" customFormat="false" ht="15" hidden="false" customHeight="false" outlineLevel="0" collapsed="false">
      <c r="A60" s="9" t="s">
        <v>935</v>
      </c>
      <c r="B60" s="9" t="s">
        <v>936</v>
      </c>
      <c r="C60" s="10" t="s">
        <v>937</v>
      </c>
      <c r="D60" s="9" t="s">
        <v>938</v>
      </c>
      <c r="E60" s="9" t="n">
        <v>15</v>
      </c>
      <c r="F60" s="9" t="s">
        <v>799</v>
      </c>
      <c r="G60" s="9" t="s">
        <v>758</v>
      </c>
      <c r="H60" s="9" t="s">
        <v>800</v>
      </c>
      <c r="I60" s="9" t="s">
        <v>762</v>
      </c>
      <c r="J60" s="11" t="n">
        <v>124.845239333062</v>
      </c>
      <c r="K60" s="11" t="n">
        <v>180.057740229558</v>
      </c>
      <c r="L60" s="11" t="n">
        <v>310.434186156141</v>
      </c>
      <c r="M60" s="11" t="n">
        <v>59.9538166457782</v>
      </c>
      <c r="N60" s="11" t="n">
        <v>80.7018780387141</v>
      </c>
      <c r="O60" s="11" t="n">
        <v>131.291756246702</v>
      </c>
      <c r="P60" s="11" t="n">
        <v>71.3864657110668</v>
      </c>
      <c r="Q60" s="11" t="n">
        <v>104.321299974554</v>
      </c>
      <c r="R60" s="11" t="n">
        <v>195.708768879222</v>
      </c>
      <c r="S60" s="11" t="n">
        <v>49.2053430691912</v>
      </c>
      <c r="T60" s="11" t="n">
        <v>63.8385436939176</v>
      </c>
      <c r="U60" s="11" t="n">
        <v>103.43656818684</v>
      </c>
      <c r="V60" s="11" t="n">
        <v>35.603489581288</v>
      </c>
      <c r="W60" s="11" t="n">
        <v>54.7374194642521</v>
      </c>
      <c r="X60" s="11" t="n">
        <v>100.33130878097</v>
      </c>
    </row>
    <row r="61" customFormat="false" ht="15" hidden="false" customHeight="false" outlineLevel="0" collapsed="false">
      <c r="A61" s="9" t="s">
        <v>939</v>
      </c>
      <c r="B61" s="9" t="s">
        <v>940</v>
      </c>
      <c r="C61" s="10" t="s">
        <v>937</v>
      </c>
      <c r="D61" s="9" t="s">
        <v>938</v>
      </c>
      <c r="E61" s="9" t="n">
        <v>15</v>
      </c>
      <c r="F61" s="9" t="s">
        <v>799</v>
      </c>
      <c r="G61" s="9" t="s">
        <v>758</v>
      </c>
      <c r="H61" s="9" t="s">
        <v>800</v>
      </c>
      <c r="I61" s="9" t="s">
        <v>762</v>
      </c>
      <c r="J61" s="11" t="n">
        <v>7.1158575538008</v>
      </c>
      <c r="K61" s="11" t="n">
        <v>10.2628281044394</v>
      </c>
      <c r="L61" s="11" t="n">
        <v>17.6939502084177</v>
      </c>
      <c r="M61" s="11" t="n">
        <v>3.22373546395647</v>
      </c>
      <c r="N61" s="11" t="n">
        <v>4.33936521136578</v>
      </c>
      <c r="O61" s="11" t="n">
        <v>7.05959877814428</v>
      </c>
      <c r="P61" s="11" t="n">
        <v>3.62335871729553</v>
      </c>
      <c r="Q61" s="11" t="n">
        <v>5.29503019791332</v>
      </c>
      <c r="R61" s="11" t="n">
        <v>9.93357867918331</v>
      </c>
      <c r="S61" s="11" t="n">
        <v>2.71042317214205</v>
      </c>
      <c r="T61" s="11" t="n">
        <v>3.51647722200591</v>
      </c>
      <c r="U61" s="11" t="n">
        <v>5.69769162804601</v>
      </c>
      <c r="V61" s="11" t="n">
        <v>1.86892420032239</v>
      </c>
      <c r="W61" s="11" t="n">
        <v>2.87331632665873</v>
      </c>
      <c r="X61" s="11" t="n">
        <v>5.26666383649436</v>
      </c>
    </row>
    <row r="62" customFormat="false" ht="15" hidden="false" customHeight="false" outlineLevel="0" collapsed="false">
      <c r="A62" s="9" t="s">
        <v>941</v>
      </c>
      <c r="B62" s="9" t="s">
        <v>942</v>
      </c>
      <c r="C62" s="10" t="s">
        <v>937</v>
      </c>
      <c r="D62" s="9" t="s">
        <v>938</v>
      </c>
      <c r="E62" s="9" t="n">
        <v>15</v>
      </c>
      <c r="F62" s="9" t="s">
        <v>799</v>
      </c>
      <c r="G62" s="9" t="s">
        <v>758</v>
      </c>
      <c r="H62" s="9" t="s">
        <v>800</v>
      </c>
      <c r="I62" s="9" t="s">
        <v>762</v>
      </c>
      <c r="J62" s="11" t="n">
        <v>20.2531308122109</v>
      </c>
      <c r="K62" s="11" t="n">
        <v>29.2100282405771</v>
      </c>
      <c r="L62" s="11" t="n">
        <v>50.3604639983862</v>
      </c>
      <c r="M62" s="11" t="n">
        <v>9.53634484684077</v>
      </c>
      <c r="N62" s="11" t="n">
        <v>12.8365629049415</v>
      </c>
      <c r="O62" s="11" t="n">
        <v>20.8834655266952</v>
      </c>
      <c r="P62" s="11" t="n">
        <v>11.13174433393</v>
      </c>
      <c r="Q62" s="11" t="n">
        <v>16.2674819145715</v>
      </c>
      <c r="R62" s="11" t="n">
        <v>30.5181095235811</v>
      </c>
      <c r="S62" s="11" t="n">
        <v>7.89531454817388</v>
      </c>
      <c r="T62" s="11" t="n">
        <v>10.2433059363508</v>
      </c>
      <c r="U62" s="11" t="n">
        <v>16.5970642755273</v>
      </c>
      <c r="V62" s="11" t="n">
        <v>5.63047303591872</v>
      </c>
      <c r="W62" s="11" t="n">
        <v>8.65638643778396</v>
      </c>
      <c r="X62" s="11" t="n">
        <v>15.8667797846025</v>
      </c>
    </row>
    <row r="63" customFormat="false" ht="15" hidden="false" customHeight="false" outlineLevel="0" collapsed="false">
      <c r="A63" s="9" t="s">
        <v>943</v>
      </c>
      <c r="B63" s="9" t="s">
        <v>944</v>
      </c>
      <c r="C63" s="10" t="s">
        <v>945</v>
      </c>
      <c r="D63" s="9" t="s">
        <v>713</v>
      </c>
      <c r="E63" s="9" t="n">
        <v>15</v>
      </c>
      <c r="F63" s="9" t="s">
        <v>799</v>
      </c>
      <c r="G63" s="9" t="s">
        <v>758</v>
      </c>
      <c r="H63" s="9" t="s">
        <v>800</v>
      </c>
      <c r="I63" s="9" t="s">
        <v>762</v>
      </c>
      <c r="J63" s="11" t="n">
        <v>18.6899868774826</v>
      </c>
      <c r="K63" s="11" t="n">
        <v>18.6899868774826</v>
      </c>
      <c r="L63" s="11" t="n">
        <v>18.6899868774826</v>
      </c>
      <c r="M63" s="11" t="n">
        <v>96.6283848132214</v>
      </c>
      <c r="N63" s="11" t="n">
        <v>96.6283848132214</v>
      </c>
      <c r="O63" s="11" t="n">
        <v>96.6283848132214</v>
      </c>
      <c r="P63" s="11" t="n">
        <v>116.841337205439</v>
      </c>
      <c r="Q63" s="11" t="n">
        <v>116.841337205439</v>
      </c>
      <c r="R63" s="11" t="n">
        <v>116.841337205439</v>
      </c>
      <c r="S63" s="11" t="n">
        <v>246.697456312585</v>
      </c>
      <c r="T63" s="11" t="n">
        <v>246.697456312585</v>
      </c>
      <c r="U63" s="11" t="n">
        <v>246.697456312585</v>
      </c>
      <c r="V63" s="11" t="n">
        <v>358.71180915499</v>
      </c>
      <c r="W63" s="11" t="n">
        <v>358.71180915499</v>
      </c>
      <c r="X63" s="11" t="n">
        <v>358.71180915499</v>
      </c>
    </row>
    <row r="64" customFormat="false" ht="15" hidden="false" customHeight="false" outlineLevel="0" collapsed="false">
      <c r="A64" s="9" t="s">
        <v>946</v>
      </c>
      <c r="B64" s="9" t="s">
        <v>947</v>
      </c>
      <c r="C64" s="10" t="s">
        <v>945</v>
      </c>
      <c r="D64" s="9" t="s">
        <v>713</v>
      </c>
      <c r="E64" s="9" t="n">
        <v>15</v>
      </c>
      <c r="F64" s="9" t="s">
        <v>799</v>
      </c>
      <c r="G64" s="9" t="s">
        <v>758</v>
      </c>
      <c r="H64" s="9" t="s">
        <v>800</v>
      </c>
      <c r="I64" s="9" t="s">
        <v>762</v>
      </c>
      <c r="J64" s="11" t="n">
        <v>3.57102907624799</v>
      </c>
      <c r="K64" s="11" t="n">
        <v>3.57102907624799</v>
      </c>
      <c r="L64" s="11" t="n">
        <v>3.57102907624799</v>
      </c>
      <c r="M64" s="11" t="n">
        <v>17.4680230535144</v>
      </c>
      <c r="N64" s="11" t="n">
        <v>17.4680230535144</v>
      </c>
      <c r="O64" s="11" t="n">
        <v>17.4680230535144</v>
      </c>
      <c r="P64" s="11" t="n">
        <v>25.4312759220773</v>
      </c>
      <c r="Q64" s="11" t="n">
        <v>25.4312759220773</v>
      </c>
      <c r="R64" s="11" t="n">
        <v>25.4312759220773</v>
      </c>
      <c r="S64" s="11" t="n">
        <v>37.2582226398973</v>
      </c>
      <c r="T64" s="11" t="n">
        <v>37.2582226398973</v>
      </c>
      <c r="U64" s="11" t="n">
        <v>37.2582226398973</v>
      </c>
      <c r="V64" s="11" t="n">
        <v>50.3527379522069</v>
      </c>
      <c r="W64" s="11" t="n">
        <v>50.3527379522069</v>
      </c>
      <c r="X64" s="11" t="n">
        <v>50.3527379522069</v>
      </c>
    </row>
    <row r="65" customFormat="false" ht="15" hidden="false" customHeight="false" outlineLevel="0" collapsed="false">
      <c r="A65" s="9" t="s">
        <v>948</v>
      </c>
      <c r="B65" s="9" t="s">
        <v>949</v>
      </c>
      <c r="C65" s="10" t="s">
        <v>945</v>
      </c>
      <c r="D65" s="9" t="s">
        <v>713</v>
      </c>
      <c r="E65" s="9" t="n">
        <v>15</v>
      </c>
      <c r="F65" s="9" t="s">
        <v>799</v>
      </c>
      <c r="G65" s="9" t="s">
        <v>758</v>
      </c>
      <c r="H65" s="9" t="s">
        <v>800</v>
      </c>
      <c r="I65" s="9" t="s">
        <v>762</v>
      </c>
      <c r="J65" s="11" t="n">
        <v>20.7225049979976</v>
      </c>
      <c r="K65" s="11" t="n">
        <v>20.7225049979976</v>
      </c>
      <c r="L65" s="11" t="n">
        <v>20.7225049979976</v>
      </c>
      <c r="M65" s="11" t="n">
        <v>100.404653415384</v>
      </c>
      <c r="N65" s="11" t="n">
        <v>100.404653415384</v>
      </c>
      <c r="O65" s="11" t="n">
        <v>100.404653415384</v>
      </c>
      <c r="P65" s="11" t="n">
        <v>146.176727443319</v>
      </c>
      <c r="Q65" s="11" t="n">
        <v>146.176727443319</v>
      </c>
      <c r="R65" s="11" t="n">
        <v>146.176727443319</v>
      </c>
      <c r="S65" s="11" t="n">
        <v>228.808271164193</v>
      </c>
      <c r="T65" s="11" t="n">
        <v>228.808271164193</v>
      </c>
      <c r="U65" s="11" t="n">
        <v>228.808271164193</v>
      </c>
      <c r="V65" s="11" t="n">
        <v>314.529969229019</v>
      </c>
      <c r="W65" s="11" t="n">
        <v>314.529969229019</v>
      </c>
      <c r="X65" s="11" t="n">
        <v>314.529969229019</v>
      </c>
    </row>
    <row r="66" customFormat="false" ht="15" hidden="false" customHeight="false" outlineLevel="0" collapsed="false">
      <c r="A66" s="9" t="s">
        <v>950</v>
      </c>
      <c r="B66" s="9" t="s">
        <v>951</v>
      </c>
      <c r="C66" s="10" t="s">
        <v>952</v>
      </c>
      <c r="D66" s="9" t="s">
        <v>815</v>
      </c>
      <c r="E66" s="9" t="n">
        <v>15</v>
      </c>
      <c r="F66" s="9" t="s">
        <v>799</v>
      </c>
      <c r="G66" s="9" t="s">
        <v>758</v>
      </c>
      <c r="H66" s="9" t="s">
        <v>800</v>
      </c>
      <c r="I66" s="9" t="s">
        <v>762</v>
      </c>
      <c r="J66" s="11" t="n">
        <v>12.1259494958246</v>
      </c>
      <c r="K66" s="11" t="n">
        <v>17.4882236341092</v>
      </c>
      <c r="L66" s="11" t="n">
        <v>30.1504691923057</v>
      </c>
      <c r="M66" s="11" t="n">
        <v>2.47874275603365</v>
      </c>
      <c r="N66" s="11" t="n">
        <v>3.33624632374847</v>
      </c>
      <c r="O66" s="11" t="n">
        <v>5.42709231808209</v>
      </c>
      <c r="P66" s="11" t="n">
        <v>2.50359127783313</v>
      </c>
      <c r="Q66" s="11" t="n">
        <v>3.65821842869405</v>
      </c>
      <c r="R66" s="11" t="n">
        <v>6.86207401823829</v>
      </c>
      <c r="S66" s="11" t="n">
        <v>1.43636730002922</v>
      </c>
      <c r="T66" s="11" t="n">
        <v>1.86327342843922</v>
      </c>
      <c r="U66" s="11" t="n">
        <v>3.01849843781912</v>
      </c>
      <c r="V66" s="11" t="n">
        <v>1.06974114187471</v>
      </c>
      <c r="W66" s="11" t="n">
        <v>1.64418091652518</v>
      </c>
      <c r="X66" s="11" t="n">
        <v>3.01300288173229</v>
      </c>
    </row>
    <row r="67" customFormat="false" ht="15" hidden="false" customHeight="false" outlineLevel="0" collapsed="false">
      <c r="A67" s="9" t="s">
        <v>953</v>
      </c>
      <c r="B67" s="9" t="s">
        <v>954</v>
      </c>
      <c r="C67" s="10" t="s">
        <v>952</v>
      </c>
      <c r="D67" s="9" t="s">
        <v>815</v>
      </c>
      <c r="E67" s="9" t="n">
        <v>15</v>
      </c>
      <c r="F67" s="9" t="s">
        <v>799</v>
      </c>
      <c r="G67" s="9" t="s">
        <v>758</v>
      </c>
      <c r="H67" s="9" t="s">
        <v>800</v>
      </c>
      <c r="I67" s="9" t="s">
        <v>762</v>
      </c>
      <c r="J67" s="11" t="n">
        <v>0.14312525381939</v>
      </c>
      <c r="K67" s="11" t="n">
        <v>0.206416687105845</v>
      </c>
      <c r="L67" s="11" t="n">
        <v>0.355870379575896</v>
      </c>
      <c r="M67" s="11" t="n">
        <v>0.0305159047022073</v>
      </c>
      <c r="N67" s="11" t="n">
        <v>0.0410722884251396</v>
      </c>
      <c r="O67" s="11" t="n">
        <v>0.0668118578598896</v>
      </c>
      <c r="P67" s="11" t="n">
        <v>0.026689888040409</v>
      </c>
      <c r="Q67" s="11" t="n">
        <v>0.0389980126855996</v>
      </c>
      <c r="R67" s="11" t="n">
        <v>0.0731505561381752</v>
      </c>
      <c r="S67" s="11" t="n">
        <v>0.0204678080994292</v>
      </c>
      <c r="T67" s="11" t="n">
        <v>0.0265511244968956</v>
      </c>
      <c r="U67" s="11" t="n">
        <v>0.043012821283724</v>
      </c>
      <c r="V67" s="11" t="n">
        <v>0.0159747161030332</v>
      </c>
      <c r="W67" s="11" t="n">
        <v>0.0245532903975434</v>
      </c>
      <c r="X67" s="11" t="n">
        <v>0.0449950171767023</v>
      </c>
    </row>
    <row r="68" customFormat="false" ht="15" hidden="false" customHeight="false" outlineLevel="0" collapsed="false">
      <c r="A68" s="9" t="s">
        <v>955</v>
      </c>
      <c r="B68" s="9" t="s">
        <v>956</v>
      </c>
      <c r="C68" s="10" t="s">
        <v>952</v>
      </c>
      <c r="D68" s="9" t="s">
        <v>815</v>
      </c>
      <c r="E68" s="9" t="n">
        <v>15</v>
      </c>
      <c r="F68" s="9" t="s">
        <v>799</v>
      </c>
      <c r="G68" s="9" t="s">
        <v>758</v>
      </c>
      <c r="H68" s="9" t="s">
        <v>800</v>
      </c>
      <c r="I68" s="9" t="s">
        <v>762</v>
      </c>
      <c r="J68" s="11" t="n">
        <v>0.652311022264843</v>
      </c>
      <c r="K68" s="11" t="n">
        <v>0.940780187403963</v>
      </c>
      <c r="L68" s="11" t="n">
        <v>1.62195897661968</v>
      </c>
      <c r="M68" s="11" t="n">
        <v>0.139221764502238</v>
      </c>
      <c r="N68" s="11" t="n">
        <v>0.187391181616638</v>
      </c>
      <c r="O68" s="11" t="n">
        <v>0.304842393034249</v>
      </c>
      <c r="P68" s="11" t="n">
        <v>0.124510333313163</v>
      </c>
      <c r="Q68" s="11" t="n">
        <v>0.181940203763427</v>
      </c>
      <c r="R68" s="11" t="n">
        <v>0.341296417855299</v>
      </c>
      <c r="S68" s="11" t="n">
        <v>0.0863304123367692</v>
      </c>
      <c r="T68" s="11" t="n">
        <v>0.111995045760437</v>
      </c>
      <c r="U68" s="11" t="n">
        <v>0.181444567363731</v>
      </c>
      <c r="V68" s="11" t="n">
        <v>0.0658875303105049</v>
      </c>
      <c r="W68" s="11" t="n">
        <v>0.101280089037722</v>
      </c>
      <c r="X68" s="11" t="n">
        <v>0.185616365752151</v>
      </c>
    </row>
    <row r="69" customFormat="false" ht="15" hidden="false" customHeight="false" outlineLevel="0" collapsed="false">
      <c r="A69" s="9" t="s">
        <v>957</v>
      </c>
      <c r="B69" s="9" t="s">
        <v>958</v>
      </c>
      <c r="C69" s="10" t="s">
        <v>959</v>
      </c>
      <c r="D69" s="9" t="s">
        <v>713</v>
      </c>
      <c r="E69" s="9" t="n">
        <v>1</v>
      </c>
      <c r="F69" s="9" t="s">
        <v>799</v>
      </c>
      <c r="G69" s="9" t="s">
        <v>758</v>
      </c>
      <c r="H69" s="9" t="s">
        <v>800</v>
      </c>
      <c r="I69" s="9" t="s">
        <v>762</v>
      </c>
      <c r="J69" s="11" t="n">
        <v>1.15731961755801</v>
      </c>
    </row>
    <row r="70" customFormat="false" ht="15" hidden="false" customHeight="false" outlineLevel="0" collapsed="false">
      <c r="A70" s="9" t="s">
        <v>960</v>
      </c>
      <c r="B70" s="9" t="s">
        <v>961</v>
      </c>
      <c r="C70" s="10" t="s">
        <v>962</v>
      </c>
      <c r="D70" s="9" t="s">
        <v>713</v>
      </c>
      <c r="E70" s="9" t="n">
        <v>1</v>
      </c>
      <c r="F70" s="9" t="s">
        <v>799</v>
      </c>
      <c r="G70" s="9" t="s">
        <v>758</v>
      </c>
      <c r="H70" s="9" t="s">
        <v>800</v>
      </c>
      <c r="I70" s="9" t="s">
        <v>762</v>
      </c>
      <c r="J70" s="11" t="n">
        <v>0.578659808779004</v>
      </c>
    </row>
    <row r="71" customFormat="false" ht="15" hidden="false" customHeight="false" outlineLevel="0" collapsed="false">
      <c r="A71" s="9" t="s">
        <v>963</v>
      </c>
      <c r="B71" s="9" t="s">
        <v>964</v>
      </c>
      <c r="C71" s="10" t="s">
        <v>965</v>
      </c>
      <c r="D71" s="9" t="s">
        <v>713</v>
      </c>
      <c r="E71" s="9" t="n">
        <v>1</v>
      </c>
      <c r="F71" s="9" t="s">
        <v>799</v>
      </c>
      <c r="G71" s="9" t="s">
        <v>758</v>
      </c>
      <c r="H71" s="9" t="s">
        <v>800</v>
      </c>
      <c r="I71" s="9" t="s">
        <v>762</v>
      </c>
      <c r="J71" s="11" t="n">
        <v>8.10123732290606</v>
      </c>
    </row>
    <row r="72" customFormat="false" ht="15" hidden="false" customHeight="false" outlineLevel="0" collapsed="false">
      <c r="A72" s="9" t="s">
        <v>966</v>
      </c>
      <c r="B72" s="9" t="s">
        <v>967</v>
      </c>
      <c r="C72" s="10" t="s">
        <v>968</v>
      </c>
      <c r="D72" s="9" t="s">
        <v>68</v>
      </c>
      <c r="E72" s="9" t="n">
        <v>15</v>
      </c>
      <c r="F72" s="9" t="s">
        <v>799</v>
      </c>
      <c r="G72" s="9" t="s">
        <v>758</v>
      </c>
      <c r="H72" s="9" t="s">
        <v>800</v>
      </c>
      <c r="I72" s="9" t="s">
        <v>762</v>
      </c>
      <c r="J72" s="11" t="n">
        <v>31.6322694</v>
      </c>
      <c r="K72" s="11" t="n">
        <v>40.180214</v>
      </c>
      <c r="L72" s="11" t="n">
        <v>50.3067434</v>
      </c>
      <c r="M72" s="11" t="n">
        <v>30.8513904</v>
      </c>
      <c r="N72" s="11" t="n">
        <v>36.685174</v>
      </c>
      <c r="O72" s="11" t="n">
        <v>43.8362044</v>
      </c>
      <c r="P72" s="11" t="n">
        <v>38.7669024</v>
      </c>
      <c r="Q72" s="11" t="n">
        <v>50.115504</v>
      </c>
      <c r="R72" s="11" t="n">
        <v>67.1365064</v>
      </c>
      <c r="S72" s="11" t="n">
        <v>43.4854032</v>
      </c>
      <c r="T72" s="11" t="n">
        <v>50.256352</v>
      </c>
      <c r="U72" s="11" t="n">
        <v>58.8235752</v>
      </c>
      <c r="V72" s="11" t="n">
        <v>46.057578</v>
      </c>
      <c r="W72" s="11" t="n">
        <v>62.75578</v>
      </c>
      <c r="X72" s="11" t="n">
        <v>81.667558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969</v>
      </c>
    </row>
    <row r="2" customFormat="false" ht="15" hidden="false" customHeight="false" outlineLevel="0" collapsed="false">
      <c r="A2" s="2" t="s">
        <v>970</v>
      </c>
    </row>
    <row r="3" customFormat="false" ht="15" hidden="false" customHeight="false" outlineLevel="0" collapsed="false">
      <c r="A3" s="5" t="s">
        <v>755</v>
      </c>
      <c r="B3" s="9" t="s">
        <v>971</v>
      </c>
    </row>
    <row r="4" customFormat="false" ht="15" hidden="false" customHeight="false" outlineLevel="0" collapsed="false">
      <c r="A4" s="5" t="s">
        <v>757</v>
      </c>
      <c r="B4" s="9" t="s">
        <v>972</v>
      </c>
    </row>
    <row r="5" customFormat="false" ht="15" hidden="false" customHeight="false" outlineLevel="0" collapsed="false">
      <c r="A5" s="5" t="s">
        <v>759</v>
      </c>
      <c r="B5" s="9" t="s">
        <v>973</v>
      </c>
    </row>
    <row r="6" customFormat="false" ht="15" hidden="false" customHeight="false" outlineLevel="0" collapsed="false">
      <c r="A6" s="3" t="s">
        <v>763</v>
      </c>
      <c r="B6" s="9" t="s">
        <v>974</v>
      </c>
    </row>
    <row r="7" customFormat="false" ht="15" hidden="false" customHeight="false" outlineLevel="0" collapsed="false">
      <c r="A7" s="3" t="s">
        <v>761</v>
      </c>
      <c r="B7" s="9" t="s">
        <v>975</v>
      </c>
      <c r="I7" s="3" t="s">
        <v>765</v>
      </c>
      <c r="J7" s="9" t="s">
        <v>766</v>
      </c>
      <c r="K7" s="9" t="s">
        <v>766</v>
      </c>
      <c r="L7" s="9" t="s">
        <v>766</v>
      </c>
      <c r="M7" s="9" t="s">
        <v>767</v>
      </c>
      <c r="N7" s="9" t="s">
        <v>767</v>
      </c>
      <c r="O7" s="9" t="s">
        <v>767</v>
      </c>
      <c r="P7" s="9" t="s">
        <v>768</v>
      </c>
      <c r="Q7" s="9" t="s">
        <v>768</v>
      </c>
      <c r="R7" s="9" t="s">
        <v>768</v>
      </c>
      <c r="S7" s="9" t="s">
        <v>769</v>
      </c>
      <c r="T7" s="9" t="s">
        <v>769</v>
      </c>
      <c r="U7" s="9" t="s">
        <v>769</v>
      </c>
      <c r="V7" s="9" t="s">
        <v>770</v>
      </c>
      <c r="W7" s="9" t="s">
        <v>770</v>
      </c>
      <c r="X7" s="9" t="s">
        <v>770</v>
      </c>
    </row>
    <row r="8" customFormat="false" ht="15" hidden="false" customHeight="false" outlineLevel="0" collapsed="false">
      <c r="I8" s="3" t="s">
        <v>771</v>
      </c>
      <c r="J8" s="10" t="s">
        <v>772</v>
      </c>
      <c r="K8" s="10" t="s">
        <v>773</v>
      </c>
      <c r="L8" s="10" t="s">
        <v>774</v>
      </c>
      <c r="M8" s="10" t="s">
        <v>772</v>
      </c>
      <c r="N8" s="10" t="s">
        <v>773</v>
      </c>
      <c r="O8" s="10" t="s">
        <v>774</v>
      </c>
      <c r="P8" s="10" t="s">
        <v>772</v>
      </c>
      <c r="Q8" s="10" t="s">
        <v>773</v>
      </c>
      <c r="R8" s="10" t="s">
        <v>774</v>
      </c>
      <c r="S8" s="10" t="s">
        <v>772</v>
      </c>
      <c r="T8" s="10" t="s">
        <v>773</v>
      </c>
      <c r="U8" s="10" t="s">
        <v>774</v>
      </c>
      <c r="V8" s="10" t="s">
        <v>772</v>
      </c>
      <c r="W8" s="10" t="s">
        <v>773</v>
      </c>
      <c r="X8" s="10" t="s">
        <v>774</v>
      </c>
    </row>
    <row r="9" customFormat="false" ht="26.85" hidden="false" customHeight="false" outlineLevel="0" collapsed="false">
      <c r="A9" s="7" t="s">
        <v>775</v>
      </c>
      <c r="B9" s="8" t="s">
        <v>776</v>
      </c>
      <c r="C9" s="8" t="s">
        <v>777</v>
      </c>
      <c r="D9" s="8" t="s">
        <v>46</v>
      </c>
      <c r="E9" s="8" t="s">
        <v>778</v>
      </c>
      <c r="F9" s="8" t="s">
        <v>55</v>
      </c>
      <c r="G9" s="7" t="s">
        <v>757</v>
      </c>
      <c r="H9" s="8" t="s">
        <v>779</v>
      </c>
      <c r="I9" s="8" t="s">
        <v>761</v>
      </c>
      <c r="J9" s="8" t="s">
        <v>780</v>
      </c>
      <c r="K9" s="8" t="s">
        <v>781</v>
      </c>
      <c r="L9" s="8" t="s">
        <v>782</v>
      </c>
      <c r="M9" s="8" t="s">
        <v>783</v>
      </c>
      <c r="N9" s="8" t="s">
        <v>784</v>
      </c>
      <c r="O9" s="8" t="s">
        <v>785</v>
      </c>
      <c r="P9" s="8" t="s">
        <v>786</v>
      </c>
      <c r="Q9" s="8" t="s">
        <v>787</v>
      </c>
      <c r="R9" s="8" t="s">
        <v>788</v>
      </c>
      <c r="S9" s="8" t="s">
        <v>789</v>
      </c>
      <c r="T9" s="8" t="s">
        <v>790</v>
      </c>
      <c r="U9" s="8" t="s">
        <v>791</v>
      </c>
      <c r="V9" s="8" t="s">
        <v>792</v>
      </c>
      <c r="W9" s="8" t="s">
        <v>793</v>
      </c>
      <c r="X9" s="8" t="s">
        <v>794</v>
      </c>
    </row>
    <row r="10" customFormat="false" ht="15" hidden="false" customHeight="false" outlineLevel="0" collapsed="false">
      <c r="A10" s="9" t="s">
        <v>809</v>
      </c>
      <c r="B10" s="9" t="s">
        <v>976</v>
      </c>
      <c r="C10" s="10" t="s">
        <v>811</v>
      </c>
      <c r="D10" s="9" t="s">
        <v>713</v>
      </c>
      <c r="E10" s="9" t="n">
        <v>15</v>
      </c>
      <c r="F10" s="9" t="s">
        <v>799</v>
      </c>
      <c r="G10" s="9" t="s">
        <v>972</v>
      </c>
      <c r="H10" s="9" t="s">
        <v>977</v>
      </c>
      <c r="I10" s="9" t="s">
        <v>975</v>
      </c>
      <c r="J10" s="11" t="n">
        <v>6.79107465326444</v>
      </c>
      <c r="K10" s="11" t="n">
        <v>9.70308728611469</v>
      </c>
      <c r="L10" s="11" t="n">
        <v>16.6637697337026</v>
      </c>
      <c r="M10" s="11" t="n">
        <v>6.6118162762144</v>
      </c>
      <c r="N10" s="11" t="n">
        <v>8.82816556596761</v>
      </c>
      <c r="O10" s="11" t="n">
        <v>14.3185748619737</v>
      </c>
      <c r="P10" s="11" t="n">
        <v>8.42889912085495</v>
      </c>
      <c r="Q10" s="11" t="n">
        <v>10.8864110021101</v>
      </c>
      <c r="R10" s="11" t="n">
        <v>18.5346455040469</v>
      </c>
      <c r="S10" s="11" t="n">
        <v>9.51207691858967</v>
      </c>
      <c r="T10" s="11" t="n">
        <v>12.2254710045841</v>
      </c>
      <c r="U10" s="11" t="n">
        <v>19.7506269894487</v>
      </c>
      <c r="V10" s="11" t="n">
        <v>10.1025446864987</v>
      </c>
      <c r="W10" s="11" t="n">
        <v>15.3544827030524</v>
      </c>
      <c r="X10" s="11" t="n">
        <v>28.0302450108258</v>
      </c>
    </row>
    <row r="11" customFormat="false" ht="15" hidden="false" customHeight="false" outlineLevel="0" collapsed="false">
      <c r="A11" s="9" t="s">
        <v>978</v>
      </c>
      <c r="B11" s="9" t="s">
        <v>979</v>
      </c>
      <c r="C11" s="10" t="s">
        <v>980</v>
      </c>
      <c r="D11" s="9" t="s">
        <v>981</v>
      </c>
      <c r="E11" s="9" t="n">
        <v>15</v>
      </c>
      <c r="F11" s="9" t="s">
        <v>799</v>
      </c>
      <c r="G11" s="9" t="s">
        <v>972</v>
      </c>
      <c r="H11" s="9" t="s">
        <v>977</v>
      </c>
      <c r="I11" s="9" t="s">
        <v>975</v>
      </c>
      <c r="J11" s="11" t="n">
        <v>25658985091.4957</v>
      </c>
      <c r="K11" s="11" t="n">
        <v>25658985091.4957</v>
      </c>
      <c r="L11" s="11" t="n">
        <v>25658985091.4957</v>
      </c>
      <c r="M11" s="11" t="n">
        <v>126261198139.531</v>
      </c>
      <c r="N11" s="11" t="n">
        <v>126261198139.531</v>
      </c>
      <c r="O11" s="11" t="n">
        <v>126261198139.531</v>
      </c>
      <c r="P11" s="11" t="n">
        <v>154004682276.217</v>
      </c>
      <c r="Q11" s="11" t="n">
        <v>154004682276.217</v>
      </c>
      <c r="R11" s="11" t="n">
        <v>154004682276.217</v>
      </c>
      <c r="S11" s="11" t="n">
        <v>253258912515.866</v>
      </c>
      <c r="T11" s="11" t="n">
        <v>253258912515.866</v>
      </c>
      <c r="U11" s="11" t="n">
        <v>253258912515.866</v>
      </c>
      <c r="V11" s="11" t="n">
        <v>351710375477.503</v>
      </c>
      <c r="W11" s="11" t="n">
        <v>351710375477.503</v>
      </c>
      <c r="X11" s="11" t="n">
        <v>351710375477.503</v>
      </c>
    </row>
    <row r="12" customFormat="false" ht="15" hidden="false" customHeight="false" outlineLevel="0" collapsed="false">
      <c r="A12" s="9" t="s">
        <v>982</v>
      </c>
      <c r="B12" s="9" t="s">
        <v>983</v>
      </c>
      <c r="C12" s="10" t="s">
        <v>984</v>
      </c>
      <c r="D12" s="9" t="s">
        <v>808</v>
      </c>
      <c r="E12" s="9" t="n">
        <v>1</v>
      </c>
      <c r="F12" s="9" t="s">
        <v>799</v>
      </c>
      <c r="G12" s="9" t="s">
        <v>972</v>
      </c>
      <c r="H12" s="9" t="s">
        <v>977</v>
      </c>
      <c r="I12" s="9" t="s">
        <v>975</v>
      </c>
      <c r="J12" s="11" t="n">
        <v>0.2</v>
      </c>
    </row>
    <row r="13" customFormat="false" ht="15" hidden="false" customHeight="false" outlineLevel="0" collapsed="false">
      <c r="A13" s="9" t="s">
        <v>985</v>
      </c>
      <c r="B13" s="9" t="s">
        <v>986</v>
      </c>
      <c r="C13" s="10" t="s">
        <v>987</v>
      </c>
      <c r="D13" s="9" t="s">
        <v>872</v>
      </c>
      <c r="E13" s="9" t="n">
        <v>1</v>
      </c>
      <c r="F13" s="9" t="s">
        <v>799</v>
      </c>
      <c r="G13" s="9" t="s">
        <v>972</v>
      </c>
      <c r="H13" s="9" t="s">
        <v>977</v>
      </c>
      <c r="I13" s="9" t="s">
        <v>975</v>
      </c>
      <c r="J13" s="11" t="n">
        <v>0.85</v>
      </c>
    </row>
    <row r="14" customFormat="false" ht="15" hidden="false" customHeight="false" outlineLevel="0" collapsed="false">
      <c r="A14" s="9" t="s">
        <v>988</v>
      </c>
      <c r="B14" s="9" t="s">
        <v>989</v>
      </c>
      <c r="C14" s="9" t="s">
        <v>990</v>
      </c>
      <c r="D14" s="9" t="s">
        <v>872</v>
      </c>
      <c r="E14" s="9" t="n">
        <v>1</v>
      </c>
      <c r="F14" s="9" t="s">
        <v>799</v>
      </c>
      <c r="G14" s="9" t="s">
        <v>972</v>
      </c>
      <c r="H14" s="9" t="s">
        <v>977</v>
      </c>
      <c r="I14" s="9" t="s">
        <v>975</v>
      </c>
      <c r="J14" s="11" t="n">
        <v>0.805818389154781</v>
      </c>
    </row>
    <row r="15" customFormat="false" ht="15" hidden="false" customHeight="false" outlineLevel="0" collapsed="false">
      <c r="A15" s="9" t="s">
        <v>991</v>
      </c>
      <c r="B15" s="9" t="s">
        <v>992</v>
      </c>
      <c r="C15" s="10" t="s">
        <v>993</v>
      </c>
      <c r="D15" s="9" t="s">
        <v>815</v>
      </c>
      <c r="E15" s="9" t="n">
        <v>1</v>
      </c>
      <c r="F15" s="9" t="s">
        <v>799</v>
      </c>
      <c r="G15" s="9" t="s">
        <v>972</v>
      </c>
      <c r="H15" s="9" t="s">
        <v>977</v>
      </c>
      <c r="I15" s="9" t="s">
        <v>975</v>
      </c>
      <c r="J15" s="11" t="n">
        <v>1.96067555555556</v>
      </c>
    </row>
    <row r="16" customFormat="false" ht="15" hidden="false" customHeight="false" outlineLevel="0" collapsed="false">
      <c r="A16" s="9" t="s">
        <v>994</v>
      </c>
      <c r="B16" s="9" t="s">
        <v>995</v>
      </c>
      <c r="C16" s="10" t="s">
        <v>996</v>
      </c>
      <c r="D16" s="9" t="s">
        <v>815</v>
      </c>
      <c r="E16" s="9" t="n">
        <v>1</v>
      </c>
      <c r="F16" s="9" t="s">
        <v>799</v>
      </c>
      <c r="G16" s="9" t="s">
        <v>972</v>
      </c>
      <c r="H16" s="9" t="s">
        <v>977</v>
      </c>
      <c r="I16" s="9" t="s">
        <v>975</v>
      </c>
      <c r="J16" s="11" t="n">
        <v>1.35936</v>
      </c>
    </row>
    <row r="17" customFormat="false" ht="15" hidden="false" customHeight="false" outlineLevel="0" collapsed="false">
      <c r="A17" s="9" t="s">
        <v>997</v>
      </c>
      <c r="B17" s="9" t="s">
        <v>998</v>
      </c>
      <c r="C17" s="10" t="s">
        <v>996</v>
      </c>
      <c r="D17" s="9" t="s">
        <v>815</v>
      </c>
      <c r="E17" s="9" t="n">
        <v>1</v>
      </c>
      <c r="F17" s="9" t="s">
        <v>799</v>
      </c>
      <c r="G17" s="9" t="s">
        <v>972</v>
      </c>
      <c r="H17" s="9" t="s">
        <v>977</v>
      </c>
      <c r="I17" s="9" t="s">
        <v>975</v>
      </c>
      <c r="J17" s="11" t="n">
        <v>1.019328</v>
      </c>
    </row>
    <row r="18" customFormat="false" ht="15" hidden="false" customHeight="false" outlineLevel="0" collapsed="false">
      <c r="A18" s="9" t="s">
        <v>999</v>
      </c>
      <c r="B18" s="9" t="s">
        <v>1000</v>
      </c>
      <c r="C18" s="10" t="s">
        <v>996</v>
      </c>
      <c r="D18" s="9" t="s">
        <v>815</v>
      </c>
      <c r="E18" s="9" t="n">
        <v>1</v>
      </c>
      <c r="F18" s="9" t="s">
        <v>799</v>
      </c>
      <c r="G18" s="9" t="s">
        <v>972</v>
      </c>
      <c r="H18" s="9" t="s">
        <v>977</v>
      </c>
      <c r="I18" s="9" t="s">
        <v>975</v>
      </c>
      <c r="J18" s="11" t="n">
        <v>1.646512</v>
      </c>
    </row>
    <row r="19" customFormat="false" ht="15" hidden="false" customHeight="false" outlineLevel="0" collapsed="false">
      <c r="A19" s="9" t="s">
        <v>1001</v>
      </c>
      <c r="B19" s="9" t="s">
        <v>1002</v>
      </c>
      <c r="C19" s="10" t="s">
        <v>1003</v>
      </c>
      <c r="D19" s="9" t="s">
        <v>808</v>
      </c>
      <c r="E19" s="9" t="n">
        <v>1</v>
      </c>
      <c r="F19" s="9" t="s">
        <v>799</v>
      </c>
      <c r="G19" s="9" t="s">
        <v>972</v>
      </c>
      <c r="H19" s="9" t="s">
        <v>977</v>
      </c>
      <c r="I19" s="9" t="s">
        <v>975</v>
      </c>
      <c r="J19" s="11" t="n">
        <v>0.41</v>
      </c>
    </row>
    <row r="20" customFormat="false" ht="15" hidden="false" customHeight="false" outlineLevel="0" collapsed="false">
      <c r="A20" s="9" t="s">
        <v>1004</v>
      </c>
      <c r="B20" s="9" t="s">
        <v>1005</v>
      </c>
      <c r="C20" s="10" t="s">
        <v>1006</v>
      </c>
      <c r="D20" s="9" t="s">
        <v>808</v>
      </c>
      <c r="E20" s="9" t="n">
        <v>1</v>
      </c>
      <c r="F20" s="9" t="s">
        <v>799</v>
      </c>
      <c r="G20" s="9" t="s">
        <v>972</v>
      </c>
      <c r="H20" s="9" t="s">
        <v>977</v>
      </c>
      <c r="I20" s="9" t="s">
        <v>975</v>
      </c>
      <c r="J20" s="11" t="n">
        <v>0.46</v>
      </c>
    </row>
    <row r="21" customFormat="false" ht="15" hidden="false" customHeight="false" outlineLevel="0" collapsed="false">
      <c r="A21" s="9" t="s">
        <v>1007</v>
      </c>
      <c r="B21" s="9" t="s">
        <v>1008</v>
      </c>
      <c r="C21" s="10" t="s">
        <v>1009</v>
      </c>
      <c r="D21" s="9" t="s">
        <v>808</v>
      </c>
      <c r="E21" s="9" t="n">
        <v>1</v>
      </c>
      <c r="F21" s="9" t="s">
        <v>799</v>
      </c>
      <c r="G21" s="9" t="s">
        <v>972</v>
      </c>
      <c r="H21" s="9" t="s">
        <v>977</v>
      </c>
      <c r="I21" s="9" t="s">
        <v>975</v>
      </c>
      <c r="J21" s="11" t="n">
        <v>0.4</v>
      </c>
    </row>
    <row r="22" customFormat="false" ht="15" hidden="false" customHeight="false" outlineLevel="0" collapsed="false">
      <c r="A22" s="9" t="s">
        <v>1010</v>
      </c>
      <c r="B22" s="9" t="s">
        <v>1011</v>
      </c>
      <c r="C22" s="10" t="s">
        <v>1012</v>
      </c>
      <c r="D22" s="9" t="s">
        <v>808</v>
      </c>
      <c r="E22" s="9" t="n">
        <v>1</v>
      </c>
      <c r="F22" s="9" t="s">
        <v>799</v>
      </c>
      <c r="G22" s="9" t="s">
        <v>972</v>
      </c>
      <c r="H22" s="9" t="s">
        <v>977</v>
      </c>
      <c r="I22" s="9" t="s">
        <v>975</v>
      </c>
      <c r="J22" s="11" t="n">
        <v>0.45</v>
      </c>
    </row>
    <row r="23" customFormat="false" ht="15" hidden="false" customHeight="false" outlineLevel="0" collapsed="false">
      <c r="A23" s="9" t="s">
        <v>1013</v>
      </c>
      <c r="B23" s="9" t="s">
        <v>1014</v>
      </c>
      <c r="C23" s="10" t="s">
        <v>1015</v>
      </c>
      <c r="D23" s="9" t="s">
        <v>808</v>
      </c>
      <c r="E23" s="9" t="n">
        <v>1</v>
      </c>
      <c r="F23" s="9" t="s">
        <v>799</v>
      </c>
      <c r="G23" s="9" t="s">
        <v>972</v>
      </c>
      <c r="H23" s="9" t="s">
        <v>977</v>
      </c>
      <c r="I23" s="9" t="s">
        <v>975</v>
      </c>
      <c r="J23" s="11" t="n">
        <v>0.15</v>
      </c>
    </row>
    <row r="24" customFormat="false" ht="15" hidden="false" customHeight="false" outlineLevel="0" collapsed="false">
      <c r="A24" s="9" t="s">
        <v>1016</v>
      </c>
      <c r="B24" s="9" t="s">
        <v>1017</v>
      </c>
      <c r="C24" s="10" t="s">
        <v>1018</v>
      </c>
      <c r="D24" s="9" t="s">
        <v>872</v>
      </c>
      <c r="E24" s="9" t="n">
        <v>1</v>
      </c>
      <c r="F24" s="9" t="s">
        <v>799</v>
      </c>
      <c r="G24" s="9" t="s">
        <v>972</v>
      </c>
      <c r="H24" s="9" t="s">
        <v>977</v>
      </c>
      <c r="I24" s="9" t="s">
        <v>975</v>
      </c>
      <c r="J24" s="11" t="n">
        <v>0.41</v>
      </c>
    </row>
    <row r="25" customFormat="false" ht="15" hidden="false" customHeight="false" outlineLevel="0" collapsed="false">
      <c r="A25" s="9" t="s">
        <v>1019</v>
      </c>
      <c r="B25" s="9" t="s">
        <v>1020</v>
      </c>
      <c r="C25" s="10" t="s">
        <v>1018</v>
      </c>
      <c r="D25" s="9" t="s">
        <v>872</v>
      </c>
      <c r="E25" s="9" t="n">
        <v>1</v>
      </c>
      <c r="F25" s="9" t="s">
        <v>799</v>
      </c>
      <c r="G25" s="9" t="s">
        <v>972</v>
      </c>
      <c r="H25" s="9" t="s">
        <v>977</v>
      </c>
      <c r="I25" s="9" t="s">
        <v>975</v>
      </c>
      <c r="J25" s="11" t="n">
        <v>0.3</v>
      </c>
    </row>
    <row r="26" customFormat="false" ht="15" hidden="false" customHeight="false" outlineLevel="0" collapsed="false">
      <c r="A26" s="9" t="s">
        <v>1021</v>
      </c>
      <c r="B26" s="9" t="s">
        <v>1022</v>
      </c>
      <c r="C26" s="10" t="s">
        <v>1018</v>
      </c>
      <c r="D26" s="9" t="s">
        <v>872</v>
      </c>
      <c r="E26" s="9" t="n">
        <v>1</v>
      </c>
      <c r="F26" s="9" t="s">
        <v>799</v>
      </c>
      <c r="G26" s="9" t="s">
        <v>972</v>
      </c>
      <c r="H26" s="9" t="s">
        <v>977</v>
      </c>
      <c r="I26" s="9" t="s">
        <v>975</v>
      </c>
      <c r="J26" s="11" t="n">
        <v>0.65</v>
      </c>
    </row>
    <row r="27" customFormat="false" ht="15" hidden="false" customHeight="false" outlineLevel="0" collapsed="false">
      <c r="A27" s="9" t="s">
        <v>1023</v>
      </c>
      <c r="B27" s="9" t="s">
        <v>1024</v>
      </c>
      <c r="C27" s="9" t="s">
        <v>1025</v>
      </c>
      <c r="D27" s="9" t="s">
        <v>872</v>
      </c>
      <c r="E27" s="9" t="n">
        <v>1</v>
      </c>
      <c r="F27" s="9" t="s">
        <v>799</v>
      </c>
      <c r="G27" s="9" t="s">
        <v>972</v>
      </c>
      <c r="H27" s="9" t="s">
        <v>977</v>
      </c>
      <c r="I27" s="9" t="s">
        <v>975</v>
      </c>
      <c r="J27" s="11" t="n">
        <v>0.698844526610524</v>
      </c>
    </row>
    <row r="28" customFormat="false" ht="15" hidden="false" customHeight="false" outlineLevel="0" collapsed="false">
      <c r="A28" s="9" t="s">
        <v>1026</v>
      </c>
      <c r="B28" s="9" t="s">
        <v>1027</v>
      </c>
      <c r="C28" s="9" t="s">
        <v>1025</v>
      </c>
      <c r="D28" s="9" t="s">
        <v>872</v>
      </c>
      <c r="E28" s="9" t="n">
        <v>1</v>
      </c>
      <c r="F28" s="9" t="s">
        <v>799</v>
      </c>
      <c r="G28" s="9" t="s">
        <v>972</v>
      </c>
      <c r="H28" s="9" t="s">
        <v>977</v>
      </c>
      <c r="I28" s="9" t="s">
        <v>975</v>
      </c>
      <c r="J28" s="11" t="n">
        <v>0.440084348226977</v>
      </c>
    </row>
    <row r="29" customFormat="false" ht="15" hidden="false" customHeight="false" outlineLevel="0" collapsed="false">
      <c r="A29" s="9" t="s">
        <v>1028</v>
      </c>
      <c r="B29" s="9" t="s">
        <v>1029</v>
      </c>
      <c r="C29" s="9" t="s">
        <v>1025</v>
      </c>
      <c r="D29" s="9" t="s">
        <v>872</v>
      </c>
      <c r="E29" s="9" t="n">
        <v>1</v>
      </c>
      <c r="F29" s="9" t="s">
        <v>799</v>
      </c>
      <c r="G29" s="9" t="s">
        <v>972</v>
      </c>
      <c r="H29" s="9" t="s">
        <v>977</v>
      </c>
      <c r="I29" s="9" t="s">
        <v>975</v>
      </c>
      <c r="J29" s="11" t="n">
        <v>1.09414441323696</v>
      </c>
    </row>
    <row r="30" customFormat="false" ht="15" hidden="false" customHeight="false" outlineLevel="0" collapsed="false">
      <c r="A30" s="9" t="s">
        <v>1030</v>
      </c>
      <c r="B30" s="9" t="s">
        <v>1031</v>
      </c>
      <c r="C30" s="9" t="s">
        <v>1032</v>
      </c>
      <c r="D30" s="9" t="s">
        <v>872</v>
      </c>
      <c r="E30" s="9" t="n">
        <v>1</v>
      </c>
      <c r="F30" s="9" t="s">
        <v>799</v>
      </c>
      <c r="G30" s="9" t="s">
        <v>972</v>
      </c>
      <c r="H30" s="9" t="s">
        <v>977</v>
      </c>
      <c r="I30" s="9" t="s">
        <v>975</v>
      </c>
      <c r="J30" s="11" t="n">
        <v>0.758595656317823</v>
      </c>
    </row>
    <row r="31" customFormat="false" ht="15" hidden="false" customHeight="false" outlineLevel="0" collapsed="false">
      <c r="A31" s="9" t="s">
        <v>1033</v>
      </c>
      <c r="B31" s="9" t="s">
        <v>1034</v>
      </c>
      <c r="C31" s="9" t="s">
        <v>1032</v>
      </c>
      <c r="D31" s="9" t="s">
        <v>872</v>
      </c>
      <c r="E31" s="9" t="n">
        <v>1</v>
      </c>
      <c r="F31" s="9" t="s">
        <v>799</v>
      </c>
      <c r="G31" s="9" t="s">
        <v>972</v>
      </c>
      <c r="H31" s="9" t="s">
        <v>977</v>
      </c>
      <c r="I31" s="9" t="s">
        <v>975</v>
      </c>
      <c r="J31" s="11" t="n">
        <v>0.472976132965196</v>
      </c>
    </row>
    <row r="32" customFormat="false" ht="15" hidden="false" customHeight="false" outlineLevel="0" collapsed="false">
      <c r="A32" s="9" t="s">
        <v>1035</v>
      </c>
      <c r="B32" s="9" t="s">
        <v>1036</v>
      </c>
      <c r="C32" s="9" t="s">
        <v>1032</v>
      </c>
      <c r="D32" s="9" t="s">
        <v>872</v>
      </c>
      <c r="E32" s="9" t="n">
        <v>1</v>
      </c>
      <c r="F32" s="9" t="s">
        <v>799</v>
      </c>
      <c r="G32" s="9" t="s">
        <v>972</v>
      </c>
      <c r="H32" s="9" t="s">
        <v>977</v>
      </c>
      <c r="I32" s="9" t="s">
        <v>975</v>
      </c>
      <c r="J32" s="11" t="n">
        <v>1.1382683720896</v>
      </c>
    </row>
    <row r="33" customFormat="false" ht="15" hidden="false" customHeight="false" outlineLevel="0" collapsed="false">
      <c r="A33" s="9" t="s">
        <v>877</v>
      </c>
      <c r="B33" s="9" t="s">
        <v>1037</v>
      </c>
      <c r="C33" s="9" t="s">
        <v>1038</v>
      </c>
      <c r="D33" s="9" t="s">
        <v>68</v>
      </c>
      <c r="E33" s="9" t="n">
        <v>1</v>
      </c>
      <c r="F33" s="9" t="s">
        <v>799</v>
      </c>
      <c r="G33" s="9" t="s">
        <v>972</v>
      </c>
      <c r="H33" s="9" t="s">
        <v>977</v>
      </c>
      <c r="I33" s="9" t="s">
        <v>975</v>
      </c>
      <c r="J33" s="11" t="n">
        <v>8.4</v>
      </c>
    </row>
    <row r="34" customFormat="false" ht="15" hidden="false" customHeight="false" outlineLevel="0" collapsed="false">
      <c r="A34" s="9" t="s">
        <v>883</v>
      </c>
      <c r="B34" s="9" t="s">
        <v>1039</v>
      </c>
      <c r="C34" s="9" t="s">
        <v>885</v>
      </c>
      <c r="D34" s="9" t="s">
        <v>68</v>
      </c>
      <c r="E34" s="9" t="n">
        <v>1</v>
      </c>
      <c r="F34" s="9" t="s">
        <v>799</v>
      </c>
      <c r="G34" s="9" t="s">
        <v>972</v>
      </c>
      <c r="H34" s="9" t="s">
        <v>977</v>
      </c>
      <c r="I34" s="9" t="s">
        <v>975</v>
      </c>
      <c r="J34" s="11" t="n">
        <v>12</v>
      </c>
    </row>
    <row r="35" customFormat="false" ht="15" hidden="false" customHeight="false" outlineLevel="0" collapsed="false">
      <c r="A35" s="9" t="s">
        <v>886</v>
      </c>
      <c r="B35" s="9" t="s">
        <v>1040</v>
      </c>
      <c r="C35" s="9" t="s">
        <v>888</v>
      </c>
      <c r="D35" s="9" t="s">
        <v>68</v>
      </c>
      <c r="E35" s="9" t="n">
        <v>1</v>
      </c>
      <c r="F35" s="9" t="s">
        <v>799</v>
      </c>
      <c r="G35" s="9" t="s">
        <v>972</v>
      </c>
      <c r="H35" s="9" t="s">
        <v>977</v>
      </c>
      <c r="I35" s="9" t="s">
        <v>975</v>
      </c>
      <c r="J35" s="11" t="n">
        <v>13.07</v>
      </c>
    </row>
    <row r="36" customFormat="false" ht="15" hidden="false" customHeight="false" outlineLevel="0" collapsed="false">
      <c r="A36" s="9" t="s">
        <v>889</v>
      </c>
      <c r="B36" s="9" t="s">
        <v>1041</v>
      </c>
      <c r="C36" s="9" t="s">
        <v>891</v>
      </c>
      <c r="D36" s="9" t="s">
        <v>375</v>
      </c>
      <c r="E36" s="9" t="n">
        <v>1</v>
      </c>
      <c r="F36" s="9" t="s">
        <v>799</v>
      </c>
      <c r="G36" s="9" t="s">
        <v>972</v>
      </c>
      <c r="H36" s="9" t="s">
        <v>977</v>
      </c>
      <c r="I36" s="9" t="s">
        <v>975</v>
      </c>
      <c r="J36" s="11" t="n">
        <v>0.6</v>
      </c>
    </row>
    <row r="37" customFormat="false" ht="15" hidden="false" customHeight="false" outlineLevel="0" collapsed="false">
      <c r="A37" s="9" t="s">
        <v>892</v>
      </c>
      <c r="B37" s="9" t="s">
        <v>1042</v>
      </c>
      <c r="C37" s="9" t="s">
        <v>894</v>
      </c>
      <c r="D37" s="9" t="s">
        <v>375</v>
      </c>
      <c r="E37" s="9" t="n">
        <v>1</v>
      </c>
      <c r="F37" s="9" t="s">
        <v>799</v>
      </c>
      <c r="G37" s="9" t="s">
        <v>972</v>
      </c>
      <c r="H37" s="9" t="s">
        <v>977</v>
      </c>
      <c r="I37" s="9" t="s">
        <v>975</v>
      </c>
      <c r="J37" s="11" t="n">
        <v>1.9</v>
      </c>
    </row>
    <row r="38" customFormat="false" ht="15" hidden="false" customHeight="false" outlineLevel="0" collapsed="false">
      <c r="A38" s="9" t="s">
        <v>1043</v>
      </c>
      <c r="B38" s="10" t="s">
        <v>1044</v>
      </c>
      <c r="C38" s="9" t="s">
        <v>1045</v>
      </c>
      <c r="D38" s="9"/>
      <c r="E38" s="9" t="n">
        <v>0</v>
      </c>
      <c r="F38" s="10" t="s">
        <v>1046</v>
      </c>
      <c r="G38" s="9" t="s">
        <v>972</v>
      </c>
      <c r="H38" s="9" t="s">
        <v>977</v>
      </c>
      <c r="I38" s="9" t="s">
        <v>975</v>
      </c>
    </row>
    <row r="39" customFormat="false" ht="15" hidden="false" customHeight="false" outlineLevel="0" collapsed="false">
      <c r="A39" s="9" t="s">
        <v>1047</v>
      </c>
      <c r="B39" s="10" t="s">
        <v>1044</v>
      </c>
      <c r="C39" s="9" t="s">
        <v>1045</v>
      </c>
      <c r="D39" s="9"/>
      <c r="E39" s="9" t="n">
        <v>0</v>
      </c>
      <c r="F39" s="10" t="s">
        <v>1046</v>
      </c>
      <c r="G39" s="9" t="s">
        <v>972</v>
      </c>
      <c r="H39" s="9" t="s">
        <v>977</v>
      </c>
      <c r="I39" s="9" t="s">
        <v>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20.1" hidden="false" customHeight="false" outlineLevel="0" collapsed="false">
      <c r="A1" s="1" t="s">
        <v>1048</v>
      </c>
    </row>
    <row r="2" customFormat="false" ht="15" hidden="false" customHeight="false" outlineLevel="0" collapsed="false">
      <c r="A2" s="2" t="s">
        <v>1049</v>
      </c>
    </row>
    <row r="3" customFormat="false" ht="15" hidden="false" customHeight="false" outlineLevel="0" collapsed="false">
      <c r="A3" s="2" t="s">
        <v>1050</v>
      </c>
    </row>
    <row r="4" customFormat="false" ht="44" hidden="false" customHeight="false" outlineLevel="0" collapsed="false">
      <c r="A4" s="7" t="s">
        <v>1051</v>
      </c>
      <c r="B4" s="8" t="s">
        <v>1052</v>
      </c>
      <c r="C4" s="8" t="s">
        <v>876</v>
      </c>
      <c r="D4" s="8" t="s">
        <v>46</v>
      </c>
      <c r="E4" s="8" t="s">
        <v>1053</v>
      </c>
      <c r="F4" s="8" t="s">
        <v>44</v>
      </c>
      <c r="G4" s="8" t="s">
        <v>45</v>
      </c>
      <c r="H4" s="8" t="s">
        <v>34</v>
      </c>
      <c r="I4" s="7" t="s">
        <v>1054</v>
      </c>
      <c r="J4" s="8" t="s">
        <v>55</v>
      </c>
      <c r="K4" s="7" t="s">
        <v>59</v>
      </c>
      <c r="L4" s="8" t="s">
        <v>61</v>
      </c>
      <c r="M4" s="8" t="s">
        <v>64</v>
      </c>
    </row>
    <row r="5" customFormat="false" ht="15" hidden="false" customHeight="false" outlineLevel="0" collapsed="false">
      <c r="A5" s="9" t="s">
        <v>1055</v>
      </c>
      <c r="B5" s="10" t="s">
        <v>1056</v>
      </c>
      <c r="C5" s="9" t="s">
        <v>71</v>
      </c>
      <c r="D5" s="10" t="s">
        <v>152</v>
      </c>
      <c r="E5" s="11" t="n">
        <v>2025</v>
      </c>
      <c r="F5" s="9"/>
      <c r="G5" s="9"/>
      <c r="H5" s="9" t="s">
        <v>1057</v>
      </c>
      <c r="I5" s="9" t="s">
        <v>71</v>
      </c>
      <c r="J5" s="9" t="s">
        <v>1058</v>
      </c>
      <c r="K5" s="9" t="s">
        <v>1059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1060</v>
      </c>
      <c r="B6" s="10" t="s">
        <v>1061</v>
      </c>
      <c r="C6" s="9" t="s">
        <v>71</v>
      </c>
      <c r="D6" s="10" t="s">
        <v>152</v>
      </c>
      <c r="E6" s="11" t="n">
        <v>2025</v>
      </c>
      <c r="F6" s="9"/>
      <c r="G6" s="9"/>
      <c r="H6" s="9" t="s">
        <v>1057</v>
      </c>
      <c r="I6" s="9" t="s">
        <v>71</v>
      </c>
      <c r="J6" s="9" t="s">
        <v>1058</v>
      </c>
      <c r="K6" s="9" t="s">
        <v>1062</v>
      </c>
      <c r="L6" s="9" t="s">
        <v>1063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1064</v>
      </c>
      <c r="B7" s="10" t="s">
        <v>1065</v>
      </c>
      <c r="C7" s="9" t="s">
        <v>71</v>
      </c>
      <c r="D7" s="10" t="s">
        <v>152</v>
      </c>
      <c r="E7" s="11" t="n">
        <v>2026</v>
      </c>
      <c r="F7" s="9"/>
      <c r="G7" s="9"/>
      <c r="H7" s="9" t="s">
        <v>1057</v>
      </c>
      <c r="I7" s="9" t="s">
        <v>71</v>
      </c>
      <c r="J7" s="9" t="s">
        <v>1058</v>
      </c>
      <c r="K7" s="9" t="s">
        <v>1066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1067</v>
      </c>
      <c r="B8" s="10" t="s">
        <v>1068</v>
      </c>
      <c r="C8" s="9" t="s">
        <v>71</v>
      </c>
      <c r="D8" s="10" t="s">
        <v>152</v>
      </c>
      <c r="E8" s="11" t="n">
        <v>2027</v>
      </c>
      <c r="F8" s="9"/>
      <c r="G8" s="9"/>
      <c r="H8" s="9" t="s">
        <v>1057</v>
      </c>
      <c r="I8" s="9" t="s">
        <v>71</v>
      </c>
      <c r="J8" s="9" t="s">
        <v>1058</v>
      </c>
      <c r="K8" s="9" t="s">
        <v>1069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1070</v>
      </c>
      <c r="B9" s="10" t="s">
        <v>1071</v>
      </c>
      <c r="C9" s="10" t="s">
        <v>1072</v>
      </c>
      <c r="D9" s="10" t="s">
        <v>152</v>
      </c>
      <c r="E9" s="11" t="n">
        <v>2025</v>
      </c>
      <c r="F9" s="9"/>
      <c r="G9" s="9"/>
      <c r="H9" s="9" t="s">
        <v>1057</v>
      </c>
      <c r="I9" s="9" t="s">
        <v>1073</v>
      </c>
      <c r="J9" s="9" t="s">
        <v>1058</v>
      </c>
      <c r="K9" s="9" t="s">
        <v>1074</v>
      </c>
      <c r="L9" s="10" t="s">
        <v>1075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1076</v>
      </c>
      <c r="B10" s="10" t="s">
        <v>1071</v>
      </c>
      <c r="C10" s="10" t="s">
        <v>1077</v>
      </c>
      <c r="D10" s="10" t="s">
        <v>152</v>
      </c>
      <c r="E10" s="11" t="n">
        <v>2026</v>
      </c>
      <c r="F10" s="9"/>
      <c r="G10" s="9"/>
      <c r="H10" s="9" t="s">
        <v>1057</v>
      </c>
      <c r="I10" s="9" t="s">
        <v>1073</v>
      </c>
      <c r="J10" s="9" t="s">
        <v>1058</v>
      </c>
      <c r="K10" s="9" t="s">
        <v>1078</v>
      </c>
      <c r="L10" s="10" t="s">
        <v>1075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1079</v>
      </c>
      <c r="B11" s="10" t="s">
        <v>1071</v>
      </c>
      <c r="C11" s="10" t="s">
        <v>1080</v>
      </c>
      <c r="D11" s="10" t="s">
        <v>152</v>
      </c>
      <c r="E11" s="11" t="n">
        <v>2027</v>
      </c>
      <c r="F11" s="9"/>
      <c r="G11" s="9"/>
      <c r="H11" s="9" t="s">
        <v>1057</v>
      </c>
      <c r="I11" s="9" t="s">
        <v>1073</v>
      </c>
      <c r="J11" s="9" t="s">
        <v>1058</v>
      </c>
      <c r="K11" s="9" t="s">
        <v>1081</v>
      </c>
      <c r="L11" s="10" t="s">
        <v>1075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1082</v>
      </c>
      <c r="B12" s="10" t="s">
        <v>1071</v>
      </c>
      <c r="C12" s="10" t="s">
        <v>1083</v>
      </c>
      <c r="D12" s="10" t="s">
        <v>152</v>
      </c>
      <c r="E12" s="11" t="n">
        <v>2028</v>
      </c>
      <c r="F12" s="9"/>
      <c r="G12" s="9"/>
      <c r="H12" s="9" t="s">
        <v>1057</v>
      </c>
      <c r="I12" s="9" t="s">
        <v>1073</v>
      </c>
      <c r="J12" s="9" t="s">
        <v>1058</v>
      </c>
      <c r="K12" s="9" t="s">
        <v>1084</v>
      </c>
      <c r="L12" s="10" t="s">
        <v>1075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1085</v>
      </c>
      <c r="B13" s="10" t="s">
        <v>1071</v>
      </c>
      <c r="C13" s="10" t="s">
        <v>1086</v>
      </c>
      <c r="D13" s="10" t="s">
        <v>152</v>
      </c>
      <c r="E13" s="11" t="n">
        <v>2029</v>
      </c>
      <c r="F13" s="9"/>
      <c r="G13" s="9"/>
      <c r="H13" s="9" t="s">
        <v>1057</v>
      </c>
      <c r="I13" s="9" t="s">
        <v>1073</v>
      </c>
      <c r="J13" s="9" t="s">
        <v>1058</v>
      </c>
      <c r="K13" s="9" t="s">
        <v>1087</v>
      </c>
      <c r="L13" s="10" t="s">
        <v>1075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1088</v>
      </c>
      <c r="B14" s="10" t="s">
        <v>1071</v>
      </c>
      <c r="C14" s="10" t="s">
        <v>1089</v>
      </c>
      <c r="D14" s="10" t="s">
        <v>152</v>
      </c>
      <c r="E14" s="11" t="n">
        <v>2030</v>
      </c>
      <c r="F14" s="9"/>
      <c r="G14" s="9"/>
      <c r="H14" s="9" t="s">
        <v>1057</v>
      </c>
      <c r="I14" s="9" t="s">
        <v>1073</v>
      </c>
      <c r="J14" s="9" t="s">
        <v>1058</v>
      </c>
      <c r="K14" s="9" t="s">
        <v>1090</v>
      </c>
      <c r="L14" s="10" t="s">
        <v>1075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1091</v>
      </c>
      <c r="B15" s="10" t="s">
        <v>1092</v>
      </c>
      <c r="C15" s="9" t="s">
        <v>71</v>
      </c>
      <c r="D15" s="10" t="s">
        <v>152</v>
      </c>
      <c r="E15" s="11" t="n">
        <v>2026</v>
      </c>
      <c r="F15" s="9"/>
      <c r="G15" s="9"/>
      <c r="H15" s="9" t="s">
        <v>1093</v>
      </c>
      <c r="I15" s="9" t="s">
        <v>1094</v>
      </c>
      <c r="J15" s="9" t="s">
        <v>1058</v>
      </c>
      <c r="K15" s="9" t="s">
        <v>1095</v>
      </c>
      <c r="L15" s="10" t="s">
        <v>1096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1097</v>
      </c>
      <c r="B16" s="9" t="s">
        <v>1098</v>
      </c>
      <c r="C16" s="9" t="s">
        <v>71</v>
      </c>
      <c r="D16" s="10" t="s">
        <v>120</v>
      </c>
      <c r="E16" s="11" t="n">
        <v>0</v>
      </c>
      <c r="F16" s="9"/>
      <c r="G16" s="9"/>
      <c r="H16" s="9" t="s">
        <v>1057</v>
      </c>
      <c r="I16" s="9" t="s">
        <v>1099</v>
      </c>
      <c r="J16" s="9" t="s">
        <v>1058</v>
      </c>
      <c r="K16" s="9" t="s">
        <v>1100</v>
      </c>
      <c r="L16" s="10" t="s">
        <v>1101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1102</v>
      </c>
      <c r="B17" s="9" t="s">
        <v>1103</v>
      </c>
      <c r="C17" s="9" t="s">
        <v>71</v>
      </c>
      <c r="D17" s="10" t="s">
        <v>120</v>
      </c>
      <c r="E17" s="11" t="n">
        <v>0.3</v>
      </c>
      <c r="F17" s="9"/>
      <c r="G17" s="9"/>
      <c r="H17" s="9" t="s">
        <v>1057</v>
      </c>
      <c r="I17" s="9" t="s">
        <v>1099</v>
      </c>
      <c r="J17" s="9" t="s">
        <v>1058</v>
      </c>
      <c r="K17" s="9" t="s">
        <v>1100</v>
      </c>
      <c r="L17" s="9" t="s">
        <v>1104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1105</v>
      </c>
      <c r="B18" s="9" t="s">
        <v>1106</v>
      </c>
      <c r="C18" s="9" t="s">
        <v>71</v>
      </c>
      <c r="D18" s="10" t="s">
        <v>120</v>
      </c>
      <c r="E18" s="11" t="n">
        <v>0.8</v>
      </c>
      <c r="F18" s="9"/>
      <c r="G18" s="9"/>
      <c r="H18" s="9" t="s">
        <v>1057</v>
      </c>
      <c r="I18" s="9" t="s">
        <v>1099</v>
      </c>
      <c r="J18" s="9" t="s">
        <v>1058</v>
      </c>
      <c r="K18" s="9" t="s">
        <v>1100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1107</v>
      </c>
      <c r="B19" s="9" t="s">
        <v>1108</v>
      </c>
      <c r="C19" s="9" t="s">
        <v>411</v>
      </c>
      <c r="D19" s="9" t="s">
        <v>165</v>
      </c>
      <c r="E19" s="11" t="n">
        <v>2.5</v>
      </c>
      <c r="F19" s="11" t="n">
        <v>1.5</v>
      </c>
      <c r="G19" s="11" t="n">
        <v>4</v>
      </c>
      <c r="H19" s="9" t="s">
        <v>1109</v>
      </c>
      <c r="I19" s="9" t="s">
        <v>71</v>
      </c>
      <c r="J19" s="9" t="s">
        <v>1058</v>
      </c>
      <c r="K19" s="9" t="s">
        <v>1110</v>
      </c>
      <c r="L19" s="9" t="s">
        <v>1111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1112</v>
      </c>
      <c r="B20" s="9" t="s">
        <v>1113</v>
      </c>
      <c r="C20" s="9" t="s">
        <v>411</v>
      </c>
      <c r="D20" s="9" t="s">
        <v>165</v>
      </c>
      <c r="E20" s="11" t="n">
        <v>1.5</v>
      </c>
      <c r="F20" s="11" t="n">
        <v>1</v>
      </c>
      <c r="G20" s="11" t="n">
        <v>2.5</v>
      </c>
      <c r="H20" s="9" t="s">
        <v>1109</v>
      </c>
      <c r="I20" s="9" t="s">
        <v>71</v>
      </c>
      <c r="J20" s="9" t="s">
        <v>1058</v>
      </c>
      <c r="K20" s="9" t="s">
        <v>1114</v>
      </c>
      <c r="L20" s="9" t="s">
        <v>1111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1115</v>
      </c>
      <c r="B21" s="9" t="s">
        <v>1116</v>
      </c>
      <c r="C21" s="9" t="s">
        <v>411</v>
      </c>
      <c r="D21" s="9" t="s">
        <v>165</v>
      </c>
      <c r="E21" s="11" t="n">
        <v>0.2</v>
      </c>
      <c r="F21" s="11" t="n">
        <v>0.1</v>
      </c>
      <c r="G21" s="11" t="n">
        <v>0.4</v>
      </c>
      <c r="H21" s="9" t="s">
        <v>1109</v>
      </c>
      <c r="I21" s="9" t="s">
        <v>71</v>
      </c>
      <c r="J21" s="9" t="s">
        <v>1058</v>
      </c>
      <c r="K21" s="9" t="s">
        <v>1117</v>
      </c>
      <c r="L21" s="9" t="s">
        <v>1111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1118</v>
      </c>
      <c r="B22" s="9" t="s">
        <v>1119</v>
      </c>
      <c r="C22" s="9" t="s">
        <v>411</v>
      </c>
      <c r="D22" s="9" t="s">
        <v>165</v>
      </c>
      <c r="E22" s="11" t="n">
        <v>14</v>
      </c>
      <c r="F22" s="11" t="n">
        <v>8</v>
      </c>
      <c r="G22" s="11" t="n">
        <v>20</v>
      </c>
      <c r="H22" s="9" t="s">
        <v>1109</v>
      </c>
      <c r="I22" s="9" t="s">
        <v>71</v>
      </c>
      <c r="J22" s="9" t="s">
        <v>1058</v>
      </c>
      <c r="K22" s="9" t="s">
        <v>1120</v>
      </c>
      <c r="L22" s="9" t="s">
        <v>1111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1121</v>
      </c>
      <c r="B23" s="9" t="s">
        <v>1122</v>
      </c>
      <c r="C23" s="9" t="s">
        <v>411</v>
      </c>
      <c r="D23" s="9" t="s">
        <v>165</v>
      </c>
      <c r="E23" s="11" t="n">
        <v>8</v>
      </c>
      <c r="F23" s="11" t="n">
        <v>5</v>
      </c>
      <c r="G23" s="11" t="n">
        <v>10</v>
      </c>
      <c r="H23" s="9" t="s">
        <v>1109</v>
      </c>
      <c r="I23" s="9" t="s">
        <v>71</v>
      </c>
      <c r="J23" s="9" t="s">
        <v>1058</v>
      </c>
      <c r="K23" s="9" t="s">
        <v>1123</v>
      </c>
      <c r="L23" s="9" t="s">
        <v>1111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1124</v>
      </c>
      <c r="B24" s="9" t="s">
        <v>1125</v>
      </c>
      <c r="C24" s="9" t="s">
        <v>411</v>
      </c>
      <c r="D24" s="9" t="s">
        <v>165</v>
      </c>
      <c r="E24" s="11" t="n">
        <v>1</v>
      </c>
      <c r="F24" s="11" t="n">
        <v>0.5</v>
      </c>
      <c r="G24" s="11" t="n">
        <v>2</v>
      </c>
      <c r="H24" s="9" t="s">
        <v>1109</v>
      </c>
      <c r="I24" s="9" t="s">
        <v>71</v>
      </c>
      <c r="J24" s="9" t="s">
        <v>1058</v>
      </c>
      <c r="K24" s="9" t="s">
        <v>1126</v>
      </c>
      <c r="L24" s="9" t="s">
        <v>1111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1127</v>
      </c>
      <c r="B25" s="10" t="s">
        <v>1128</v>
      </c>
      <c r="C25" s="9" t="s">
        <v>71</v>
      </c>
      <c r="D25" s="10" t="s">
        <v>1129</v>
      </c>
      <c r="E25" s="11" t="n">
        <v>-0.3</v>
      </c>
      <c r="F25" s="11" t="n">
        <v>-0.45</v>
      </c>
      <c r="G25" s="11" t="n">
        <v>-0.15</v>
      </c>
      <c r="H25" s="9" t="s">
        <v>1093</v>
      </c>
      <c r="I25" s="9" t="s">
        <v>1130</v>
      </c>
      <c r="J25" s="9" t="s">
        <v>1058</v>
      </c>
      <c r="K25" s="9" t="s">
        <v>1131</v>
      </c>
      <c r="L25" s="9" t="s">
        <v>1132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1133</v>
      </c>
      <c r="B26" s="10" t="s">
        <v>1134</v>
      </c>
      <c r="C26" s="9" t="s">
        <v>71</v>
      </c>
      <c r="D26" s="10" t="s">
        <v>1129</v>
      </c>
      <c r="E26" s="11" t="n">
        <v>-0.4</v>
      </c>
      <c r="F26" s="11" t="n">
        <v>-0.6</v>
      </c>
      <c r="G26" s="11" t="n">
        <v>-0.2</v>
      </c>
      <c r="H26" s="9" t="s">
        <v>1093</v>
      </c>
      <c r="I26" s="9" t="s">
        <v>1130</v>
      </c>
      <c r="J26" s="9" t="s">
        <v>1058</v>
      </c>
      <c r="K26" s="9" t="s">
        <v>1135</v>
      </c>
      <c r="L26" s="9" t="s">
        <v>1132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1136</v>
      </c>
      <c r="B27" s="10" t="s">
        <v>1137</v>
      </c>
      <c r="C27" s="9" t="s">
        <v>71</v>
      </c>
      <c r="D27" s="10" t="s">
        <v>1129</v>
      </c>
      <c r="E27" s="11" t="n">
        <v>-0.4</v>
      </c>
      <c r="F27" s="11" t="n">
        <v>-0.6</v>
      </c>
      <c r="G27" s="11" t="n">
        <v>-0.2</v>
      </c>
      <c r="H27" s="9" t="s">
        <v>1093</v>
      </c>
      <c r="I27" s="9" t="s">
        <v>1130</v>
      </c>
      <c r="J27" s="9" t="s">
        <v>1058</v>
      </c>
      <c r="K27" s="9" t="s">
        <v>1138</v>
      </c>
      <c r="L27" s="9" t="s">
        <v>1132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1139</v>
      </c>
      <c r="B28" s="9" t="s">
        <v>1140</v>
      </c>
      <c r="C28" s="10" t="s">
        <v>1141</v>
      </c>
      <c r="D28" s="10" t="s">
        <v>120</v>
      </c>
      <c r="E28" s="11" t="n">
        <v>0.4</v>
      </c>
      <c r="F28" s="11" t="n">
        <v>0.25</v>
      </c>
      <c r="G28" s="11" t="n">
        <v>0.5</v>
      </c>
      <c r="H28" s="9" t="s">
        <v>1093</v>
      </c>
      <c r="I28" s="9" t="s">
        <v>71</v>
      </c>
      <c r="J28" s="9" t="s">
        <v>1058</v>
      </c>
      <c r="K28" s="9" t="s">
        <v>1142</v>
      </c>
      <c r="L28" s="9" t="s">
        <v>1143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1144</v>
      </c>
      <c r="B29" s="9" t="s">
        <v>1140</v>
      </c>
      <c r="C29" s="10" t="s">
        <v>1145</v>
      </c>
      <c r="D29" s="10" t="s">
        <v>120</v>
      </c>
      <c r="E29" s="11" t="n">
        <v>0.15</v>
      </c>
      <c r="F29" s="11" t="n">
        <v>0.08</v>
      </c>
      <c r="G29" s="11" t="n">
        <v>0.25</v>
      </c>
      <c r="H29" s="9" t="s">
        <v>1093</v>
      </c>
      <c r="I29" s="9" t="s">
        <v>71</v>
      </c>
      <c r="J29" s="9" t="s">
        <v>1058</v>
      </c>
      <c r="K29" s="9" t="s">
        <v>1142</v>
      </c>
      <c r="L29" s="9" t="s">
        <v>1143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1146</v>
      </c>
      <c r="B30" s="9" t="s">
        <v>1147</v>
      </c>
      <c r="C30" s="10" t="s">
        <v>1141</v>
      </c>
      <c r="D30" s="10" t="s">
        <v>120</v>
      </c>
      <c r="E30" s="11" t="n">
        <v>0.4</v>
      </c>
      <c r="F30" s="11" t="n">
        <v>0.3</v>
      </c>
      <c r="G30" s="11" t="n">
        <v>0.5</v>
      </c>
      <c r="H30" s="9" t="s">
        <v>1093</v>
      </c>
      <c r="I30" s="9" t="s">
        <v>71</v>
      </c>
      <c r="J30" s="9" t="s">
        <v>1058</v>
      </c>
      <c r="K30" s="9" t="s">
        <v>1148</v>
      </c>
      <c r="L30" s="9" t="s">
        <v>1143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1149</v>
      </c>
      <c r="B31" s="9" t="s">
        <v>1147</v>
      </c>
      <c r="C31" s="10" t="s">
        <v>1145</v>
      </c>
      <c r="D31" s="10" t="s">
        <v>120</v>
      </c>
      <c r="E31" s="11" t="n">
        <v>0.45</v>
      </c>
      <c r="F31" s="11" t="n">
        <v>0.35</v>
      </c>
      <c r="G31" s="11" t="n">
        <v>0.55</v>
      </c>
      <c r="H31" s="9" t="s">
        <v>1093</v>
      </c>
      <c r="I31" s="9" t="s">
        <v>71</v>
      </c>
      <c r="J31" s="9" t="s">
        <v>1058</v>
      </c>
      <c r="K31" s="9" t="s">
        <v>1148</v>
      </c>
      <c r="L31" s="9" t="s">
        <v>1143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1150</v>
      </c>
      <c r="B32" s="10" t="s">
        <v>1151</v>
      </c>
      <c r="C32" s="9" t="s">
        <v>71</v>
      </c>
      <c r="D32" s="10" t="s">
        <v>120</v>
      </c>
      <c r="E32" s="11" t="n">
        <v>0.2</v>
      </c>
      <c r="F32" s="11" t="n">
        <v>0.1</v>
      </c>
      <c r="G32" s="11" t="n">
        <v>0.35</v>
      </c>
      <c r="H32" s="9" t="s">
        <v>1109</v>
      </c>
      <c r="I32" s="9" t="s">
        <v>71</v>
      </c>
      <c r="J32" s="9" t="s">
        <v>1058</v>
      </c>
      <c r="K32" s="9" t="s">
        <v>1152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1153</v>
      </c>
      <c r="B33" s="10" t="s">
        <v>1154</v>
      </c>
      <c r="C33" s="9" t="s">
        <v>71</v>
      </c>
      <c r="D33" s="10" t="s">
        <v>120</v>
      </c>
      <c r="E33" s="11" t="n">
        <v>0.55</v>
      </c>
      <c r="F33" s="11" t="n">
        <v>0.3</v>
      </c>
      <c r="G33" s="11" t="n">
        <v>0.75</v>
      </c>
      <c r="H33" s="9" t="s">
        <v>1093</v>
      </c>
      <c r="I33" s="9" t="s">
        <v>71</v>
      </c>
      <c r="J33" s="9" t="s">
        <v>1058</v>
      </c>
      <c r="K33" s="9" t="s">
        <v>1155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1156</v>
      </c>
      <c r="B34" s="10" t="s">
        <v>1157</v>
      </c>
      <c r="C34" s="9" t="s">
        <v>71</v>
      </c>
      <c r="D34" s="10" t="s">
        <v>120</v>
      </c>
      <c r="E34" s="11" t="n">
        <v>0.2</v>
      </c>
      <c r="F34" s="11" t="n">
        <v>0.1</v>
      </c>
      <c r="G34" s="11" t="n">
        <v>0.3</v>
      </c>
      <c r="H34" s="9" t="s">
        <v>1093</v>
      </c>
      <c r="I34" s="9" t="s">
        <v>71</v>
      </c>
      <c r="J34" s="9" t="s">
        <v>1058</v>
      </c>
      <c r="K34" s="9" t="s">
        <v>1158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1159</v>
      </c>
      <c r="B35" s="10" t="s">
        <v>1160</v>
      </c>
      <c r="C35" s="9" t="s">
        <v>71</v>
      </c>
      <c r="D35" s="9" t="s">
        <v>1161</v>
      </c>
      <c r="E35" s="11" t="n">
        <v>10</v>
      </c>
      <c r="F35" s="11" t="n">
        <v>5</v>
      </c>
      <c r="G35" s="11" t="n">
        <v>30</v>
      </c>
      <c r="H35" s="9" t="s">
        <v>1093</v>
      </c>
      <c r="I35" s="9" t="s">
        <v>71</v>
      </c>
      <c r="J35" s="9" t="s">
        <v>1058</v>
      </c>
      <c r="K35" s="9" t="s">
        <v>1162</v>
      </c>
      <c r="L35" s="10" t="s">
        <v>1163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1164</v>
      </c>
      <c r="B36" s="10" t="s">
        <v>1165</v>
      </c>
      <c r="C36" s="9" t="s">
        <v>411</v>
      </c>
      <c r="D36" s="10" t="s">
        <v>1129</v>
      </c>
      <c r="E36" s="11" t="n">
        <v>0</v>
      </c>
      <c r="F36" s="9"/>
      <c r="G36" s="9"/>
      <c r="H36" s="9" t="s">
        <v>1093</v>
      </c>
      <c r="I36" s="9" t="s">
        <v>71</v>
      </c>
      <c r="J36" s="9" t="s">
        <v>1058</v>
      </c>
      <c r="K36" s="9" t="s">
        <v>1166</v>
      </c>
      <c r="L36" s="9" t="s">
        <v>1167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1168</v>
      </c>
      <c r="B37" s="10" t="s">
        <v>1165</v>
      </c>
      <c r="C37" s="9" t="s">
        <v>423</v>
      </c>
      <c r="D37" s="10" t="s">
        <v>1129</v>
      </c>
      <c r="E37" s="11" t="n">
        <v>1.34</v>
      </c>
      <c r="F37" s="9"/>
      <c r="G37" s="9"/>
      <c r="H37" s="9" t="s">
        <v>1093</v>
      </c>
      <c r="I37" s="9" t="s">
        <v>71</v>
      </c>
      <c r="J37" s="9" t="s">
        <v>1058</v>
      </c>
      <c r="K37" s="9" t="s">
        <v>1166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1169</v>
      </c>
      <c r="B38" s="10" t="s">
        <v>1165</v>
      </c>
      <c r="C38" s="9" t="s">
        <v>1170</v>
      </c>
      <c r="D38" s="10" t="s">
        <v>1129</v>
      </c>
      <c r="E38" s="11" t="n">
        <v>0.45</v>
      </c>
      <c r="F38" s="9"/>
      <c r="G38" s="9"/>
      <c r="H38" s="9" t="s">
        <v>1093</v>
      </c>
      <c r="I38" s="9" t="s">
        <v>71</v>
      </c>
      <c r="J38" s="9" t="s">
        <v>1058</v>
      </c>
      <c r="K38" s="9" t="s">
        <v>1166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1171</v>
      </c>
      <c r="B39" s="10" t="s">
        <v>1165</v>
      </c>
      <c r="C39" s="9" t="s">
        <v>1172</v>
      </c>
      <c r="D39" s="10" t="s">
        <v>1129</v>
      </c>
      <c r="E39" s="11" t="n">
        <v>0.35</v>
      </c>
      <c r="F39" s="9"/>
      <c r="G39" s="9"/>
      <c r="H39" s="9" t="s">
        <v>1093</v>
      </c>
      <c r="I39" s="9" t="s">
        <v>71</v>
      </c>
      <c r="J39" s="9" t="s">
        <v>1058</v>
      </c>
      <c r="K39" s="9" t="s">
        <v>1166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1173</v>
      </c>
      <c r="B40" s="10" t="s">
        <v>1165</v>
      </c>
      <c r="C40" s="9" t="s">
        <v>1174</v>
      </c>
      <c r="D40" s="10" t="s">
        <v>1129</v>
      </c>
      <c r="E40" s="11" t="n">
        <v>0.25</v>
      </c>
      <c r="F40" s="9"/>
      <c r="G40" s="9"/>
      <c r="H40" s="9" t="s">
        <v>1093</v>
      </c>
      <c r="I40" s="9" t="s">
        <v>71</v>
      </c>
      <c r="J40" s="9" t="s">
        <v>1058</v>
      </c>
      <c r="K40" s="9" t="s">
        <v>1166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1175</v>
      </c>
      <c r="B41" s="10" t="s">
        <v>1165</v>
      </c>
      <c r="C41" s="9" t="s">
        <v>1176</v>
      </c>
      <c r="D41" s="10" t="s">
        <v>1129</v>
      </c>
      <c r="E41" s="11" t="n">
        <v>0.2</v>
      </c>
      <c r="F41" s="9"/>
      <c r="G41" s="9"/>
      <c r="H41" s="9" t="s">
        <v>1093</v>
      </c>
      <c r="I41" s="9" t="s">
        <v>71</v>
      </c>
      <c r="J41" s="9" t="s">
        <v>1058</v>
      </c>
      <c r="K41" s="9" t="s">
        <v>1166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1177</v>
      </c>
      <c r="B42" s="10" t="s">
        <v>1178</v>
      </c>
      <c r="C42" s="9" t="s">
        <v>71</v>
      </c>
      <c r="D42" s="10" t="s">
        <v>560</v>
      </c>
      <c r="E42" s="11" t="n">
        <v>0.5</v>
      </c>
      <c r="F42" s="9"/>
      <c r="G42" s="9"/>
      <c r="H42" s="9" t="s">
        <v>1093</v>
      </c>
      <c r="I42" s="9" t="s">
        <v>71</v>
      </c>
      <c r="J42" s="9" t="s">
        <v>1058</v>
      </c>
      <c r="K42" s="9" t="s">
        <v>1166</v>
      </c>
      <c r="L42" s="10" t="s">
        <v>1179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1180</v>
      </c>
      <c r="B43" s="10" t="s">
        <v>1181</v>
      </c>
      <c r="C43" s="9" t="s">
        <v>71</v>
      </c>
      <c r="D43" s="10" t="s">
        <v>560</v>
      </c>
      <c r="E43" s="11" t="n">
        <v>1.5</v>
      </c>
      <c r="F43" s="9"/>
      <c r="G43" s="9"/>
      <c r="H43" s="9" t="s">
        <v>1093</v>
      </c>
      <c r="I43" s="9" t="s">
        <v>71</v>
      </c>
      <c r="J43" s="9" t="s">
        <v>1058</v>
      </c>
      <c r="K43" s="9" t="s">
        <v>1166</v>
      </c>
      <c r="L43" s="10" t="s">
        <v>1179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1182</v>
      </c>
      <c r="B44" s="10" t="s">
        <v>1183</v>
      </c>
      <c r="C44" s="9" t="s">
        <v>411</v>
      </c>
      <c r="D44" s="10" t="s">
        <v>1129</v>
      </c>
      <c r="E44" s="11" t="n">
        <v>0</v>
      </c>
      <c r="F44" s="9"/>
      <c r="G44" s="9"/>
      <c r="H44" s="9" t="s">
        <v>1093</v>
      </c>
      <c r="I44" s="9" t="s">
        <v>71</v>
      </c>
      <c r="J44" s="9" t="s">
        <v>1058</v>
      </c>
      <c r="K44" s="9" t="s">
        <v>1184</v>
      </c>
      <c r="L44" s="9" t="s">
        <v>1167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1185</v>
      </c>
      <c r="B45" s="10" t="s">
        <v>1183</v>
      </c>
      <c r="C45" s="9" t="s">
        <v>423</v>
      </c>
      <c r="D45" s="10" t="s">
        <v>1129</v>
      </c>
      <c r="E45" s="11" t="n">
        <v>0.2</v>
      </c>
      <c r="F45" s="9"/>
      <c r="G45" s="9"/>
      <c r="H45" s="9" t="s">
        <v>1093</v>
      </c>
      <c r="I45" s="9" t="s">
        <v>71</v>
      </c>
      <c r="J45" s="9" t="s">
        <v>1058</v>
      </c>
      <c r="K45" s="9" t="s">
        <v>1184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1186</v>
      </c>
      <c r="B46" s="10" t="s">
        <v>1183</v>
      </c>
      <c r="C46" s="9" t="s">
        <v>1170</v>
      </c>
      <c r="D46" s="10" t="s">
        <v>1129</v>
      </c>
      <c r="E46" s="11" t="n">
        <v>0.15</v>
      </c>
      <c r="F46" s="9"/>
      <c r="G46" s="9"/>
      <c r="H46" s="9" t="s">
        <v>1093</v>
      </c>
      <c r="I46" s="9" t="s">
        <v>71</v>
      </c>
      <c r="J46" s="9" t="s">
        <v>1058</v>
      </c>
      <c r="K46" s="9" t="s">
        <v>1184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1187</v>
      </c>
      <c r="B47" s="10" t="s">
        <v>1183</v>
      </c>
      <c r="C47" s="9" t="s">
        <v>1172</v>
      </c>
      <c r="D47" s="10" t="s">
        <v>1129</v>
      </c>
      <c r="E47" s="11" t="n">
        <v>0.12</v>
      </c>
      <c r="F47" s="9"/>
      <c r="G47" s="9"/>
      <c r="H47" s="9" t="s">
        <v>1093</v>
      </c>
      <c r="I47" s="9" t="s">
        <v>71</v>
      </c>
      <c r="J47" s="9" t="s">
        <v>1058</v>
      </c>
      <c r="K47" s="9" t="s">
        <v>1184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1188</v>
      </c>
      <c r="B48" s="10" t="s">
        <v>1183</v>
      </c>
      <c r="C48" s="9" t="s">
        <v>1174</v>
      </c>
      <c r="D48" s="10" t="s">
        <v>1129</v>
      </c>
      <c r="E48" s="11" t="n">
        <v>0.1</v>
      </c>
      <c r="F48" s="9"/>
      <c r="G48" s="9"/>
      <c r="H48" s="9" t="s">
        <v>1093</v>
      </c>
      <c r="I48" s="9" t="s">
        <v>71</v>
      </c>
      <c r="J48" s="9" t="s">
        <v>1058</v>
      </c>
      <c r="K48" s="9" t="s">
        <v>1184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1189</v>
      </c>
      <c r="B49" s="10" t="s">
        <v>1183</v>
      </c>
      <c r="C49" s="9" t="s">
        <v>1176</v>
      </c>
      <c r="D49" s="10" t="s">
        <v>1129</v>
      </c>
      <c r="E49" s="11" t="n">
        <v>0.08</v>
      </c>
      <c r="F49" s="9"/>
      <c r="G49" s="9"/>
      <c r="H49" s="9" t="s">
        <v>1093</v>
      </c>
      <c r="I49" s="9" t="s">
        <v>71</v>
      </c>
      <c r="J49" s="9" t="s">
        <v>1058</v>
      </c>
      <c r="K49" s="9" t="s">
        <v>1184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1190</v>
      </c>
      <c r="B50" s="10" t="s">
        <v>1191</v>
      </c>
      <c r="C50" s="9" t="s">
        <v>71</v>
      </c>
      <c r="D50" s="10" t="s">
        <v>560</v>
      </c>
      <c r="E50" s="11" t="n">
        <v>0.5</v>
      </c>
      <c r="F50" s="9"/>
      <c r="G50" s="9"/>
      <c r="H50" s="9" t="s">
        <v>1093</v>
      </c>
      <c r="I50" s="9" t="s">
        <v>71</v>
      </c>
      <c r="J50" s="9" t="s">
        <v>1058</v>
      </c>
      <c r="K50" s="9" t="s">
        <v>1184</v>
      </c>
      <c r="L50" s="10" t="s">
        <v>1179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1192</v>
      </c>
      <c r="B51" s="10" t="s">
        <v>1193</v>
      </c>
      <c r="C51" s="9" t="s">
        <v>71</v>
      </c>
      <c r="D51" s="10" t="s">
        <v>560</v>
      </c>
      <c r="E51" s="11" t="n">
        <v>1.5</v>
      </c>
      <c r="F51" s="9"/>
      <c r="G51" s="9"/>
      <c r="H51" s="9" t="s">
        <v>1093</v>
      </c>
      <c r="I51" s="9" t="s">
        <v>71</v>
      </c>
      <c r="J51" s="9" t="s">
        <v>1058</v>
      </c>
      <c r="K51" s="9" t="s">
        <v>1184</v>
      </c>
      <c r="L51" s="10" t="s">
        <v>1179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1194</v>
      </c>
      <c r="B52" s="10" t="s">
        <v>1195</v>
      </c>
      <c r="C52" s="9" t="s">
        <v>71</v>
      </c>
      <c r="D52" s="10" t="s">
        <v>1196</v>
      </c>
      <c r="E52" s="11" t="n">
        <v>-0.7</v>
      </c>
      <c r="F52" s="11" t="n">
        <v>-1.05</v>
      </c>
      <c r="G52" s="11" t="n">
        <v>-0.35</v>
      </c>
      <c r="H52" s="9" t="s">
        <v>1093</v>
      </c>
      <c r="I52" s="9" t="s">
        <v>1130</v>
      </c>
      <c r="J52" s="9" t="s">
        <v>1058</v>
      </c>
      <c r="K52" s="9" t="s">
        <v>1197</v>
      </c>
      <c r="L52" s="10" t="s">
        <v>1198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1199</v>
      </c>
      <c r="B53" s="10" t="s">
        <v>1200</v>
      </c>
      <c r="C53" s="9" t="s">
        <v>71</v>
      </c>
      <c r="D53" s="10" t="s">
        <v>1196</v>
      </c>
      <c r="E53" s="11" t="n">
        <v>-0.3</v>
      </c>
      <c r="F53" s="11" t="n">
        <v>-0.45</v>
      </c>
      <c r="G53" s="11" t="n">
        <v>-0.15</v>
      </c>
      <c r="H53" s="9" t="s">
        <v>1093</v>
      </c>
      <c r="I53" s="9" t="s">
        <v>1130</v>
      </c>
      <c r="J53" s="9" t="s">
        <v>1058</v>
      </c>
      <c r="K53" s="9" t="s">
        <v>1201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1202</v>
      </c>
      <c r="B54" s="10" t="s">
        <v>1203</v>
      </c>
      <c r="C54" s="9" t="s">
        <v>71</v>
      </c>
      <c r="D54" s="10" t="s">
        <v>1204</v>
      </c>
      <c r="E54" s="9" t="s">
        <v>1205</v>
      </c>
      <c r="F54" s="9"/>
      <c r="G54" s="9"/>
      <c r="H54" s="9" t="s">
        <v>1057</v>
      </c>
      <c r="I54" s="9" t="s">
        <v>1206</v>
      </c>
      <c r="J54" s="9" t="s">
        <v>1058</v>
      </c>
      <c r="K54" s="9" t="s">
        <v>1207</v>
      </c>
      <c r="L54" s="10" t="s">
        <v>1208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1209</v>
      </c>
      <c r="B55" s="10" t="s">
        <v>1210</v>
      </c>
      <c r="C55" s="9" t="s">
        <v>1211</v>
      </c>
      <c r="D55" s="10" t="s">
        <v>193</v>
      </c>
      <c r="E55" s="9" t="s">
        <v>1212</v>
      </c>
      <c r="F55" s="9"/>
      <c r="G55" s="9"/>
      <c r="H55" s="9" t="s">
        <v>1093</v>
      </c>
      <c r="I55" s="9" t="s">
        <v>71</v>
      </c>
      <c r="J55" s="9" t="s">
        <v>1058</v>
      </c>
      <c r="K55" s="9" t="s">
        <v>1213</v>
      </c>
      <c r="L55" s="9" t="s">
        <v>1214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1215</v>
      </c>
      <c r="B56" s="10" t="s">
        <v>1216</v>
      </c>
      <c r="C56" s="9" t="s">
        <v>1217</v>
      </c>
      <c r="D56" s="10" t="s">
        <v>193</v>
      </c>
      <c r="E56" s="9" t="s">
        <v>1212</v>
      </c>
      <c r="F56" s="9"/>
      <c r="G56" s="9"/>
      <c r="H56" s="9" t="s">
        <v>1093</v>
      </c>
      <c r="I56" s="9" t="s">
        <v>71</v>
      </c>
      <c r="J56" s="9" t="s">
        <v>1058</v>
      </c>
      <c r="K56" s="9" t="s">
        <v>1213</v>
      </c>
      <c r="L56" s="9" t="s">
        <v>1214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1218</v>
      </c>
      <c r="B57" s="10" t="s">
        <v>1219</v>
      </c>
      <c r="C57" s="9" t="s">
        <v>1220</v>
      </c>
      <c r="D57" s="10" t="s">
        <v>193</v>
      </c>
      <c r="E57" s="9" t="s">
        <v>1221</v>
      </c>
      <c r="F57" s="9"/>
      <c r="G57" s="9"/>
      <c r="H57" s="9" t="s">
        <v>1093</v>
      </c>
      <c r="I57" s="9" t="s">
        <v>71</v>
      </c>
      <c r="J57" s="9" t="s">
        <v>1058</v>
      </c>
      <c r="K57" s="9" t="s">
        <v>1213</v>
      </c>
      <c r="L57" s="9" t="s">
        <v>1214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1222</v>
      </c>
      <c r="B58" s="10" t="s">
        <v>1223</v>
      </c>
      <c r="C58" s="9" t="s">
        <v>1224</v>
      </c>
      <c r="D58" s="10" t="s">
        <v>193</v>
      </c>
      <c r="E58" s="9" t="s">
        <v>1225</v>
      </c>
      <c r="F58" s="9"/>
      <c r="G58" s="9"/>
      <c r="H58" s="9" t="s">
        <v>1093</v>
      </c>
      <c r="I58" s="9" t="s">
        <v>71</v>
      </c>
      <c r="J58" s="9" t="s">
        <v>1058</v>
      </c>
      <c r="K58" s="9" t="s">
        <v>1213</v>
      </c>
      <c r="L58" s="9" t="s">
        <v>1214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1226</v>
      </c>
      <c r="B59" s="10" t="s">
        <v>1227</v>
      </c>
      <c r="C59" s="9" t="s">
        <v>1228</v>
      </c>
      <c r="D59" s="10" t="s">
        <v>193</v>
      </c>
      <c r="E59" s="9" t="s">
        <v>1221</v>
      </c>
      <c r="F59" s="9"/>
      <c r="G59" s="9"/>
      <c r="H59" s="9" t="s">
        <v>1093</v>
      </c>
      <c r="I59" s="9" t="s">
        <v>71</v>
      </c>
      <c r="J59" s="9" t="s">
        <v>1058</v>
      </c>
      <c r="K59" s="9" t="s">
        <v>1213</v>
      </c>
      <c r="L59" s="9" t="s">
        <v>1214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1229</v>
      </c>
      <c r="B60" s="9" t="s">
        <v>1230</v>
      </c>
      <c r="C60" s="9" t="s">
        <v>411</v>
      </c>
      <c r="D60" s="9" t="s">
        <v>258</v>
      </c>
      <c r="E60" s="11" t="n">
        <v>600</v>
      </c>
      <c r="F60" s="9"/>
      <c r="G60" s="9"/>
      <c r="H60" s="9" t="s">
        <v>1109</v>
      </c>
      <c r="I60" s="9" t="s">
        <v>71</v>
      </c>
      <c r="J60" s="9" t="s">
        <v>1058</v>
      </c>
      <c r="K60" s="9" t="s">
        <v>1231</v>
      </c>
      <c r="L60" s="10" t="s">
        <v>1232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1233</v>
      </c>
      <c r="B61" s="9" t="s">
        <v>1230</v>
      </c>
      <c r="C61" s="9" t="s">
        <v>1170</v>
      </c>
      <c r="D61" s="9" t="s">
        <v>258</v>
      </c>
      <c r="E61" s="11" t="n">
        <v>1250</v>
      </c>
      <c r="F61" s="9"/>
      <c r="G61" s="9"/>
      <c r="H61" s="9" t="s">
        <v>1093</v>
      </c>
      <c r="I61" s="9" t="s">
        <v>71</v>
      </c>
      <c r="J61" s="9" t="s">
        <v>1058</v>
      </c>
      <c r="K61" s="9" t="s">
        <v>1231</v>
      </c>
      <c r="L61" s="9" t="s">
        <v>1234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1235</v>
      </c>
      <c r="B62" s="9" t="s">
        <v>1230</v>
      </c>
      <c r="C62" s="9" t="s">
        <v>1172</v>
      </c>
      <c r="D62" s="9" t="s">
        <v>258</v>
      </c>
      <c r="E62" s="11" t="n">
        <v>1500</v>
      </c>
      <c r="F62" s="9"/>
      <c r="G62" s="9"/>
      <c r="H62" s="9" t="s">
        <v>1093</v>
      </c>
      <c r="I62" s="9" t="s">
        <v>71</v>
      </c>
      <c r="J62" s="9" t="s">
        <v>1058</v>
      </c>
      <c r="K62" s="9" t="s">
        <v>1231</v>
      </c>
      <c r="L62" s="9" t="s">
        <v>1234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1236</v>
      </c>
      <c r="B63" s="9" t="s">
        <v>1230</v>
      </c>
      <c r="C63" s="9" t="s">
        <v>1174</v>
      </c>
      <c r="D63" s="9" t="s">
        <v>258</v>
      </c>
      <c r="E63" s="11" t="n">
        <v>1700</v>
      </c>
      <c r="F63" s="9"/>
      <c r="G63" s="9"/>
      <c r="H63" s="9" t="s">
        <v>1093</v>
      </c>
      <c r="I63" s="9" t="s">
        <v>71</v>
      </c>
      <c r="J63" s="9" t="s">
        <v>1058</v>
      </c>
      <c r="K63" s="9" t="s">
        <v>1231</v>
      </c>
      <c r="L63" s="9" t="s">
        <v>1234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1237</v>
      </c>
      <c r="B64" s="9" t="s">
        <v>1230</v>
      </c>
      <c r="C64" s="9" t="s">
        <v>1176</v>
      </c>
      <c r="D64" s="9" t="s">
        <v>258</v>
      </c>
      <c r="E64" s="11" t="n">
        <v>1850</v>
      </c>
      <c r="F64" s="9"/>
      <c r="G64" s="9"/>
      <c r="H64" s="9" t="s">
        <v>1093</v>
      </c>
      <c r="I64" s="9" t="s">
        <v>71</v>
      </c>
      <c r="J64" s="9" t="s">
        <v>1058</v>
      </c>
      <c r="K64" s="9" t="s">
        <v>1231</v>
      </c>
      <c r="L64" s="9" t="s">
        <v>1234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1238</v>
      </c>
      <c r="B65" s="9" t="s">
        <v>1239</v>
      </c>
      <c r="C65" s="9" t="s">
        <v>71</v>
      </c>
      <c r="D65" s="10" t="s">
        <v>560</v>
      </c>
      <c r="E65" s="11" t="n">
        <v>0.8</v>
      </c>
      <c r="F65" s="9"/>
      <c r="G65" s="9"/>
      <c r="H65" s="9" t="s">
        <v>1093</v>
      </c>
      <c r="I65" s="9" t="s">
        <v>71</v>
      </c>
      <c r="J65" s="9" t="s">
        <v>1058</v>
      </c>
      <c r="K65" s="9" t="s">
        <v>1231</v>
      </c>
      <c r="L65" s="10" t="s">
        <v>1240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1241</v>
      </c>
      <c r="B66" s="9" t="s">
        <v>1242</v>
      </c>
      <c r="C66" s="9" t="s">
        <v>71</v>
      </c>
      <c r="D66" s="10" t="s">
        <v>560</v>
      </c>
      <c r="E66" s="11" t="n">
        <v>1.2</v>
      </c>
      <c r="F66" s="9"/>
      <c r="G66" s="9"/>
      <c r="H66" s="9" t="s">
        <v>1093</v>
      </c>
      <c r="I66" s="9" t="s">
        <v>71</v>
      </c>
      <c r="J66" s="9" t="s">
        <v>1058</v>
      </c>
      <c r="K66" s="9" t="s">
        <v>1231</v>
      </c>
      <c r="L66" s="10" t="s">
        <v>1240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1243</v>
      </c>
      <c r="B67" s="9" t="s">
        <v>1244</v>
      </c>
      <c r="C67" s="9" t="s">
        <v>411</v>
      </c>
      <c r="D67" s="9" t="s">
        <v>258</v>
      </c>
      <c r="E67" s="11" t="n">
        <v>2</v>
      </c>
      <c r="F67" s="9"/>
      <c r="G67" s="9"/>
      <c r="H67" s="9" t="s">
        <v>1093</v>
      </c>
      <c r="I67" s="9" t="s">
        <v>71</v>
      </c>
      <c r="J67" s="9" t="s">
        <v>1058</v>
      </c>
      <c r="K67" s="9" t="s">
        <v>1245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1246</v>
      </c>
      <c r="B68" s="9" t="s">
        <v>1244</v>
      </c>
      <c r="C68" s="9" t="s">
        <v>423</v>
      </c>
      <c r="D68" s="9" t="s">
        <v>258</v>
      </c>
      <c r="E68" s="11" t="n">
        <v>10</v>
      </c>
      <c r="F68" s="9"/>
      <c r="G68" s="9"/>
      <c r="H68" s="9" t="s">
        <v>1093</v>
      </c>
      <c r="I68" s="9" t="s">
        <v>71</v>
      </c>
      <c r="J68" s="9" t="s">
        <v>1058</v>
      </c>
      <c r="K68" s="9" t="s">
        <v>1245</v>
      </c>
      <c r="L68" s="9" t="s">
        <v>1234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1247</v>
      </c>
      <c r="B69" s="9" t="s">
        <v>1244</v>
      </c>
      <c r="C69" s="9" t="s">
        <v>1170</v>
      </c>
      <c r="D69" s="9" t="s">
        <v>258</v>
      </c>
      <c r="E69" s="11" t="n">
        <v>22</v>
      </c>
      <c r="F69" s="9"/>
      <c r="G69" s="9"/>
      <c r="H69" s="9" t="s">
        <v>1093</v>
      </c>
      <c r="I69" s="9" t="s">
        <v>71</v>
      </c>
      <c r="J69" s="9" t="s">
        <v>1058</v>
      </c>
      <c r="K69" s="9" t="s">
        <v>1245</v>
      </c>
      <c r="L69" s="9" t="s">
        <v>1234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1248</v>
      </c>
      <c r="B70" s="9" t="s">
        <v>1244</v>
      </c>
      <c r="C70" s="9" t="s">
        <v>1172</v>
      </c>
      <c r="D70" s="9" t="s">
        <v>258</v>
      </c>
      <c r="E70" s="11" t="n">
        <v>35</v>
      </c>
      <c r="F70" s="9"/>
      <c r="G70" s="9"/>
      <c r="H70" s="9" t="s">
        <v>1093</v>
      </c>
      <c r="I70" s="9" t="s">
        <v>71</v>
      </c>
      <c r="J70" s="9" t="s">
        <v>1058</v>
      </c>
      <c r="K70" s="9" t="s">
        <v>1245</v>
      </c>
      <c r="L70" s="9" t="s">
        <v>1234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1249</v>
      </c>
      <c r="B71" s="9" t="s">
        <v>1244</v>
      </c>
      <c r="C71" s="9" t="s">
        <v>1174</v>
      </c>
      <c r="D71" s="9" t="s">
        <v>258</v>
      </c>
      <c r="E71" s="11" t="n">
        <v>45</v>
      </c>
      <c r="F71" s="9"/>
      <c r="G71" s="9"/>
      <c r="H71" s="9" t="s">
        <v>1093</v>
      </c>
      <c r="I71" s="9" t="s">
        <v>71</v>
      </c>
      <c r="J71" s="9" t="s">
        <v>1058</v>
      </c>
      <c r="K71" s="9" t="s">
        <v>1245</v>
      </c>
      <c r="L71" s="9" t="s">
        <v>1234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1250</v>
      </c>
      <c r="B72" s="9" t="s">
        <v>1244</v>
      </c>
      <c r="C72" s="9" t="s">
        <v>1176</v>
      </c>
      <c r="D72" s="9" t="s">
        <v>258</v>
      </c>
      <c r="E72" s="11" t="n">
        <v>55</v>
      </c>
      <c r="F72" s="9"/>
      <c r="G72" s="9"/>
      <c r="H72" s="9" t="s">
        <v>1093</v>
      </c>
      <c r="I72" s="9" t="s">
        <v>71</v>
      </c>
      <c r="J72" s="9" t="s">
        <v>1058</v>
      </c>
      <c r="K72" s="9" t="s">
        <v>1245</v>
      </c>
      <c r="L72" s="9" t="s">
        <v>1234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1251</v>
      </c>
      <c r="B73" s="9" t="s">
        <v>1252</v>
      </c>
      <c r="C73" s="9" t="s">
        <v>71</v>
      </c>
      <c r="D73" s="10" t="s">
        <v>560</v>
      </c>
      <c r="E73" s="11" t="n">
        <v>0.6</v>
      </c>
      <c r="F73" s="9"/>
      <c r="G73" s="9"/>
      <c r="H73" s="9" t="s">
        <v>1093</v>
      </c>
      <c r="I73" s="9" t="s">
        <v>71</v>
      </c>
      <c r="J73" s="9" t="s">
        <v>1058</v>
      </c>
      <c r="K73" s="9" t="s">
        <v>1245</v>
      </c>
      <c r="L73" s="10" t="s">
        <v>1240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1253</v>
      </c>
      <c r="B74" s="9" t="s">
        <v>1254</v>
      </c>
      <c r="C74" s="9" t="s">
        <v>71</v>
      </c>
      <c r="D74" s="10" t="s">
        <v>560</v>
      </c>
      <c r="E74" s="11" t="n">
        <v>1.5</v>
      </c>
      <c r="F74" s="9"/>
      <c r="G74" s="9"/>
      <c r="H74" s="9" t="s">
        <v>1093</v>
      </c>
      <c r="I74" s="9" t="s">
        <v>71</v>
      </c>
      <c r="J74" s="9" t="s">
        <v>1058</v>
      </c>
      <c r="K74" s="9" t="s">
        <v>1245</v>
      </c>
      <c r="L74" s="10" t="s">
        <v>1240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1255</v>
      </c>
      <c r="B75" s="9" t="s">
        <v>1256</v>
      </c>
      <c r="C75" s="9" t="s">
        <v>423</v>
      </c>
      <c r="D75" s="9" t="s">
        <v>258</v>
      </c>
      <c r="E75" s="11" t="n">
        <v>46</v>
      </c>
      <c r="F75" s="9"/>
      <c r="G75" s="9"/>
      <c r="H75" s="9" t="s">
        <v>1093</v>
      </c>
      <c r="I75" s="9" t="s">
        <v>71</v>
      </c>
      <c r="J75" s="9" t="s">
        <v>1058</v>
      </c>
      <c r="K75" s="9" t="s">
        <v>1257</v>
      </c>
      <c r="L75" s="9" t="s">
        <v>1234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1258</v>
      </c>
      <c r="B76" s="9" t="s">
        <v>1256</v>
      </c>
      <c r="C76" s="9" t="s">
        <v>1170</v>
      </c>
      <c r="D76" s="9" t="s">
        <v>258</v>
      </c>
      <c r="E76" s="11" t="n">
        <v>52</v>
      </c>
      <c r="F76" s="9"/>
      <c r="G76" s="9"/>
      <c r="H76" s="9" t="s">
        <v>1093</v>
      </c>
      <c r="I76" s="9" t="s">
        <v>71</v>
      </c>
      <c r="J76" s="9" t="s">
        <v>1058</v>
      </c>
      <c r="K76" s="9" t="s">
        <v>1257</v>
      </c>
      <c r="L76" s="9" t="s">
        <v>1234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1259</v>
      </c>
      <c r="B77" s="9" t="s">
        <v>1256</v>
      </c>
      <c r="C77" s="9" t="s">
        <v>1172</v>
      </c>
      <c r="D77" s="9" t="s">
        <v>258</v>
      </c>
      <c r="E77" s="11" t="n">
        <v>57</v>
      </c>
      <c r="F77" s="9"/>
      <c r="G77" s="9"/>
      <c r="H77" s="9" t="s">
        <v>1093</v>
      </c>
      <c r="I77" s="9" t="s">
        <v>71</v>
      </c>
      <c r="J77" s="9" t="s">
        <v>1058</v>
      </c>
      <c r="K77" s="9" t="s">
        <v>1257</v>
      </c>
      <c r="L77" s="9" t="s">
        <v>1234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1260</v>
      </c>
      <c r="B78" s="9" t="s">
        <v>1256</v>
      </c>
      <c r="C78" s="9" t="s">
        <v>1174</v>
      </c>
      <c r="D78" s="9" t="s">
        <v>258</v>
      </c>
      <c r="E78" s="11" t="n">
        <v>61</v>
      </c>
      <c r="F78" s="9"/>
      <c r="G78" s="9"/>
      <c r="H78" s="9" t="s">
        <v>1093</v>
      </c>
      <c r="I78" s="9" t="s">
        <v>71</v>
      </c>
      <c r="J78" s="9" t="s">
        <v>1058</v>
      </c>
      <c r="K78" s="9" t="s">
        <v>1257</v>
      </c>
      <c r="L78" s="9" t="s">
        <v>1234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1261</v>
      </c>
      <c r="B79" s="9" t="s">
        <v>1256</v>
      </c>
      <c r="C79" s="9" t="s">
        <v>1176</v>
      </c>
      <c r="D79" s="9" t="s">
        <v>258</v>
      </c>
      <c r="E79" s="11" t="n">
        <v>64</v>
      </c>
      <c r="F79" s="9"/>
      <c r="G79" s="9"/>
      <c r="H79" s="9" t="s">
        <v>1093</v>
      </c>
      <c r="I79" s="9" t="s">
        <v>71</v>
      </c>
      <c r="J79" s="9" t="s">
        <v>1058</v>
      </c>
      <c r="K79" s="9" t="s">
        <v>1257</v>
      </c>
      <c r="L79" s="9" t="s">
        <v>1234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1262</v>
      </c>
      <c r="B80" s="9" t="s">
        <v>1263</v>
      </c>
      <c r="C80" s="9" t="s">
        <v>71</v>
      </c>
      <c r="D80" s="10" t="s">
        <v>560</v>
      </c>
      <c r="E80" s="11" t="n">
        <v>0.85</v>
      </c>
      <c r="F80" s="9"/>
      <c r="G80" s="9"/>
      <c r="H80" s="9" t="s">
        <v>1093</v>
      </c>
      <c r="I80" s="9" t="s">
        <v>71</v>
      </c>
      <c r="J80" s="9" t="s">
        <v>1058</v>
      </c>
      <c r="K80" s="9" t="s">
        <v>1257</v>
      </c>
      <c r="L80" s="10" t="s">
        <v>1240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1264</v>
      </c>
      <c r="B81" s="9" t="s">
        <v>1265</v>
      </c>
      <c r="C81" s="9" t="s">
        <v>71</v>
      </c>
      <c r="D81" s="10" t="s">
        <v>560</v>
      </c>
      <c r="E81" s="11" t="n">
        <v>1.15</v>
      </c>
      <c r="F81" s="9"/>
      <c r="G81" s="9"/>
      <c r="H81" s="9" t="s">
        <v>1093</v>
      </c>
      <c r="I81" s="9" t="s">
        <v>71</v>
      </c>
      <c r="J81" s="9" t="s">
        <v>1058</v>
      </c>
      <c r="K81" s="9" t="s">
        <v>1257</v>
      </c>
      <c r="L81" s="10" t="s">
        <v>1240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1266</v>
      </c>
      <c r="B82" s="9" t="s">
        <v>1267</v>
      </c>
      <c r="C82" s="9" t="s">
        <v>411</v>
      </c>
      <c r="D82" s="9" t="s">
        <v>258</v>
      </c>
      <c r="E82" s="11" t="n">
        <v>3</v>
      </c>
      <c r="F82" s="9"/>
      <c r="G82" s="9"/>
      <c r="H82" s="9" t="s">
        <v>1093</v>
      </c>
      <c r="I82" s="9" t="s">
        <v>71</v>
      </c>
      <c r="J82" s="9" t="s">
        <v>1058</v>
      </c>
      <c r="K82" s="9" t="s">
        <v>1268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1269</v>
      </c>
      <c r="B83" s="9" t="s">
        <v>1267</v>
      </c>
      <c r="C83" s="9" t="s">
        <v>423</v>
      </c>
      <c r="D83" s="9" t="s">
        <v>258</v>
      </c>
      <c r="E83" s="11" t="n">
        <v>14</v>
      </c>
      <c r="F83" s="9"/>
      <c r="G83" s="9"/>
      <c r="H83" s="9" t="s">
        <v>1093</v>
      </c>
      <c r="I83" s="9" t="s">
        <v>71</v>
      </c>
      <c r="J83" s="9" t="s">
        <v>1058</v>
      </c>
      <c r="K83" s="9" t="s">
        <v>1268</v>
      </c>
      <c r="L83" s="9" t="s">
        <v>1234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1270</v>
      </c>
      <c r="B84" s="9" t="s">
        <v>1267</v>
      </c>
      <c r="C84" s="9" t="s">
        <v>1170</v>
      </c>
      <c r="D84" s="9" t="s">
        <v>258</v>
      </c>
      <c r="E84" s="11" t="n">
        <v>26</v>
      </c>
      <c r="F84" s="9"/>
      <c r="G84" s="9"/>
      <c r="H84" s="9" t="s">
        <v>1093</v>
      </c>
      <c r="I84" s="9" t="s">
        <v>71</v>
      </c>
      <c r="J84" s="9" t="s">
        <v>1058</v>
      </c>
      <c r="K84" s="9" t="s">
        <v>1268</v>
      </c>
      <c r="L84" s="9" t="s">
        <v>1234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1271</v>
      </c>
      <c r="B85" s="9" t="s">
        <v>1267</v>
      </c>
      <c r="C85" s="9" t="s">
        <v>1172</v>
      </c>
      <c r="D85" s="9" t="s">
        <v>258</v>
      </c>
      <c r="E85" s="11" t="n">
        <v>38</v>
      </c>
      <c r="F85" s="9"/>
      <c r="G85" s="9"/>
      <c r="H85" s="9" t="s">
        <v>1093</v>
      </c>
      <c r="I85" s="9" t="s">
        <v>71</v>
      </c>
      <c r="J85" s="9" t="s">
        <v>1058</v>
      </c>
      <c r="K85" s="9" t="s">
        <v>1268</v>
      </c>
      <c r="L85" s="9" t="s">
        <v>1234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1272</v>
      </c>
      <c r="B86" s="9" t="s">
        <v>1267</v>
      </c>
      <c r="C86" s="9" t="s">
        <v>1174</v>
      </c>
      <c r="D86" s="9" t="s">
        <v>258</v>
      </c>
      <c r="E86" s="11" t="n">
        <v>48</v>
      </c>
      <c r="F86" s="9"/>
      <c r="G86" s="9"/>
      <c r="H86" s="9" t="s">
        <v>1093</v>
      </c>
      <c r="I86" s="9" t="s">
        <v>71</v>
      </c>
      <c r="J86" s="9" t="s">
        <v>1058</v>
      </c>
      <c r="K86" s="9" t="s">
        <v>1268</v>
      </c>
      <c r="L86" s="9" t="s">
        <v>1234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1273</v>
      </c>
      <c r="B87" s="9" t="s">
        <v>1267</v>
      </c>
      <c r="C87" s="9" t="s">
        <v>1176</v>
      </c>
      <c r="D87" s="9" t="s">
        <v>258</v>
      </c>
      <c r="E87" s="11" t="n">
        <v>56</v>
      </c>
      <c r="F87" s="9"/>
      <c r="G87" s="9"/>
      <c r="H87" s="9" t="s">
        <v>1093</v>
      </c>
      <c r="I87" s="9" t="s">
        <v>71</v>
      </c>
      <c r="J87" s="9" t="s">
        <v>1058</v>
      </c>
      <c r="K87" s="9" t="s">
        <v>1268</v>
      </c>
      <c r="L87" s="9" t="s">
        <v>1234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1274</v>
      </c>
      <c r="B88" s="9" t="s">
        <v>1275</v>
      </c>
      <c r="C88" s="9" t="s">
        <v>71</v>
      </c>
      <c r="D88" s="10" t="s">
        <v>560</v>
      </c>
      <c r="E88" s="11" t="n">
        <v>0.7</v>
      </c>
      <c r="F88" s="9"/>
      <c r="G88" s="9"/>
      <c r="H88" s="9" t="s">
        <v>1093</v>
      </c>
      <c r="I88" s="9" t="s">
        <v>71</v>
      </c>
      <c r="J88" s="9" t="s">
        <v>1058</v>
      </c>
      <c r="K88" s="9" t="s">
        <v>1268</v>
      </c>
      <c r="L88" s="10" t="s">
        <v>1240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1276</v>
      </c>
      <c r="B89" s="9" t="s">
        <v>1277</v>
      </c>
      <c r="C89" s="9" t="s">
        <v>71</v>
      </c>
      <c r="D89" s="10" t="s">
        <v>560</v>
      </c>
      <c r="E89" s="11" t="n">
        <v>1.3</v>
      </c>
      <c r="F89" s="9"/>
      <c r="G89" s="9"/>
      <c r="H89" s="9" t="s">
        <v>1093</v>
      </c>
      <c r="I89" s="9" t="s">
        <v>71</v>
      </c>
      <c r="J89" s="9" t="s">
        <v>1058</v>
      </c>
      <c r="K89" s="9" t="s">
        <v>1268</v>
      </c>
      <c r="L89" s="10" t="s">
        <v>1240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1278</v>
      </c>
      <c r="B90" s="9" t="s">
        <v>1279</v>
      </c>
      <c r="C90" s="10" t="s">
        <v>1280</v>
      </c>
      <c r="D90" s="9" t="s">
        <v>240</v>
      </c>
      <c r="E90" s="11" t="n">
        <v>6</v>
      </c>
      <c r="F90" s="11" t="n">
        <v>4</v>
      </c>
      <c r="G90" s="11" t="n">
        <v>8</v>
      </c>
      <c r="H90" s="9" t="s">
        <v>1093</v>
      </c>
      <c r="I90" s="9" t="s">
        <v>71</v>
      </c>
      <c r="J90" s="9" t="s">
        <v>1058</v>
      </c>
      <c r="K90" s="9" t="s">
        <v>1281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1282</v>
      </c>
      <c r="B91" s="9" t="s">
        <v>1283</v>
      </c>
      <c r="C91" s="9" t="s">
        <v>411</v>
      </c>
      <c r="D91" s="9" t="s">
        <v>240</v>
      </c>
      <c r="E91" s="11" t="n">
        <v>19.5</v>
      </c>
      <c r="F91" s="11" t="n">
        <v>18</v>
      </c>
      <c r="G91" s="11" t="n">
        <v>20</v>
      </c>
      <c r="H91" s="9" t="s">
        <v>1093</v>
      </c>
      <c r="I91" s="9" t="s">
        <v>71</v>
      </c>
      <c r="J91" s="9" t="s">
        <v>1058</v>
      </c>
      <c r="K91" s="9" t="s">
        <v>1284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1285</v>
      </c>
      <c r="B92" s="9" t="s">
        <v>1283</v>
      </c>
      <c r="C92" s="9" t="s">
        <v>1286</v>
      </c>
      <c r="D92" s="9" t="s">
        <v>240</v>
      </c>
      <c r="E92" s="11" t="n">
        <v>19</v>
      </c>
      <c r="F92" s="11" t="n">
        <v>17</v>
      </c>
      <c r="G92" s="11" t="n">
        <v>20</v>
      </c>
      <c r="H92" s="9" t="s">
        <v>1093</v>
      </c>
      <c r="I92" s="9" t="s">
        <v>71</v>
      </c>
      <c r="J92" s="9" t="s">
        <v>1058</v>
      </c>
      <c r="K92" s="9" t="s">
        <v>1284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1287</v>
      </c>
      <c r="B93" s="9" t="s">
        <v>1288</v>
      </c>
      <c r="C93" s="9" t="s">
        <v>411</v>
      </c>
      <c r="D93" s="9" t="s">
        <v>240</v>
      </c>
      <c r="E93" s="11" t="n">
        <v>200</v>
      </c>
      <c r="F93" s="11" t="n">
        <v>200</v>
      </c>
      <c r="G93" s="11" t="n">
        <v>200</v>
      </c>
      <c r="H93" s="9" t="s">
        <v>1093</v>
      </c>
      <c r="I93" s="9" t="s">
        <v>71</v>
      </c>
      <c r="J93" s="9" t="s">
        <v>1058</v>
      </c>
      <c r="K93" s="9" t="s">
        <v>1289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1290</v>
      </c>
      <c r="B94" s="9" t="s">
        <v>1288</v>
      </c>
      <c r="C94" s="9" t="s">
        <v>1286</v>
      </c>
      <c r="D94" s="9" t="s">
        <v>240</v>
      </c>
      <c r="E94" s="11" t="n">
        <v>150</v>
      </c>
      <c r="F94" s="11" t="n">
        <v>120</v>
      </c>
      <c r="G94" s="11" t="n">
        <v>190</v>
      </c>
      <c r="H94" s="9" t="s">
        <v>1093</v>
      </c>
      <c r="I94" s="9" t="s">
        <v>71</v>
      </c>
      <c r="J94" s="9" t="s">
        <v>1058</v>
      </c>
      <c r="K94" s="9" t="s">
        <v>1289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1291</v>
      </c>
      <c r="B95" s="9" t="s">
        <v>1292</v>
      </c>
      <c r="C95" s="10" t="s">
        <v>1280</v>
      </c>
      <c r="D95" s="9" t="s">
        <v>240</v>
      </c>
      <c r="E95" s="11" t="n">
        <v>30</v>
      </c>
      <c r="F95" s="11" t="n">
        <v>22</v>
      </c>
      <c r="G95" s="11" t="n">
        <v>45</v>
      </c>
      <c r="H95" s="9" t="s">
        <v>1093</v>
      </c>
      <c r="I95" s="9" t="s">
        <v>71</v>
      </c>
      <c r="J95" s="9" t="s">
        <v>1058</v>
      </c>
      <c r="K95" s="9" t="s">
        <v>1293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1294</v>
      </c>
      <c r="B96" s="10" t="s">
        <v>1295</v>
      </c>
      <c r="C96" s="9" t="s">
        <v>411</v>
      </c>
      <c r="D96" s="10" t="s">
        <v>1296</v>
      </c>
      <c r="E96" s="11" t="n">
        <v>1.7</v>
      </c>
      <c r="F96" s="9"/>
      <c r="G96" s="9"/>
      <c r="H96" s="9" t="s">
        <v>1093</v>
      </c>
      <c r="I96" s="9" t="s">
        <v>71</v>
      </c>
      <c r="J96" s="9" t="s">
        <v>1058</v>
      </c>
      <c r="K96" s="9" t="s">
        <v>1297</v>
      </c>
      <c r="L96" s="9" t="s">
        <v>1298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1299</v>
      </c>
      <c r="B97" s="10" t="s">
        <v>1295</v>
      </c>
      <c r="C97" s="9" t="s">
        <v>423</v>
      </c>
      <c r="D97" s="10" t="s">
        <v>1296</v>
      </c>
      <c r="E97" s="11" t="n">
        <v>1.7</v>
      </c>
      <c r="F97" s="9"/>
      <c r="G97" s="9"/>
      <c r="H97" s="9" t="s">
        <v>1093</v>
      </c>
      <c r="I97" s="9" t="s">
        <v>71</v>
      </c>
      <c r="J97" s="9" t="s">
        <v>1058</v>
      </c>
      <c r="K97" s="9" t="s">
        <v>1297</v>
      </c>
      <c r="L97" s="9" t="s">
        <v>1298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1300</v>
      </c>
      <c r="B98" s="10" t="s">
        <v>1301</v>
      </c>
      <c r="C98" s="9" t="s">
        <v>411</v>
      </c>
      <c r="D98" s="10" t="s">
        <v>1296</v>
      </c>
      <c r="E98" s="11" t="n">
        <v>5.3</v>
      </c>
      <c r="F98" s="9"/>
      <c r="G98" s="9"/>
      <c r="H98" s="9" t="s">
        <v>1093</v>
      </c>
      <c r="I98" s="9" t="s">
        <v>71</v>
      </c>
      <c r="J98" s="9" t="s">
        <v>1058</v>
      </c>
      <c r="K98" s="9" t="s">
        <v>1302</v>
      </c>
      <c r="L98" s="9" t="s">
        <v>1298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1303</v>
      </c>
      <c r="B99" s="10" t="s">
        <v>1301</v>
      </c>
      <c r="C99" s="9" t="s">
        <v>423</v>
      </c>
      <c r="D99" s="10" t="s">
        <v>1296</v>
      </c>
      <c r="E99" s="11" t="n">
        <v>5.7</v>
      </c>
      <c r="F99" s="9"/>
      <c r="G99" s="9"/>
      <c r="H99" s="9" t="s">
        <v>1093</v>
      </c>
      <c r="I99" s="9" t="s">
        <v>71</v>
      </c>
      <c r="J99" s="9" t="s">
        <v>1058</v>
      </c>
      <c r="K99" s="9" t="s">
        <v>1302</v>
      </c>
      <c r="L99" s="9" t="s">
        <v>1298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1304</v>
      </c>
      <c r="B100" s="10" t="s">
        <v>1305</v>
      </c>
      <c r="C100" s="9" t="s">
        <v>411</v>
      </c>
      <c r="D100" s="10" t="s">
        <v>1296</v>
      </c>
      <c r="E100" s="11" t="n">
        <v>13.4</v>
      </c>
      <c r="F100" s="9"/>
      <c r="G100" s="9"/>
      <c r="H100" s="9" t="s">
        <v>1093</v>
      </c>
      <c r="I100" s="9" t="s">
        <v>71</v>
      </c>
      <c r="J100" s="9" t="s">
        <v>1058</v>
      </c>
      <c r="K100" s="9" t="s">
        <v>1306</v>
      </c>
      <c r="L100" s="9" t="s">
        <v>1298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1307</v>
      </c>
      <c r="B101" s="10" t="s">
        <v>1305</v>
      </c>
      <c r="C101" s="9" t="s">
        <v>423</v>
      </c>
      <c r="D101" s="10" t="s">
        <v>1296</v>
      </c>
      <c r="E101" s="11" t="n">
        <v>17.9</v>
      </c>
      <c r="F101" s="9"/>
      <c r="G101" s="9"/>
      <c r="H101" s="9" t="s">
        <v>1093</v>
      </c>
      <c r="I101" s="9" t="s">
        <v>71</v>
      </c>
      <c r="J101" s="9" t="s">
        <v>1058</v>
      </c>
      <c r="K101" s="9" t="s">
        <v>1306</v>
      </c>
      <c r="L101" s="9" t="s">
        <v>1298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1308</v>
      </c>
      <c r="B102" s="10" t="s">
        <v>1309</v>
      </c>
      <c r="C102" s="9" t="s">
        <v>411</v>
      </c>
      <c r="D102" s="10" t="s">
        <v>1296</v>
      </c>
      <c r="E102" s="11" t="n">
        <v>41</v>
      </c>
      <c r="F102" s="9"/>
      <c r="G102" s="9"/>
      <c r="H102" s="9" t="s">
        <v>1093</v>
      </c>
      <c r="I102" s="9" t="s">
        <v>71</v>
      </c>
      <c r="J102" s="9" t="s">
        <v>1058</v>
      </c>
      <c r="K102" s="9" t="s">
        <v>1310</v>
      </c>
      <c r="L102" s="9" t="s">
        <v>1298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1311</v>
      </c>
      <c r="B103" s="10" t="s">
        <v>1309</v>
      </c>
      <c r="C103" s="9" t="s">
        <v>423</v>
      </c>
      <c r="D103" s="10" t="s">
        <v>1296</v>
      </c>
      <c r="E103" s="11" t="n">
        <v>51.4</v>
      </c>
      <c r="F103" s="9"/>
      <c r="G103" s="9"/>
      <c r="H103" s="9" t="s">
        <v>1093</v>
      </c>
      <c r="I103" s="9" t="s">
        <v>71</v>
      </c>
      <c r="J103" s="9" t="s">
        <v>1058</v>
      </c>
      <c r="K103" s="9" t="s">
        <v>1310</v>
      </c>
      <c r="L103" s="9" t="s">
        <v>1298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1312</v>
      </c>
      <c r="B104" s="10" t="s">
        <v>1313</v>
      </c>
      <c r="C104" s="9" t="s">
        <v>411</v>
      </c>
      <c r="D104" s="10" t="s">
        <v>1296</v>
      </c>
      <c r="E104" s="11" t="n">
        <v>10.7</v>
      </c>
      <c r="F104" s="9"/>
      <c r="G104" s="9"/>
      <c r="H104" s="9" t="s">
        <v>1093</v>
      </c>
      <c r="I104" s="9" t="s">
        <v>71</v>
      </c>
      <c r="J104" s="9" t="s">
        <v>1058</v>
      </c>
      <c r="K104" s="9" t="s">
        <v>1314</v>
      </c>
      <c r="L104" s="9" t="s">
        <v>1298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1315</v>
      </c>
      <c r="B105" s="10" t="s">
        <v>1313</v>
      </c>
      <c r="C105" s="9" t="s">
        <v>423</v>
      </c>
      <c r="D105" s="10" t="s">
        <v>1296</v>
      </c>
      <c r="E105" s="11" t="n">
        <v>14.3</v>
      </c>
      <c r="F105" s="9"/>
      <c r="G105" s="9"/>
      <c r="H105" s="9" t="s">
        <v>1093</v>
      </c>
      <c r="I105" s="9" t="s">
        <v>71</v>
      </c>
      <c r="J105" s="9" t="s">
        <v>1058</v>
      </c>
      <c r="K105" s="9" t="s">
        <v>1314</v>
      </c>
      <c r="L105" s="9" t="s">
        <v>1298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1316</v>
      </c>
      <c r="B106" s="10" t="s">
        <v>1317</v>
      </c>
      <c r="C106" s="9" t="s">
        <v>411</v>
      </c>
      <c r="D106" s="9" t="s">
        <v>1161</v>
      </c>
      <c r="E106" s="11" t="n">
        <v>2</v>
      </c>
      <c r="F106" s="9"/>
      <c r="G106" s="9"/>
      <c r="H106" s="9" t="s">
        <v>1093</v>
      </c>
      <c r="I106" s="9" t="s">
        <v>71</v>
      </c>
      <c r="J106" s="9" t="s">
        <v>1058</v>
      </c>
      <c r="K106" s="9" t="s">
        <v>1318</v>
      </c>
      <c r="L106" s="9" t="s">
        <v>1298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1319</v>
      </c>
      <c r="B107" s="10" t="s">
        <v>1317</v>
      </c>
      <c r="C107" s="9" t="s">
        <v>423</v>
      </c>
      <c r="D107" s="9" t="s">
        <v>1161</v>
      </c>
      <c r="E107" s="11" t="n">
        <v>2.94</v>
      </c>
      <c r="F107" s="9"/>
      <c r="G107" s="9"/>
      <c r="H107" s="9" t="s">
        <v>1093</v>
      </c>
      <c r="I107" s="9" t="s">
        <v>71</v>
      </c>
      <c r="J107" s="9" t="s">
        <v>1058</v>
      </c>
      <c r="K107" s="9" t="s">
        <v>1318</v>
      </c>
      <c r="L107" s="9" t="s">
        <v>1298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1320</v>
      </c>
      <c r="B108" s="10" t="s">
        <v>1321</v>
      </c>
      <c r="C108" s="9" t="s">
        <v>411</v>
      </c>
      <c r="D108" s="9" t="s">
        <v>1161</v>
      </c>
      <c r="E108" s="11" t="n">
        <v>3</v>
      </c>
      <c r="F108" s="9"/>
      <c r="G108" s="9"/>
      <c r="H108" s="9" t="s">
        <v>1093</v>
      </c>
      <c r="I108" s="9" t="s">
        <v>71</v>
      </c>
      <c r="J108" s="9" t="s">
        <v>1058</v>
      </c>
      <c r="K108" s="9" t="s">
        <v>1322</v>
      </c>
      <c r="L108" s="9" t="s">
        <v>1298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1323</v>
      </c>
      <c r="B109" s="10" t="s">
        <v>1321</v>
      </c>
      <c r="C109" s="9" t="s">
        <v>423</v>
      </c>
      <c r="D109" s="9" t="s">
        <v>1161</v>
      </c>
      <c r="E109" s="11" t="n">
        <v>4.39</v>
      </c>
      <c r="F109" s="9"/>
      <c r="G109" s="9"/>
      <c r="H109" s="9" t="s">
        <v>1093</v>
      </c>
      <c r="I109" s="9" t="s">
        <v>71</v>
      </c>
      <c r="J109" s="9" t="s">
        <v>1058</v>
      </c>
      <c r="K109" s="9" t="s">
        <v>1322</v>
      </c>
      <c r="L109" s="9" t="s">
        <v>1298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1324</v>
      </c>
      <c r="B110" s="10" t="s">
        <v>1325</v>
      </c>
      <c r="C110" s="9" t="s">
        <v>411</v>
      </c>
      <c r="D110" s="9" t="s">
        <v>1161</v>
      </c>
      <c r="E110" s="11" t="n">
        <v>4</v>
      </c>
      <c r="F110" s="9"/>
      <c r="G110" s="9"/>
      <c r="H110" s="9" t="s">
        <v>1093</v>
      </c>
      <c r="I110" s="9" t="s">
        <v>71</v>
      </c>
      <c r="J110" s="9" t="s">
        <v>1058</v>
      </c>
      <c r="K110" s="9" t="s">
        <v>1326</v>
      </c>
      <c r="L110" s="9" t="s">
        <v>1298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1327</v>
      </c>
      <c r="B111" s="10" t="s">
        <v>1325</v>
      </c>
      <c r="C111" s="9" t="s">
        <v>423</v>
      </c>
      <c r="D111" s="9" t="s">
        <v>1161</v>
      </c>
      <c r="E111" s="11" t="n">
        <v>6.15</v>
      </c>
      <c r="F111" s="9"/>
      <c r="G111" s="9"/>
      <c r="H111" s="9" t="s">
        <v>1093</v>
      </c>
      <c r="I111" s="9" t="s">
        <v>71</v>
      </c>
      <c r="J111" s="9" t="s">
        <v>1058</v>
      </c>
      <c r="K111" s="9" t="s">
        <v>1326</v>
      </c>
      <c r="L111" s="9" t="s">
        <v>1298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1328</v>
      </c>
      <c r="B112" s="10" t="s">
        <v>1329</v>
      </c>
      <c r="C112" s="9" t="s">
        <v>411</v>
      </c>
      <c r="D112" s="9" t="s">
        <v>1161</v>
      </c>
      <c r="E112" s="11" t="n">
        <v>10</v>
      </c>
      <c r="F112" s="9"/>
      <c r="G112" s="9"/>
      <c r="H112" s="9" t="s">
        <v>1093</v>
      </c>
      <c r="I112" s="9" t="s">
        <v>71</v>
      </c>
      <c r="J112" s="9" t="s">
        <v>1058</v>
      </c>
      <c r="K112" s="9" t="s">
        <v>1330</v>
      </c>
      <c r="L112" s="9" t="s">
        <v>1298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1331</v>
      </c>
      <c r="B113" s="10" t="s">
        <v>1329</v>
      </c>
      <c r="C113" s="9" t="s">
        <v>423</v>
      </c>
      <c r="D113" s="9" t="s">
        <v>1161</v>
      </c>
      <c r="E113" s="11" t="n">
        <v>15.6</v>
      </c>
      <c r="F113" s="9"/>
      <c r="G113" s="9"/>
      <c r="H113" s="9" t="s">
        <v>1093</v>
      </c>
      <c r="I113" s="9" t="s">
        <v>71</v>
      </c>
      <c r="J113" s="9" t="s">
        <v>1058</v>
      </c>
      <c r="K113" s="9" t="s">
        <v>1330</v>
      </c>
      <c r="L113" s="9" t="s">
        <v>1298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1332</v>
      </c>
      <c r="B114" s="10" t="s">
        <v>1333</v>
      </c>
      <c r="C114" s="9" t="s">
        <v>411</v>
      </c>
      <c r="D114" s="9" t="s">
        <v>1161</v>
      </c>
      <c r="E114" s="11" t="n">
        <v>4</v>
      </c>
      <c r="F114" s="9"/>
      <c r="G114" s="9"/>
      <c r="H114" s="9" t="s">
        <v>1093</v>
      </c>
      <c r="I114" s="9" t="s">
        <v>71</v>
      </c>
      <c r="J114" s="9" t="s">
        <v>1058</v>
      </c>
      <c r="K114" s="9" t="s">
        <v>1334</v>
      </c>
      <c r="L114" s="9" t="s">
        <v>1298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1335</v>
      </c>
      <c r="B115" s="10" t="s">
        <v>1333</v>
      </c>
      <c r="C115" s="9" t="s">
        <v>423</v>
      </c>
      <c r="D115" s="9" t="s">
        <v>1161</v>
      </c>
      <c r="E115" s="11" t="n">
        <v>5.94</v>
      </c>
      <c r="F115" s="9"/>
      <c r="G115" s="9"/>
      <c r="H115" s="9" t="s">
        <v>1093</v>
      </c>
      <c r="I115" s="9" t="s">
        <v>71</v>
      </c>
      <c r="J115" s="9" t="s">
        <v>1058</v>
      </c>
      <c r="K115" s="9" t="s">
        <v>1334</v>
      </c>
      <c r="L115" s="9" t="s">
        <v>1298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1336</v>
      </c>
      <c r="B116" s="10" t="s">
        <v>1337</v>
      </c>
      <c r="C116" s="9" t="s">
        <v>71</v>
      </c>
      <c r="D116" s="10" t="s">
        <v>1129</v>
      </c>
      <c r="E116" s="11" t="n">
        <v>0.1</v>
      </c>
      <c r="F116" s="11" t="n">
        <v>0.05</v>
      </c>
      <c r="G116" s="11" t="n">
        <v>0.2</v>
      </c>
      <c r="H116" s="9" t="s">
        <v>1093</v>
      </c>
      <c r="I116" s="9" t="s">
        <v>71</v>
      </c>
      <c r="J116" s="9" t="s">
        <v>1058</v>
      </c>
      <c r="K116" s="9" t="s">
        <v>1338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1339</v>
      </c>
      <c r="B117" s="10" t="s">
        <v>1340</v>
      </c>
      <c r="C117" s="9" t="s">
        <v>71</v>
      </c>
      <c r="D117" s="10" t="s">
        <v>1129</v>
      </c>
      <c r="E117" s="11" t="n">
        <v>0.15</v>
      </c>
      <c r="F117" s="11" t="n">
        <v>0.1</v>
      </c>
      <c r="G117" s="11" t="n">
        <v>0.25</v>
      </c>
      <c r="H117" s="9" t="s">
        <v>1093</v>
      </c>
      <c r="I117" s="9" t="s">
        <v>1130</v>
      </c>
      <c r="J117" s="9" t="s">
        <v>1058</v>
      </c>
      <c r="K117" s="9" t="s">
        <v>1341</v>
      </c>
      <c r="L117" s="10" t="s">
        <v>1342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1343</v>
      </c>
      <c r="B118" s="10" t="s">
        <v>1344</v>
      </c>
      <c r="C118" s="9" t="s">
        <v>411</v>
      </c>
      <c r="D118" s="10" t="s">
        <v>120</v>
      </c>
      <c r="E118" s="11" t="n">
        <v>0</v>
      </c>
      <c r="F118" s="11" t="n">
        <v>0</v>
      </c>
      <c r="G118" s="11" t="n">
        <v>0</v>
      </c>
      <c r="H118" s="9" t="s">
        <v>1093</v>
      </c>
      <c r="I118" s="9" t="s">
        <v>1345</v>
      </c>
      <c r="J118" s="9" t="s">
        <v>1058</v>
      </c>
      <c r="K118" s="9" t="s">
        <v>1346</v>
      </c>
      <c r="L118" s="9" t="s">
        <v>1347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1348</v>
      </c>
      <c r="B119" s="10" t="s">
        <v>1344</v>
      </c>
      <c r="C119" s="9" t="s">
        <v>423</v>
      </c>
      <c r="D119" s="10" t="s">
        <v>120</v>
      </c>
      <c r="E119" s="11" t="n">
        <v>0.25</v>
      </c>
      <c r="F119" s="11" t="n">
        <v>0.15</v>
      </c>
      <c r="G119" s="11" t="n">
        <v>0.35</v>
      </c>
      <c r="H119" s="9" t="s">
        <v>1093</v>
      </c>
      <c r="I119" s="9" t="s">
        <v>1345</v>
      </c>
      <c r="J119" s="9" t="s">
        <v>1058</v>
      </c>
      <c r="K119" s="9" t="s">
        <v>1346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1349</v>
      </c>
      <c r="B120" s="10" t="s">
        <v>1344</v>
      </c>
      <c r="C120" s="9" t="s">
        <v>1170</v>
      </c>
      <c r="D120" s="10" t="s">
        <v>120</v>
      </c>
      <c r="E120" s="11" t="n">
        <v>0.35</v>
      </c>
      <c r="F120" s="11" t="n">
        <v>0.25</v>
      </c>
      <c r="G120" s="11" t="n">
        <v>0.5</v>
      </c>
      <c r="H120" s="9" t="s">
        <v>1093</v>
      </c>
      <c r="I120" s="9" t="s">
        <v>1345</v>
      </c>
      <c r="J120" s="9" t="s">
        <v>1058</v>
      </c>
      <c r="K120" s="9" t="s">
        <v>1346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1350</v>
      </c>
      <c r="B121" s="10" t="s">
        <v>1344</v>
      </c>
      <c r="C121" s="9" t="s">
        <v>1172</v>
      </c>
      <c r="D121" s="10" t="s">
        <v>120</v>
      </c>
      <c r="E121" s="11" t="n">
        <v>0.4</v>
      </c>
      <c r="F121" s="11" t="n">
        <v>0.3</v>
      </c>
      <c r="G121" s="11" t="n">
        <v>0.6</v>
      </c>
      <c r="H121" s="9" t="s">
        <v>1093</v>
      </c>
      <c r="I121" s="9" t="s">
        <v>1345</v>
      </c>
      <c r="J121" s="9" t="s">
        <v>1058</v>
      </c>
      <c r="K121" s="9" t="s">
        <v>1346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1351</v>
      </c>
      <c r="B122" s="10" t="s">
        <v>1344</v>
      </c>
      <c r="C122" s="9" t="s">
        <v>1174</v>
      </c>
      <c r="D122" s="10" t="s">
        <v>120</v>
      </c>
      <c r="E122" s="11" t="n">
        <v>0.45</v>
      </c>
      <c r="F122" s="11" t="n">
        <v>0.3</v>
      </c>
      <c r="G122" s="11" t="n">
        <v>0.65</v>
      </c>
      <c r="H122" s="9" t="s">
        <v>1093</v>
      </c>
      <c r="I122" s="9" t="s">
        <v>1345</v>
      </c>
      <c r="J122" s="9" t="s">
        <v>1058</v>
      </c>
      <c r="K122" s="9" t="s">
        <v>1346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1352</v>
      </c>
      <c r="B123" s="10" t="s">
        <v>1344</v>
      </c>
      <c r="C123" s="9" t="s">
        <v>1176</v>
      </c>
      <c r="D123" s="10" t="s">
        <v>120</v>
      </c>
      <c r="E123" s="11" t="n">
        <v>0.5</v>
      </c>
      <c r="F123" s="11" t="n">
        <v>0.35</v>
      </c>
      <c r="G123" s="11" t="n">
        <v>0.7</v>
      </c>
      <c r="H123" s="9" t="s">
        <v>1093</v>
      </c>
      <c r="I123" s="9" t="s">
        <v>1345</v>
      </c>
      <c r="J123" s="9" t="s">
        <v>1058</v>
      </c>
      <c r="K123" s="9" t="s">
        <v>1346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1353</v>
      </c>
      <c r="B124" s="10" t="s">
        <v>1354</v>
      </c>
      <c r="C124" s="9" t="s">
        <v>411</v>
      </c>
      <c r="D124" s="9" t="s">
        <v>1355</v>
      </c>
      <c r="E124" s="11" t="n">
        <v>0</v>
      </c>
      <c r="F124" s="11" t="n">
        <v>0</v>
      </c>
      <c r="G124" s="11" t="n">
        <v>0</v>
      </c>
      <c r="H124" s="9" t="s">
        <v>1109</v>
      </c>
      <c r="I124" s="9" t="s">
        <v>1345</v>
      </c>
      <c r="J124" s="9" t="s">
        <v>1058</v>
      </c>
      <c r="K124" s="9" t="s">
        <v>1356</v>
      </c>
      <c r="L124" s="10" t="s">
        <v>1357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1358</v>
      </c>
      <c r="B125" s="10" t="s">
        <v>1354</v>
      </c>
      <c r="C125" s="9" t="s">
        <v>423</v>
      </c>
      <c r="D125" s="9" t="s">
        <v>1355</v>
      </c>
      <c r="E125" s="11" t="n">
        <v>3</v>
      </c>
      <c r="F125" s="11" t="n">
        <v>1.5</v>
      </c>
      <c r="G125" s="11" t="n">
        <v>5</v>
      </c>
      <c r="H125" s="9" t="s">
        <v>1109</v>
      </c>
      <c r="I125" s="9" t="s">
        <v>1345</v>
      </c>
      <c r="J125" s="9" t="s">
        <v>1058</v>
      </c>
      <c r="K125" s="9" t="s">
        <v>1356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1359</v>
      </c>
      <c r="B126" s="10" t="s">
        <v>1354</v>
      </c>
      <c r="C126" s="9" t="s">
        <v>1170</v>
      </c>
      <c r="D126" s="9" t="s">
        <v>1355</v>
      </c>
      <c r="E126" s="11" t="n">
        <v>4</v>
      </c>
      <c r="F126" s="11" t="n">
        <v>2</v>
      </c>
      <c r="G126" s="11" t="n">
        <v>6</v>
      </c>
      <c r="H126" s="9" t="s">
        <v>1109</v>
      </c>
      <c r="I126" s="9" t="s">
        <v>1345</v>
      </c>
      <c r="J126" s="9" t="s">
        <v>1058</v>
      </c>
      <c r="K126" s="9" t="s">
        <v>1356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1360</v>
      </c>
      <c r="B127" s="10" t="s">
        <v>1354</v>
      </c>
      <c r="C127" s="9" t="s">
        <v>1172</v>
      </c>
      <c r="D127" s="9" t="s">
        <v>1355</v>
      </c>
      <c r="E127" s="11" t="n">
        <v>4.5</v>
      </c>
      <c r="F127" s="11" t="n">
        <v>2.5</v>
      </c>
      <c r="G127" s="11" t="n">
        <v>7.5</v>
      </c>
      <c r="H127" s="9" t="s">
        <v>1109</v>
      </c>
      <c r="I127" s="9" t="s">
        <v>1345</v>
      </c>
      <c r="J127" s="9" t="s">
        <v>1058</v>
      </c>
      <c r="K127" s="9" t="s">
        <v>1356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1361</v>
      </c>
      <c r="B128" s="10" t="s">
        <v>1354</v>
      </c>
      <c r="C128" s="9" t="s">
        <v>1174</v>
      </c>
      <c r="D128" s="9" t="s">
        <v>1355</v>
      </c>
      <c r="E128" s="11" t="n">
        <v>5</v>
      </c>
      <c r="F128" s="11" t="n">
        <v>3</v>
      </c>
      <c r="G128" s="11" t="n">
        <v>9</v>
      </c>
      <c r="H128" s="9" t="s">
        <v>1109</v>
      </c>
      <c r="I128" s="9" t="s">
        <v>1345</v>
      </c>
      <c r="J128" s="9" t="s">
        <v>1058</v>
      </c>
      <c r="K128" s="9" t="s">
        <v>1356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1362</v>
      </c>
      <c r="B129" s="10" t="s">
        <v>1354</v>
      </c>
      <c r="C129" s="9" t="s">
        <v>1176</v>
      </c>
      <c r="D129" s="9" t="s">
        <v>1355</v>
      </c>
      <c r="E129" s="11" t="n">
        <v>5.5</v>
      </c>
      <c r="F129" s="11" t="n">
        <v>3.5</v>
      </c>
      <c r="G129" s="11" t="n">
        <v>11</v>
      </c>
      <c r="H129" s="9" t="s">
        <v>1109</v>
      </c>
      <c r="I129" s="9" t="s">
        <v>1345</v>
      </c>
      <c r="J129" s="9" t="s">
        <v>1058</v>
      </c>
      <c r="K129" s="9" t="s">
        <v>1356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1363</v>
      </c>
      <c r="B130" s="10" t="s">
        <v>1364</v>
      </c>
      <c r="C130" s="9" t="s">
        <v>71</v>
      </c>
      <c r="D130" s="9" t="s">
        <v>68</v>
      </c>
      <c r="E130" s="11" t="n">
        <v>0</v>
      </c>
      <c r="F130" s="9"/>
      <c r="G130" s="9"/>
      <c r="H130" s="9" t="s">
        <v>1093</v>
      </c>
      <c r="I130" s="9" t="s">
        <v>71</v>
      </c>
      <c r="J130" s="9" t="s">
        <v>1058</v>
      </c>
      <c r="K130" s="9" t="s">
        <v>1365</v>
      </c>
      <c r="L130" s="10" t="s">
        <v>1366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1367</v>
      </c>
      <c r="B131" s="10" t="s">
        <v>1368</v>
      </c>
      <c r="C131" s="9" t="s">
        <v>71</v>
      </c>
      <c r="D131" s="10" t="s">
        <v>1196</v>
      </c>
      <c r="E131" s="11" t="n">
        <v>-0.35</v>
      </c>
      <c r="F131" s="9"/>
      <c r="G131" s="9"/>
      <c r="H131" s="9" t="s">
        <v>1057</v>
      </c>
      <c r="I131" s="9" t="s">
        <v>1130</v>
      </c>
      <c r="J131" s="9" t="s">
        <v>1058</v>
      </c>
      <c r="K131" s="9" t="s">
        <v>1369</v>
      </c>
      <c r="L131" s="10" t="s">
        <v>1370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1371</v>
      </c>
      <c r="B132" s="10" t="s">
        <v>1372</v>
      </c>
      <c r="C132" s="9" t="s">
        <v>71</v>
      </c>
      <c r="D132" s="10" t="s">
        <v>1196</v>
      </c>
      <c r="E132" s="11" t="n">
        <v>-0.15</v>
      </c>
      <c r="F132" s="9"/>
      <c r="G132" s="9"/>
      <c r="H132" s="9" t="s">
        <v>1057</v>
      </c>
      <c r="I132" s="9" t="s">
        <v>1130</v>
      </c>
      <c r="J132" s="9" t="s">
        <v>1058</v>
      </c>
      <c r="K132" s="9" t="s">
        <v>1373</v>
      </c>
      <c r="L132" s="10" t="s">
        <v>1370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1374</v>
      </c>
      <c r="B133" s="10" t="s">
        <v>1375</v>
      </c>
      <c r="C133" s="9" t="s">
        <v>71</v>
      </c>
      <c r="D133" s="10" t="s">
        <v>1129</v>
      </c>
      <c r="E133" s="11" t="n">
        <v>0.25</v>
      </c>
      <c r="F133" s="9"/>
      <c r="G133" s="9"/>
      <c r="H133" s="9" t="s">
        <v>1057</v>
      </c>
      <c r="I133" s="9" t="s">
        <v>1130</v>
      </c>
      <c r="J133" s="9" t="s">
        <v>1058</v>
      </c>
      <c r="K133" s="9" t="s">
        <v>1376</v>
      </c>
      <c r="L133" s="10" t="s">
        <v>1370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1377</v>
      </c>
      <c r="B134" s="10" t="s">
        <v>1378</v>
      </c>
      <c r="C134" s="9" t="s">
        <v>71</v>
      </c>
      <c r="D134" s="10" t="s">
        <v>1129</v>
      </c>
      <c r="E134" s="11" t="n">
        <v>-0.45</v>
      </c>
      <c r="F134" s="9"/>
      <c r="G134" s="9"/>
      <c r="H134" s="9" t="s">
        <v>1057</v>
      </c>
      <c r="I134" s="9" t="s">
        <v>1130</v>
      </c>
      <c r="J134" s="9" t="s">
        <v>1058</v>
      </c>
      <c r="K134" s="9" t="s">
        <v>1379</v>
      </c>
      <c r="L134" s="10" t="s">
        <v>1370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1380</v>
      </c>
      <c r="B135" s="10" t="s">
        <v>1381</v>
      </c>
      <c r="C135" s="9" t="s">
        <v>71</v>
      </c>
      <c r="D135" s="10" t="s">
        <v>1129</v>
      </c>
      <c r="E135" s="11" t="n">
        <v>-0.6</v>
      </c>
      <c r="F135" s="9"/>
      <c r="G135" s="9"/>
      <c r="H135" s="9" t="s">
        <v>1057</v>
      </c>
      <c r="I135" s="9" t="s">
        <v>1130</v>
      </c>
      <c r="J135" s="9" t="s">
        <v>1058</v>
      </c>
      <c r="K135" s="9" t="s">
        <v>1382</v>
      </c>
      <c r="L135" s="10" t="s">
        <v>1370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1383</v>
      </c>
      <c r="B136" s="10" t="s">
        <v>1384</v>
      </c>
      <c r="C136" s="9" t="s">
        <v>71</v>
      </c>
      <c r="D136" s="10" t="s">
        <v>1129</v>
      </c>
      <c r="E136" s="11" t="n">
        <v>-0.6</v>
      </c>
      <c r="F136" s="9"/>
      <c r="G136" s="9"/>
      <c r="H136" s="9" t="s">
        <v>1057</v>
      </c>
      <c r="I136" s="9" t="s">
        <v>1130</v>
      </c>
      <c r="J136" s="9" t="s">
        <v>1058</v>
      </c>
      <c r="K136" s="9" t="s">
        <v>1385</v>
      </c>
      <c r="L136" s="10" t="s">
        <v>1370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1386</v>
      </c>
      <c r="B137" s="10" t="s">
        <v>1387</v>
      </c>
      <c r="C137" s="9" t="s">
        <v>71</v>
      </c>
      <c r="D137" s="10" t="s">
        <v>1196</v>
      </c>
      <c r="E137" s="11" t="n">
        <v>-0.7</v>
      </c>
      <c r="F137" s="9"/>
      <c r="G137" s="9"/>
      <c r="H137" s="9" t="s">
        <v>1057</v>
      </c>
      <c r="I137" s="9" t="s">
        <v>1130</v>
      </c>
      <c r="J137" s="9" t="s">
        <v>1058</v>
      </c>
      <c r="K137" s="9" t="s">
        <v>1388</v>
      </c>
      <c r="L137" s="10" t="s">
        <v>1370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1389</v>
      </c>
      <c r="B138" s="10" t="s">
        <v>1390</v>
      </c>
      <c r="C138" s="9" t="s">
        <v>71</v>
      </c>
      <c r="D138" s="10" t="s">
        <v>1196</v>
      </c>
      <c r="E138" s="11" t="n">
        <v>-0.3</v>
      </c>
      <c r="F138" s="9"/>
      <c r="G138" s="9"/>
      <c r="H138" s="9" t="s">
        <v>1057</v>
      </c>
      <c r="I138" s="9" t="s">
        <v>1130</v>
      </c>
      <c r="J138" s="9" t="s">
        <v>1058</v>
      </c>
      <c r="K138" s="9" t="s">
        <v>1391</v>
      </c>
      <c r="L138" s="10" t="s">
        <v>1370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1392</v>
      </c>
      <c r="B139" s="10" t="s">
        <v>1393</v>
      </c>
      <c r="C139" s="9" t="s">
        <v>71</v>
      </c>
      <c r="D139" s="10" t="s">
        <v>1129</v>
      </c>
      <c r="E139" s="11" t="n">
        <v>0.15</v>
      </c>
      <c r="F139" s="9"/>
      <c r="G139" s="9"/>
      <c r="H139" s="9" t="s">
        <v>1057</v>
      </c>
      <c r="I139" s="9" t="s">
        <v>1130</v>
      </c>
      <c r="J139" s="9" t="s">
        <v>1058</v>
      </c>
      <c r="K139" s="9" t="s">
        <v>1394</v>
      </c>
      <c r="L139" s="10" t="s">
        <v>1370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1395</v>
      </c>
      <c r="B140" s="10" t="s">
        <v>1396</v>
      </c>
      <c r="C140" s="9" t="s">
        <v>71</v>
      </c>
      <c r="D140" s="10" t="s">
        <v>1129</v>
      </c>
      <c r="E140" s="11" t="n">
        <v>-0.3</v>
      </c>
      <c r="F140" s="9"/>
      <c r="G140" s="9"/>
      <c r="H140" s="9" t="s">
        <v>1057</v>
      </c>
      <c r="I140" s="9" t="s">
        <v>1130</v>
      </c>
      <c r="J140" s="9" t="s">
        <v>1058</v>
      </c>
      <c r="K140" s="9" t="s">
        <v>1397</v>
      </c>
      <c r="L140" s="10" t="s">
        <v>1370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1398</v>
      </c>
      <c r="B141" s="10" t="s">
        <v>1399</v>
      </c>
      <c r="C141" s="9" t="s">
        <v>71</v>
      </c>
      <c r="D141" s="10" t="s">
        <v>1129</v>
      </c>
      <c r="E141" s="11" t="n">
        <v>-0.4</v>
      </c>
      <c r="F141" s="9"/>
      <c r="G141" s="9"/>
      <c r="H141" s="9" t="s">
        <v>1057</v>
      </c>
      <c r="I141" s="9" t="s">
        <v>1130</v>
      </c>
      <c r="J141" s="9" t="s">
        <v>1058</v>
      </c>
      <c r="K141" s="9" t="s">
        <v>1400</v>
      </c>
      <c r="L141" s="10" t="s">
        <v>1370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1401</v>
      </c>
      <c r="B142" s="10" t="s">
        <v>1402</v>
      </c>
      <c r="C142" s="9" t="s">
        <v>71</v>
      </c>
      <c r="D142" s="10" t="s">
        <v>1129</v>
      </c>
      <c r="E142" s="11" t="n">
        <v>-0.4</v>
      </c>
      <c r="F142" s="9"/>
      <c r="G142" s="9"/>
      <c r="H142" s="9" t="s">
        <v>1057</v>
      </c>
      <c r="I142" s="9" t="s">
        <v>1130</v>
      </c>
      <c r="J142" s="9" t="s">
        <v>1058</v>
      </c>
      <c r="K142" s="9" t="s">
        <v>1403</v>
      </c>
      <c r="L142" s="10" t="s">
        <v>1370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1404</v>
      </c>
      <c r="B143" s="10" t="s">
        <v>1405</v>
      </c>
      <c r="C143" s="9" t="s">
        <v>71</v>
      </c>
      <c r="D143" s="10" t="s">
        <v>1196</v>
      </c>
      <c r="E143" s="11" t="n">
        <v>-1.05</v>
      </c>
      <c r="F143" s="9"/>
      <c r="G143" s="9"/>
      <c r="H143" s="9" t="s">
        <v>1057</v>
      </c>
      <c r="I143" s="9" t="s">
        <v>1130</v>
      </c>
      <c r="J143" s="9" t="s">
        <v>1058</v>
      </c>
      <c r="K143" s="9" t="s">
        <v>1406</v>
      </c>
      <c r="L143" s="10" t="s">
        <v>1370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1407</v>
      </c>
      <c r="B144" s="10" t="s">
        <v>1408</v>
      </c>
      <c r="C144" s="9" t="s">
        <v>71</v>
      </c>
      <c r="D144" s="10" t="s">
        <v>1196</v>
      </c>
      <c r="E144" s="11" t="n">
        <v>-0.45</v>
      </c>
      <c r="F144" s="9"/>
      <c r="G144" s="9"/>
      <c r="H144" s="9" t="s">
        <v>1057</v>
      </c>
      <c r="I144" s="9" t="s">
        <v>1130</v>
      </c>
      <c r="J144" s="9" t="s">
        <v>1058</v>
      </c>
      <c r="K144" s="9" t="s">
        <v>1409</v>
      </c>
      <c r="L144" s="10" t="s">
        <v>1370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1410</v>
      </c>
      <c r="B145" s="10" t="s">
        <v>1411</v>
      </c>
      <c r="C145" s="9" t="s">
        <v>71</v>
      </c>
      <c r="D145" s="10" t="s">
        <v>1129</v>
      </c>
      <c r="E145" s="11" t="n">
        <v>0.1</v>
      </c>
      <c r="F145" s="9"/>
      <c r="G145" s="9"/>
      <c r="H145" s="9" t="s">
        <v>1057</v>
      </c>
      <c r="I145" s="9" t="s">
        <v>1130</v>
      </c>
      <c r="J145" s="9" t="s">
        <v>1058</v>
      </c>
      <c r="K145" s="9" t="s">
        <v>1412</v>
      </c>
      <c r="L145" s="10" t="s">
        <v>1370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1413</v>
      </c>
      <c r="B146" s="10" t="s">
        <v>1414</v>
      </c>
      <c r="C146" s="9" t="s">
        <v>71</v>
      </c>
      <c r="D146" s="10" t="s">
        <v>1129</v>
      </c>
      <c r="E146" s="11" t="n">
        <v>-0.3</v>
      </c>
      <c r="F146" s="9"/>
      <c r="G146" s="9"/>
      <c r="H146" s="9" t="s">
        <v>1057</v>
      </c>
      <c r="I146" s="9" t="s">
        <v>1130</v>
      </c>
      <c r="J146" s="9" t="s">
        <v>1058</v>
      </c>
      <c r="K146" s="9" t="s">
        <v>1415</v>
      </c>
      <c r="L146" s="10" t="s">
        <v>1370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1416</v>
      </c>
      <c r="B147" s="10" t="s">
        <v>1417</v>
      </c>
      <c r="C147" s="9" t="s">
        <v>71</v>
      </c>
      <c r="D147" s="10" t="s">
        <v>1129</v>
      </c>
      <c r="E147" s="11" t="n">
        <v>-0.4</v>
      </c>
      <c r="F147" s="9"/>
      <c r="G147" s="9"/>
      <c r="H147" s="9" t="s">
        <v>1057</v>
      </c>
      <c r="I147" s="9" t="s">
        <v>1130</v>
      </c>
      <c r="J147" s="9" t="s">
        <v>1058</v>
      </c>
      <c r="K147" s="9" t="s">
        <v>1418</v>
      </c>
      <c r="L147" s="10" t="s">
        <v>1370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1419</v>
      </c>
      <c r="B148" s="10" t="s">
        <v>1420</v>
      </c>
      <c r="C148" s="9" t="s">
        <v>71</v>
      </c>
      <c r="D148" s="10" t="s">
        <v>1129</v>
      </c>
      <c r="E148" s="11" t="n">
        <v>-0.4</v>
      </c>
      <c r="F148" s="9"/>
      <c r="G148" s="9"/>
      <c r="H148" s="9" t="s">
        <v>1057</v>
      </c>
      <c r="I148" s="9" t="s">
        <v>1130</v>
      </c>
      <c r="J148" s="9" t="s">
        <v>1058</v>
      </c>
      <c r="K148" s="9" t="s">
        <v>1421</v>
      </c>
      <c r="L148" s="10" t="s">
        <v>1370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1422</v>
      </c>
      <c r="B149" s="10" t="s">
        <v>1423</v>
      </c>
      <c r="C149" s="9" t="s">
        <v>1424</v>
      </c>
      <c r="D149" s="10" t="s">
        <v>120</v>
      </c>
      <c r="E149" s="11" t="n">
        <v>0.9</v>
      </c>
      <c r="F149" s="9"/>
      <c r="G149" s="9"/>
      <c r="H149" s="9" t="s">
        <v>1093</v>
      </c>
      <c r="I149" s="9" t="s">
        <v>71</v>
      </c>
      <c r="J149" s="10" t="s">
        <v>1425</v>
      </c>
      <c r="K149" s="9" t="s">
        <v>1426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1427</v>
      </c>
      <c r="B150" s="10" t="s">
        <v>1423</v>
      </c>
      <c r="C150" s="9" t="s">
        <v>1428</v>
      </c>
      <c r="D150" s="10" t="s">
        <v>120</v>
      </c>
      <c r="E150" s="11" t="n">
        <v>0.1</v>
      </c>
      <c r="F150" s="9"/>
      <c r="G150" s="9"/>
      <c r="H150" s="9" t="s">
        <v>1093</v>
      </c>
      <c r="I150" s="9" t="s">
        <v>71</v>
      </c>
      <c r="J150" s="10" t="s">
        <v>1425</v>
      </c>
      <c r="K150" s="9" t="s">
        <v>1426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1429</v>
      </c>
      <c r="B151" s="10" t="s">
        <v>1423</v>
      </c>
      <c r="C151" s="9" t="s">
        <v>1430</v>
      </c>
      <c r="D151" s="10" t="s">
        <v>120</v>
      </c>
      <c r="E151" s="11" t="n">
        <v>0</v>
      </c>
      <c r="F151" s="9"/>
      <c r="G151" s="9"/>
      <c r="H151" s="9" t="s">
        <v>1093</v>
      </c>
      <c r="I151" s="9" t="s">
        <v>71</v>
      </c>
      <c r="J151" s="10" t="s">
        <v>1425</v>
      </c>
      <c r="K151" s="9" t="s">
        <v>1426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1431</v>
      </c>
      <c r="B152" s="10" t="s">
        <v>1423</v>
      </c>
      <c r="C152" s="10" t="s">
        <v>1432</v>
      </c>
      <c r="D152" s="10" t="s">
        <v>120</v>
      </c>
      <c r="E152" s="11" t="n">
        <v>0.25</v>
      </c>
      <c r="F152" s="9"/>
      <c r="G152" s="9"/>
      <c r="H152" s="9" t="s">
        <v>1093</v>
      </c>
      <c r="I152" s="9" t="s">
        <v>71</v>
      </c>
      <c r="J152" s="10" t="s">
        <v>1425</v>
      </c>
      <c r="K152" s="9" t="s">
        <v>1426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1433</v>
      </c>
      <c r="B153" s="10" t="s">
        <v>1423</v>
      </c>
      <c r="C153" s="10" t="s">
        <v>1434</v>
      </c>
      <c r="D153" s="10" t="s">
        <v>120</v>
      </c>
      <c r="E153" s="11" t="n">
        <v>0.4</v>
      </c>
      <c r="F153" s="9"/>
      <c r="G153" s="9"/>
      <c r="H153" s="9" t="s">
        <v>1093</v>
      </c>
      <c r="I153" s="9" t="s">
        <v>71</v>
      </c>
      <c r="J153" s="10" t="s">
        <v>1425</v>
      </c>
      <c r="K153" s="9" t="s">
        <v>1426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1435</v>
      </c>
      <c r="B154" s="10" t="s">
        <v>1436</v>
      </c>
      <c r="C154" s="9" t="s">
        <v>1424</v>
      </c>
      <c r="D154" s="10" t="s">
        <v>120</v>
      </c>
      <c r="E154" s="11" t="n">
        <v>0.85</v>
      </c>
      <c r="F154" s="9"/>
      <c r="G154" s="9"/>
      <c r="H154" s="9" t="s">
        <v>1093</v>
      </c>
      <c r="I154" s="9" t="s">
        <v>71</v>
      </c>
      <c r="J154" s="10" t="s">
        <v>1425</v>
      </c>
      <c r="K154" s="9" t="s">
        <v>1437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1438</v>
      </c>
      <c r="B155" s="10" t="s">
        <v>1436</v>
      </c>
      <c r="C155" s="9" t="s">
        <v>1428</v>
      </c>
      <c r="D155" s="10" t="s">
        <v>120</v>
      </c>
      <c r="E155" s="11" t="n">
        <v>0.15</v>
      </c>
      <c r="F155" s="9"/>
      <c r="G155" s="9"/>
      <c r="H155" s="9" t="s">
        <v>1093</v>
      </c>
      <c r="I155" s="9" t="s">
        <v>71</v>
      </c>
      <c r="J155" s="10" t="s">
        <v>1425</v>
      </c>
      <c r="K155" s="9" t="s">
        <v>1437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1439</v>
      </c>
      <c r="B156" s="10" t="s">
        <v>1436</v>
      </c>
      <c r="C156" s="9" t="s">
        <v>1430</v>
      </c>
      <c r="D156" s="10" t="s">
        <v>120</v>
      </c>
      <c r="E156" s="11" t="n">
        <v>0</v>
      </c>
      <c r="F156" s="9"/>
      <c r="G156" s="9"/>
      <c r="H156" s="9" t="s">
        <v>1093</v>
      </c>
      <c r="I156" s="9" t="s">
        <v>71</v>
      </c>
      <c r="J156" s="10" t="s">
        <v>1425</v>
      </c>
      <c r="K156" s="9" t="s">
        <v>1437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1440</v>
      </c>
      <c r="B157" s="10" t="s">
        <v>1436</v>
      </c>
      <c r="C157" s="10" t="s">
        <v>1432</v>
      </c>
      <c r="D157" s="10" t="s">
        <v>120</v>
      </c>
      <c r="E157" s="11" t="n">
        <v>0.25</v>
      </c>
      <c r="F157" s="9"/>
      <c r="G157" s="9"/>
      <c r="H157" s="9" t="s">
        <v>1093</v>
      </c>
      <c r="I157" s="9" t="s">
        <v>71</v>
      </c>
      <c r="J157" s="10" t="s">
        <v>1425</v>
      </c>
      <c r="K157" s="9" t="s">
        <v>1437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1441</v>
      </c>
      <c r="B158" s="10" t="s">
        <v>1436</v>
      </c>
      <c r="C158" s="10" t="s">
        <v>1434</v>
      </c>
      <c r="D158" s="10" t="s">
        <v>120</v>
      </c>
      <c r="E158" s="11" t="n">
        <v>0.4</v>
      </c>
      <c r="F158" s="9"/>
      <c r="G158" s="9"/>
      <c r="H158" s="9" t="s">
        <v>1093</v>
      </c>
      <c r="I158" s="9" t="s">
        <v>71</v>
      </c>
      <c r="J158" s="10" t="s">
        <v>1425</v>
      </c>
      <c r="K158" s="9" t="s">
        <v>1437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1442</v>
      </c>
      <c r="B159" s="10" t="s">
        <v>1443</v>
      </c>
      <c r="C159" s="9" t="s">
        <v>1424</v>
      </c>
      <c r="D159" s="10" t="s">
        <v>120</v>
      </c>
      <c r="E159" s="11" t="n">
        <v>0.35</v>
      </c>
      <c r="F159" s="9"/>
      <c r="G159" s="9"/>
      <c r="H159" s="9" t="s">
        <v>1093</v>
      </c>
      <c r="I159" s="9" t="s">
        <v>71</v>
      </c>
      <c r="J159" s="10" t="s">
        <v>1425</v>
      </c>
      <c r="K159" s="9" t="s">
        <v>1444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1445</v>
      </c>
      <c r="B160" s="10" t="s">
        <v>1443</v>
      </c>
      <c r="C160" s="9" t="s">
        <v>1428</v>
      </c>
      <c r="D160" s="10" t="s">
        <v>120</v>
      </c>
      <c r="E160" s="11" t="n">
        <v>0.6</v>
      </c>
      <c r="F160" s="9"/>
      <c r="G160" s="9"/>
      <c r="H160" s="9" t="s">
        <v>1093</v>
      </c>
      <c r="I160" s="9" t="s">
        <v>71</v>
      </c>
      <c r="J160" s="10" t="s">
        <v>1425</v>
      </c>
      <c r="K160" s="9" t="s">
        <v>1444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1446</v>
      </c>
      <c r="B161" s="10" t="s">
        <v>1443</v>
      </c>
      <c r="C161" s="9" t="s">
        <v>1430</v>
      </c>
      <c r="D161" s="10" t="s">
        <v>120</v>
      </c>
      <c r="E161" s="11" t="n">
        <v>0.05</v>
      </c>
      <c r="F161" s="9"/>
      <c r="G161" s="9"/>
      <c r="H161" s="9" t="s">
        <v>1093</v>
      </c>
      <c r="I161" s="9" t="s">
        <v>71</v>
      </c>
      <c r="J161" s="10" t="s">
        <v>1425</v>
      </c>
      <c r="K161" s="9" t="s">
        <v>1444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1447</v>
      </c>
      <c r="B162" s="10" t="s">
        <v>1443</v>
      </c>
      <c r="C162" s="10" t="s">
        <v>1432</v>
      </c>
      <c r="D162" s="10" t="s">
        <v>120</v>
      </c>
      <c r="E162" s="11" t="n">
        <v>0.4</v>
      </c>
      <c r="F162" s="9"/>
      <c r="G162" s="9"/>
      <c r="H162" s="9" t="s">
        <v>1093</v>
      </c>
      <c r="I162" s="9" t="s">
        <v>71</v>
      </c>
      <c r="J162" s="10" t="s">
        <v>1425</v>
      </c>
      <c r="K162" s="9" t="s">
        <v>1444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1448</v>
      </c>
      <c r="B163" s="10" t="s">
        <v>1443</v>
      </c>
      <c r="C163" s="10" t="s">
        <v>1434</v>
      </c>
      <c r="D163" s="10" t="s">
        <v>120</v>
      </c>
      <c r="E163" s="11" t="n">
        <v>0.5</v>
      </c>
      <c r="F163" s="9"/>
      <c r="G163" s="9"/>
      <c r="H163" s="9" t="s">
        <v>1093</v>
      </c>
      <c r="I163" s="9" t="s">
        <v>71</v>
      </c>
      <c r="J163" s="10" t="s">
        <v>1425</v>
      </c>
      <c r="K163" s="9" t="s">
        <v>1444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1449</v>
      </c>
      <c r="B164" s="10" t="s">
        <v>1450</v>
      </c>
      <c r="C164" s="9" t="s">
        <v>1424</v>
      </c>
      <c r="D164" s="10" t="s">
        <v>120</v>
      </c>
      <c r="E164" s="11" t="n">
        <v>0.1</v>
      </c>
      <c r="F164" s="9"/>
      <c r="G164" s="9"/>
      <c r="H164" s="9" t="s">
        <v>1093</v>
      </c>
      <c r="I164" s="9" t="s">
        <v>71</v>
      </c>
      <c r="J164" s="10" t="s">
        <v>1425</v>
      </c>
      <c r="K164" s="9" t="s">
        <v>1451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1452</v>
      </c>
      <c r="B165" s="10" t="s">
        <v>1450</v>
      </c>
      <c r="C165" s="9" t="s">
        <v>1428</v>
      </c>
      <c r="D165" s="10" t="s">
        <v>120</v>
      </c>
      <c r="E165" s="11" t="n">
        <v>0.5</v>
      </c>
      <c r="F165" s="9"/>
      <c r="G165" s="9"/>
      <c r="H165" s="9" t="s">
        <v>1093</v>
      </c>
      <c r="I165" s="9" t="s">
        <v>71</v>
      </c>
      <c r="J165" s="10" t="s">
        <v>1425</v>
      </c>
      <c r="K165" s="9" t="s">
        <v>1451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1453</v>
      </c>
      <c r="B166" s="10" t="s">
        <v>1450</v>
      </c>
      <c r="C166" s="9" t="s">
        <v>1430</v>
      </c>
      <c r="D166" s="10" t="s">
        <v>120</v>
      </c>
      <c r="E166" s="11" t="n">
        <v>0.4</v>
      </c>
      <c r="F166" s="9"/>
      <c r="G166" s="9"/>
      <c r="H166" s="9" t="s">
        <v>1093</v>
      </c>
      <c r="I166" s="9" t="s">
        <v>71</v>
      </c>
      <c r="J166" s="10" t="s">
        <v>1425</v>
      </c>
      <c r="K166" s="9" t="s">
        <v>1451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1454</v>
      </c>
      <c r="B167" s="10" t="s">
        <v>1450</v>
      </c>
      <c r="C167" s="10" t="s">
        <v>1432</v>
      </c>
      <c r="D167" s="10" t="s">
        <v>120</v>
      </c>
      <c r="E167" s="11" t="n">
        <v>0.5</v>
      </c>
      <c r="F167" s="9"/>
      <c r="G167" s="9"/>
      <c r="H167" s="9" t="s">
        <v>1093</v>
      </c>
      <c r="I167" s="9" t="s">
        <v>71</v>
      </c>
      <c r="J167" s="10" t="s">
        <v>1425</v>
      </c>
      <c r="K167" s="9" t="s">
        <v>1451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1455</v>
      </c>
      <c r="B168" s="10" t="s">
        <v>1450</v>
      </c>
      <c r="C168" s="10" t="s">
        <v>1434</v>
      </c>
      <c r="D168" s="10" t="s">
        <v>120</v>
      </c>
      <c r="E168" s="11" t="n">
        <v>0.6</v>
      </c>
      <c r="F168" s="9"/>
      <c r="G168" s="9"/>
      <c r="H168" s="9" t="s">
        <v>1093</v>
      </c>
      <c r="I168" s="9" t="s">
        <v>71</v>
      </c>
      <c r="J168" s="10" t="s">
        <v>1425</v>
      </c>
      <c r="K168" s="9" t="s">
        <v>1451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1456</v>
      </c>
      <c r="B169" s="10" t="s">
        <v>1457</v>
      </c>
      <c r="C169" s="9" t="s">
        <v>1424</v>
      </c>
      <c r="D169" s="10" t="s">
        <v>120</v>
      </c>
      <c r="E169" s="11" t="n">
        <v>0.3</v>
      </c>
      <c r="F169" s="9"/>
      <c r="G169" s="9"/>
      <c r="H169" s="9" t="s">
        <v>1093</v>
      </c>
      <c r="I169" s="9" t="s">
        <v>71</v>
      </c>
      <c r="J169" s="10" t="s">
        <v>1425</v>
      </c>
      <c r="K169" s="9" t="s">
        <v>1458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1459</v>
      </c>
      <c r="B170" s="10" t="s">
        <v>1457</v>
      </c>
      <c r="C170" s="9" t="s">
        <v>1428</v>
      </c>
      <c r="D170" s="10" t="s">
        <v>120</v>
      </c>
      <c r="E170" s="11" t="n">
        <v>0.65</v>
      </c>
      <c r="F170" s="9"/>
      <c r="G170" s="9"/>
      <c r="H170" s="9" t="s">
        <v>1093</v>
      </c>
      <c r="I170" s="9" t="s">
        <v>71</v>
      </c>
      <c r="J170" s="10" t="s">
        <v>1425</v>
      </c>
      <c r="K170" s="9" t="s">
        <v>1458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1460</v>
      </c>
      <c r="B171" s="10" t="s">
        <v>1457</v>
      </c>
      <c r="C171" s="9" t="s">
        <v>1430</v>
      </c>
      <c r="D171" s="10" t="s">
        <v>120</v>
      </c>
      <c r="E171" s="11" t="n">
        <v>0.05</v>
      </c>
      <c r="F171" s="9"/>
      <c r="G171" s="9"/>
      <c r="H171" s="9" t="s">
        <v>1093</v>
      </c>
      <c r="I171" s="9" t="s">
        <v>71</v>
      </c>
      <c r="J171" s="10" t="s">
        <v>1425</v>
      </c>
      <c r="K171" s="9" t="s">
        <v>1458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1461</v>
      </c>
      <c r="B172" s="10" t="s">
        <v>1457</v>
      </c>
      <c r="C172" s="10" t="s">
        <v>1432</v>
      </c>
      <c r="D172" s="10" t="s">
        <v>120</v>
      </c>
      <c r="E172" s="11" t="n">
        <v>0.35</v>
      </c>
      <c r="F172" s="9"/>
      <c r="G172" s="9"/>
      <c r="H172" s="9" t="s">
        <v>1093</v>
      </c>
      <c r="I172" s="9" t="s">
        <v>71</v>
      </c>
      <c r="J172" s="10" t="s">
        <v>1425</v>
      </c>
      <c r="K172" s="9" t="s">
        <v>1458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1462</v>
      </c>
      <c r="B173" s="10" t="s">
        <v>1457</v>
      </c>
      <c r="C173" s="10" t="s">
        <v>1434</v>
      </c>
      <c r="D173" s="10" t="s">
        <v>120</v>
      </c>
      <c r="E173" s="11" t="n">
        <v>0.55</v>
      </c>
      <c r="F173" s="9"/>
      <c r="G173" s="9"/>
      <c r="H173" s="9" t="s">
        <v>1093</v>
      </c>
      <c r="I173" s="9" t="s">
        <v>71</v>
      </c>
      <c r="J173" s="10" t="s">
        <v>1425</v>
      </c>
      <c r="K173" s="9" t="s">
        <v>1458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1463</v>
      </c>
      <c r="B174" s="9" t="s">
        <v>1464</v>
      </c>
      <c r="C174" s="9" t="s">
        <v>71</v>
      </c>
      <c r="D174" s="10" t="s">
        <v>120</v>
      </c>
      <c r="E174" s="11" t="n">
        <v>0.5</v>
      </c>
      <c r="F174" s="11" t="n">
        <v>0.3</v>
      </c>
      <c r="G174" s="11" t="n">
        <v>0.65</v>
      </c>
      <c r="H174" s="9" t="s">
        <v>1093</v>
      </c>
      <c r="I174" s="9" t="s">
        <v>1465</v>
      </c>
      <c r="J174" s="9" t="s">
        <v>1058</v>
      </c>
      <c r="K174" s="9" t="s">
        <v>1466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1467</v>
      </c>
      <c r="B175" s="10" t="s">
        <v>1468</v>
      </c>
      <c r="C175" s="9" t="s">
        <v>71</v>
      </c>
      <c r="D175" s="10" t="s">
        <v>1469</v>
      </c>
      <c r="E175" s="9" t="s">
        <v>1470</v>
      </c>
      <c r="F175" s="9"/>
      <c r="G175" s="9"/>
      <c r="H175" s="9" t="s">
        <v>1057</v>
      </c>
      <c r="I175" s="9" t="s">
        <v>1471</v>
      </c>
      <c r="J175" s="9" t="s">
        <v>1058</v>
      </c>
      <c r="K175" s="9" t="s">
        <v>1472</v>
      </c>
      <c r="L175" s="10" t="s">
        <v>1473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1474</v>
      </c>
      <c r="B176" s="10" t="s">
        <v>1475</v>
      </c>
      <c r="C176" s="9" t="s">
        <v>71</v>
      </c>
      <c r="D176" s="10" t="s">
        <v>152</v>
      </c>
      <c r="E176" s="11" t="n">
        <v>2025</v>
      </c>
      <c r="F176" s="11" t="n">
        <v>2025</v>
      </c>
      <c r="G176" s="11" t="n">
        <v>2026</v>
      </c>
      <c r="H176" s="9" t="s">
        <v>1109</v>
      </c>
      <c r="I176" s="9" t="s">
        <v>1476</v>
      </c>
      <c r="J176" s="9" t="s">
        <v>1058</v>
      </c>
      <c r="K176" s="9" t="s">
        <v>356</v>
      </c>
      <c r="L176" s="9" t="s">
        <v>1477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1478</v>
      </c>
      <c r="B177" s="10" t="s">
        <v>1479</v>
      </c>
      <c r="C177" s="9" t="s">
        <v>71</v>
      </c>
      <c r="D177" s="10" t="s">
        <v>152</v>
      </c>
      <c r="E177" s="11" t="n">
        <v>2030</v>
      </c>
      <c r="F177" s="11" t="n">
        <v>2029</v>
      </c>
      <c r="G177" s="11" t="n">
        <v>2032</v>
      </c>
      <c r="H177" s="9" t="s">
        <v>1093</v>
      </c>
      <c r="I177" s="9" t="s">
        <v>1480</v>
      </c>
      <c r="J177" s="9" t="s">
        <v>1058</v>
      </c>
      <c r="K177" s="9" t="s">
        <v>356</v>
      </c>
      <c r="L177" s="9" t="s">
        <v>1481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1482</v>
      </c>
      <c r="B178" s="10" t="s">
        <v>1483</v>
      </c>
      <c r="C178" s="9" t="s">
        <v>71</v>
      </c>
      <c r="D178" s="9" t="s">
        <v>68</v>
      </c>
      <c r="E178" s="11" t="n">
        <v>20</v>
      </c>
      <c r="F178" s="11" t="n">
        <v>20</v>
      </c>
      <c r="G178" s="11" t="n">
        <v>25</v>
      </c>
      <c r="H178" s="9" t="s">
        <v>1093</v>
      </c>
      <c r="I178" s="9" t="s">
        <v>1480</v>
      </c>
      <c r="J178" s="9" t="s">
        <v>1058</v>
      </c>
      <c r="K178" s="9" t="s">
        <v>425</v>
      </c>
      <c r="L178" s="9" t="s">
        <v>1484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1485</v>
      </c>
      <c r="B179" s="10" t="s">
        <v>1486</v>
      </c>
      <c r="C179" s="9" t="s">
        <v>71</v>
      </c>
      <c r="D179" s="10" t="s">
        <v>152</v>
      </c>
      <c r="E179" s="11" t="n">
        <v>2031</v>
      </c>
      <c r="F179" s="11" t="n">
        <v>2029</v>
      </c>
      <c r="G179" s="11" t="n">
        <v>2032</v>
      </c>
      <c r="H179" s="9" t="s">
        <v>1093</v>
      </c>
      <c r="I179" s="9" t="s">
        <v>1480</v>
      </c>
      <c r="J179" s="9" t="s">
        <v>1058</v>
      </c>
      <c r="K179" s="9" t="s">
        <v>425</v>
      </c>
      <c r="L179" s="9" t="s">
        <v>1487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1488</v>
      </c>
      <c r="B180" s="10" t="s">
        <v>1489</v>
      </c>
      <c r="C180" s="9" t="s">
        <v>411</v>
      </c>
      <c r="D180" s="9" t="s">
        <v>68</v>
      </c>
      <c r="E180" s="11" t="n">
        <v>0</v>
      </c>
      <c r="F180" s="9"/>
      <c r="G180" s="9"/>
      <c r="H180" s="9" t="s">
        <v>1093</v>
      </c>
      <c r="I180" s="9" t="s">
        <v>71</v>
      </c>
      <c r="J180" s="9" t="s">
        <v>1058</v>
      </c>
      <c r="K180" s="9" t="s">
        <v>1490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1491</v>
      </c>
      <c r="B181" s="10" t="s">
        <v>1489</v>
      </c>
      <c r="C181" s="9" t="s">
        <v>423</v>
      </c>
      <c r="D181" s="9" t="s">
        <v>68</v>
      </c>
      <c r="E181" s="11" t="n">
        <v>20</v>
      </c>
      <c r="F181" s="9"/>
      <c r="G181" s="9"/>
      <c r="H181" s="9" t="s">
        <v>1093</v>
      </c>
      <c r="I181" s="9" t="s">
        <v>71</v>
      </c>
      <c r="J181" s="9" t="s">
        <v>1058</v>
      </c>
      <c r="K181" s="9" t="s">
        <v>1490</v>
      </c>
      <c r="L181" s="10" t="s">
        <v>1492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1493</v>
      </c>
      <c r="B182" s="10" t="s">
        <v>1489</v>
      </c>
      <c r="C182" s="9" t="s">
        <v>1170</v>
      </c>
      <c r="D182" s="9" t="s">
        <v>68</v>
      </c>
      <c r="E182" s="11" t="n">
        <v>30</v>
      </c>
      <c r="F182" s="9"/>
      <c r="G182" s="9"/>
      <c r="H182" s="9" t="s">
        <v>1093</v>
      </c>
      <c r="I182" s="9" t="s">
        <v>71</v>
      </c>
      <c r="J182" s="9" t="s">
        <v>1058</v>
      </c>
      <c r="K182" s="9" t="s">
        <v>1490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1494</v>
      </c>
      <c r="B183" s="10" t="s">
        <v>1489</v>
      </c>
      <c r="C183" s="9" t="s">
        <v>1172</v>
      </c>
      <c r="D183" s="9" t="s">
        <v>68</v>
      </c>
      <c r="E183" s="11" t="n">
        <v>45</v>
      </c>
      <c r="F183" s="9"/>
      <c r="G183" s="9"/>
      <c r="H183" s="9" t="s">
        <v>1093</v>
      </c>
      <c r="I183" s="9" t="s">
        <v>71</v>
      </c>
      <c r="J183" s="9" t="s">
        <v>1058</v>
      </c>
      <c r="K183" s="9" t="s">
        <v>1490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1495</v>
      </c>
      <c r="B184" s="10" t="s">
        <v>1489</v>
      </c>
      <c r="C184" s="9" t="s">
        <v>1174</v>
      </c>
      <c r="D184" s="9" t="s">
        <v>68</v>
      </c>
      <c r="E184" s="11" t="n">
        <v>60</v>
      </c>
      <c r="F184" s="9"/>
      <c r="G184" s="9"/>
      <c r="H184" s="9" t="s">
        <v>1093</v>
      </c>
      <c r="I184" s="9" t="s">
        <v>71</v>
      </c>
      <c r="J184" s="9" t="s">
        <v>1058</v>
      </c>
      <c r="K184" s="9" t="s">
        <v>1490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1496</v>
      </c>
      <c r="B185" s="10" t="s">
        <v>1489</v>
      </c>
      <c r="C185" s="9" t="s">
        <v>1176</v>
      </c>
      <c r="D185" s="9" t="s">
        <v>68</v>
      </c>
      <c r="E185" s="11" t="n">
        <v>70</v>
      </c>
      <c r="F185" s="9"/>
      <c r="G185" s="9"/>
      <c r="H185" s="9" t="s">
        <v>1093</v>
      </c>
      <c r="I185" s="9" t="s">
        <v>71</v>
      </c>
      <c r="J185" s="9" t="s">
        <v>1058</v>
      </c>
      <c r="K185" s="9" t="s">
        <v>1490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1497</v>
      </c>
      <c r="B186" s="10" t="s">
        <v>1498</v>
      </c>
      <c r="C186" s="9" t="s">
        <v>71</v>
      </c>
      <c r="D186" s="10" t="s">
        <v>560</v>
      </c>
      <c r="E186" s="11" t="n">
        <v>0.6</v>
      </c>
      <c r="F186" s="9"/>
      <c r="G186" s="9"/>
      <c r="H186" s="9" t="s">
        <v>1093</v>
      </c>
      <c r="I186" s="9" t="s">
        <v>71</v>
      </c>
      <c r="J186" s="9" t="s">
        <v>1058</v>
      </c>
      <c r="K186" s="9" t="s">
        <v>1490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1499</v>
      </c>
      <c r="B187" s="10" t="s">
        <v>1500</v>
      </c>
      <c r="C187" s="9" t="s">
        <v>71</v>
      </c>
      <c r="D187" s="10" t="s">
        <v>560</v>
      </c>
      <c r="E187" s="11" t="n">
        <v>1.5</v>
      </c>
      <c r="F187" s="9"/>
      <c r="G187" s="9"/>
      <c r="H187" s="9" t="s">
        <v>1093</v>
      </c>
      <c r="I187" s="9" t="s">
        <v>71</v>
      </c>
      <c r="J187" s="9" t="s">
        <v>1058</v>
      </c>
      <c r="K187" s="9" t="s">
        <v>1490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1501</v>
      </c>
      <c r="B188" s="10" t="s">
        <v>1502</v>
      </c>
      <c r="C188" s="9" t="s">
        <v>71</v>
      </c>
      <c r="D188" s="10" t="s">
        <v>120</v>
      </c>
      <c r="E188" s="11" t="n">
        <v>0</v>
      </c>
      <c r="F188" s="11" t="n">
        <v>0</v>
      </c>
      <c r="G188" s="11" t="n">
        <v>0.3</v>
      </c>
      <c r="H188" s="9" t="s">
        <v>1093</v>
      </c>
      <c r="I188" s="9" t="s">
        <v>1503</v>
      </c>
      <c r="J188" s="9" t="s">
        <v>1058</v>
      </c>
      <c r="K188" s="9" t="s">
        <v>1504</v>
      </c>
      <c r="L188" s="10" t="s">
        <v>1505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1506</v>
      </c>
      <c r="B189" s="10" t="s">
        <v>1507</v>
      </c>
      <c r="C189" s="9" t="s">
        <v>423</v>
      </c>
      <c r="D189" s="10" t="s">
        <v>120</v>
      </c>
      <c r="E189" s="11" t="n">
        <v>0.33</v>
      </c>
      <c r="F189" s="9"/>
      <c r="G189" s="9"/>
      <c r="H189" s="9" t="s">
        <v>1093</v>
      </c>
      <c r="I189" s="9" t="s">
        <v>1508</v>
      </c>
      <c r="J189" s="9" t="s">
        <v>1509</v>
      </c>
      <c r="K189" s="9" t="s">
        <v>1510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1511</v>
      </c>
      <c r="B190" s="10" t="s">
        <v>1507</v>
      </c>
      <c r="C190" s="9" t="s">
        <v>1170</v>
      </c>
      <c r="D190" s="10" t="s">
        <v>120</v>
      </c>
      <c r="E190" s="11" t="n">
        <v>0.265</v>
      </c>
      <c r="F190" s="9"/>
      <c r="G190" s="9"/>
      <c r="H190" s="9" t="s">
        <v>1093</v>
      </c>
      <c r="I190" s="9" t="s">
        <v>1508</v>
      </c>
      <c r="J190" s="9" t="s">
        <v>1509</v>
      </c>
      <c r="K190" s="9" t="s">
        <v>1510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1512</v>
      </c>
      <c r="B191" s="10" t="s">
        <v>1507</v>
      </c>
      <c r="C191" s="9" t="s">
        <v>1172</v>
      </c>
      <c r="D191" s="10" t="s">
        <v>120</v>
      </c>
      <c r="E191" s="11" t="n">
        <v>0.22</v>
      </c>
      <c r="F191" s="9"/>
      <c r="G191" s="9"/>
      <c r="H191" s="9" t="s">
        <v>1093</v>
      </c>
      <c r="I191" s="9" t="s">
        <v>1508</v>
      </c>
      <c r="J191" s="9" t="s">
        <v>1509</v>
      </c>
      <c r="K191" s="9" t="s">
        <v>1510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1513</v>
      </c>
      <c r="B192" s="10" t="s">
        <v>1507</v>
      </c>
      <c r="C192" s="9" t="s">
        <v>1174</v>
      </c>
      <c r="D192" s="10" t="s">
        <v>120</v>
      </c>
      <c r="E192" s="11" t="n">
        <v>0.18</v>
      </c>
      <c r="F192" s="9"/>
      <c r="G192" s="9"/>
      <c r="H192" s="9" t="s">
        <v>1093</v>
      </c>
      <c r="I192" s="9" t="s">
        <v>1508</v>
      </c>
      <c r="J192" s="9" t="s">
        <v>1509</v>
      </c>
      <c r="K192" s="9" t="s">
        <v>1510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1514</v>
      </c>
      <c r="B193" s="10" t="s">
        <v>1507</v>
      </c>
      <c r="C193" s="9" t="s">
        <v>1176</v>
      </c>
      <c r="D193" s="10" t="s">
        <v>120</v>
      </c>
      <c r="E193" s="11" t="n">
        <v>0.14</v>
      </c>
      <c r="F193" s="9"/>
      <c r="G193" s="9"/>
      <c r="H193" s="9" t="s">
        <v>1093</v>
      </c>
      <c r="I193" s="9" t="s">
        <v>1508</v>
      </c>
      <c r="J193" s="9" t="s">
        <v>1509</v>
      </c>
      <c r="K193" s="9" t="s">
        <v>1510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1515</v>
      </c>
      <c r="B194" s="10" t="s">
        <v>1516</v>
      </c>
      <c r="C194" s="9" t="s">
        <v>71</v>
      </c>
      <c r="D194" s="10" t="s">
        <v>560</v>
      </c>
      <c r="E194" s="11" t="n">
        <v>0.8</v>
      </c>
      <c r="F194" s="9"/>
      <c r="G194" s="9"/>
      <c r="H194" s="9" t="s">
        <v>1093</v>
      </c>
      <c r="I194" s="9" t="s">
        <v>1508</v>
      </c>
      <c r="J194" s="9" t="s">
        <v>1517</v>
      </c>
      <c r="K194" s="9" t="s">
        <v>1510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1518</v>
      </c>
      <c r="B195" s="10" t="s">
        <v>1519</v>
      </c>
      <c r="C195" s="9" t="s">
        <v>71</v>
      </c>
      <c r="D195" s="10" t="s">
        <v>560</v>
      </c>
      <c r="E195" s="11" t="n">
        <v>1.3</v>
      </c>
      <c r="F195" s="9"/>
      <c r="G195" s="9"/>
      <c r="H195" s="9" t="s">
        <v>1093</v>
      </c>
      <c r="I195" s="9" t="s">
        <v>1508</v>
      </c>
      <c r="J195" s="9" t="s">
        <v>1517</v>
      </c>
      <c r="K195" s="9" t="s">
        <v>1510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1520</v>
      </c>
      <c r="B196" s="10" t="s">
        <v>1521</v>
      </c>
      <c r="C196" s="9" t="s">
        <v>71</v>
      </c>
      <c r="D196" s="9" t="s">
        <v>68</v>
      </c>
      <c r="E196" s="11" t="n">
        <v>10</v>
      </c>
      <c r="F196" s="11" t="n">
        <v>5</v>
      </c>
      <c r="G196" s="11" t="n">
        <v>20</v>
      </c>
      <c r="H196" s="9" t="s">
        <v>1093</v>
      </c>
      <c r="I196" s="9" t="s">
        <v>1522</v>
      </c>
      <c r="J196" s="9" t="s">
        <v>1058</v>
      </c>
      <c r="K196" s="9" t="s">
        <v>1523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1524</v>
      </c>
      <c r="B197" s="10" t="s">
        <v>1525</v>
      </c>
      <c r="C197" s="9" t="s">
        <v>71</v>
      </c>
      <c r="D197" s="10" t="s">
        <v>560</v>
      </c>
      <c r="E197" s="11" t="n">
        <v>0.6</v>
      </c>
      <c r="F197" s="11" t="n">
        <v>0.4</v>
      </c>
      <c r="G197" s="11" t="n">
        <v>1</v>
      </c>
      <c r="H197" s="9" t="s">
        <v>1093</v>
      </c>
      <c r="I197" s="9" t="s">
        <v>71</v>
      </c>
      <c r="J197" s="9" t="s">
        <v>1526</v>
      </c>
      <c r="K197" s="9" t="s">
        <v>1527</v>
      </c>
      <c r="L197" s="9" t="s">
        <v>1528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1529</v>
      </c>
      <c r="B198" s="10" t="s">
        <v>1530</v>
      </c>
      <c r="C198" s="9" t="s">
        <v>411</v>
      </c>
      <c r="D198" s="10" t="s">
        <v>120</v>
      </c>
      <c r="E198" s="11" t="n">
        <v>0.6</v>
      </c>
      <c r="F198" s="9"/>
      <c r="G198" s="9"/>
      <c r="H198" s="9" t="s">
        <v>1093</v>
      </c>
      <c r="I198" s="9" t="s">
        <v>1531</v>
      </c>
      <c r="J198" s="9" t="s">
        <v>1532</v>
      </c>
      <c r="K198" s="9" t="s">
        <v>1533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1534</v>
      </c>
      <c r="B199" s="10" t="s">
        <v>1530</v>
      </c>
      <c r="C199" s="9" t="s">
        <v>423</v>
      </c>
      <c r="D199" s="10" t="s">
        <v>120</v>
      </c>
      <c r="E199" s="11" t="n">
        <v>0.35</v>
      </c>
      <c r="F199" s="9"/>
      <c r="G199" s="9"/>
      <c r="H199" s="9" t="s">
        <v>1093</v>
      </c>
      <c r="I199" s="9" t="s">
        <v>1531</v>
      </c>
      <c r="J199" s="9" t="s">
        <v>1532</v>
      </c>
      <c r="K199" s="9" t="s">
        <v>1533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1535</v>
      </c>
      <c r="B200" s="10" t="s">
        <v>1530</v>
      </c>
      <c r="C200" s="9" t="s">
        <v>1170</v>
      </c>
      <c r="D200" s="10" t="s">
        <v>120</v>
      </c>
      <c r="E200" s="11" t="n">
        <v>0.15</v>
      </c>
      <c r="F200" s="9"/>
      <c r="G200" s="9"/>
      <c r="H200" s="9" t="s">
        <v>1093</v>
      </c>
      <c r="I200" s="9" t="s">
        <v>1531</v>
      </c>
      <c r="J200" s="9" t="s">
        <v>1532</v>
      </c>
      <c r="K200" s="9" t="s">
        <v>1533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1536</v>
      </c>
      <c r="B201" s="10" t="s">
        <v>1530</v>
      </c>
      <c r="C201" s="9" t="s">
        <v>1172</v>
      </c>
      <c r="D201" s="10" t="s">
        <v>120</v>
      </c>
      <c r="E201" s="11" t="n">
        <v>0.05</v>
      </c>
      <c r="F201" s="9"/>
      <c r="G201" s="9"/>
      <c r="H201" s="9" t="s">
        <v>1093</v>
      </c>
      <c r="I201" s="9" t="s">
        <v>1531</v>
      </c>
      <c r="J201" s="9" t="s">
        <v>1532</v>
      </c>
      <c r="K201" s="9" t="s">
        <v>1533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1537</v>
      </c>
      <c r="B202" s="10" t="s">
        <v>1530</v>
      </c>
      <c r="C202" s="9" t="s">
        <v>1174</v>
      </c>
      <c r="D202" s="10" t="s">
        <v>120</v>
      </c>
      <c r="E202" s="11" t="n">
        <v>0</v>
      </c>
      <c r="F202" s="9"/>
      <c r="G202" s="9"/>
      <c r="H202" s="9" t="s">
        <v>1093</v>
      </c>
      <c r="I202" s="9" t="s">
        <v>1531</v>
      </c>
      <c r="J202" s="9" t="s">
        <v>1532</v>
      </c>
      <c r="K202" s="9" t="s">
        <v>1533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1538</v>
      </c>
      <c r="B203" s="10" t="s">
        <v>1530</v>
      </c>
      <c r="C203" s="9" t="s">
        <v>1176</v>
      </c>
      <c r="D203" s="10" t="s">
        <v>120</v>
      </c>
      <c r="E203" s="11" t="n">
        <v>0</v>
      </c>
      <c r="F203" s="9"/>
      <c r="G203" s="9"/>
      <c r="H203" s="9" t="s">
        <v>1093</v>
      </c>
      <c r="I203" s="9" t="s">
        <v>1531</v>
      </c>
      <c r="J203" s="9" t="s">
        <v>1532</v>
      </c>
      <c r="K203" s="9" t="s">
        <v>1533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1539</v>
      </c>
      <c r="B204" s="10" t="s">
        <v>1540</v>
      </c>
      <c r="C204" s="9" t="s">
        <v>411</v>
      </c>
      <c r="D204" s="10" t="s">
        <v>120</v>
      </c>
      <c r="E204" s="11" t="n">
        <v>0.4</v>
      </c>
      <c r="F204" s="9"/>
      <c r="G204" s="9"/>
      <c r="H204" s="9" t="s">
        <v>1093</v>
      </c>
      <c r="I204" s="9" t="s">
        <v>1531</v>
      </c>
      <c r="J204" s="9" t="s">
        <v>1532</v>
      </c>
      <c r="K204" s="9" t="s">
        <v>1541</v>
      </c>
      <c r="L204" s="9" t="s">
        <v>1542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1543</v>
      </c>
      <c r="B205" s="10" t="s">
        <v>1540</v>
      </c>
      <c r="C205" s="9" t="s">
        <v>423</v>
      </c>
      <c r="D205" s="10" t="s">
        <v>120</v>
      </c>
      <c r="E205" s="11" t="n">
        <v>0.55</v>
      </c>
      <c r="F205" s="9"/>
      <c r="G205" s="9"/>
      <c r="H205" s="9" t="s">
        <v>1093</v>
      </c>
      <c r="I205" s="9" t="s">
        <v>1531</v>
      </c>
      <c r="J205" s="9" t="s">
        <v>1532</v>
      </c>
      <c r="K205" s="9" t="s">
        <v>1541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1544</v>
      </c>
      <c r="B206" s="10" t="s">
        <v>1540</v>
      </c>
      <c r="C206" s="9" t="s">
        <v>1170</v>
      </c>
      <c r="D206" s="10" t="s">
        <v>120</v>
      </c>
      <c r="E206" s="11" t="n">
        <v>0.45</v>
      </c>
      <c r="F206" s="9"/>
      <c r="G206" s="9"/>
      <c r="H206" s="9" t="s">
        <v>1093</v>
      </c>
      <c r="I206" s="9" t="s">
        <v>1531</v>
      </c>
      <c r="J206" s="9" t="s">
        <v>1532</v>
      </c>
      <c r="K206" s="9" t="s">
        <v>1541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1545</v>
      </c>
      <c r="B207" s="10" t="s">
        <v>1540</v>
      </c>
      <c r="C207" s="9" t="s">
        <v>1172</v>
      </c>
      <c r="D207" s="10" t="s">
        <v>120</v>
      </c>
      <c r="E207" s="11" t="n">
        <v>0.3</v>
      </c>
      <c r="F207" s="9"/>
      <c r="G207" s="9"/>
      <c r="H207" s="9" t="s">
        <v>1093</v>
      </c>
      <c r="I207" s="9" t="s">
        <v>1531</v>
      </c>
      <c r="J207" s="9" t="s">
        <v>1532</v>
      </c>
      <c r="K207" s="9" t="s">
        <v>1541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1546</v>
      </c>
      <c r="B208" s="10" t="s">
        <v>1540</v>
      </c>
      <c r="C208" s="9" t="s">
        <v>1174</v>
      </c>
      <c r="D208" s="10" t="s">
        <v>120</v>
      </c>
      <c r="E208" s="11" t="n">
        <v>0.2</v>
      </c>
      <c r="F208" s="9"/>
      <c r="G208" s="9"/>
      <c r="H208" s="9" t="s">
        <v>1093</v>
      </c>
      <c r="I208" s="9" t="s">
        <v>1531</v>
      </c>
      <c r="J208" s="9" t="s">
        <v>1532</v>
      </c>
      <c r="K208" s="9" t="s">
        <v>1541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1547</v>
      </c>
      <c r="B209" s="10" t="s">
        <v>1540</v>
      </c>
      <c r="C209" s="9" t="s">
        <v>1176</v>
      </c>
      <c r="D209" s="10" t="s">
        <v>120</v>
      </c>
      <c r="E209" s="11" t="n">
        <v>0.1</v>
      </c>
      <c r="F209" s="9"/>
      <c r="G209" s="9"/>
      <c r="H209" s="9" t="s">
        <v>1093</v>
      </c>
      <c r="I209" s="9" t="s">
        <v>1531</v>
      </c>
      <c r="J209" s="9" t="s">
        <v>1532</v>
      </c>
      <c r="K209" s="9" t="s">
        <v>1541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1548</v>
      </c>
      <c r="B210" s="10" t="s">
        <v>1549</v>
      </c>
      <c r="C210" s="9" t="s">
        <v>411</v>
      </c>
      <c r="D210" s="10" t="s">
        <v>120</v>
      </c>
      <c r="E210" s="11" t="n">
        <v>0</v>
      </c>
      <c r="F210" s="9"/>
      <c r="G210" s="9"/>
      <c r="H210" s="9" t="s">
        <v>1093</v>
      </c>
      <c r="I210" s="9" t="s">
        <v>1531</v>
      </c>
      <c r="J210" s="9" t="s">
        <v>1532</v>
      </c>
      <c r="K210" s="9" t="s">
        <v>1550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1551</v>
      </c>
      <c r="B211" s="10" t="s">
        <v>1549</v>
      </c>
      <c r="C211" s="9" t="s">
        <v>423</v>
      </c>
      <c r="D211" s="10" t="s">
        <v>120</v>
      </c>
      <c r="E211" s="11" t="n">
        <v>0.05</v>
      </c>
      <c r="F211" s="9"/>
      <c r="G211" s="9"/>
      <c r="H211" s="9" t="s">
        <v>1093</v>
      </c>
      <c r="I211" s="9" t="s">
        <v>1531</v>
      </c>
      <c r="J211" s="9" t="s">
        <v>1532</v>
      </c>
      <c r="K211" s="9" t="s">
        <v>1550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1552</v>
      </c>
      <c r="B212" s="10" t="s">
        <v>1549</v>
      </c>
      <c r="C212" s="9" t="s">
        <v>1170</v>
      </c>
      <c r="D212" s="10" t="s">
        <v>120</v>
      </c>
      <c r="E212" s="11" t="n">
        <v>0.3</v>
      </c>
      <c r="F212" s="9"/>
      <c r="G212" s="9"/>
      <c r="H212" s="9" t="s">
        <v>1093</v>
      </c>
      <c r="I212" s="9" t="s">
        <v>1531</v>
      </c>
      <c r="J212" s="9" t="s">
        <v>1532</v>
      </c>
      <c r="K212" s="9" t="s">
        <v>1550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1553</v>
      </c>
      <c r="B213" s="10" t="s">
        <v>1549</v>
      </c>
      <c r="C213" s="9" t="s">
        <v>1172</v>
      </c>
      <c r="D213" s="10" t="s">
        <v>120</v>
      </c>
      <c r="E213" s="11" t="n">
        <v>0.45</v>
      </c>
      <c r="F213" s="9"/>
      <c r="G213" s="9"/>
      <c r="H213" s="9" t="s">
        <v>1093</v>
      </c>
      <c r="I213" s="9" t="s">
        <v>1531</v>
      </c>
      <c r="J213" s="9" t="s">
        <v>1532</v>
      </c>
      <c r="K213" s="9" t="s">
        <v>1550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1554</v>
      </c>
      <c r="B214" s="10" t="s">
        <v>1549</v>
      </c>
      <c r="C214" s="9" t="s">
        <v>1174</v>
      </c>
      <c r="D214" s="10" t="s">
        <v>120</v>
      </c>
      <c r="E214" s="11" t="n">
        <v>0.5</v>
      </c>
      <c r="F214" s="9"/>
      <c r="G214" s="9"/>
      <c r="H214" s="9" t="s">
        <v>1093</v>
      </c>
      <c r="I214" s="9" t="s">
        <v>1531</v>
      </c>
      <c r="J214" s="9" t="s">
        <v>1532</v>
      </c>
      <c r="K214" s="9" t="s">
        <v>1550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1555</v>
      </c>
      <c r="B215" s="10" t="s">
        <v>1549</v>
      </c>
      <c r="C215" s="9" t="s">
        <v>1176</v>
      </c>
      <c r="D215" s="10" t="s">
        <v>120</v>
      </c>
      <c r="E215" s="11" t="n">
        <v>0.45</v>
      </c>
      <c r="F215" s="9"/>
      <c r="G215" s="9"/>
      <c r="H215" s="9" t="s">
        <v>1093</v>
      </c>
      <c r="I215" s="9" t="s">
        <v>1531</v>
      </c>
      <c r="J215" s="9" t="s">
        <v>1532</v>
      </c>
      <c r="K215" s="9" t="s">
        <v>1550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1556</v>
      </c>
      <c r="B216" s="10" t="s">
        <v>1557</v>
      </c>
      <c r="C216" s="9" t="s">
        <v>411</v>
      </c>
      <c r="D216" s="10" t="s">
        <v>120</v>
      </c>
      <c r="E216" s="11" t="n">
        <v>0</v>
      </c>
      <c r="F216" s="9"/>
      <c r="G216" s="9"/>
      <c r="H216" s="9" t="s">
        <v>1093</v>
      </c>
      <c r="I216" s="9" t="s">
        <v>1531</v>
      </c>
      <c r="J216" s="9" t="s">
        <v>1532</v>
      </c>
      <c r="K216" s="9" t="s">
        <v>1558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1559</v>
      </c>
      <c r="B217" s="10" t="s">
        <v>1557</v>
      </c>
      <c r="C217" s="9" t="s">
        <v>423</v>
      </c>
      <c r="D217" s="10" t="s">
        <v>120</v>
      </c>
      <c r="E217" s="11" t="n">
        <v>0</v>
      </c>
      <c r="F217" s="9"/>
      <c r="G217" s="9"/>
      <c r="H217" s="9" t="s">
        <v>1093</v>
      </c>
      <c r="I217" s="9" t="s">
        <v>1531</v>
      </c>
      <c r="J217" s="9" t="s">
        <v>1532</v>
      </c>
      <c r="K217" s="9" t="s">
        <v>1558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1560</v>
      </c>
      <c r="B218" s="10" t="s">
        <v>1557</v>
      </c>
      <c r="C218" s="9" t="s">
        <v>1170</v>
      </c>
      <c r="D218" s="10" t="s">
        <v>120</v>
      </c>
      <c r="E218" s="11" t="n">
        <v>0</v>
      </c>
      <c r="F218" s="9"/>
      <c r="G218" s="9"/>
      <c r="H218" s="9" t="s">
        <v>1093</v>
      </c>
      <c r="I218" s="9" t="s">
        <v>1531</v>
      </c>
      <c r="J218" s="9" t="s">
        <v>1532</v>
      </c>
      <c r="K218" s="9" t="s">
        <v>1558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1561</v>
      </c>
      <c r="B219" s="10" t="s">
        <v>1557</v>
      </c>
      <c r="C219" s="9" t="s">
        <v>1172</v>
      </c>
      <c r="D219" s="10" t="s">
        <v>120</v>
      </c>
      <c r="E219" s="11" t="n">
        <v>0.05</v>
      </c>
      <c r="F219" s="9"/>
      <c r="G219" s="9"/>
      <c r="H219" s="9" t="s">
        <v>1093</v>
      </c>
      <c r="I219" s="9" t="s">
        <v>1531</v>
      </c>
      <c r="J219" s="9" t="s">
        <v>1532</v>
      </c>
      <c r="K219" s="9" t="s">
        <v>1558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1562</v>
      </c>
      <c r="B220" s="10" t="s">
        <v>1557</v>
      </c>
      <c r="C220" s="9" t="s">
        <v>1174</v>
      </c>
      <c r="D220" s="10" t="s">
        <v>120</v>
      </c>
      <c r="E220" s="11" t="n">
        <v>0.1</v>
      </c>
      <c r="F220" s="9"/>
      <c r="G220" s="9"/>
      <c r="H220" s="9" t="s">
        <v>1093</v>
      </c>
      <c r="I220" s="9" t="s">
        <v>1531</v>
      </c>
      <c r="J220" s="9" t="s">
        <v>1532</v>
      </c>
      <c r="K220" s="9" t="s">
        <v>1558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1563</v>
      </c>
      <c r="B221" s="10" t="s">
        <v>1557</v>
      </c>
      <c r="C221" s="9" t="s">
        <v>1176</v>
      </c>
      <c r="D221" s="10" t="s">
        <v>120</v>
      </c>
      <c r="E221" s="11" t="n">
        <v>0.2</v>
      </c>
      <c r="F221" s="9"/>
      <c r="G221" s="9"/>
      <c r="H221" s="9" t="s">
        <v>1093</v>
      </c>
      <c r="I221" s="9" t="s">
        <v>1531</v>
      </c>
      <c r="J221" s="9" t="s">
        <v>1532</v>
      </c>
      <c r="K221" s="9" t="s">
        <v>1558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1564</v>
      </c>
      <c r="B222" s="10" t="s">
        <v>1565</v>
      </c>
      <c r="C222" s="9" t="s">
        <v>71</v>
      </c>
      <c r="D222" s="9" t="s">
        <v>1566</v>
      </c>
      <c r="E222" s="11" t="n">
        <v>12</v>
      </c>
      <c r="F222" s="11" t="n">
        <v>8</v>
      </c>
      <c r="G222" s="11" t="n">
        <v>20</v>
      </c>
      <c r="H222" s="9" t="s">
        <v>1109</v>
      </c>
      <c r="I222" s="9" t="s">
        <v>1567</v>
      </c>
      <c r="J222" s="9" t="s">
        <v>1568</v>
      </c>
      <c r="K222" s="9" t="s">
        <v>1569</v>
      </c>
      <c r="L222" s="10" t="s">
        <v>1570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1571</v>
      </c>
      <c r="B223" s="9" t="s">
        <v>1572</v>
      </c>
      <c r="C223" s="9" t="s">
        <v>71</v>
      </c>
      <c r="D223" s="9" t="s">
        <v>68</v>
      </c>
      <c r="E223" s="11" t="n">
        <v>1.41</v>
      </c>
      <c r="F223" s="11" t="n">
        <v>0</v>
      </c>
      <c r="G223" s="11" t="n">
        <v>2.91</v>
      </c>
      <c r="H223" s="9" t="s">
        <v>1093</v>
      </c>
      <c r="I223" s="9" t="s">
        <v>1573</v>
      </c>
      <c r="J223" s="9" t="s">
        <v>1574</v>
      </c>
      <c r="K223" s="9" t="s">
        <v>1575</v>
      </c>
      <c r="L223" s="10" t="s">
        <v>1576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1577</v>
      </c>
      <c r="B224" s="10" t="s">
        <v>1578</v>
      </c>
      <c r="C224" s="9" t="s">
        <v>71</v>
      </c>
      <c r="D224" s="10" t="s">
        <v>120</v>
      </c>
      <c r="E224" s="11" t="n">
        <v>0.1</v>
      </c>
      <c r="F224" s="9"/>
      <c r="G224" s="9"/>
      <c r="H224" s="9" t="s">
        <v>1093</v>
      </c>
      <c r="I224" s="9" t="s">
        <v>71</v>
      </c>
      <c r="J224" s="9" t="s">
        <v>1058</v>
      </c>
      <c r="K224" s="9" t="s">
        <v>1579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1580</v>
      </c>
      <c r="B225" s="10" t="s">
        <v>1581</v>
      </c>
      <c r="C225" s="9" t="s">
        <v>71</v>
      </c>
      <c r="D225" s="10" t="s">
        <v>120</v>
      </c>
      <c r="E225" s="11" t="n">
        <v>0.3</v>
      </c>
      <c r="F225" s="9"/>
      <c r="G225" s="9"/>
      <c r="H225" s="9" t="s">
        <v>1093</v>
      </c>
      <c r="I225" s="9" t="s">
        <v>1582</v>
      </c>
      <c r="J225" s="9" t="s">
        <v>1058</v>
      </c>
      <c r="K225" s="9" t="s">
        <v>1583</v>
      </c>
      <c r="L225" s="9" t="s">
        <v>1584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1585</v>
      </c>
      <c r="B226" s="10" t="s">
        <v>1586</v>
      </c>
      <c r="C226" s="9" t="s">
        <v>71</v>
      </c>
      <c r="D226" s="10" t="s">
        <v>560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1093</v>
      </c>
      <c r="I226" s="9" t="s">
        <v>1587</v>
      </c>
      <c r="J226" s="9" t="s">
        <v>1058</v>
      </c>
      <c r="K226" s="9" t="s">
        <v>1588</v>
      </c>
      <c r="L226" s="10" t="s">
        <v>1589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1590</v>
      </c>
      <c r="B227" s="10" t="s">
        <v>1591</v>
      </c>
      <c r="C227" s="9" t="s">
        <v>71</v>
      </c>
      <c r="D227" s="10" t="s">
        <v>560</v>
      </c>
      <c r="E227" s="11" t="n">
        <v>0.857142857142857</v>
      </c>
      <c r="F227" s="11" t="n">
        <v>0.8</v>
      </c>
      <c r="G227" s="11" t="n">
        <v>0.942857142857143</v>
      </c>
      <c r="H227" s="9" t="s">
        <v>1093</v>
      </c>
      <c r="I227" s="9" t="s">
        <v>1587</v>
      </c>
      <c r="J227" s="9" t="s">
        <v>1058</v>
      </c>
      <c r="K227" s="9" t="s">
        <v>1592</v>
      </c>
      <c r="L227" s="10" t="s">
        <v>1593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1594</v>
      </c>
      <c r="B228" s="9" t="s">
        <v>1595</v>
      </c>
      <c r="C228" s="9" t="s">
        <v>71</v>
      </c>
      <c r="D228" s="10" t="s">
        <v>120</v>
      </c>
      <c r="E228" s="11" t="n">
        <v>0.008</v>
      </c>
      <c r="F228" s="11" t="n">
        <v>0.005</v>
      </c>
      <c r="G228" s="11" t="n">
        <v>0.01</v>
      </c>
      <c r="H228" s="9" t="s">
        <v>1093</v>
      </c>
      <c r="I228" s="9" t="s">
        <v>1596</v>
      </c>
      <c r="J228" s="9" t="s">
        <v>1058</v>
      </c>
      <c r="K228" s="9" t="s">
        <v>1597</v>
      </c>
      <c r="L228" s="9" t="s">
        <v>1598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1599</v>
      </c>
      <c r="B229" s="9" t="s">
        <v>1600</v>
      </c>
      <c r="C229" s="9" t="s">
        <v>71</v>
      </c>
      <c r="D229" s="9" t="s">
        <v>127</v>
      </c>
      <c r="E229" s="11" t="n">
        <v>5</v>
      </c>
      <c r="F229" s="11" t="n">
        <v>3.8</v>
      </c>
      <c r="G229" s="11" t="n">
        <v>6.1</v>
      </c>
      <c r="H229" s="9" t="s">
        <v>1093</v>
      </c>
      <c r="I229" s="9" t="s">
        <v>1601</v>
      </c>
      <c r="J229" s="9" t="s">
        <v>1058</v>
      </c>
      <c r="K229" s="9" t="s">
        <v>1602</v>
      </c>
      <c r="L229" s="9" t="s">
        <v>1603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1604</v>
      </c>
      <c r="B230" s="10" t="s">
        <v>1605</v>
      </c>
      <c r="C230" s="9" t="s">
        <v>71</v>
      </c>
      <c r="D230" s="10" t="s">
        <v>1606</v>
      </c>
      <c r="E230" s="11" t="n">
        <v>525600</v>
      </c>
      <c r="F230" s="11" t="n">
        <v>525600</v>
      </c>
      <c r="G230" s="11" t="n">
        <v>525600</v>
      </c>
      <c r="H230" s="9" t="s">
        <v>1057</v>
      </c>
      <c r="I230" s="9" t="s">
        <v>1587</v>
      </c>
      <c r="J230" s="9" t="s">
        <v>1058</v>
      </c>
      <c r="K230" s="9" t="s">
        <v>1607</v>
      </c>
      <c r="L230" s="10" t="s">
        <v>1608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1609</v>
      </c>
      <c r="B231" s="10" t="s">
        <v>1610</v>
      </c>
      <c r="C231" s="9" t="s">
        <v>71</v>
      </c>
      <c r="D231" s="9" t="s">
        <v>1611</v>
      </c>
      <c r="E231" s="11" t="n">
        <v>1000</v>
      </c>
      <c r="F231" s="11" t="n">
        <v>1000</v>
      </c>
      <c r="G231" s="11" t="n">
        <v>1000</v>
      </c>
      <c r="H231" s="9" t="s">
        <v>1057</v>
      </c>
      <c r="I231" s="9" t="s">
        <v>1587</v>
      </c>
      <c r="J231" s="9" t="s">
        <v>1058</v>
      </c>
      <c r="K231" s="9" t="s">
        <v>1612</v>
      </c>
      <c r="L231" s="10" t="s">
        <v>1613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1614</v>
      </c>
      <c r="B232" s="9" t="s">
        <v>1615</v>
      </c>
      <c r="C232" s="9" t="s">
        <v>1170</v>
      </c>
      <c r="D232" s="10" t="s">
        <v>120</v>
      </c>
      <c r="E232" s="11" t="n">
        <v>0.008</v>
      </c>
      <c r="F232" s="11" t="n">
        <v>0.005</v>
      </c>
      <c r="G232" s="11" t="n">
        <v>0.02</v>
      </c>
      <c r="H232" s="9" t="s">
        <v>1093</v>
      </c>
      <c r="I232" s="9" t="s">
        <v>1616</v>
      </c>
      <c r="J232" s="9" t="s">
        <v>1058</v>
      </c>
      <c r="K232" s="9" t="s">
        <v>1597</v>
      </c>
      <c r="L232" s="9" t="s">
        <v>1617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1618</v>
      </c>
      <c r="B233" s="9" t="s">
        <v>1615</v>
      </c>
      <c r="C233" s="9" t="s">
        <v>1172</v>
      </c>
      <c r="D233" s="10" t="s">
        <v>120</v>
      </c>
      <c r="E233" s="11" t="n">
        <v>0.008</v>
      </c>
      <c r="F233" s="11" t="n">
        <v>0.005</v>
      </c>
      <c r="G233" s="11" t="n">
        <v>0.02</v>
      </c>
      <c r="H233" s="9" t="s">
        <v>1093</v>
      </c>
      <c r="I233" s="9" t="s">
        <v>1616</v>
      </c>
      <c r="J233" s="9" t="s">
        <v>1058</v>
      </c>
      <c r="K233" s="9" t="s">
        <v>1597</v>
      </c>
      <c r="L233" s="9" t="s">
        <v>1617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1619</v>
      </c>
      <c r="B234" s="9" t="s">
        <v>1615</v>
      </c>
      <c r="C234" s="9" t="s">
        <v>1174</v>
      </c>
      <c r="D234" s="10" t="s">
        <v>120</v>
      </c>
      <c r="E234" s="11" t="n">
        <v>0.008</v>
      </c>
      <c r="F234" s="11" t="n">
        <v>0.005</v>
      </c>
      <c r="G234" s="11" t="n">
        <v>0.02</v>
      </c>
      <c r="H234" s="9" t="s">
        <v>1093</v>
      </c>
      <c r="I234" s="9" t="s">
        <v>1616</v>
      </c>
      <c r="J234" s="9" t="s">
        <v>1058</v>
      </c>
      <c r="K234" s="9" t="s">
        <v>1597</v>
      </c>
      <c r="L234" s="9" t="s">
        <v>1617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1620</v>
      </c>
      <c r="B235" s="9" t="s">
        <v>1615</v>
      </c>
      <c r="C235" s="9" t="s">
        <v>1176</v>
      </c>
      <c r="D235" s="10" t="s">
        <v>120</v>
      </c>
      <c r="E235" s="11" t="n">
        <v>0.008</v>
      </c>
      <c r="F235" s="11" t="n">
        <v>0.005</v>
      </c>
      <c r="G235" s="11" t="n">
        <v>0.02</v>
      </c>
      <c r="H235" s="9" t="s">
        <v>1093</v>
      </c>
      <c r="I235" s="9" t="s">
        <v>1616</v>
      </c>
      <c r="J235" s="9" t="s">
        <v>1058</v>
      </c>
      <c r="K235" s="9" t="s">
        <v>1597</v>
      </c>
      <c r="L235" s="9" t="s">
        <v>1617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1621</v>
      </c>
      <c r="B236" s="10" t="s">
        <v>1622</v>
      </c>
      <c r="C236" s="9" t="s">
        <v>71</v>
      </c>
      <c r="D236" s="9" t="s">
        <v>375</v>
      </c>
      <c r="E236" s="11" t="n">
        <v>2</v>
      </c>
      <c r="F236" s="11" t="n">
        <v>2</v>
      </c>
      <c r="G236" s="11" t="n">
        <v>5</v>
      </c>
      <c r="H236" s="9" t="s">
        <v>1093</v>
      </c>
      <c r="I236" s="9" t="s">
        <v>1623</v>
      </c>
      <c r="J236" s="9" t="s">
        <v>1058</v>
      </c>
      <c r="K236" s="9" t="s">
        <v>1624</v>
      </c>
      <c r="L236" s="9" t="s">
        <v>1625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1626</v>
      </c>
      <c r="B237" s="9" t="s">
        <v>1627</v>
      </c>
      <c r="C237" s="9" t="s">
        <v>71</v>
      </c>
      <c r="D237" s="10" t="s">
        <v>120</v>
      </c>
      <c r="E237" s="11" t="n">
        <v>1</v>
      </c>
      <c r="F237" s="11" t="n">
        <v>0</v>
      </c>
      <c r="G237" s="11" t="n">
        <v>1</v>
      </c>
      <c r="H237" s="9" t="s">
        <v>1093</v>
      </c>
      <c r="I237" s="9" t="s">
        <v>1628</v>
      </c>
      <c r="J237" s="9" t="s">
        <v>1058</v>
      </c>
      <c r="K237" s="9" t="s">
        <v>1629</v>
      </c>
      <c r="L237" s="9" t="s">
        <v>1630</v>
      </c>
      <c r="M237" s="9" t="n">
        <f aca="false">IF(AND(ISNUMBER($E237),ISNUMBER($F237),ISNUMBER($G237)),IF(AND($F237&lt;=$E237,$E237&lt;=$G237),0,1),0)</f>
        <v>0</v>
      </c>
    </row>
    <row r="238" customFormat="false" ht="15" hidden="false" customHeight="false" outlineLevel="0" collapsed="false">
      <c r="A238" s="9" t="s">
        <v>1631</v>
      </c>
      <c r="B238" s="10" t="s">
        <v>1632</v>
      </c>
      <c r="C238" s="9" t="s">
        <v>71</v>
      </c>
      <c r="D238" s="10" t="s">
        <v>1633</v>
      </c>
      <c r="E238" s="11" t="n">
        <v>0</v>
      </c>
      <c r="F238" s="11" t="n">
        <v>-91</v>
      </c>
      <c r="G238" s="11" t="n">
        <v>91</v>
      </c>
      <c r="H238" s="9" t="s">
        <v>1093</v>
      </c>
      <c r="I238" s="9" t="s">
        <v>1634</v>
      </c>
      <c r="J238" s="9" t="s">
        <v>1635</v>
      </c>
      <c r="K238" s="9" t="s">
        <v>1636</v>
      </c>
      <c r="L238" s="10" t="s">
        <v>1637</v>
      </c>
      <c r="M238" s="9" t="n">
        <f aca="false">IF(AND(ISNUMBER($E238),ISNUMBER($F238),ISNUMBER($G238)),IF(AND($F238&lt;=$E238,$E238&lt;=$G238),0,1),0)</f>
        <v>0</v>
      </c>
    </row>
    <row r="239" customFormat="false" ht="15" hidden="false" customHeight="false" outlineLevel="0" collapsed="false">
      <c r="A239" s="9" t="s">
        <v>1638</v>
      </c>
      <c r="B239" s="10" t="s">
        <v>1639</v>
      </c>
      <c r="C239" s="9" t="s">
        <v>71</v>
      </c>
      <c r="D239" s="10" t="s">
        <v>1633</v>
      </c>
      <c r="E239" s="11" t="n">
        <v>0</v>
      </c>
      <c r="F239" s="11" t="n">
        <v>-91</v>
      </c>
      <c r="G239" s="11" t="n">
        <v>91</v>
      </c>
      <c r="H239" s="9" t="s">
        <v>1093</v>
      </c>
      <c r="I239" s="9" t="s">
        <v>1634</v>
      </c>
      <c r="J239" s="9" t="s">
        <v>1635</v>
      </c>
      <c r="K239" s="9" t="s">
        <v>1636</v>
      </c>
      <c r="L239" s="10" t="s">
        <v>1637</v>
      </c>
      <c r="M239" s="9" t="n">
        <f aca="false">IF(AND(ISNUMBER($E239),ISNUMBER($F239),ISNUMBER($G239)),IF(AND($F239&lt;=$E239,$E239&lt;=$G239),0,1),0)</f>
        <v>0</v>
      </c>
    </row>
    <row r="240" customFormat="false" ht="15" hidden="false" customHeight="false" outlineLevel="0" collapsed="false">
      <c r="A240" s="9" t="s">
        <v>1640</v>
      </c>
      <c r="B240" s="10" t="s">
        <v>1641</v>
      </c>
      <c r="C240" s="9" t="s">
        <v>71</v>
      </c>
      <c r="D240" s="10" t="s">
        <v>1633</v>
      </c>
      <c r="E240" s="11" t="n">
        <v>0</v>
      </c>
      <c r="F240" s="11" t="n">
        <v>-91</v>
      </c>
      <c r="G240" s="11" t="n">
        <v>91</v>
      </c>
      <c r="H240" s="9" t="s">
        <v>1093</v>
      </c>
      <c r="I240" s="9" t="s">
        <v>1634</v>
      </c>
      <c r="J240" s="9" t="s">
        <v>1635</v>
      </c>
      <c r="K240" s="9" t="s">
        <v>1636</v>
      </c>
      <c r="L240" s="10" t="s">
        <v>1637</v>
      </c>
      <c r="M240" s="9" t="n">
        <f aca="false">IF(AND(ISNUMBER($E240),ISNUMBER($F240),ISNUMBER($G240)),IF(AND($F240&lt;=$E240,$E240&lt;=$G240),0,1),0)</f>
        <v>0</v>
      </c>
    </row>
    <row r="241" customFormat="false" ht="15" hidden="false" customHeight="false" outlineLevel="0" collapsed="false">
      <c r="A241" s="9" t="s">
        <v>1642</v>
      </c>
      <c r="B241" s="10" t="s">
        <v>1643</v>
      </c>
      <c r="C241" s="9" t="s">
        <v>71</v>
      </c>
      <c r="D241" s="10" t="s">
        <v>1633</v>
      </c>
      <c r="E241" s="11" t="n">
        <v>0</v>
      </c>
      <c r="F241" s="11" t="n">
        <v>-91</v>
      </c>
      <c r="G241" s="11" t="n">
        <v>91</v>
      </c>
      <c r="H241" s="9" t="s">
        <v>1093</v>
      </c>
      <c r="I241" s="9" t="s">
        <v>1634</v>
      </c>
      <c r="J241" s="9" t="s">
        <v>1635</v>
      </c>
      <c r="K241" s="9" t="s">
        <v>1636</v>
      </c>
      <c r="L241" s="10" t="s">
        <v>1637</v>
      </c>
      <c r="M241" s="9" t="n">
        <f aca="false">IF(AND(ISNUMBER($E241),ISNUMBER($F241),ISNUMBER($G241)),IF(AND($F241&lt;=$E241,$E241&lt;=$G241),0,1),0)</f>
        <v>0</v>
      </c>
    </row>
    <row r="242" customFormat="false" ht="15" hidden="false" customHeight="false" outlineLevel="0" collapsed="false">
      <c r="A242" s="9" t="s">
        <v>1644</v>
      </c>
      <c r="B242" s="9" t="s">
        <v>1645</v>
      </c>
      <c r="C242" s="9" t="s">
        <v>71</v>
      </c>
      <c r="D242" s="10" t="s">
        <v>665</v>
      </c>
      <c r="E242" s="11" t="n">
        <v>46023</v>
      </c>
      <c r="F242" s="11" t="n">
        <v>46023</v>
      </c>
      <c r="G242" s="11" t="n">
        <v>46023</v>
      </c>
      <c r="H242" s="9" t="s">
        <v>1057</v>
      </c>
      <c r="I242" s="9" t="s">
        <v>1587</v>
      </c>
      <c r="J242" s="9" t="s">
        <v>1646</v>
      </c>
      <c r="K242" s="9" t="s">
        <v>1647</v>
      </c>
      <c r="L242" s="10" t="s">
        <v>1648</v>
      </c>
      <c r="M242" s="9" t="n">
        <f aca="false">IF(AND(ISNUMBER($E242),ISNUMBER($F242),ISNUMBER($G242)),IF(AND($F242&lt;=$E242,$E242&lt;=$G242),0,1),0)</f>
        <v>0</v>
      </c>
    </row>
    <row r="243" customFormat="false" ht="15" hidden="false" customHeight="false" outlineLevel="0" collapsed="false">
      <c r="A243" s="9" t="s">
        <v>1649</v>
      </c>
      <c r="B243" s="10" t="s">
        <v>1650</v>
      </c>
      <c r="C243" s="9" t="s">
        <v>71</v>
      </c>
      <c r="D243" s="10" t="s">
        <v>1633</v>
      </c>
      <c r="E243" s="11" t="n">
        <v>365</v>
      </c>
      <c r="F243" s="11" t="n">
        <v>365</v>
      </c>
      <c r="G243" s="11" t="n">
        <v>365</v>
      </c>
      <c r="H243" s="9" t="s">
        <v>1057</v>
      </c>
      <c r="I243" s="9" t="s">
        <v>1587</v>
      </c>
      <c r="J243" s="9" t="s">
        <v>1646</v>
      </c>
      <c r="K243" s="9" t="s">
        <v>1647</v>
      </c>
      <c r="L243" s="10" t="s">
        <v>1651</v>
      </c>
      <c r="M243" s="9" t="n">
        <f aca="false">IF(AND(ISNUMBER($E243),ISNUMBER($F243),ISNUMBER($G243)),IF(AND($F243&lt;=$E243,$E243&lt;=$G243),0,1),0)</f>
        <v>0</v>
      </c>
    </row>
    <row r="244" customFormat="false" ht="15" hidden="false" customHeight="false" outlineLevel="0" collapsed="false">
      <c r="A244" s="9" t="s">
        <v>1652</v>
      </c>
      <c r="B244" s="10" t="s">
        <v>1653</v>
      </c>
      <c r="C244" s="9" t="s">
        <v>71</v>
      </c>
      <c r="D244" s="10" t="s">
        <v>1654</v>
      </c>
      <c r="E244" s="11" t="n">
        <v>12</v>
      </c>
      <c r="F244" s="11" t="n">
        <v>12</v>
      </c>
      <c r="G244" s="11" t="n">
        <v>12</v>
      </c>
      <c r="H244" s="9" t="s">
        <v>1057</v>
      </c>
      <c r="I244" s="9" t="s">
        <v>1587</v>
      </c>
      <c r="J244" s="9" t="s">
        <v>1646</v>
      </c>
      <c r="K244" s="9" t="s">
        <v>1647</v>
      </c>
      <c r="L244" s="10" t="s">
        <v>1655</v>
      </c>
      <c r="M244" s="9" t="n">
        <f aca="false">IF(AND(ISNUMBER($E244),ISNUMBER($F244),ISNUMBER($G244)),IF(AND($F244&lt;=$E244,$E244&lt;=$G244),0,1),0)</f>
        <v>0</v>
      </c>
    </row>
    <row r="245" customFormat="false" ht="15" hidden="false" customHeight="false" outlineLevel="0" collapsed="false">
      <c r="A245" s="9" t="s">
        <v>1656</v>
      </c>
      <c r="B245" s="10" t="s">
        <v>1657</v>
      </c>
      <c r="C245" s="9" t="s">
        <v>71</v>
      </c>
      <c r="D245" s="9" t="s">
        <v>1658</v>
      </c>
      <c r="E245" s="11" t="n">
        <v>1000</v>
      </c>
      <c r="F245" s="11" t="n">
        <v>1000</v>
      </c>
      <c r="G245" s="11" t="n">
        <v>1000</v>
      </c>
      <c r="H245" s="9" t="s">
        <v>1057</v>
      </c>
      <c r="I245" s="9" t="s">
        <v>1587</v>
      </c>
      <c r="J245" s="9" t="s">
        <v>1646</v>
      </c>
      <c r="K245" s="9" t="s">
        <v>1647</v>
      </c>
      <c r="L245" s="10" t="s">
        <v>1659</v>
      </c>
      <c r="M245" s="9" t="n">
        <f aca="false">IF(AND(ISNUMBER($E245),ISNUMBER($F245),ISNUMBER($G245)),IF(AND($F245&lt;=$E245,$E245&lt;=$G245),0,1),0)</f>
        <v>0</v>
      </c>
    </row>
    <row r="246" customFormat="false" ht="15" hidden="false" customHeight="false" outlineLevel="0" collapsed="false">
      <c r="A246" s="9" t="s">
        <v>1660</v>
      </c>
      <c r="B246" s="10" t="s">
        <v>1661</v>
      </c>
      <c r="C246" s="9" t="s">
        <v>71</v>
      </c>
      <c r="D246" s="9" t="s">
        <v>1662</v>
      </c>
      <c r="E246" s="11" t="n">
        <v>1000000</v>
      </c>
      <c r="F246" s="11" t="n">
        <v>1000000</v>
      </c>
      <c r="G246" s="11" t="n">
        <v>1000000</v>
      </c>
      <c r="H246" s="9" t="s">
        <v>1057</v>
      </c>
      <c r="I246" s="9" t="s">
        <v>1587</v>
      </c>
      <c r="J246" s="9" t="s">
        <v>1646</v>
      </c>
      <c r="K246" s="9" t="s">
        <v>1647</v>
      </c>
      <c r="L246" s="10" t="s">
        <v>1663</v>
      </c>
      <c r="M246" s="9" t="n">
        <f aca="false">IF(AND(ISNUMBER($E246),ISNUMBER($F246),ISNUMBER($G246)),IF(AND($F246&lt;=$E246,$E246&lt;=$G246),0,1),0)</f>
        <v>0</v>
      </c>
    </row>
    <row r="247" customFormat="false" ht="15" hidden="false" customHeight="false" outlineLevel="0" collapsed="false">
      <c r="A247" s="9" t="s">
        <v>1664</v>
      </c>
      <c r="B247" s="9" t="s">
        <v>1665</v>
      </c>
      <c r="C247" s="9" t="s">
        <v>71</v>
      </c>
      <c r="D247" s="10" t="s">
        <v>1654</v>
      </c>
      <c r="E247" s="11" t="n">
        <v>6</v>
      </c>
      <c r="F247" s="11" t="n">
        <v>6</v>
      </c>
      <c r="G247" s="11" t="n">
        <v>6</v>
      </c>
      <c r="H247" s="9" t="s">
        <v>1057</v>
      </c>
      <c r="I247" s="9" t="s">
        <v>1587</v>
      </c>
      <c r="J247" s="9" t="s">
        <v>1646</v>
      </c>
      <c r="K247" s="9" t="s">
        <v>1647</v>
      </c>
      <c r="L247" s="10" t="s">
        <v>1666</v>
      </c>
      <c r="M247" s="9" t="n">
        <f aca="false">IF(AND(ISNUMBER($E247),ISNUMBER($F247),ISNUMBER($G247)),IF(AND($F247&lt;=$E247,$E247&lt;=$G247),0,1),0)</f>
        <v>0</v>
      </c>
    </row>
    <row r="248" customFormat="false" ht="15" hidden="false" customHeight="false" outlineLevel="0" collapsed="false">
      <c r="A248" s="9" t="s">
        <v>1667</v>
      </c>
      <c r="B248" s="9" t="s">
        <v>1668</v>
      </c>
      <c r="C248" s="9" t="s">
        <v>411</v>
      </c>
      <c r="D248" s="10" t="s">
        <v>120</v>
      </c>
      <c r="E248" s="11" t="n">
        <v>0</v>
      </c>
      <c r="F248" s="11" t="n">
        <v>0</v>
      </c>
      <c r="G248" s="11" t="n">
        <v>0.8</v>
      </c>
      <c r="H248" s="9" t="s">
        <v>1093</v>
      </c>
      <c r="I248" s="9" t="s">
        <v>1531</v>
      </c>
      <c r="J248" s="9" t="s">
        <v>1669</v>
      </c>
      <c r="K248" s="9" t="s">
        <v>1670</v>
      </c>
      <c r="L248" s="9" t="s">
        <v>1671</v>
      </c>
      <c r="M248" s="9" t="n">
        <f aca="false">IF(AND(ISNUMBER($E248),ISNUMBER($F248),ISNUMBER($G248)),IF(AND($F248&lt;=$E248,$E248&lt;=$G248),0,1),0)</f>
        <v>0</v>
      </c>
    </row>
    <row r="249" customFormat="false" ht="15" hidden="false" customHeight="false" outlineLevel="0" collapsed="false">
      <c r="A249" s="9" t="s">
        <v>1672</v>
      </c>
      <c r="B249" s="9" t="s">
        <v>1668</v>
      </c>
      <c r="C249" s="9" t="s">
        <v>1673</v>
      </c>
      <c r="D249" s="10" t="s">
        <v>120</v>
      </c>
      <c r="E249" s="11" t="n">
        <v>0.5</v>
      </c>
      <c r="F249" s="11" t="n">
        <v>0</v>
      </c>
      <c r="G249" s="11" t="n">
        <v>0.8</v>
      </c>
      <c r="H249" s="9" t="s">
        <v>1093</v>
      </c>
      <c r="I249" s="9" t="s">
        <v>1531</v>
      </c>
      <c r="J249" s="9" t="s">
        <v>1669</v>
      </c>
      <c r="K249" s="9" t="s">
        <v>1670</v>
      </c>
      <c r="L249" s="9" t="s">
        <v>1674</v>
      </c>
      <c r="M249" s="9" t="n">
        <f aca="false">IF(AND(ISNUMBER($E249),ISNUMBER($F249),ISNUMBER($G249)),IF(AND($F249&lt;=$E249,$E249&lt;=$G249),0,1),0)</f>
        <v>0</v>
      </c>
    </row>
    <row r="250" customFormat="false" ht="15" hidden="false" customHeight="false" outlineLevel="0" collapsed="false">
      <c r="A250" s="9" t="s">
        <v>1675</v>
      </c>
      <c r="B250" s="9" t="s">
        <v>1676</v>
      </c>
      <c r="C250" s="9" t="s">
        <v>71</v>
      </c>
      <c r="D250" s="10" t="s">
        <v>1677</v>
      </c>
      <c r="E250" s="11" t="n">
        <v>0</v>
      </c>
      <c r="F250" s="11" t="n">
        <v>0</v>
      </c>
      <c r="G250" s="11" t="n">
        <v>1</v>
      </c>
      <c r="H250" s="9" t="s">
        <v>1057</v>
      </c>
      <c r="I250" s="9" t="s">
        <v>1678</v>
      </c>
      <c r="J250" s="9" t="s">
        <v>1679</v>
      </c>
      <c r="K250" s="9" t="s">
        <v>1680</v>
      </c>
      <c r="L250" s="9" t="s">
        <v>1681</v>
      </c>
      <c r="M250" s="9" t="n">
        <f aca="false">IF(AND(ISNUMBER($E250),ISNUMBER($F250),ISNUMBER($G250)),IF(AND($F250&lt;=$E250,$E250&lt;=$G250),0,1),0)</f>
        <v>0</v>
      </c>
    </row>
    <row r="251" customFormat="false" ht="15" hidden="false" customHeight="false" outlineLevel="0" collapsed="false">
      <c r="A251" s="9" t="s">
        <v>1682</v>
      </c>
      <c r="B251" s="9" t="s">
        <v>1683</v>
      </c>
      <c r="C251" s="9" t="s">
        <v>71</v>
      </c>
      <c r="D251" s="10" t="s">
        <v>560</v>
      </c>
      <c r="E251" s="11" t="n">
        <v>1</v>
      </c>
      <c r="F251" s="11" t="n">
        <v>1</v>
      </c>
      <c r="G251" s="11" t="n">
        <v>1</v>
      </c>
      <c r="H251" s="9" t="s">
        <v>1057</v>
      </c>
      <c r="I251" s="9" t="s">
        <v>1678</v>
      </c>
      <c r="J251" s="9" t="s">
        <v>1679</v>
      </c>
      <c r="K251" s="9" t="s">
        <v>1680</v>
      </c>
      <c r="L251" s="9" t="s">
        <v>1684</v>
      </c>
      <c r="M251" s="9" t="n">
        <f aca="false">IF(AND(ISNUMBER($E251),ISNUMBER($F251),ISNUMBER($G251)),IF(AND($F251&lt;=$E251,$E251&lt;=$G251),0,1),0)</f>
        <v>0</v>
      </c>
    </row>
    <row r="252" customFormat="false" ht="15" hidden="false" customHeight="false" outlineLevel="0" collapsed="false">
      <c r="A252" s="9" t="s">
        <v>1685</v>
      </c>
      <c r="B252" s="9" t="s">
        <v>1686</v>
      </c>
      <c r="C252" s="9" t="s">
        <v>71</v>
      </c>
      <c r="D252" s="10" t="s">
        <v>152</v>
      </c>
      <c r="E252" s="11" t="n">
        <v>2030</v>
      </c>
      <c r="F252" s="11" t="n">
        <v>2030</v>
      </c>
      <c r="G252" s="11" t="n">
        <v>2030</v>
      </c>
      <c r="H252" s="9" t="s">
        <v>1057</v>
      </c>
      <c r="I252" s="9" t="s">
        <v>1678</v>
      </c>
      <c r="J252" s="9" t="s">
        <v>1679</v>
      </c>
      <c r="K252" s="9" t="s">
        <v>1680</v>
      </c>
      <c r="L252" s="9" t="s">
        <v>1687</v>
      </c>
      <c r="M252" s="9" t="n">
        <f aca="false">IF(AND(ISNUMBER($E252),ISNUMBER($F252),ISNUMBER($G252)),IF(AND($F252&lt;=$E252,$E252&lt;=$G252),0,1),0)</f>
        <v>0</v>
      </c>
    </row>
    <row r="253" customFormat="false" ht="15" hidden="false" customHeight="false" outlineLevel="0" collapsed="false">
      <c r="A253" s="9" t="s">
        <v>1688</v>
      </c>
      <c r="B253" s="10" t="s">
        <v>1689</v>
      </c>
      <c r="C253" s="9" t="s">
        <v>71</v>
      </c>
      <c r="D253" s="9" t="s">
        <v>71</v>
      </c>
      <c r="E253" s="11" t="n">
        <v>2</v>
      </c>
      <c r="F253" s="11" t="n">
        <v>2</v>
      </c>
      <c r="G253" s="11" t="n">
        <v>2</v>
      </c>
      <c r="H253" s="9" t="s">
        <v>1057</v>
      </c>
      <c r="I253" s="9" t="s">
        <v>1587</v>
      </c>
      <c r="J253" s="9" t="s">
        <v>1690</v>
      </c>
      <c r="K253" s="9" t="s">
        <v>1691</v>
      </c>
      <c r="L253" s="10" t="s">
        <v>1692</v>
      </c>
      <c r="M253" s="9" t="n">
        <f aca="false">IF(AND(ISNUMBER($E253),ISNUMBER($F253),ISNUMBER($G253)),IF(AND($F253&lt;=$E253,$E253&lt;=$G253),0,1),0)</f>
        <v>0</v>
      </c>
    </row>
    <row r="254" customFormat="false" ht="15" hidden="false" customHeight="false" outlineLevel="0" collapsed="false">
      <c r="A254" s="9" t="s">
        <v>1693</v>
      </c>
      <c r="B254" s="10" t="s">
        <v>1694</v>
      </c>
      <c r="C254" s="9" t="s">
        <v>71</v>
      </c>
      <c r="D254" s="10" t="s">
        <v>152</v>
      </c>
      <c r="E254" s="11" t="n">
        <v>1</v>
      </c>
      <c r="F254" s="11" t="n">
        <v>1</v>
      </c>
      <c r="G254" s="11" t="n">
        <v>2</v>
      </c>
      <c r="H254" s="9" t="s">
        <v>1093</v>
      </c>
      <c r="I254" s="9" t="s">
        <v>1695</v>
      </c>
      <c r="J254" s="9" t="s">
        <v>1696</v>
      </c>
      <c r="K254" s="9" t="s">
        <v>1697</v>
      </c>
      <c r="L254" s="9" t="s">
        <v>1698</v>
      </c>
      <c r="M254" s="9" t="n">
        <f aca="false">IF(AND(ISNUMBER($E254),ISNUMBER($F254),ISNUMBER($G254)),IF(AND($F254&lt;=$E254,$E254&lt;=$G254),0,1),0)</f>
        <v>0</v>
      </c>
    </row>
    <row r="255" customFormat="false" ht="15" hidden="false" customHeight="false" outlineLevel="0" collapsed="false">
      <c r="A255" s="9" t="s">
        <v>1699</v>
      </c>
      <c r="B255" s="10" t="s">
        <v>1700</v>
      </c>
      <c r="C255" s="9" t="s">
        <v>423</v>
      </c>
      <c r="D255" s="10" t="s">
        <v>120</v>
      </c>
      <c r="E255" s="11" t="n">
        <v>0.55</v>
      </c>
      <c r="F255" s="11" t="n">
        <v>0.3</v>
      </c>
      <c r="G255" s="11" t="n">
        <v>0.8</v>
      </c>
      <c r="H255" s="9" t="s">
        <v>1093</v>
      </c>
      <c r="I255" s="9" t="s">
        <v>1701</v>
      </c>
      <c r="J255" s="9" t="s">
        <v>1702</v>
      </c>
      <c r="K255" s="9" t="s">
        <v>1703</v>
      </c>
      <c r="L255" s="9" t="s">
        <v>1704</v>
      </c>
      <c r="M255" s="9" t="n">
        <f aca="false">IF(AND(ISNUMBER($E255),ISNUMBER($F255),ISNUMBER($G255)),IF(AND($F255&lt;=$E255,$E255&lt;=$G255),0,1),0)</f>
        <v>0</v>
      </c>
    </row>
    <row r="256" customFormat="false" ht="15" hidden="false" customHeight="false" outlineLevel="0" collapsed="false">
      <c r="A256" s="9" t="s">
        <v>1705</v>
      </c>
      <c r="B256" s="10" t="s">
        <v>1700</v>
      </c>
      <c r="C256" s="9" t="s">
        <v>1170</v>
      </c>
      <c r="D256" s="10" t="s">
        <v>120</v>
      </c>
      <c r="E256" s="11" t="n">
        <v>0.3</v>
      </c>
      <c r="F256" s="11" t="n">
        <v>0.1</v>
      </c>
      <c r="G256" s="11" t="n">
        <v>0.5</v>
      </c>
      <c r="H256" s="9" t="s">
        <v>1093</v>
      </c>
      <c r="I256" s="9" t="s">
        <v>1701</v>
      </c>
      <c r="J256" s="9" t="s">
        <v>1702</v>
      </c>
      <c r="K256" s="9" t="s">
        <v>1703</v>
      </c>
      <c r="L256" s="9" t="s">
        <v>1706</v>
      </c>
      <c r="M256" s="9" t="n">
        <f aca="false">IF(AND(ISNUMBER($E256),ISNUMBER($F256),ISNUMBER($G256)),IF(AND($F256&lt;=$E256,$E256&lt;=$G256),0,1),0)</f>
        <v>0</v>
      </c>
    </row>
    <row r="257" customFormat="false" ht="15" hidden="false" customHeight="false" outlineLevel="0" collapsed="false">
      <c r="A257" s="9" t="s">
        <v>1707</v>
      </c>
      <c r="B257" s="10" t="s">
        <v>1700</v>
      </c>
      <c r="C257" s="9" t="s">
        <v>1172</v>
      </c>
      <c r="D257" s="10" t="s">
        <v>120</v>
      </c>
      <c r="E257" s="11" t="n">
        <v>0.2</v>
      </c>
      <c r="F257" s="11" t="n">
        <v>0.05</v>
      </c>
      <c r="G257" s="11" t="n">
        <v>0.35</v>
      </c>
      <c r="H257" s="9" t="s">
        <v>1093</v>
      </c>
      <c r="I257" s="9" t="s">
        <v>1701</v>
      </c>
      <c r="J257" s="9" t="s">
        <v>1702</v>
      </c>
      <c r="K257" s="9" t="s">
        <v>1703</v>
      </c>
      <c r="L257" s="9" t="s">
        <v>1706</v>
      </c>
      <c r="M257" s="9" t="n">
        <f aca="false">IF(AND(ISNUMBER($E257),ISNUMBER($F257),ISNUMBER($G257)),IF(AND($F257&lt;=$E257,$E257&lt;=$G257),0,1),0)</f>
        <v>0</v>
      </c>
    </row>
    <row r="258" customFormat="false" ht="15" hidden="false" customHeight="false" outlineLevel="0" collapsed="false">
      <c r="A258" s="9" t="s">
        <v>1708</v>
      </c>
      <c r="B258" s="10" t="s">
        <v>1700</v>
      </c>
      <c r="C258" s="9" t="s">
        <v>1174</v>
      </c>
      <c r="D258" s="10" t="s">
        <v>120</v>
      </c>
      <c r="E258" s="11" t="n">
        <v>0.15</v>
      </c>
      <c r="F258" s="11" t="n">
        <v>0</v>
      </c>
      <c r="G258" s="11" t="n">
        <v>0.3</v>
      </c>
      <c r="H258" s="9" t="s">
        <v>1093</v>
      </c>
      <c r="I258" s="9" t="s">
        <v>1701</v>
      </c>
      <c r="J258" s="9" t="s">
        <v>1702</v>
      </c>
      <c r="K258" s="9" t="s">
        <v>1703</v>
      </c>
      <c r="L258" s="9" t="s">
        <v>1706</v>
      </c>
      <c r="M258" s="9" t="n">
        <f aca="false">IF(AND(ISNUMBER($E258),ISNUMBER($F258),ISNUMBER($G258)),IF(AND($F258&lt;=$E258,$E258&lt;=$G258),0,1),0)</f>
        <v>0</v>
      </c>
    </row>
    <row r="259" customFormat="false" ht="15" hidden="false" customHeight="false" outlineLevel="0" collapsed="false">
      <c r="A259" s="9" t="s">
        <v>1709</v>
      </c>
      <c r="B259" s="10" t="s">
        <v>1700</v>
      </c>
      <c r="C259" s="9" t="s">
        <v>1176</v>
      </c>
      <c r="D259" s="10" t="s">
        <v>120</v>
      </c>
      <c r="E259" s="11" t="n">
        <v>0.1</v>
      </c>
      <c r="F259" s="11" t="n">
        <v>0</v>
      </c>
      <c r="G259" s="11" t="n">
        <v>0.25</v>
      </c>
      <c r="H259" s="9" t="s">
        <v>1093</v>
      </c>
      <c r="I259" s="9" t="s">
        <v>1701</v>
      </c>
      <c r="J259" s="9" t="s">
        <v>1702</v>
      </c>
      <c r="K259" s="9" t="s">
        <v>1703</v>
      </c>
      <c r="L259" s="9" t="s">
        <v>1706</v>
      </c>
      <c r="M259" s="9" t="n">
        <f aca="false">IF(AND(ISNUMBER($E259),ISNUMBER($F259),ISNUMBER($G259)),IF(AND($F259&lt;=$E259,$E259&lt;=$G259),0,1),0)</f>
        <v>0</v>
      </c>
    </row>
    <row r="260" customFormat="false" ht="15" hidden="false" customHeight="false" outlineLevel="0" collapsed="false">
      <c r="A260" s="9" t="s">
        <v>1710</v>
      </c>
      <c r="B260" s="10" t="s">
        <v>1711</v>
      </c>
      <c r="C260" s="9" t="s">
        <v>1673</v>
      </c>
      <c r="D260" s="10" t="s">
        <v>120</v>
      </c>
      <c r="E260" s="11" t="n">
        <v>0.03</v>
      </c>
      <c r="F260" s="11" t="n">
        <v>0</v>
      </c>
      <c r="G260" s="11" t="n">
        <v>0.08</v>
      </c>
      <c r="H260" s="9" t="s">
        <v>1093</v>
      </c>
      <c r="I260" s="9" t="s">
        <v>1701</v>
      </c>
      <c r="J260" s="9" t="s">
        <v>1712</v>
      </c>
      <c r="K260" s="9" t="s">
        <v>1713</v>
      </c>
      <c r="L260" s="9" t="s">
        <v>1714</v>
      </c>
      <c r="M260" s="9" t="n">
        <f aca="false">IF(AND(ISNUMBER($E260),ISNUMBER($F260),ISNUMBER($G260)),IF(AND($F260&lt;=$E260,$E260&lt;=$G260),0,1),0)</f>
        <v>0</v>
      </c>
    </row>
    <row r="261" customFormat="false" ht="15" hidden="false" customHeight="false" outlineLevel="0" collapsed="false">
      <c r="A261" s="9" t="s">
        <v>1715</v>
      </c>
      <c r="B261" s="10" t="s">
        <v>1716</v>
      </c>
      <c r="C261" s="9" t="s">
        <v>1673</v>
      </c>
      <c r="D261" s="10" t="s">
        <v>120</v>
      </c>
      <c r="E261" s="11" t="n">
        <v>0</v>
      </c>
      <c r="F261" s="11" t="n">
        <v>-0.2</v>
      </c>
      <c r="G261" s="11" t="n">
        <v>0.2</v>
      </c>
      <c r="H261" s="9" t="s">
        <v>1093</v>
      </c>
      <c r="I261" s="9" t="s">
        <v>1701</v>
      </c>
      <c r="J261" s="9" t="s">
        <v>1712</v>
      </c>
      <c r="K261" s="9" t="s">
        <v>1717</v>
      </c>
      <c r="L261" s="9" t="s">
        <v>1718</v>
      </c>
      <c r="M261" s="9" t="n">
        <f aca="false">IF(AND(ISNUMBER($E261),ISNUMBER($F261),ISNUMBER($G261)),IF(AND($F261&lt;=$E261,$E261&lt;=$G261),0,1),0)</f>
        <v>0</v>
      </c>
    </row>
    <row r="262" customFormat="false" ht="15" hidden="false" customHeight="false" outlineLevel="0" collapsed="false">
      <c r="A262" s="9" t="s">
        <v>1719</v>
      </c>
      <c r="B262" s="10" t="s">
        <v>1720</v>
      </c>
      <c r="C262" s="9" t="s">
        <v>71</v>
      </c>
      <c r="D262" s="9" t="s">
        <v>1721</v>
      </c>
      <c r="E262" s="11" t="n">
        <v>1000000000</v>
      </c>
      <c r="F262" s="11" t="n">
        <v>1000000000</v>
      </c>
      <c r="G262" s="11" t="n">
        <v>1000000000</v>
      </c>
      <c r="H262" s="9" t="s">
        <v>1057</v>
      </c>
      <c r="I262" s="9" t="s">
        <v>1587</v>
      </c>
      <c r="J262" s="9" t="s">
        <v>1722</v>
      </c>
      <c r="K262" s="9" t="s">
        <v>1723</v>
      </c>
      <c r="L262" s="10" t="s">
        <v>1724</v>
      </c>
      <c r="M262" s="9" t="n">
        <f aca="false">IF(AND(ISNUMBER($E262),ISNUMBER($F262),ISNUMBER($G262)),IF(AND($F262&lt;=$E262,$E262&lt;=$G262),0,1),0)</f>
        <v>0</v>
      </c>
    </row>
    <row r="263" customFormat="false" ht="15" hidden="false" customHeight="false" outlineLevel="0" collapsed="false">
      <c r="A263" s="9" t="s">
        <v>1725</v>
      </c>
      <c r="B263" s="10" t="s">
        <v>1726</v>
      </c>
      <c r="C263" s="9" t="s">
        <v>1170</v>
      </c>
      <c r="D263" s="9" t="s">
        <v>68</v>
      </c>
      <c r="E263" s="11" t="n">
        <v>75.1</v>
      </c>
      <c r="F263" s="11" t="n">
        <v>75.1</v>
      </c>
      <c r="G263" s="11" t="n">
        <v>75.1</v>
      </c>
      <c r="H263" s="9" t="s">
        <v>1057</v>
      </c>
      <c r="I263" s="9" t="s">
        <v>1727</v>
      </c>
      <c r="J263" s="9" t="s">
        <v>1728</v>
      </c>
      <c r="K263" s="9" t="s">
        <v>1729</v>
      </c>
      <c r="L263" s="9" t="s">
        <v>1730</v>
      </c>
      <c r="M263" s="9" t="n">
        <f aca="false">IF(AND(ISNUMBER($E263),ISNUMBER($F263),ISNUMBER($G263)),IF(AND($F263&lt;=$E263,$E263&lt;=$G263),0,1),0)</f>
        <v>0</v>
      </c>
    </row>
    <row r="264" customFormat="false" ht="15" hidden="false" customHeight="false" outlineLevel="0" collapsed="false">
      <c r="A264" s="9" t="s">
        <v>1731</v>
      </c>
      <c r="B264" s="10" t="s">
        <v>1726</v>
      </c>
      <c r="C264" s="9" t="s">
        <v>1172</v>
      </c>
      <c r="D264" s="9" t="s">
        <v>68</v>
      </c>
      <c r="E264" s="11" t="n">
        <v>141.5</v>
      </c>
      <c r="F264" s="11" t="n">
        <v>141.5</v>
      </c>
      <c r="G264" s="11" t="n">
        <v>141.5</v>
      </c>
      <c r="H264" s="9" t="s">
        <v>1057</v>
      </c>
      <c r="I264" s="9" t="s">
        <v>1727</v>
      </c>
      <c r="J264" s="9" t="s">
        <v>1728</v>
      </c>
      <c r="K264" s="9" t="s">
        <v>1729</v>
      </c>
      <c r="L264" s="9" t="s">
        <v>1730</v>
      </c>
      <c r="M264" s="9" t="n">
        <f aca="false">IF(AND(ISNUMBER($E264),ISNUMBER($F264),ISNUMBER($G264)),IF(AND($F264&lt;=$E264,$E264&lt;=$G264),0,1),0)</f>
        <v>0</v>
      </c>
    </row>
    <row r="265" customFormat="false" ht="15" hidden="false" customHeight="false" outlineLevel="0" collapsed="false">
      <c r="A265" s="9" t="s">
        <v>1732</v>
      </c>
      <c r="B265" s="9" t="s">
        <v>1733</v>
      </c>
      <c r="C265" s="9" t="s">
        <v>71</v>
      </c>
      <c r="D265" s="10" t="s">
        <v>152</v>
      </c>
      <c r="E265" s="11" t="n">
        <v>2026</v>
      </c>
      <c r="F265" s="11" t="n">
        <v>2026</v>
      </c>
      <c r="G265" s="11" t="n">
        <v>2027</v>
      </c>
      <c r="H265" s="9" t="s">
        <v>1057</v>
      </c>
      <c r="I265" s="9" t="s">
        <v>1522</v>
      </c>
      <c r="J265" s="9" t="s">
        <v>1734</v>
      </c>
      <c r="K265" s="9" t="s">
        <v>1735</v>
      </c>
      <c r="L265" s="9" t="s">
        <v>1736</v>
      </c>
      <c r="M265" s="9" t="n">
        <f aca="false">IF(AND(ISNUMBER($E265),ISNUMBER($F265),ISNUMBER($G265)),IF(AND($F265&lt;=$E265,$E265&lt;=$G265),0,1),0)</f>
        <v>0</v>
      </c>
    </row>
    <row r="266" customFormat="false" ht="15" hidden="false" customHeight="false" outlineLevel="0" collapsed="false">
      <c r="A266" s="9" t="s">
        <v>1737</v>
      </c>
      <c r="B266" s="10" t="s">
        <v>1738</v>
      </c>
      <c r="C266" s="9" t="s">
        <v>71</v>
      </c>
      <c r="D266" s="10" t="s">
        <v>1677</v>
      </c>
      <c r="E266" s="11" t="n">
        <v>0</v>
      </c>
      <c r="F266" s="11" t="n">
        <v>0</v>
      </c>
      <c r="G266" s="11" t="n">
        <v>1</v>
      </c>
      <c r="H266" s="9" t="s">
        <v>1057</v>
      </c>
      <c r="I266" s="9" t="s">
        <v>1522</v>
      </c>
      <c r="J266" s="9" t="s">
        <v>1739</v>
      </c>
      <c r="K266" s="9" t="s">
        <v>1735</v>
      </c>
      <c r="L266" s="9" t="s">
        <v>1740</v>
      </c>
      <c r="M266" s="9" t="n">
        <f aca="false">IF(AND(ISNUMBER($E266),ISNUMBER($F266),ISNUMBER($G266)),IF(AND($F266&lt;=$E266,$E266&lt;=$G266),0,1),0)</f>
        <v>0</v>
      </c>
    </row>
    <row r="267" customFormat="false" ht="15" hidden="false" customHeight="false" outlineLevel="0" collapsed="false">
      <c r="A267" s="9" t="s">
        <v>1741</v>
      </c>
      <c r="B267" s="9" t="s">
        <v>1742</v>
      </c>
      <c r="C267" s="9" t="s">
        <v>71</v>
      </c>
      <c r="D267" s="10" t="s">
        <v>152</v>
      </c>
      <c r="E267" s="11" t="n">
        <v>2026</v>
      </c>
      <c r="F267" s="11" t="n">
        <v>2026</v>
      </c>
      <c r="G267" s="11" t="n">
        <v>2027</v>
      </c>
      <c r="H267" s="9" t="s">
        <v>1093</v>
      </c>
      <c r="I267" s="9" t="s">
        <v>1522</v>
      </c>
      <c r="J267" s="9" t="s">
        <v>1743</v>
      </c>
      <c r="K267" s="9" t="s">
        <v>1735</v>
      </c>
      <c r="L267" s="10" t="s">
        <v>1744</v>
      </c>
      <c r="M267" s="9" t="n">
        <f aca="false">IF(AND(ISNUMBER($E267),ISNUMBER($F267),ISNUMBER($G267)),IF(AND($F267&lt;=$E267,$E267&lt;=$G267),0,1),0)</f>
        <v>0</v>
      </c>
    </row>
    <row r="268" customFormat="false" ht="15" hidden="false" customHeight="false" outlineLevel="0" collapsed="false">
      <c r="A268" s="9" t="s">
        <v>1745</v>
      </c>
      <c r="B268" s="9" t="s">
        <v>1746</v>
      </c>
      <c r="C268" s="9" t="s">
        <v>71</v>
      </c>
      <c r="D268" s="10" t="s">
        <v>1677</v>
      </c>
      <c r="E268" s="11" t="n">
        <v>0</v>
      </c>
      <c r="F268" s="11" t="n">
        <v>0</v>
      </c>
      <c r="G268" s="11" t="n">
        <v>1</v>
      </c>
      <c r="H268" s="9" t="s">
        <v>1057</v>
      </c>
      <c r="I268" s="10" t="s">
        <v>1747</v>
      </c>
      <c r="J268" s="9" t="s">
        <v>1748</v>
      </c>
      <c r="K268" s="9" t="s">
        <v>1749</v>
      </c>
      <c r="L268" s="10" t="s">
        <v>1750</v>
      </c>
      <c r="M268" s="9" t="n">
        <f aca="false">IF(AND(ISNUMBER($E268),ISNUMBER($F268),ISNUMBER($G268)),IF(AND($F268&lt;=$E268,$E268&lt;=$G268),0,1),0)</f>
        <v>0</v>
      </c>
    </row>
    <row r="269" customFormat="false" ht="15" hidden="false" customHeight="false" outlineLevel="0" collapsed="false">
      <c r="A269" s="9" t="s">
        <v>1751</v>
      </c>
      <c r="B269" s="9" t="s">
        <v>1752</v>
      </c>
      <c r="C269" s="9" t="s">
        <v>71</v>
      </c>
      <c r="D269" s="9" t="s">
        <v>375</v>
      </c>
      <c r="E269" s="11" t="n">
        <v>3</v>
      </c>
      <c r="F269" s="11" t="n">
        <v>2.5</v>
      </c>
      <c r="G269" s="11" t="n">
        <v>3.5</v>
      </c>
      <c r="H269" s="9" t="s">
        <v>1093</v>
      </c>
      <c r="I269" s="10" t="s">
        <v>1753</v>
      </c>
      <c r="J269" s="9" t="s">
        <v>1748</v>
      </c>
      <c r="K269" s="9" t="s">
        <v>1754</v>
      </c>
      <c r="L269" s="9" t="s">
        <v>1755</v>
      </c>
      <c r="M269" s="9" t="n">
        <f aca="false">IF(AND(ISNUMBER($E269),ISNUMBER($F269),ISNUMBER($G269)),IF(AND($F269&lt;=$E269,$E269&lt;=$G269),0,1),0)</f>
        <v>0</v>
      </c>
    </row>
    <row r="270" customFormat="false" ht="15" hidden="false" customHeight="false" outlineLevel="0" collapsed="false">
      <c r="A270" s="9" t="s">
        <v>1756</v>
      </c>
      <c r="B270" s="9" t="s">
        <v>1757</v>
      </c>
      <c r="C270" s="9" t="s">
        <v>71</v>
      </c>
      <c r="D270" s="9" t="s">
        <v>375</v>
      </c>
      <c r="E270" s="11" t="n">
        <v>2.5</v>
      </c>
      <c r="F270" s="11" t="n">
        <v>2.5</v>
      </c>
      <c r="G270" s="11" t="n">
        <v>2.5</v>
      </c>
      <c r="H270" s="9" t="s">
        <v>1093</v>
      </c>
      <c r="I270" s="10" t="s">
        <v>1753</v>
      </c>
      <c r="J270" s="9" t="s">
        <v>1748</v>
      </c>
      <c r="K270" s="9" t="s">
        <v>1754</v>
      </c>
      <c r="L270" s="10" t="s">
        <v>1758</v>
      </c>
      <c r="M270" s="9" t="n">
        <f aca="false">IF(AND(ISNUMBER($E270),ISNUMBER($F270),ISNUMBER($G270)),IF(AND($F270&lt;=$E270,$E270&lt;=$G270),0,1),0)</f>
        <v>0</v>
      </c>
    </row>
    <row r="271" customFormat="false" ht="15" hidden="false" customHeight="false" outlineLevel="0" collapsed="false">
      <c r="A271" s="9" t="s">
        <v>1759</v>
      </c>
      <c r="B271" s="9" t="s">
        <v>1760</v>
      </c>
      <c r="C271" s="9" t="s">
        <v>71</v>
      </c>
      <c r="D271" s="9" t="s">
        <v>375</v>
      </c>
      <c r="E271" s="11" t="n">
        <v>3.5</v>
      </c>
      <c r="F271" s="11" t="n">
        <v>3.5</v>
      </c>
      <c r="G271" s="11" t="n">
        <v>3.5</v>
      </c>
      <c r="H271" s="9" t="s">
        <v>1093</v>
      </c>
      <c r="I271" s="10" t="s">
        <v>1753</v>
      </c>
      <c r="J271" s="9" t="s">
        <v>1748</v>
      </c>
      <c r="K271" s="9" t="s">
        <v>1754</v>
      </c>
      <c r="L271" s="10" t="s">
        <v>1761</v>
      </c>
      <c r="M271" s="9" t="n">
        <f aca="false">IF(AND(ISNUMBER($E271),ISNUMBER($F271),ISNUMBER($G271)),IF(AND($F271&lt;=$E271,$E271&lt;=$G271),0,1),0)</f>
        <v>0</v>
      </c>
    </row>
    <row r="272" customFormat="false" ht="15" hidden="false" customHeight="false" outlineLevel="0" collapsed="false">
      <c r="A272" s="9" t="s">
        <v>1762</v>
      </c>
      <c r="B272" s="10" t="s">
        <v>1763</v>
      </c>
      <c r="C272" s="9" t="s">
        <v>71</v>
      </c>
      <c r="D272" s="10" t="s">
        <v>1677</v>
      </c>
      <c r="E272" s="11" t="n">
        <v>0</v>
      </c>
      <c r="F272" s="11" t="n">
        <v>0</v>
      </c>
      <c r="G272" s="11" t="n">
        <v>1</v>
      </c>
      <c r="H272" s="9" t="s">
        <v>1057</v>
      </c>
      <c r="I272" s="10" t="s">
        <v>1764</v>
      </c>
      <c r="J272" s="9" t="s">
        <v>1748</v>
      </c>
      <c r="K272" s="9" t="s">
        <v>1765</v>
      </c>
      <c r="L272" s="10" t="s">
        <v>1766</v>
      </c>
      <c r="M272" s="9" t="n">
        <f aca="false">IF(AND(ISNUMBER($E272),ISNUMBER($F272),ISNUMBER($G272)),IF(AND($F272&lt;=$E272,$E272&lt;=$G272),0,1),0)</f>
        <v>0</v>
      </c>
    </row>
    <row r="273" customFormat="false" ht="15" hidden="false" customHeight="false" outlineLevel="0" collapsed="false">
      <c r="A273" s="9" t="s">
        <v>1767</v>
      </c>
      <c r="B273" s="10" t="s">
        <v>1768</v>
      </c>
      <c r="C273" s="9" t="s">
        <v>423</v>
      </c>
      <c r="D273" s="10" t="s">
        <v>120</v>
      </c>
      <c r="E273" s="11" t="n">
        <v>0.25</v>
      </c>
      <c r="F273" s="9"/>
      <c r="G273" s="9"/>
      <c r="H273" s="9" t="s">
        <v>1093</v>
      </c>
      <c r="I273" s="10" t="s">
        <v>1764</v>
      </c>
      <c r="J273" s="9" t="s">
        <v>1748</v>
      </c>
      <c r="K273" s="9" t="s">
        <v>1765</v>
      </c>
      <c r="L273" s="10" t="s">
        <v>1769</v>
      </c>
      <c r="M273" s="9" t="n">
        <f aca="false">IF(AND(ISNUMBER($E273),ISNUMBER($F273),ISNUMBER($G273)),IF(AND($F273&lt;=$E273,$E273&lt;=$G273),0,1),0)</f>
        <v>0</v>
      </c>
    </row>
    <row r="274" customFormat="false" ht="15" hidden="false" customHeight="false" outlineLevel="0" collapsed="false">
      <c r="A274" s="9" t="s">
        <v>1770</v>
      </c>
      <c r="B274" s="10" t="s">
        <v>1771</v>
      </c>
      <c r="C274" s="9" t="s">
        <v>423</v>
      </c>
      <c r="D274" s="10" t="s">
        <v>120</v>
      </c>
      <c r="E274" s="11" t="n">
        <v>0.45</v>
      </c>
      <c r="F274" s="9"/>
      <c r="G274" s="9"/>
      <c r="H274" s="9" t="s">
        <v>1093</v>
      </c>
      <c r="I274" s="10" t="s">
        <v>1764</v>
      </c>
      <c r="J274" s="9" t="s">
        <v>1748</v>
      </c>
      <c r="K274" s="9" t="s">
        <v>1765</v>
      </c>
      <c r="L274" s="10" t="s">
        <v>1769</v>
      </c>
      <c r="M274" s="9" t="n">
        <f aca="false">IF(AND(ISNUMBER($E274),ISNUMBER($F274),ISNUMBER($G274)),IF(AND($F274&lt;=$E274,$E274&lt;=$G274),0,1),0)</f>
        <v>0</v>
      </c>
    </row>
    <row r="275" customFormat="false" ht="15" hidden="false" customHeight="false" outlineLevel="0" collapsed="false">
      <c r="A275" s="9" t="s">
        <v>1772</v>
      </c>
      <c r="B275" s="10" t="s">
        <v>1773</v>
      </c>
      <c r="C275" s="9" t="s">
        <v>423</v>
      </c>
      <c r="D275" s="10" t="s">
        <v>120</v>
      </c>
      <c r="E275" s="11" t="n">
        <v>0.25</v>
      </c>
      <c r="F275" s="9"/>
      <c r="G275" s="9"/>
      <c r="H275" s="9" t="s">
        <v>1093</v>
      </c>
      <c r="I275" s="10" t="s">
        <v>1764</v>
      </c>
      <c r="J275" s="9" t="s">
        <v>1748</v>
      </c>
      <c r="K275" s="9" t="s">
        <v>1765</v>
      </c>
      <c r="L275" s="10" t="s">
        <v>1769</v>
      </c>
      <c r="M275" s="9" t="n">
        <f aca="false">IF(AND(ISNUMBER($E275),ISNUMBER($F275),ISNUMBER($G275)),IF(AND($F275&lt;=$E275,$E275&lt;=$G275),0,1),0)</f>
        <v>0</v>
      </c>
    </row>
    <row r="276" customFormat="false" ht="15" hidden="false" customHeight="false" outlineLevel="0" collapsed="false">
      <c r="A276" s="9" t="s">
        <v>1774</v>
      </c>
      <c r="B276" s="10" t="s">
        <v>1775</v>
      </c>
      <c r="C276" s="9" t="s">
        <v>423</v>
      </c>
      <c r="D276" s="10" t="s">
        <v>120</v>
      </c>
      <c r="E276" s="11" t="n">
        <v>0.05</v>
      </c>
      <c r="F276" s="9"/>
      <c r="G276" s="9"/>
      <c r="H276" s="9" t="s">
        <v>1093</v>
      </c>
      <c r="I276" s="10" t="s">
        <v>1764</v>
      </c>
      <c r="J276" s="9" t="s">
        <v>1748</v>
      </c>
      <c r="K276" s="9" t="s">
        <v>1765</v>
      </c>
      <c r="L276" s="10" t="s">
        <v>1769</v>
      </c>
      <c r="M276" s="9" t="n">
        <f aca="false">IF(AND(ISNUMBER($E276),ISNUMBER($F276),ISNUMBER($G276)),IF(AND($F276&lt;=$E276,$E276&lt;=$G276),0,1),0)</f>
        <v>0</v>
      </c>
    </row>
    <row r="277" customFormat="false" ht="15" hidden="false" customHeight="false" outlineLevel="0" collapsed="false">
      <c r="A277" s="9" t="s">
        <v>1776</v>
      </c>
      <c r="B277" s="10" t="s">
        <v>1777</v>
      </c>
      <c r="C277" s="9" t="s">
        <v>423</v>
      </c>
      <c r="D277" s="10" t="s">
        <v>120</v>
      </c>
      <c r="E277" s="11" t="n">
        <v>0</v>
      </c>
      <c r="F277" s="9"/>
      <c r="G277" s="9"/>
      <c r="H277" s="9" t="s">
        <v>1093</v>
      </c>
      <c r="I277" s="10" t="s">
        <v>1764</v>
      </c>
      <c r="J277" s="9" t="s">
        <v>1748</v>
      </c>
      <c r="K277" s="9" t="s">
        <v>1765</v>
      </c>
      <c r="L277" s="10" t="s">
        <v>1769</v>
      </c>
      <c r="M277" s="9" t="n">
        <f aca="false">IF(AND(ISNUMBER($E277),ISNUMBER($F277),ISNUMBER($G277)),IF(AND($F277&lt;=$E277,$E277&lt;=$G277),0,1),0)</f>
        <v>0</v>
      </c>
    </row>
    <row r="278" customFormat="false" ht="15" hidden="false" customHeight="false" outlineLevel="0" collapsed="false">
      <c r="A278" s="9" t="s">
        <v>1778</v>
      </c>
      <c r="B278" s="10" t="s">
        <v>1779</v>
      </c>
      <c r="C278" s="9" t="s">
        <v>423</v>
      </c>
      <c r="D278" s="10" t="s">
        <v>120</v>
      </c>
      <c r="E278" s="11" t="n">
        <v>0</v>
      </c>
      <c r="F278" s="9"/>
      <c r="G278" s="9"/>
      <c r="H278" s="9" t="s">
        <v>1093</v>
      </c>
      <c r="I278" s="10" t="s">
        <v>1764</v>
      </c>
      <c r="J278" s="9" t="s">
        <v>1748</v>
      </c>
      <c r="K278" s="9" t="s">
        <v>1765</v>
      </c>
      <c r="L278" s="10" t="s">
        <v>1769</v>
      </c>
      <c r="M278" s="9" t="n">
        <f aca="false">IF(AND(ISNUMBER($E278),ISNUMBER($F278),ISNUMBER($G278)),IF(AND($F278&lt;=$E278,$E278&lt;=$G278),0,1),0)</f>
        <v>0</v>
      </c>
    </row>
    <row r="279" customFormat="false" ht="15" hidden="false" customHeight="false" outlineLevel="0" collapsed="false">
      <c r="A279" s="9" t="s">
        <v>1780</v>
      </c>
      <c r="B279" s="10" t="s">
        <v>1781</v>
      </c>
      <c r="C279" s="9" t="s">
        <v>71</v>
      </c>
      <c r="D279" s="10" t="s">
        <v>1677</v>
      </c>
      <c r="E279" s="11" t="n">
        <v>0</v>
      </c>
      <c r="F279" s="11" t="n">
        <v>0</v>
      </c>
      <c r="G279" s="11" t="n">
        <v>1</v>
      </c>
      <c r="H279" s="9" t="s">
        <v>1057</v>
      </c>
      <c r="I279" s="10" t="s">
        <v>1782</v>
      </c>
      <c r="J279" s="9" t="s">
        <v>1748</v>
      </c>
      <c r="K279" s="9" t="s">
        <v>1783</v>
      </c>
      <c r="L279" s="10" t="s">
        <v>1784</v>
      </c>
      <c r="M279" s="9" t="n">
        <f aca="false">IF(AND(ISNUMBER($E279),ISNUMBER($F279),ISNUMBER($G279)),IF(AND($F279&lt;=$E279,$E279&lt;=$G279),0,1),0)</f>
        <v>0</v>
      </c>
    </row>
    <row r="280" customFormat="false" ht="15" hidden="false" customHeight="false" outlineLevel="0" collapsed="false">
      <c r="A280" s="9" t="s">
        <v>1785</v>
      </c>
      <c r="B280" s="10" t="s">
        <v>1786</v>
      </c>
      <c r="C280" s="9" t="s">
        <v>71</v>
      </c>
      <c r="D280" s="10" t="s">
        <v>120</v>
      </c>
      <c r="E280" s="11" t="n">
        <v>0.005</v>
      </c>
      <c r="F280" s="11" t="n">
        <v>0.005</v>
      </c>
      <c r="G280" s="11" t="n">
        <v>0.005</v>
      </c>
      <c r="H280" s="9" t="s">
        <v>1057</v>
      </c>
      <c r="I280" s="10" t="s">
        <v>1787</v>
      </c>
      <c r="J280" s="9" t="s">
        <v>1748</v>
      </c>
      <c r="K280" s="9" t="s">
        <v>1788</v>
      </c>
      <c r="L280" s="10" t="s">
        <v>1789</v>
      </c>
      <c r="M280" s="9" t="n">
        <f aca="false">IF(AND(ISNUMBER($E280),ISNUMBER($F280),ISNUMBER($G280)),IF(AND($F280&lt;=$E280,$E280&lt;=$G280),0,1),0)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1790</v>
      </c>
    </row>
    <row r="2" customFormat="false" ht="15" hidden="false" customHeight="false" outlineLevel="0" collapsed="false">
      <c r="A2" s="12" t="s">
        <v>1791</v>
      </c>
    </row>
    <row r="3" customFormat="false" ht="15" hidden="false" customHeight="false" outlineLevel="0" collapsed="false">
      <c r="A3" s="2" t="s">
        <v>1792</v>
      </c>
    </row>
    <row r="4" customFormat="false" ht="44" hidden="false" customHeight="false" outlineLevel="0" collapsed="false">
      <c r="A4" s="8" t="s">
        <v>1793</v>
      </c>
      <c r="B4" s="8" t="s">
        <v>1794</v>
      </c>
      <c r="C4" s="8" t="s">
        <v>1795</v>
      </c>
      <c r="D4" s="7" t="s">
        <v>1796</v>
      </c>
      <c r="E4" s="8" t="s">
        <v>1797</v>
      </c>
      <c r="F4" s="8" t="s">
        <v>46</v>
      </c>
      <c r="G4" s="8" t="s">
        <v>777</v>
      </c>
    </row>
    <row r="5" customFormat="false" ht="15" hidden="false" customHeight="false" outlineLevel="0" collapsed="false">
      <c r="A5" s="9" t="s">
        <v>1798</v>
      </c>
      <c r="B5" s="9" t="s">
        <v>1799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258</v>
      </c>
      <c r="G5" s="12" t="s">
        <v>1800</v>
      </c>
    </row>
    <row r="6" customFormat="false" ht="15" hidden="false" customHeight="false" outlineLevel="0" collapsed="false">
      <c r="A6" s="9" t="s">
        <v>1801</v>
      </c>
      <c r="B6" s="9" t="s">
        <v>1802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258</v>
      </c>
      <c r="G6" s="12" t="s">
        <v>1803</v>
      </c>
    </row>
    <row r="7" customFormat="false" ht="15" hidden="false" customHeight="false" outlineLevel="0" collapsed="false">
      <c r="A7" s="9" t="s">
        <v>1804</v>
      </c>
      <c r="B7" s="9" t="s">
        <v>1805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258</v>
      </c>
      <c r="G7" s="2" t="s">
        <v>1806</v>
      </c>
    </row>
    <row r="8" customFormat="false" ht="15" hidden="false" customHeight="false" outlineLevel="0" collapsed="false">
      <c r="A8" s="9" t="s">
        <v>1807</v>
      </c>
      <c r="B8" s="9" t="s">
        <v>1808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258</v>
      </c>
      <c r="G8" s="12" t="s">
        <v>1809</v>
      </c>
    </row>
    <row r="9" customFormat="false" ht="15" hidden="false" customHeight="false" outlineLevel="0" collapsed="false">
      <c r="A9" s="9" t="s">
        <v>1810</v>
      </c>
      <c r="B9" s="9" t="s">
        <v>1811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120</v>
      </c>
      <c r="G9" s="12" t="s">
        <v>1812</v>
      </c>
    </row>
    <row r="10" customFormat="false" ht="15" hidden="false" customHeight="false" outlineLevel="0" collapsed="false">
      <c r="A10" s="9" t="s">
        <v>1813</v>
      </c>
      <c r="B10" s="10" t="s">
        <v>1814</v>
      </c>
      <c r="C10" s="13" t="n">
        <f aca="false">C9-MIN(C9,SRC_OAI!$E$100)</f>
        <v>0</v>
      </c>
      <c r="F10" s="9"/>
      <c r="G10" s="12" t="s">
        <v>1815</v>
      </c>
    </row>
    <row r="11" customFormat="false" ht="15" hidden="false" customHeight="false" outlineLevel="0" collapsed="false">
      <c r="A11" s="9" t="s">
        <v>1816</v>
      </c>
      <c r="B11" s="9" t="s">
        <v>1817</v>
      </c>
      <c r="C11" s="13" t="n">
        <f aca="false">(D9-SRC_OAI!$E$100)</f>
        <v>0.00408450704225352</v>
      </c>
      <c r="F11" s="10" t="s">
        <v>120</v>
      </c>
      <c r="G11" s="2" t="s">
        <v>1818</v>
      </c>
    </row>
    <row r="12" customFormat="false" ht="15" hidden="false" customHeight="false" outlineLevel="0" collapsed="false">
      <c r="A12" s="9" t="s">
        <v>1819</v>
      </c>
      <c r="B12" s="9" t="s">
        <v>1820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1821</v>
      </c>
      <c r="G12" s="12" t="s">
        <v>1822</v>
      </c>
    </row>
    <row r="13" customFormat="false" ht="15" hidden="false" customHeight="false" outlineLevel="0" collapsed="false">
      <c r="A13" s="9" t="s">
        <v>1823</v>
      </c>
      <c r="B13" s="9" t="s">
        <v>1824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1821</v>
      </c>
      <c r="G13" s="12" t="s">
        <v>1825</v>
      </c>
    </row>
    <row r="14" customFormat="false" ht="15" hidden="false" customHeight="false" outlineLevel="0" collapsed="false">
      <c r="A14" s="9" t="s">
        <v>1826</v>
      </c>
      <c r="B14" s="9" t="s">
        <v>1827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258</v>
      </c>
      <c r="G14" s="12" t="s">
        <v>1828</v>
      </c>
    </row>
    <row r="15" customFormat="false" ht="15" hidden="false" customHeight="false" outlineLevel="0" collapsed="false">
      <c r="A15" s="9" t="s">
        <v>1829</v>
      </c>
      <c r="B15" s="9" t="s">
        <v>1830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258</v>
      </c>
      <c r="G15" s="12" t="s">
        <v>1828</v>
      </c>
    </row>
    <row r="16" customFormat="false" ht="15" hidden="false" customHeight="false" outlineLevel="0" collapsed="false">
      <c r="A16" s="9" t="s">
        <v>1596</v>
      </c>
      <c r="B16" s="9" t="s">
        <v>1831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258</v>
      </c>
      <c r="G16" s="12" t="s">
        <v>1828</v>
      </c>
    </row>
    <row r="17" customFormat="false" ht="15" hidden="false" customHeight="false" outlineLevel="0" collapsed="false">
      <c r="A17" s="9" t="s">
        <v>1480</v>
      </c>
      <c r="B17" s="9" t="s">
        <v>1832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258</v>
      </c>
      <c r="G17" s="12" t="s">
        <v>1828</v>
      </c>
    </row>
    <row r="18" customFormat="false" ht="15" hidden="false" customHeight="false" outlineLevel="0" collapsed="false">
      <c r="A18" s="9" t="s">
        <v>1833</v>
      </c>
      <c r="B18" s="9" t="s">
        <v>1834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120</v>
      </c>
      <c r="G18" s="12" t="s">
        <v>1835</v>
      </c>
    </row>
    <row r="19" customFormat="false" ht="15" hidden="false" customHeight="false" outlineLevel="0" collapsed="false">
      <c r="A19" s="9" t="s">
        <v>1616</v>
      </c>
      <c r="B19" s="9" t="s">
        <v>1836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120</v>
      </c>
      <c r="G19" s="12" t="s">
        <v>1835</v>
      </c>
    </row>
    <row r="20" customFormat="false" ht="15" hidden="false" customHeight="false" outlineLevel="0" collapsed="false">
      <c r="A20" s="9" t="s">
        <v>1476</v>
      </c>
      <c r="B20" s="9" t="s">
        <v>1837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120</v>
      </c>
      <c r="G20" s="12" t="s">
        <v>1835</v>
      </c>
    </row>
    <row r="21" customFormat="false" ht="15" hidden="false" customHeight="false" outlineLevel="0" collapsed="false">
      <c r="A21" s="9" t="s">
        <v>1838</v>
      </c>
      <c r="B21" s="9" t="s">
        <v>1839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120</v>
      </c>
      <c r="G21" s="12" t="s">
        <v>1835</v>
      </c>
    </row>
    <row r="22" customFormat="false" ht="15" hidden="false" customHeight="false" outlineLevel="0" collapsed="false">
      <c r="A22" s="9" t="s">
        <v>1840</v>
      </c>
      <c r="B22" s="9" t="s">
        <v>1841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1821</v>
      </c>
      <c r="G22" s="12" t="s">
        <v>1825</v>
      </c>
    </row>
    <row r="23" customFormat="false" ht="15" hidden="false" customHeight="false" outlineLevel="0" collapsed="false">
      <c r="A23" s="9" t="s">
        <v>1842</v>
      </c>
      <c r="B23" s="9" t="s">
        <v>1843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1821</v>
      </c>
      <c r="G23" s="12" t="s">
        <v>1825</v>
      </c>
    </row>
    <row r="24" customFormat="false" ht="15" hidden="false" customHeight="false" outlineLevel="0" collapsed="false">
      <c r="A24" s="9" t="s">
        <v>1844</v>
      </c>
      <c r="B24" s="9" t="s">
        <v>1845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1821</v>
      </c>
      <c r="G24" s="12" t="s">
        <v>1825</v>
      </c>
    </row>
    <row r="25" customFormat="false" ht="15" hidden="false" customHeight="false" outlineLevel="0" collapsed="false">
      <c r="A25" s="9" t="s">
        <v>1846</v>
      </c>
      <c r="B25" s="9" t="s">
        <v>1847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1821</v>
      </c>
      <c r="G25" s="12" t="s">
        <v>1825</v>
      </c>
    </row>
    <row r="26" customFormat="false" ht="15" hidden="false" customHeight="false" outlineLevel="0" collapsed="false">
      <c r="A26" s="9" t="s">
        <v>1848</v>
      </c>
      <c r="B26" s="9" t="s">
        <v>1849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1850</v>
      </c>
      <c r="G26" s="12" t="s">
        <v>1851</v>
      </c>
    </row>
    <row r="27" customFormat="false" ht="15" hidden="false" customHeight="false" outlineLevel="0" collapsed="false">
      <c r="A27" s="9" t="s">
        <v>1852</v>
      </c>
      <c r="B27" s="9" t="s">
        <v>1853</v>
      </c>
      <c r="C27" s="13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1850</v>
      </c>
      <c r="G27" s="12" t="s">
        <v>1854</v>
      </c>
    </row>
    <row r="28" customFormat="false" ht="15" hidden="false" customHeight="false" outlineLevel="0" collapsed="false">
      <c r="A28" s="9" t="s">
        <v>1855</v>
      </c>
      <c r="B28" s="9" t="s">
        <v>1856</v>
      </c>
      <c r="C28" s="13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1850</v>
      </c>
      <c r="G28" s="12" t="s">
        <v>1857</v>
      </c>
    </row>
    <row r="29" customFormat="false" ht="15" hidden="false" customHeight="false" outlineLevel="0" collapsed="false">
      <c r="A29" s="9" t="s">
        <v>1858</v>
      </c>
      <c r="B29" s="9" t="s">
        <v>1859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68</v>
      </c>
      <c r="G29" s="12" t="s">
        <v>1860</v>
      </c>
    </row>
    <row r="30" customFormat="false" ht="15" hidden="false" customHeight="false" outlineLevel="0" collapsed="false">
      <c r="A30" s="9" t="s">
        <v>1861</v>
      </c>
      <c r="B30" s="9" t="s">
        <v>1862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375</v>
      </c>
      <c r="G30" s="12" t="s">
        <v>1863</v>
      </c>
    </row>
    <row r="31" customFormat="false" ht="15" hidden="false" customHeight="false" outlineLevel="0" collapsed="false">
      <c r="A31" s="9" t="s">
        <v>1864</v>
      </c>
      <c r="B31" s="9" t="s">
        <v>1865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68</v>
      </c>
      <c r="G31" s="12" t="s">
        <v>1866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1867</v>
      </c>
    </row>
    <row r="2" customFormat="false" ht="15" hidden="false" customHeight="false" outlineLevel="0" collapsed="false">
      <c r="A2" s="2" t="s">
        <v>1868</v>
      </c>
    </row>
    <row r="3" customFormat="false" ht="15" hidden="false" customHeight="false" outlineLevel="0" collapsed="false">
      <c r="A3" s="12" t="s">
        <v>1869</v>
      </c>
    </row>
    <row r="5" customFormat="false" ht="15" hidden="false" customHeight="false" outlineLevel="0" collapsed="false">
      <c r="A5" s="8" t="s">
        <v>1793</v>
      </c>
      <c r="B5" s="8" t="s">
        <v>1794</v>
      </c>
      <c r="C5" s="8" t="s">
        <v>46</v>
      </c>
      <c r="D5" s="7" t="s">
        <v>411</v>
      </c>
      <c r="E5" s="7" t="s">
        <v>423</v>
      </c>
      <c r="F5" s="7" t="s">
        <v>1170</v>
      </c>
      <c r="G5" s="7" t="s">
        <v>1172</v>
      </c>
      <c r="H5" s="7" t="s">
        <v>1174</v>
      </c>
      <c r="I5" s="7" t="s">
        <v>1176</v>
      </c>
      <c r="J5" s="8"/>
      <c r="K5" s="7" t="s">
        <v>1870</v>
      </c>
      <c r="L5" s="7" t="s">
        <v>1871</v>
      </c>
      <c r="M5" s="7" t="s">
        <v>1872</v>
      </c>
      <c r="N5" s="7" t="s">
        <v>1873</v>
      </c>
      <c r="O5" s="7" t="s">
        <v>1874</v>
      </c>
      <c r="P5" s="7" t="s">
        <v>1875</v>
      </c>
      <c r="Q5" s="8" t="s">
        <v>777</v>
      </c>
    </row>
    <row r="6" customFormat="false" ht="15" hidden="false" customHeight="false" outlineLevel="0" collapsed="false">
      <c r="B6" s="3" t="s">
        <v>1876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1877</v>
      </c>
    </row>
    <row r="8" customFormat="false" ht="15" hidden="false" customHeight="false" outlineLevel="0" collapsed="false">
      <c r="A8" s="9" t="s">
        <v>1878</v>
      </c>
      <c r="B8" s="10" t="s">
        <v>1879</v>
      </c>
      <c r="C8" s="10" t="s">
        <v>120</v>
      </c>
      <c r="E8" s="9" t="n">
        <f aca="false">INP_013*(1-SRC_OAI_037/INP_073)</f>
        <v>0.241304347826087</v>
      </c>
      <c r="F8" s="9" t="n">
        <f aca="false">INP_013*(1-SRC_OAI_037/INP_073)</f>
        <v>0.241304347826087</v>
      </c>
      <c r="G8" s="9" t="n">
        <f aca="false">INP_013*(1-SRC_OAI_037/INP_073)</f>
        <v>0.241304347826087</v>
      </c>
      <c r="H8" s="9" t="n">
        <f aca="false">INP_013*(1-SRC_OAI_037/INP_073)</f>
        <v>0.241304347826087</v>
      </c>
      <c r="I8" s="9" t="n">
        <f aca="false">INP_013*(1-SRC_OAI_037/INP_073)</f>
        <v>0.241304347826087</v>
      </c>
      <c r="L8" s="2" t="n">
        <v>0.241304347826087</v>
      </c>
      <c r="M8" s="2" t="n">
        <v>0.241304347826087</v>
      </c>
      <c r="N8" s="2" t="n">
        <v>0.241304347826087</v>
      </c>
      <c r="O8" s="2" t="n">
        <v>0.241304347826087</v>
      </c>
      <c r="P8" s="2" t="n">
        <v>0.241304347826087</v>
      </c>
      <c r="Q8" s="2" t="s">
        <v>1880</v>
      </c>
    </row>
    <row r="9" customFormat="false" ht="15" hidden="false" customHeight="false" outlineLevel="0" collapsed="false">
      <c r="A9" s="9" t="s">
        <v>1881</v>
      </c>
      <c r="B9" s="9" t="s">
        <v>1882</v>
      </c>
      <c r="C9" s="10" t="s">
        <v>560</v>
      </c>
      <c r="E9" s="9" t="n">
        <f aca="false">INP_013*(SRC_OAI_036-INP_073*(1-SRC_OAI_037/INP_073)-INP_065)/INP_065</f>
        <v>1.95</v>
      </c>
      <c r="F9" s="9" t="n">
        <f aca="false">INP_013*(SRC_OAI_036-INP_073*(1-SRC_OAI_037/INP_073)-INP_065)/INP_065</f>
        <v>1.95</v>
      </c>
      <c r="G9" s="9" t="n">
        <f aca="false">INP_013*(SRC_OAI_036-INP_073*(1-SRC_OAI_037/INP_073)-INP_065)/INP_065</f>
        <v>1.95</v>
      </c>
      <c r="H9" s="9" t="n">
        <f aca="false">INP_013*(SRC_OAI_036-INP_073*(1-SRC_OAI_037/INP_073)-INP_065)/INP_065</f>
        <v>1.95</v>
      </c>
      <c r="I9" s="9" t="n">
        <f aca="false">INP_013*(SRC_OAI_036-INP_073*(1-SRC_OAI_037/INP_073)-INP_065)/INP_065</f>
        <v>1.95</v>
      </c>
      <c r="L9" s="2" t="n">
        <v>1.95</v>
      </c>
      <c r="M9" s="2" t="n">
        <v>1.95</v>
      </c>
      <c r="N9" s="2" t="n">
        <v>1.95</v>
      </c>
      <c r="O9" s="2" t="n">
        <v>1.95</v>
      </c>
      <c r="P9" s="2" t="n">
        <v>1.95</v>
      </c>
      <c r="Q9" s="2" t="s">
        <v>1883</v>
      </c>
    </row>
    <row r="10" customFormat="false" ht="15" hidden="false" customHeight="false" outlineLevel="0" collapsed="false">
      <c r="A10" s="9" t="s">
        <v>1884</v>
      </c>
      <c r="B10" s="9" t="s">
        <v>1885</v>
      </c>
      <c r="C10" s="9" t="s">
        <v>258</v>
      </c>
      <c r="D10" s="9" t="n">
        <f aca="false">INP_056</f>
        <v>600</v>
      </c>
      <c r="E10" s="9" t="n">
        <f aca="false">V9_Free2026</f>
        <v>950.000000000001</v>
      </c>
      <c r="F10" s="9" t="n">
        <f aca="false">INP_058</f>
        <v>1250</v>
      </c>
      <c r="G10" s="9" t="n">
        <f aca="false">INP_059</f>
        <v>1500</v>
      </c>
      <c r="H10" s="9" t="n">
        <f aca="false">INP_060</f>
        <v>1700</v>
      </c>
      <c r="I10" s="9" t="n">
        <f aca="false">INP_061</f>
        <v>1850</v>
      </c>
      <c r="K10" s="2" t="n">
        <v>600</v>
      </c>
      <c r="L10" s="2" t="n">
        <v>950</v>
      </c>
      <c r="M10" s="2" t="n">
        <v>1250</v>
      </c>
      <c r="N10" s="2" t="n">
        <v>1500</v>
      </c>
      <c r="O10" s="2" t="n">
        <v>1700</v>
      </c>
      <c r="P10" s="2" t="n">
        <v>1850</v>
      </c>
      <c r="Q10" s="12" t="s">
        <v>1886</v>
      </c>
    </row>
    <row r="11" customFormat="false" ht="15" hidden="false" customHeight="false" outlineLevel="0" collapsed="false">
      <c r="A11" s="9" t="s">
        <v>1887</v>
      </c>
      <c r="B11" s="9" t="s">
        <v>1888</v>
      </c>
      <c r="C11" s="9" t="s">
        <v>258</v>
      </c>
      <c r="D11" s="9" t="n">
        <f aca="false">INP_064</f>
        <v>2</v>
      </c>
      <c r="E11" s="9" t="n">
        <f aca="false">INP_065*(1+E9)+INP_073*E8</f>
        <v>40.6</v>
      </c>
      <c r="F11" s="9" t="n">
        <f aca="false">INP_066*(1+F9)+INP_074*F8</f>
        <v>77.4478260869565</v>
      </c>
      <c r="G11" s="9" t="n">
        <f aca="false">INP_067*(1+G9)+INP_075*G8</f>
        <v>117.004347826087</v>
      </c>
      <c r="H11" s="9" t="n">
        <f aca="false">INP_068*(1+H9)+INP_076*H8</f>
        <v>147.469565217391</v>
      </c>
      <c r="I11" s="9" t="n">
        <f aca="false">INP_069*(1+I9)+INP_077*I8</f>
        <v>177.69347826087</v>
      </c>
      <c r="K11" s="2" t="n">
        <v>2</v>
      </c>
      <c r="L11" s="2" t="n">
        <v>40.6</v>
      </c>
      <c r="M11" s="2" t="n">
        <v>77.4478260869565</v>
      </c>
      <c r="N11" s="2" t="n">
        <v>117.004347826087</v>
      </c>
      <c r="O11" s="2" t="n">
        <v>147.469565217391</v>
      </c>
      <c r="P11" s="2" t="n">
        <v>177.69347826087</v>
      </c>
      <c r="Q11" s="12" t="s">
        <v>1889</v>
      </c>
    </row>
    <row r="12" customFormat="false" ht="15" hidden="false" customHeight="false" outlineLevel="0" collapsed="false">
      <c r="A12" s="9" t="s">
        <v>1890</v>
      </c>
      <c r="B12" s="9" t="s">
        <v>1891</v>
      </c>
      <c r="C12" s="9" t="s">
        <v>258</v>
      </c>
      <c r="D12" s="9" t="n">
        <f aca="false">V9_Plus2025</f>
        <v>30</v>
      </c>
      <c r="E12" s="9" t="n">
        <f aca="false">INP_073*(1-E8)</f>
        <v>34.9</v>
      </c>
      <c r="F12" s="9" t="n">
        <f aca="false">INP_074*(1-F8)</f>
        <v>39.4521739130435</v>
      </c>
      <c r="G12" s="9" t="n">
        <f aca="false">INP_075*(1-G8)</f>
        <v>43.245652173913</v>
      </c>
      <c r="H12" s="9" t="n">
        <f aca="false">INP_076*(1-H8)</f>
        <v>46.2804347826087</v>
      </c>
      <c r="I12" s="9" t="n">
        <f aca="false">INP_077*(1-I8)</f>
        <v>48.5565217391304</v>
      </c>
      <c r="K12" s="2" t="n">
        <v>30</v>
      </c>
      <c r="L12" s="2" t="n">
        <v>34.9</v>
      </c>
      <c r="M12" s="2" t="n">
        <v>39.4521739130435</v>
      </c>
      <c r="N12" s="2" t="n">
        <v>43.245652173913</v>
      </c>
      <c r="O12" s="2" t="n">
        <v>46.2804347826087</v>
      </c>
      <c r="P12" s="2" t="n">
        <v>48.5565217391304</v>
      </c>
      <c r="Q12" s="12" t="s">
        <v>1892</v>
      </c>
    </row>
    <row r="13" customFormat="false" ht="15" hidden="false" customHeight="false" outlineLevel="0" collapsed="false">
      <c r="A13" s="9" t="s">
        <v>1893</v>
      </c>
      <c r="B13" s="9" t="s">
        <v>1894</v>
      </c>
      <c r="C13" s="9" t="s">
        <v>258</v>
      </c>
      <c r="D13" s="9" t="n">
        <f aca="false">V9_Pro2025</f>
        <v>0.282258064516129</v>
      </c>
      <c r="E13" s="9" t="n">
        <f aca="false">V9_Pro2026</f>
        <v>0.564516129032258</v>
      </c>
      <c r="F13" s="9" t="n">
        <f aca="false">V9_Pro2027</f>
        <v>0.806451612903226</v>
      </c>
      <c r="G13" s="9" t="n">
        <f aca="false">V9_Pro2028</f>
        <v>1.04838709677419</v>
      </c>
      <c r="H13" s="9" t="n">
        <f aca="false">V9_Pro2029</f>
        <v>1.24193548387097</v>
      </c>
      <c r="I13" s="9" t="n">
        <f aca="false">V9_Pro2030</f>
        <v>1.41129032258065</v>
      </c>
      <c r="K13" s="2" t="n">
        <v>0.5</v>
      </c>
      <c r="L13" s="2" t="n">
        <v>1</v>
      </c>
      <c r="M13" s="2" t="n">
        <v>1.5</v>
      </c>
      <c r="N13" s="2" t="n">
        <v>2</v>
      </c>
      <c r="O13" s="2" t="n">
        <v>2.5</v>
      </c>
      <c r="P13" s="2" t="n">
        <v>3</v>
      </c>
      <c r="Q13" s="12" t="s">
        <v>1895</v>
      </c>
    </row>
    <row r="14" customFormat="false" ht="15" hidden="false" customHeight="false" outlineLevel="0" collapsed="false">
      <c r="A14" s="9" t="s">
        <v>1896</v>
      </c>
      <c r="B14" s="10" t="s">
        <v>1897</v>
      </c>
      <c r="C14" s="9" t="s">
        <v>258</v>
      </c>
      <c r="D14" s="9" t="n">
        <f aca="false">INP_088</f>
        <v>3</v>
      </c>
      <c r="E14" s="9" t="n">
        <f aca="false">INP_089</f>
        <v>14</v>
      </c>
      <c r="F14" s="9" t="n">
        <f aca="false">INP_090</f>
        <v>26</v>
      </c>
      <c r="G14" s="9" t="n">
        <f aca="false">INP_091</f>
        <v>38</v>
      </c>
      <c r="H14" s="9" t="n">
        <f aca="false">INP_092</f>
        <v>48</v>
      </c>
      <c r="I14" s="9" t="n">
        <f aca="false">INP_093</f>
        <v>56</v>
      </c>
      <c r="K14" s="2" t="n">
        <v>3</v>
      </c>
      <c r="L14" s="2" t="n">
        <v>14</v>
      </c>
      <c r="M14" s="2" t="n">
        <v>26</v>
      </c>
      <c r="N14" s="2" t="n">
        <v>38</v>
      </c>
      <c r="O14" s="2" t="n">
        <v>48</v>
      </c>
      <c r="P14" s="2" t="n">
        <v>56</v>
      </c>
      <c r="Q14" s="12" t="s">
        <v>14</v>
      </c>
    </row>
    <row r="15" customFormat="false" ht="15" hidden="false" customHeight="false" outlineLevel="0" collapsed="false">
      <c r="A15" s="9" t="s">
        <v>1898</v>
      </c>
      <c r="B15" s="10" t="s">
        <v>1899</v>
      </c>
      <c r="C15" s="9" t="s">
        <v>258</v>
      </c>
      <c r="D15" s="9" t="n">
        <f aca="false">D11+D12+D13+D14</f>
        <v>35.2822580645161</v>
      </c>
      <c r="E15" s="9" t="n">
        <f aca="false">E11+E12+E13+E14</f>
        <v>90.0645161290323</v>
      </c>
      <c r="F15" s="9" t="n">
        <f aca="false">F11+F12+F13+F14</f>
        <v>143.706451612903</v>
      </c>
      <c r="G15" s="9" t="n">
        <f aca="false">G11+G12+G13+G14</f>
        <v>199.298387096774</v>
      </c>
      <c r="H15" s="9" t="n">
        <f aca="false">H11+H12+H13+H14</f>
        <v>242.991935483871</v>
      </c>
      <c r="I15" s="9" t="n">
        <f aca="false">I11+I12+I13+I14</f>
        <v>283.661290322581</v>
      </c>
      <c r="Q15" s="2"/>
    </row>
    <row r="16" customFormat="false" ht="15" hidden="false" customHeight="false" outlineLevel="0" collapsed="false">
      <c r="A16" s="9" t="s">
        <v>1900</v>
      </c>
      <c r="B16" s="10" t="s">
        <v>1901</v>
      </c>
      <c r="C16" s="9" t="s">
        <v>258</v>
      </c>
      <c r="D16" s="9" t="n">
        <f aca="false">D11+D12+D13</f>
        <v>32.2822580645161</v>
      </c>
      <c r="E16" s="9" t="n">
        <f aca="false">E11+E12+E13</f>
        <v>76.0645161290323</v>
      </c>
      <c r="F16" s="9" t="n">
        <f aca="false">F11+F12+F13</f>
        <v>117.706451612903</v>
      </c>
      <c r="G16" s="9" t="n">
        <f aca="false">G11+G12+G13</f>
        <v>161.298387096774</v>
      </c>
      <c r="H16" s="9" t="n">
        <f aca="false">H11+H12+H13</f>
        <v>194.991935483871</v>
      </c>
      <c r="I16" s="9" t="n">
        <f aca="false">I11+I12+I13</f>
        <v>227.661290322581</v>
      </c>
      <c r="K16" s="2" t="n">
        <v>32.5</v>
      </c>
      <c r="L16" s="2" t="n">
        <v>76.5</v>
      </c>
      <c r="M16" s="2" t="n">
        <v>118.4</v>
      </c>
      <c r="N16" s="2" t="n">
        <v>162.25</v>
      </c>
      <c r="O16" s="2" t="n">
        <v>196.25</v>
      </c>
      <c r="P16" s="2" t="n">
        <v>229.25</v>
      </c>
      <c r="Q16" s="2"/>
    </row>
    <row r="17" customFormat="false" ht="15" hidden="false" customHeight="false" outlineLevel="0" collapsed="false">
      <c r="A17" s="14" t="s">
        <v>1902</v>
      </c>
    </row>
    <row r="18" customFormat="false" ht="15" hidden="false" customHeight="false" outlineLevel="0" collapsed="false">
      <c r="A18" s="9" t="s">
        <v>1903</v>
      </c>
      <c r="B18" s="9" t="s">
        <v>1904</v>
      </c>
      <c r="C18" s="10" t="s">
        <v>1296</v>
      </c>
      <c r="D18" s="9" t="n">
        <f aca="false">INP_102</f>
        <v>1.7</v>
      </c>
      <c r="E18" s="9" t="n">
        <f aca="false">INP_103</f>
        <v>1.7</v>
      </c>
      <c r="F18" s="9" t="n">
        <f aca="false">E18*(1+INP_122)</f>
        <v>1.87</v>
      </c>
      <c r="G18" s="9" t="n">
        <f aca="false">F18*(1+INP_122)</f>
        <v>2.057</v>
      </c>
      <c r="H18" s="9" t="n">
        <f aca="false">G18*(1+INP_122)</f>
        <v>2.2627</v>
      </c>
      <c r="I18" s="9" t="n">
        <f aca="false">H18*(1+INP_122)</f>
        <v>2.48897</v>
      </c>
      <c r="K18" s="2" t="n">
        <v>1.7</v>
      </c>
      <c r="L18" s="2" t="n">
        <v>1.7</v>
      </c>
      <c r="M18" s="2" t="n">
        <v>1.87</v>
      </c>
      <c r="N18" s="2" t="n">
        <v>2.057</v>
      </c>
      <c r="O18" s="2" t="n">
        <v>2.2627</v>
      </c>
      <c r="P18" s="2" t="n">
        <v>2.48897</v>
      </c>
      <c r="Q18" s="12" t="s">
        <v>1905</v>
      </c>
    </row>
    <row r="19" customFormat="false" ht="15" hidden="false" customHeight="false" outlineLevel="0" collapsed="false">
      <c r="A19" s="9" t="s">
        <v>1130</v>
      </c>
      <c r="B19" s="9" t="s">
        <v>1906</v>
      </c>
      <c r="C19" s="10" t="s">
        <v>1296</v>
      </c>
      <c r="D19" s="9" t="n">
        <f aca="false">INP_104</f>
        <v>5.3</v>
      </c>
      <c r="E19" s="9" t="n">
        <f aca="false">INP_105</f>
        <v>5.7</v>
      </c>
      <c r="F19" s="9" t="n">
        <f aca="false">E19*(1+INP_122)</f>
        <v>6.27</v>
      </c>
      <c r="G19" s="9" t="n">
        <f aca="false">F19*(1+INP_122)</f>
        <v>6.897</v>
      </c>
      <c r="H19" s="9" t="n">
        <f aca="false">G19*(1+INP_122)</f>
        <v>7.5867</v>
      </c>
      <c r="I19" s="9" t="n">
        <f aca="false">H19*(1+INP_122)</f>
        <v>8.34537</v>
      </c>
      <c r="K19" s="2" t="n">
        <v>5.3</v>
      </c>
      <c r="L19" s="2" t="n">
        <v>5.7</v>
      </c>
      <c r="M19" s="2" t="n">
        <v>6.27</v>
      </c>
      <c r="N19" s="2" t="n">
        <v>6.897</v>
      </c>
      <c r="O19" s="2" t="n">
        <v>7.5867</v>
      </c>
      <c r="P19" s="2" t="n">
        <v>8.34537</v>
      </c>
      <c r="Q19" s="12" t="s">
        <v>1905</v>
      </c>
    </row>
    <row r="20" customFormat="false" ht="15" hidden="false" customHeight="false" outlineLevel="0" collapsed="false">
      <c r="A20" s="9" t="s">
        <v>1907</v>
      </c>
      <c r="B20" s="9" t="s">
        <v>1908</v>
      </c>
      <c r="C20" s="10" t="s">
        <v>1296</v>
      </c>
      <c r="D20" s="9" t="n">
        <f aca="false">INP_106</f>
        <v>13.4</v>
      </c>
      <c r="E20" s="9" t="n">
        <f aca="false">INP_107</f>
        <v>17.9</v>
      </c>
      <c r="F20" s="9" t="n">
        <f aca="false">E20*(1+INP_122)</f>
        <v>19.69</v>
      </c>
      <c r="G20" s="9" t="n">
        <f aca="false">F20*(1+INP_122)</f>
        <v>21.659</v>
      </c>
      <c r="H20" s="9" t="n">
        <f aca="false">G20*(1+INP_122)</f>
        <v>23.8249</v>
      </c>
      <c r="I20" s="9" t="n">
        <f aca="false">H20*(1+INP_122)</f>
        <v>26.20739</v>
      </c>
      <c r="K20" s="2" t="n">
        <v>13.4</v>
      </c>
      <c r="L20" s="2" t="n">
        <v>17.9</v>
      </c>
      <c r="M20" s="2" t="n">
        <v>19.69</v>
      </c>
      <c r="N20" s="2" t="n">
        <v>21.659</v>
      </c>
      <c r="O20" s="2" t="n">
        <v>23.8249</v>
      </c>
      <c r="P20" s="2" t="n">
        <v>26.20739</v>
      </c>
      <c r="Q20" s="12" t="s">
        <v>1905</v>
      </c>
    </row>
    <row r="21" customFormat="false" ht="15" hidden="false" customHeight="false" outlineLevel="0" collapsed="false">
      <c r="A21" s="9" t="s">
        <v>1909</v>
      </c>
      <c r="B21" s="9" t="s">
        <v>1910</v>
      </c>
      <c r="C21" s="10" t="s">
        <v>1296</v>
      </c>
      <c r="D21" s="9" t="n">
        <f aca="false">INP_108</f>
        <v>41</v>
      </c>
      <c r="E21" s="9" t="n">
        <f aca="false">INP_109</f>
        <v>51.4</v>
      </c>
      <c r="F21" s="9" t="n">
        <f aca="false">E21*(1+INP_122)</f>
        <v>56.54</v>
      </c>
      <c r="G21" s="9" t="n">
        <f aca="false">F21*(1+INP_122)</f>
        <v>62.194</v>
      </c>
      <c r="H21" s="9" t="n">
        <f aca="false">G21*(1+INP_122)</f>
        <v>68.4134</v>
      </c>
      <c r="I21" s="9" t="n">
        <f aca="false">H21*(1+INP_122)</f>
        <v>75.25474</v>
      </c>
      <c r="K21" s="2" t="n">
        <v>41</v>
      </c>
      <c r="L21" s="2" t="n">
        <v>51.4</v>
      </c>
      <c r="M21" s="2" t="n">
        <v>56.54</v>
      </c>
      <c r="N21" s="2" t="n">
        <v>62.194</v>
      </c>
      <c r="O21" s="2" t="n">
        <v>68.4134</v>
      </c>
      <c r="P21" s="2" t="n">
        <v>75.25474</v>
      </c>
      <c r="Q21" s="12" t="s">
        <v>1905</v>
      </c>
    </row>
    <row r="22" customFormat="false" ht="15" hidden="false" customHeight="false" outlineLevel="0" collapsed="false">
      <c r="A22" s="9" t="s">
        <v>1911</v>
      </c>
      <c r="B22" s="10" t="s">
        <v>1912</v>
      </c>
      <c r="C22" s="10" t="s">
        <v>1296</v>
      </c>
      <c r="D22" s="9" t="n">
        <f aca="false">INP_110</f>
        <v>10.7</v>
      </c>
      <c r="E22" s="9" t="n">
        <f aca="false">INP_111</f>
        <v>14.3</v>
      </c>
      <c r="F22" s="9" t="n">
        <f aca="false">E22*(1+INP_122)</f>
        <v>15.73</v>
      </c>
      <c r="G22" s="9" t="n">
        <f aca="false">F22*(1+INP_122)</f>
        <v>17.303</v>
      </c>
      <c r="H22" s="9" t="n">
        <f aca="false">G22*(1+INP_122)</f>
        <v>19.0333</v>
      </c>
      <c r="I22" s="9" t="n">
        <f aca="false">H22*(1+INP_122)</f>
        <v>20.93663</v>
      </c>
      <c r="K22" s="2" t="n">
        <v>10.7</v>
      </c>
      <c r="L22" s="2" t="n">
        <v>14.3</v>
      </c>
      <c r="M22" s="2" t="n">
        <v>15.73</v>
      </c>
      <c r="N22" s="2" t="n">
        <v>17.303</v>
      </c>
      <c r="O22" s="2" t="n">
        <v>19.0333</v>
      </c>
      <c r="P22" s="2" t="n">
        <v>20.93663</v>
      </c>
      <c r="Q22" s="12" t="s">
        <v>1905</v>
      </c>
    </row>
    <row r="23" customFormat="false" ht="15" hidden="false" customHeight="false" outlineLevel="0" collapsed="false">
      <c r="A23" s="9" t="s">
        <v>1913</v>
      </c>
      <c r="B23" s="9" t="s">
        <v>1914</v>
      </c>
      <c r="C23" s="9" t="s">
        <v>1915</v>
      </c>
      <c r="D23" s="9" t="n">
        <f aca="false">INP_112</f>
        <v>2</v>
      </c>
      <c r="E23" s="9" t="n">
        <f aca="false">INP_113</f>
        <v>2.94</v>
      </c>
      <c r="F23" s="9" t="n">
        <f aca="false">E23*(1+INP_123)</f>
        <v>3.381</v>
      </c>
      <c r="G23" s="9" t="n">
        <f aca="false">F23*(1+INP_123)</f>
        <v>3.88815</v>
      </c>
      <c r="H23" s="9" t="n">
        <f aca="false">G23*(1+INP_123)</f>
        <v>4.4713725</v>
      </c>
      <c r="I23" s="9" t="n">
        <f aca="false">H23*(1+INP_123)</f>
        <v>5.142078375</v>
      </c>
      <c r="K23" s="2" t="n">
        <v>2</v>
      </c>
      <c r="L23" s="2" t="n">
        <v>2.94</v>
      </c>
      <c r="M23" s="2" t="n">
        <v>3.381</v>
      </c>
      <c r="N23" s="2" t="n">
        <v>3.88815</v>
      </c>
      <c r="O23" s="2" t="n">
        <v>4.4713725</v>
      </c>
      <c r="P23" s="2" t="n">
        <v>5.142078375</v>
      </c>
      <c r="Q23" s="12" t="s">
        <v>1916</v>
      </c>
    </row>
    <row r="24" customFormat="false" ht="15" hidden="false" customHeight="false" outlineLevel="0" collapsed="false">
      <c r="A24" s="9" t="s">
        <v>1917</v>
      </c>
      <c r="B24" s="9" t="s">
        <v>1918</v>
      </c>
      <c r="C24" s="9" t="s">
        <v>1915</v>
      </c>
      <c r="D24" s="9" t="n">
        <f aca="false">INP_114</f>
        <v>3</v>
      </c>
      <c r="E24" s="9" t="n">
        <f aca="false">INP_115</f>
        <v>4.39</v>
      </c>
      <c r="F24" s="9" t="n">
        <f aca="false">E24*(1+INP_123)</f>
        <v>5.0485</v>
      </c>
      <c r="G24" s="9" t="n">
        <f aca="false">F24*(1+INP_123)</f>
        <v>5.805775</v>
      </c>
      <c r="H24" s="9" t="n">
        <f aca="false">G24*(1+INP_123)</f>
        <v>6.67664125</v>
      </c>
      <c r="I24" s="9" t="n">
        <f aca="false">H24*(1+INP_123)</f>
        <v>7.6781374375</v>
      </c>
      <c r="K24" s="2" t="n">
        <v>3</v>
      </c>
      <c r="L24" s="2" t="n">
        <v>4.39</v>
      </c>
      <c r="M24" s="2" t="n">
        <v>5.0485</v>
      </c>
      <c r="N24" s="2" t="n">
        <v>5.805775</v>
      </c>
      <c r="O24" s="2" t="n">
        <v>6.67664125</v>
      </c>
      <c r="P24" s="2" t="n">
        <v>7.6781374375</v>
      </c>
      <c r="Q24" s="12" t="s">
        <v>1916</v>
      </c>
    </row>
    <row r="25" customFormat="false" ht="15" hidden="false" customHeight="false" outlineLevel="0" collapsed="false">
      <c r="A25" s="9" t="s">
        <v>1919</v>
      </c>
      <c r="B25" s="9" t="s">
        <v>1920</v>
      </c>
      <c r="C25" s="9" t="s">
        <v>1915</v>
      </c>
      <c r="D25" s="9" t="n">
        <f aca="false">INP_116</f>
        <v>4</v>
      </c>
      <c r="E25" s="9" t="n">
        <f aca="false">INP_117</f>
        <v>6.15</v>
      </c>
      <c r="F25" s="9" t="n">
        <f aca="false">E25*(1+INP_123)</f>
        <v>7.0725</v>
      </c>
      <c r="G25" s="9" t="n">
        <f aca="false">F25*(1+INP_123)</f>
        <v>8.133375</v>
      </c>
      <c r="H25" s="9" t="n">
        <f aca="false">G25*(1+INP_123)</f>
        <v>9.35338125</v>
      </c>
      <c r="I25" s="9" t="n">
        <f aca="false">H25*(1+INP_123)</f>
        <v>10.7563884375</v>
      </c>
      <c r="K25" s="2" t="n">
        <v>4</v>
      </c>
      <c r="L25" s="2" t="n">
        <v>6.15</v>
      </c>
      <c r="M25" s="2" t="n">
        <v>7.0725</v>
      </c>
      <c r="N25" s="2" t="n">
        <v>8.133375</v>
      </c>
      <c r="O25" s="2" t="n">
        <v>9.35338125</v>
      </c>
      <c r="P25" s="2" t="n">
        <v>10.7563884375</v>
      </c>
      <c r="Q25" s="12" t="s">
        <v>1916</v>
      </c>
    </row>
    <row r="26" customFormat="false" ht="15" hidden="false" customHeight="false" outlineLevel="0" collapsed="false">
      <c r="A26" s="9" t="s">
        <v>1921</v>
      </c>
      <c r="B26" s="9" t="s">
        <v>1922</v>
      </c>
      <c r="C26" s="9" t="s">
        <v>1915</v>
      </c>
      <c r="D26" s="9" t="n">
        <f aca="false">INP_118</f>
        <v>10</v>
      </c>
      <c r="E26" s="9" t="n">
        <f aca="false">INP_119</f>
        <v>15.6</v>
      </c>
      <c r="F26" s="9" t="n">
        <f aca="false">E26*(1+INP_123)</f>
        <v>17.94</v>
      </c>
      <c r="G26" s="9" t="n">
        <f aca="false">F26*(1+INP_123)</f>
        <v>20.631</v>
      </c>
      <c r="H26" s="9" t="n">
        <f aca="false">G26*(1+INP_123)</f>
        <v>23.72565</v>
      </c>
      <c r="I26" s="9" t="n">
        <f aca="false">H26*(1+INP_123)</f>
        <v>27.2844975</v>
      </c>
      <c r="K26" s="2" t="n">
        <v>10</v>
      </c>
      <c r="L26" s="2" t="n">
        <v>15.6</v>
      </c>
      <c r="M26" s="2" t="n">
        <v>17.94</v>
      </c>
      <c r="N26" s="2" t="n">
        <v>20.631</v>
      </c>
      <c r="O26" s="2" t="n">
        <v>23.72565</v>
      </c>
      <c r="P26" s="2" t="n">
        <v>27.2844975</v>
      </c>
      <c r="Q26" s="12" t="s">
        <v>1916</v>
      </c>
    </row>
    <row r="27" customFormat="false" ht="15" hidden="false" customHeight="false" outlineLevel="0" collapsed="false">
      <c r="A27" s="9" t="s">
        <v>1923</v>
      </c>
      <c r="B27" s="10" t="s">
        <v>1924</v>
      </c>
      <c r="C27" s="9" t="s">
        <v>1915</v>
      </c>
      <c r="D27" s="9" t="n">
        <f aca="false">INP_120</f>
        <v>4</v>
      </c>
      <c r="E27" s="9" t="n">
        <f aca="false">INP_121</f>
        <v>5.94</v>
      </c>
      <c r="F27" s="9" t="n">
        <f aca="false">E27*(1+INP_123)</f>
        <v>6.831</v>
      </c>
      <c r="G27" s="9" t="n">
        <f aca="false">F27*(1+INP_123)</f>
        <v>7.85565</v>
      </c>
      <c r="H27" s="9" t="n">
        <f aca="false">G27*(1+INP_123)</f>
        <v>9.0339975</v>
      </c>
      <c r="I27" s="9" t="n">
        <f aca="false">H27*(1+INP_123)</f>
        <v>10.389097125</v>
      </c>
      <c r="K27" s="2" t="n">
        <v>4</v>
      </c>
      <c r="L27" s="2" t="n">
        <v>5.94</v>
      </c>
      <c r="M27" s="2" t="n">
        <v>6.831</v>
      </c>
      <c r="N27" s="2" t="n">
        <v>7.85565</v>
      </c>
      <c r="O27" s="2" t="n">
        <v>9.0339975</v>
      </c>
      <c r="P27" s="2" t="n">
        <v>10.389097125</v>
      </c>
      <c r="Q27" s="12" t="s">
        <v>1916</v>
      </c>
    </row>
    <row r="28" customFormat="false" ht="15" hidden="false" customHeight="false" outlineLevel="0" collapsed="false">
      <c r="A28" s="9" t="s">
        <v>1925</v>
      </c>
      <c r="B28" s="9" t="s">
        <v>1926</v>
      </c>
      <c r="C28" s="9" t="s">
        <v>1850</v>
      </c>
      <c r="D28" s="9" t="n">
        <f aca="false">D10*D18*D23*INP_251/INP_239</f>
        <v>744.6</v>
      </c>
      <c r="E28" s="9" t="n">
        <f aca="false">E10*E18*E23*INP_251/INP_239</f>
        <v>1733.0565</v>
      </c>
      <c r="F28" s="9" t="n">
        <f aca="false">F10*F18*F23*INP_251/INP_239</f>
        <v>2884.6269375</v>
      </c>
      <c r="G28" s="9" t="n">
        <f aca="false">G10*G18*G23*INP_251/INP_239</f>
        <v>4378.863691125</v>
      </c>
      <c r="H28" s="9" t="n">
        <f aca="false">H10*H18*H23*INP_251/INP_239</f>
        <v>6277.83091184288</v>
      </c>
      <c r="I28" s="9" t="n">
        <f aca="false">I10*I18*I23*INP_251/INP_239</f>
        <v>8642.17281849429</v>
      </c>
      <c r="K28" s="2" t="n">
        <v>744.6</v>
      </c>
      <c r="L28" s="2" t="n">
        <v>1733.0565</v>
      </c>
      <c r="M28" s="2" t="n">
        <v>2884.6269375</v>
      </c>
      <c r="N28" s="2" t="n">
        <v>4378.863691125</v>
      </c>
      <c r="O28" s="2" t="n">
        <v>6277.83091184288</v>
      </c>
      <c r="P28" s="2" t="n">
        <v>8642.17281849429</v>
      </c>
      <c r="Q28" s="2" t="s">
        <v>1927</v>
      </c>
    </row>
    <row r="29" customFormat="false" ht="15" hidden="false" customHeight="false" outlineLevel="0" collapsed="false">
      <c r="A29" s="9" t="s">
        <v>1928</v>
      </c>
      <c r="B29" s="9" t="s">
        <v>1929</v>
      </c>
      <c r="C29" s="9" t="s">
        <v>1850</v>
      </c>
      <c r="D29" s="9" t="n">
        <f aca="false">D11*D19*D24*INP_251/INP_239</f>
        <v>11.607</v>
      </c>
      <c r="E29" s="9" t="n">
        <f aca="false">E11*E19*E24*INP_251/INP_239</f>
        <v>370.815837</v>
      </c>
      <c r="F29" s="9" t="n">
        <f aca="false">F11*F19*F24*INP_251/INP_239</f>
        <v>894.8124082425</v>
      </c>
      <c r="G29" s="9" t="n">
        <f aca="false">G11*G19*G24*INP_251/INP_239</f>
        <v>1710.07552621909</v>
      </c>
      <c r="H29" s="9" t="n">
        <f aca="false">H11*H19*H24*INP_251/INP_239</f>
        <v>2726.50448695137</v>
      </c>
      <c r="I29" s="9" t="n">
        <f aca="false">I11*I19*I24*INP_251/INP_239</f>
        <v>4155.90710061812</v>
      </c>
      <c r="K29" s="2" t="n">
        <v>11.607</v>
      </c>
      <c r="L29" s="2" t="n">
        <v>370.815837</v>
      </c>
      <c r="M29" s="2" t="n">
        <v>894.8124082425</v>
      </c>
      <c r="N29" s="2" t="n">
        <v>1710.07552621909</v>
      </c>
      <c r="O29" s="2" t="n">
        <v>2726.50448695137</v>
      </c>
      <c r="P29" s="2" t="n">
        <v>4155.90710061812</v>
      </c>
      <c r="Q29" s="2" t="s">
        <v>1927</v>
      </c>
    </row>
    <row r="30" customFormat="false" ht="15" hidden="false" customHeight="false" outlineLevel="0" collapsed="false">
      <c r="A30" s="9" t="s">
        <v>1930</v>
      </c>
      <c r="B30" s="9" t="s">
        <v>1931</v>
      </c>
      <c r="C30" s="9" t="s">
        <v>1850</v>
      </c>
      <c r="D30" s="9" t="n">
        <f aca="false">D12*D20*D25*INP_251/INP_239</f>
        <v>586.92</v>
      </c>
      <c r="E30" s="9" t="n">
        <f aca="false">E12*E20*E25*INP_251/INP_239</f>
        <v>1402.3177725</v>
      </c>
      <c r="F30" s="9" t="n">
        <f aca="false">F12*F20*F25*INP_251/INP_239</f>
        <v>2005.314414675</v>
      </c>
      <c r="G30" s="9" t="n">
        <f aca="false">G12*G20*G25*INP_251/INP_239</f>
        <v>2780.63838211809</v>
      </c>
      <c r="H30" s="9" t="n">
        <f aca="false">H12*H20*H25*INP_251/INP_239</f>
        <v>3764.35018870426</v>
      </c>
      <c r="I30" s="9" t="n">
        <f aca="false">I12*I20*I25*INP_251/INP_239</f>
        <v>4996.09493897536</v>
      </c>
      <c r="K30" s="2" t="n">
        <v>586.92</v>
      </c>
      <c r="L30" s="2" t="n">
        <v>1402.3177725</v>
      </c>
      <c r="M30" s="2" t="n">
        <v>2005.314414675</v>
      </c>
      <c r="N30" s="2" t="n">
        <v>2780.63838211809</v>
      </c>
      <c r="O30" s="2" t="n">
        <v>3764.35018870426</v>
      </c>
      <c r="P30" s="2" t="n">
        <v>4996.09493897536</v>
      </c>
      <c r="Q30" s="2" t="s">
        <v>1927</v>
      </c>
    </row>
    <row r="31" customFormat="false" ht="15" hidden="false" customHeight="false" outlineLevel="0" collapsed="false">
      <c r="A31" s="9" t="s">
        <v>1932</v>
      </c>
      <c r="B31" s="9" t="s">
        <v>1933</v>
      </c>
      <c r="C31" s="9" t="s">
        <v>1850</v>
      </c>
      <c r="D31" s="9" t="n">
        <f aca="false">D13*D21*D26*INP_251/INP_239</f>
        <v>42.2399193548387</v>
      </c>
      <c r="E31" s="9" t="n">
        <f aca="false">E13*E21*E26*INP_251/INP_239</f>
        <v>165.217838709677</v>
      </c>
      <c r="F31" s="9" t="n">
        <f aca="false">F13*F21*F26*INP_251/INP_239</f>
        <v>298.572237096774</v>
      </c>
      <c r="G31" s="9" t="n">
        <f aca="false">G13*G21*G26*INP_251/INP_239</f>
        <v>491.002043905645</v>
      </c>
      <c r="H31" s="9" t="n">
        <f aca="false">H13*H21*H26*INP_251/INP_239</f>
        <v>735.785447486606</v>
      </c>
      <c r="I31" s="9" t="n">
        <f aca="false">I13*I21*I26*INP_251/INP_239</f>
        <v>1057.691580762</v>
      </c>
      <c r="K31" s="2" t="n">
        <v>74.825</v>
      </c>
      <c r="L31" s="2" t="n">
        <v>292.6716</v>
      </c>
      <c r="M31" s="2" t="n">
        <v>555.344361</v>
      </c>
      <c r="N31" s="2" t="n">
        <v>936.68082222</v>
      </c>
      <c r="O31" s="2" t="n">
        <v>1481.12655013538</v>
      </c>
      <c r="P31" s="2" t="n">
        <v>2248.3501031055</v>
      </c>
      <c r="Q31" s="2" t="s">
        <v>1927</v>
      </c>
    </row>
    <row r="32" customFormat="false" ht="15" hidden="false" customHeight="false" outlineLevel="0" collapsed="false">
      <c r="A32" s="9" t="s">
        <v>1934</v>
      </c>
      <c r="B32" s="10" t="s">
        <v>1935</v>
      </c>
      <c r="C32" s="9" t="s">
        <v>1850</v>
      </c>
      <c r="D32" s="9" t="n">
        <f aca="false">D14*D22*D27*INP_251/INP_239</f>
        <v>46.866</v>
      </c>
      <c r="E32" s="9" t="n">
        <f aca="false">E14*E22*E27*INP_251/INP_239</f>
        <v>434.05362</v>
      </c>
      <c r="F32" s="9" t="n">
        <f aca="false">F14*F22*F27*INP_251/INP_239</f>
        <v>1019.7159687</v>
      </c>
      <c r="G32" s="9" t="n">
        <f aca="false">G14*G22*G27*INP_251/INP_239</f>
        <v>1885.2979467465</v>
      </c>
      <c r="H32" s="9" t="n">
        <f aca="false">H14*H22*H27*INP_251/INP_239</f>
        <v>3012.50766648546</v>
      </c>
      <c r="I32" s="9" t="n">
        <f aca="false">I14*I22*I27*INP_251/INP_239</f>
        <v>4445.95923112146</v>
      </c>
      <c r="K32" s="2" t="n">
        <v>46.866</v>
      </c>
      <c r="L32" s="2" t="n">
        <v>434.05362</v>
      </c>
      <c r="M32" s="2" t="n">
        <v>1019.7159687</v>
      </c>
      <c r="N32" s="2" t="n">
        <v>1885.2979467465</v>
      </c>
      <c r="O32" s="2" t="n">
        <v>3012.50766648546</v>
      </c>
      <c r="P32" s="2" t="n">
        <v>4445.95923112146</v>
      </c>
      <c r="Q32" s="2" t="s">
        <v>1927</v>
      </c>
    </row>
    <row r="33" customFormat="false" ht="15" hidden="false" customHeight="false" outlineLevel="0" collapsed="false">
      <c r="A33" s="9" t="s">
        <v>1936</v>
      </c>
      <c r="B33" s="10" t="s">
        <v>1937</v>
      </c>
      <c r="C33" s="9" t="s">
        <v>1850</v>
      </c>
      <c r="D33" s="9" t="n">
        <f aca="false">D28+D29+D30+D31+D32</f>
        <v>1432.23291935484</v>
      </c>
      <c r="E33" s="9" t="n">
        <f aca="false">E28+E29+E30+E31+E32</f>
        <v>4105.46156820968</v>
      </c>
      <c r="F33" s="9" t="n">
        <f aca="false">F28+F29+F30+F31+F32</f>
        <v>7103.04196621427</v>
      </c>
      <c r="G33" s="9" t="n">
        <f aca="false">G28+G29+G30+G31+G32</f>
        <v>11245.8775901143</v>
      </c>
      <c r="H33" s="9" t="n">
        <f aca="false">H28+H29+H30+H31+H32</f>
        <v>16516.9787014706</v>
      </c>
      <c r="I33" s="9" t="n">
        <f aca="false">I28+I29+I30+I31+I32</f>
        <v>23297.8256699712</v>
      </c>
      <c r="K33" s="2" t="n">
        <v>1464.818</v>
      </c>
      <c r="L33" s="2" t="n">
        <v>4232.9153295</v>
      </c>
      <c r="M33" s="2" t="n">
        <v>7359.8140901175</v>
      </c>
      <c r="N33" s="2" t="n">
        <v>11691.5563684287</v>
      </c>
      <c r="O33" s="2" t="n">
        <v>17262.3198041193</v>
      </c>
      <c r="P33" s="2" t="n">
        <v>24488.4841923147</v>
      </c>
      <c r="Q33" s="12" t="s">
        <v>1938</v>
      </c>
    </row>
    <row r="34" customFormat="false" ht="15" hidden="false" customHeight="false" outlineLevel="0" collapsed="false">
      <c r="A34" s="14" t="s">
        <v>1939</v>
      </c>
    </row>
    <row r="35" customFormat="false" ht="15" hidden="false" customHeight="false" outlineLevel="0" collapsed="false">
      <c r="A35" s="9" t="s">
        <v>1940</v>
      </c>
      <c r="B35" s="10" t="s">
        <v>1941</v>
      </c>
      <c r="C35" s="10" t="s">
        <v>560</v>
      </c>
      <c r="E35" s="9" t="n">
        <f aca="false">Revenue!E21/Revenue!D21</f>
        <v>1.41849070307055</v>
      </c>
      <c r="F35" s="9" t="n">
        <f aca="false">Revenue!F21/Revenue!E21</f>
        <v>0.642598651733446</v>
      </c>
      <c r="G35" s="9" t="n">
        <f aca="false">Revenue!G21/Revenue!F21</f>
        <v>0.646403857420139</v>
      </c>
      <c r="H35" s="9" t="n">
        <f aca="false">Revenue!H21/Revenue!G21</f>
        <v>0.650251402155518</v>
      </c>
      <c r="I35" s="9" t="n">
        <f aca="false">Revenue!I21/Revenue!H21</f>
        <v>0.65409597179223</v>
      </c>
      <c r="L35" s="2" t="n">
        <v>1</v>
      </c>
      <c r="M35" s="2" t="n">
        <v>0.642202298226596</v>
      </c>
      <c r="N35" s="2" t="n">
        <v>0.646000471876533</v>
      </c>
      <c r="O35" s="2" t="n">
        <v>0.649845676149487</v>
      </c>
      <c r="P35" s="2" t="n">
        <v>0.653692706722902</v>
      </c>
      <c r="Q35" s="2" t="s">
        <v>1942</v>
      </c>
    </row>
    <row r="36" customFormat="false" ht="15" hidden="false" customHeight="false" outlineLevel="0" collapsed="false">
      <c r="A36" s="9" t="s">
        <v>1943</v>
      </c>
      <c r="B36" s="9" t="s">
        <v>1944</v>
      </c>
      <c r="C36" s="9" t="s">
        <v>1915</v>
      </c>
      <c r="D36" s="9" t="n">
        <f aca="false">INP_031</f>
        <v>10</v>
      </c>
      <c r="E36" s="9" t="n">
        <f aca="false">D36*(1+INP_041)*E35^(INP_049*(E$6&gt;=INP_004))</f>
        <v>12</v>
      </c>
      <c r="F36" s="9" t="n">
        <f aca="false">E36*(1+INP_042)*F35^(INP_049*(F$6&gt;=INP_004))</f>
        <v>15.7578565787945</v>
      </c>
      <c r="G36" s="9" t="n">
        <f aca="false">F36*(1+INP_043)*G35^(INP_049*(G$6&gt;=INP_004))</f>
        <v>20.1170355896638</v>
      </c>
      <c r="H36" s="9" t="n">
        <f aca="false">G36*(1+INP_044)*H35^(INP_049*(H$6&gt;=INP_004))</f>
        <v>25.1786406834027</v>
      </c>
      <c r="I36" s="9" t="n">
        <f aca="false">H36*(1+INP_045)*I35^(INP_049*(I$6&gt;=INP_004))</f>
        <v>30.8861369872656</v>
      </c>
      <c r="K36" s="2" t="n">
        <v>10</v>
      </c>
      <c r="L36" s="2" t="n">
        <v>12</v>
      </c>
      <c r="M36" s="2" t="n">
        <v>15.7607735722679</v>
      </c>
      <c r="N36" s="2" t="n">
        <v>20.1245279371246</v>
      </c>
      <c r="O36" s="2" t="n">
        <v>25.1927349160684</v>
      </c>
      <c r="P36" s="2" t="n">
        <v>30.9091441932479</v>
      </c>
      <c r="Q36" s="2" t="s">
        <v>1945</v>
      </c>
    </row>
    <row r="37" customFormat="false" ht="15" hidden="false" customHeight="false" outlineLevel="0" collapsed="false">
      <c r="A37" s="9" t="s">
        <v>1946</v>
      </c>
      <c r="B37" s="9" t="s">
        <v>1947</v>
      </c>
      <c r="C37" s="10" t="s">
        <v>1948</v>
      </c>
      <c r="D37" s="9" t="n">
        <f aca="false">D38/D36</f>
        <v>210.582719058687</v>
      </c>
      <c r="E37" s="9" t="n">
        <f aca="false">D37*(1+INP_033)*E35^(INP_048*(E$6&gt;=INP_004))</f>
        <v>492.763562597328</v>
      </c>
      <c r="F37" s="9" t="n">
        <f aca="false">E37*(1+INP_034)*F35^(INP_048*(F$6&gt;=INP_004))</f>
        <v>973.752804900931</v>
      </c>
      <c r="G37" s="9" t="n">
        <f aca="false">F37*(1+INP_035)*G35^(INP_048*(G$6&gt;=INP_004))</f>
        <v>1784.14329659956</v>
      </c>
      <c r="H37" s="9" t="n">
        <f aca="false">G37*(1+INP_036)*H35^(INP_048*(H$6&gt;=INP_004))</f>
        <v>3014.27476295805</v>
      </c>
      <c r="I37" s="9" t="n">
        <f aca="false">H37*(1+INP_037)*I35^(INP_048*(I$6&gt;=INP_004))</f>
        <v>4868.72282825021</v>
      </c>
      <c r="K37" s="2" t="n">
        <v>184.056429081931</v>
      </c>
      <c r="L37" s="2" t="n">
        <v>430.692044051719</v>
      </c>
      <c r="M37" s="2" t="n">
        <v>851.460592762892</v>
      </c>
      <c r="N37" s="2" t="n">
        <v>1560.75716241308</v>
      </c>
      <c r="O37" s="2" t="n">
        <v>2638.02062123507</v>
      </c>
      <c r="P37" s="2" t="n">
        <v>4262.82873320222</v>
      </c>
      <c r="Q37" s="12" t="s">
        <v>1949</v>
      </c>
    </row>
    <row r="38" customFormat="false" ht="15" hidden="false" customHeight="false" outlineLevel="0" collapsed="false">
      <c r="A38" s="9" t="s">
        <v>1950</v>
      </c>
      <c r="B38" s="9" t="s">
        <v>1951</v>
      </c>
      <c r="C38" s="9" t="s">
        <v>1850</v>
      </c>
      <c r="D38" s="9" t="n">
        <f aca="false">Revenue!D33/Revenue!D21*INP_253</f>
        <v>2105.82719058687</v>
      </c>
      <c r="E38" s="9" t="n">
        <f aca="false">E37*E36</f>
        <v>5913.16275116794</v>
      </c>
      <c r="F38" s="9" t="n">
        <f aca="false">F37*F36</f>
        <v>15344.2570428277</v>
      </c>
      <c r="G38" s="9" t="n">
        <f aca="false">G37*G36</f>
        <v>35891.6741947535</v>
      </c>
      <c r="H38" s="9" t="n">
        <f aca="false">H37*H36</f>
        <v>75895.3411775696</v>
      </c>
      <c r="I38" s="9" t="n">
        <f aca="false">I37*I36</f>
        <v>150376.040226363</v>
      </c>
      <c r="K38" s="2" t="n">
        <v>1840.56429081931</v>
      </c>
      <c r="L38" s="2" t="n">
        <v>5168.30452862062</v>
      </c>
      <c r="M38" s="2" t="n">
        <v>13419.6776082449</v>
      </c>
      <c r="N38" s="2" t="n">
        <v>31409.5011180493</v>
      </c>
      <c r="O38" s="2" t="n">
        <v>66458.9542138972</v>
      </c>
      <c r="P38" s="2" t="n">
        <v>131760.387985667</v>
      </c>
      <c r="Q38" s="12" t="s">
        <v>1952</v>
      </c>
    </row>
    <row r="39" customFormat="false" ht="15" hidden="false" customHeight="false" outlineLevel="0" collapsed="false">
      <c r="A39" s="9" t="s">
        <v>1953</v>
      </c>
      <c r="B39" s="9" t="s">
        <v>1954</v>
      </c>
      <c r="C39" s="9" t="s">
        <v>1850</v>
      </c>
      <c r="D39" s="9" t="n">
        <f aca="false">D38*Revenue!D18</f>
        <v>842.33087623475</v>
      </c>
      <c r="E39" s="9" t="n">
        <f aca="false">E38*Revenue!E18</f>
        <v>886.974412675191</v>
      </c>
      <c r="F39" s="9" t="n">
        <f aca="false">F38*Revenue!F18</f>
        <v>2301.63855642416</v>
      </c>
      <c r="G39" s="9" t="n">
        <f aca="false">G38*Revenue!G18</f>
        <v>5383.75112921303</v>
      </c>
      <c r="H39" s="9" t="n">
        <f aca="false">H38*Revenue!H18</f>
        <v>11384.3011766354</v>
      </c>
      <c r="I39" s="9" t="n">
        <f aca="false">I38*Revenue!I18</f>
        <v>22556.4060339544</v>
      </c>
      <c r="K39" s="2" t="n">
        <v>736.225716327724</v>
      </c>
      <c r="L39" s="2" t="n">
        <v>775.245679293093</v>
      </c>
      <c r="M39" s="2" t="n">
        <v>2012.95164123674</v>
      </c>
      <c r="N39" s="2" t="n">
        <v>4711.42516770739</v>
      </c>
      <c r="O39" s="2" t="n">
        <v>9968.84313208457</v>
      </c>
      <c r="P39" s="2" t="n">
        <v>19764.0581978501</v>
      </c>
      <c r="Q39" s="2" t="s">
        <v>1955</v>
      </c>
    </row>
    <row r="40" customFormat="false" ht="15" hidden="false" customHeight="false" outlineLevel="0" collapsed="false">
      <c r="A40" s="9" t="s">
        <v>1956</v>
      </c>
      <c r="B40" s="9" t="s">
        <v>1957</v>
      </c>
      <c r="C40" s="9" t="s">
        <v>1850</v>
      </c>
      <c r="D40" s="9" t="n">
        <f aca="false">D38*Revenue!D19</f>
        <v>842.33087623475</v>
      </c>
      <c r="E40" s="9" t="n">
        <f aca="false">E38*Revenue!E19</f>
        <v>2660.92323802557</v>
      </c>
      <c r="F40" s="9" t="n">
        <f aca="false">F38*Revenue!F19</f>
        <v>6904.91566927248</v>
      </c>
      <c r="G40" s="9" t="n">
        <f aca="false">G38*Revenue!G19</f>
        <v>16151.2533876391</v>
      </c>
      <c r="H40" s="9" t="n">
        <f aca="false">H38*Revenue!H19</f>
        <v>34152.9035299063</v>
      </c>
      <c r="I40" s="9" t="n">
        <f aca="false">I38*Revenue!I19</f>
        <v>67669.2181018633</v>
      </c>
      <c r="K40" s="2" t="n">
        <v>736.225716327724</v>
      </c>
      <c r="L40" s="2" t="n">
        <v>2325.73703787928</v>
      </c>
      <c r="M40" s="2" t="n">
        <v>6038.85492371022</v>
      </c>
      <c r="N40" s="2" t="n">
        <v>14134.2755031222</v>
      </c>
      <c r="O40" s="2" t="n">
        <v>29906.5293962537</v>
      </c>
      <c r="P40" s="2" t="n">
        <v>59292.1745935504</v>
      </c>
      <c r="Q40" s="2" t="s">
        <v>1955</v>
      </c>
    </row>
    <row r="41" customFormat="false" ht="15" hidden="false" customHeight="false" outlineLevel="0" collapsed="false">
      <c r="A41" s="9" t="s">
        <v>1958</v>
      </c>
      <c r="B41" s="9" t="s">
        <v>1959</v>
      </c>
      <c r="C41" s="9" t="s">
        <v>1850</v>
      </c>
      <c r="D41" s="9" t="n">
        <f aca="false">D38*Revenue!D20</f>
        <v>421.165438117375</v>
      </c>
      <c r="E41" s="9" t="n">
        <f aca="false">E38*Revenue!E20</f>
        <v>2365.26510046718</v>
      </c>
      <c r="F41" s="9" t="n">
        <f aca="false">F38*Revenue!F20</f>
        <v>6137.70281713109</v>
      </c>
      <c r="G41" s="9" t="n">
        <f aca="false">G38*Revenue!G20</f>
        <v>14356.6696779014</v>
      </c>
      <c r="H41" s="9" t="n">
        <f aca="false">H38*Revenue!H20</f>
        <v>30358.1364710278</v>
      </c>
      <c r="I41" s="9" t="n">
        <f aca="false">I38*Revenue!I20</f>
        <v>60150.4160905452</v>
      </c>
      <c r="K41" s="2" t="n">
        <v>368.112858163862</v>
      </c>
      <c r="L41" s="2" t="n">
        <v>2067.32181144825</v>
      </c>
      <c r="M41" s="2" t="n">
        <v>5367.87104329797</v>
      </c>
      <c r="N41" s="2" t="n">
        <v>12563.8004472197</v>
      </c>
      <c r="O41" s="2" t="n">
        <v>26583.5816855589</v>
      </c>
      <c r="P41" s="2" t="n">
        <v>52704.155194267</v>
      </c>
      <c r="Q41" s="2" t="s">
        <v>1955</v>
      </c>
    </row>
    <row r="42" customFormat="false" ht="15" hidden="false" customHeight="false" outlineLevel="0" collapsed="false">
      <c r="A42" s="14" t="s">
        <v>1960</v>
      </c>
    </row>
    <row r="43" customFormat="false" ht="15" hidden="false" customHeight="false" outlineLevel="0" collapsed="false">
      <c r="A43" s="9" t="s">
        <v>1961</v>
      </c>
      <c r="B43" s="10" t="s">
        <v>1962</v>
      </c>
      <c r="C43" s="9" t="s">
        <v>1850</v>
      </c>
      <c r="D43" s="9" t="n">
        <f aca="false">D28*INP_157</f>
        <v>0</v>
      </c>
      <c r="E43" s="9" t="n">
        <f aca="false">E28*INP_157</f>
        <v>0</v>
      </c>
      <c r="F43" s="9" t="n">
        <f aca="false">F28*INP_157</f>
        <v>0</v>
      </c>
      <c r="G43" s="9" t="n">
        <f aca="false">G28*INP_157</f>
        <v>0</v>
      </c>
      <c r="H43" s="9" t="n">
        <f aca="false">H28*INP_157</f>
        <v>0</v>
      </c>
      <c r="I43" s="9" t="n">
        <f aca="false">I28*INP_157</f>
        <v>0</v>
      </c>
      <c r="Q43" s="12" t="s">
        <v>1963</v>
      </c>
    </row>
    <row r="44" customFormat="false" ht="15" hidden="false" customHeight="false" outlineLevel="0" collapsed="false">
      <c r="A44" s="9" t="s">
        <v>1964</v>
      </c>
      <c r="B44" s="10" t="s">
        <v>1965</v>
      </c>
      <c r="C44" s="9" t="s">
        <v>1850</v>
      </c>
      <c r="D44" s="9" t="n">
        <f aca="false">D28*INP_156</f>
        <v>74.46</v>
      </c>
      <c r="E44" s="9" t="n">
        <f aca="false">E28*INP_156</f>
        <v>173.30565</v>
      </c>
      <c r="F44" s="9" t="n">
        <f aca="false">F28*INP_156</f>
        <v>288.46269375</v>
      </c>
      <c r="G44" s="9" t="n">
        <f aca="false">G28*INP_156</f>
        <v>437.8863691125</v>
      </c>
      <c r="H44" s="9" t="n">
        <f aca="false">H28*INP_156</f>
        <v>627.783091184288</v>
      </c>
      <c r="I44" s="9" t="n">
        <f aca="false">I28*INP_156</f>
        <v>864.217281849429</v>
      </c>
      <c r="Q44" s="12" t="s">
        <v>1966</v>
      </c>
    </row>
    <row r="45" customFormat="false" ht="15" hidden="false" customHeight="false" outlineLevel="0" collapsed="false">
      <c r="A45" s="9" t="s">
        <v>1967</v>
      </c>
      <c r="B45" s="10" t="s">
        <v>1968</v>
      </c>
      <c r="C45" s="9" t="s">
        <v>1850</v>
      </c>
      <c r="D45" s="9" t="n">
        <f aca="false">D28*INP_155</f>
        <v>670.14</v>
      </c>
      <c r="E45" s="9" t="n">
        <f aca="false">E28*INP_155</f>
        <v>1559.75085</v>
      </c>
      <c r="F45" s="9" t="n">
        <f aca="false">F28*INP_155</f>
        <v>2596.16424375</v>
      </c>
      <c r="G45" s="9" t="n">
        <f aca="false">G28*INP_155</f>
        <v>3940.9773220125</v>
      </c>
      <c r="H45" s="9" t="n">
        <f aca="false">H28*INP_155</f>
        <v>5650.04782065859</v>
      </c>
      <c r="I45" s="9" t="n">
        <f aca="false">I28*INP_155</f>
        <v>7777.95553664486</v>
      </c>
      <c r="Q45" s="12" t="s">
        <v>1969</v>
      </c>
    </row>
    <row r="46" customFormat="false" ht="15" hidden="false" customHeight="false" outlineLevel="0" collapsed="false">
      <c r="A46" s="9" t="s">
        <v>1970</v>
      </c>
      <c r="B46" s="10" t="s">
        <v>1971</v>
      </c>
      <c r="C46" s="9" t="s">
        <v>1850</v>
      </c>
      <c r="D46" s="9" t="n">
        <f aca="false">D29*INP_162+D30*INP_167+D31*INP_172+D32*INP_177+D39</f>
        <v>890.916143976685</v>
      </c>
      <c r="E46" s="9" t="n">
        <f aca="false">E29*INP_162+E30*INP_167+E31*INP_172+E32*INP_177+E39</f>
        <v>1044.88011778406</v>
      </c>
      <c r="F46" s="9" t="n">
        <f aca="false">F29*INP_162+F30*INP_167+F31*INP_172+F32*INP_177+F39</f>
        <v>2572.31897043162</v>
      </c>
      <c r="G46" s="9" t="n">
        <f aca="false">G29*INP_162+G30*INP_167+G31*INP_172+G32*INP_177+G39</f>
        <v>5813.44876321851</v>
      </c>
      <c r="H46" s="9" t="n">
        <f aca="false">H29*INP_162+H30*INP_167+H31*INP_172+H32*INP_177+H39</f>
        <v>12017.4582483896</v>
      </c>
      <c r="I46" s="9" t="n">
        <f aca="false">I29*INP_162+I30*INP_167+I31*INP_172+I32*INP_177+I39</f>
        <v>23451.5853747641</v>
      </c>
      <c r="Q46" s="12" t="s">
        <v>1972</v>
      </c>
    </row>
    <row r="47" customFormat="false" ht="15" hidden="false" customHeight="false" outlineLevel="0" collapsed="false">
      <c r="A47" s="9" t="s">
        <v>1973</v>
      </c>
      <c r="B47" s="10" t="s">
        <v>1974</v>
      </c>
      <c r="C47" s="9" t="s">
        <v>1850</v>
      </c>
      <c r="D47" s="9" t="n">
        <f aca="false">D29*INP_161+D30*INP_166+D31*INP_171+D32*INP_176+D40</f>
        <v>1247.80678591217</v>
      </c>
      <c r="E47" s="9" t="n">
        <f aca="false">E29*INP_161+E30*INP_166+E31*INP_171+E32*INP_176+E40</f>
        <v>3922.68004943041</v>
      </c>
      <c r="F47" s="9" t="n">
        <f aca="false">F29*INP_161+F30*INP_166+F31*INP_171+F32*INP_176+F40</f>
        <v>9054.42767751724</v>
      </c>
      <c r="G47" s="9" t="n">
        <f aca="false">G29*INP_161+G30*INP_166+G31*INP_171+G32*INP_176+G40</f>
        <v>19547.0924331808</v>
      </c>
      <c r="H47" s="9" t="n">
        <f aca="false">H29*INP_161+H30*INP_166+H31*INP_171+H32*INP_176+H40</f>
        <v>39146.5120231304</v>
      </c>
      <c r="I47" s="9" t="n">
        <f aca="false">I29*INP_161+I30*INP_166+I31*INP_171+I32*INP_176+I40</f>
        <v>74708.9804209512</v>
      </c>
      <c r="Q47" s="12" t="s">
        <v>1972</v>
      </c>
    </row>
    <row r="48" customFormat="false" ht="15" hidden="false" customHeight="false" outlineLevel="0" collapsed="false">
      <c r="A48" s="9" t="s">
        <v>1975</v>
      </c>
      <c r="B48" s="10" t="s">
        <v>1976</v>
      </c>
      <c r="C48" s="9" t="s">
        <v>1850</v>
      </c>
      <c r="D48" s="9" t="n">
        <f aca="false">D29*INP_160+D30*INP_165+D31*INP_170+D32*INP_175+D41</f>
        <v>654.737180052859</v>
      </c>
      <c r="E48" s="9" t="n">
        <f aca="false">E29*INP_160+E30*INP_165+E31*INP_170+E32*INP_175+E41</f>
        <v>3318.00765216314</v>
      </c>
      <c r="F48" s="9" t="n">
        <f aca="false">F29*INP_160+F30*INP_165+F31*INP_170+F32*INP_175+F41</f>
        <v>7935.92542359314</v>
      </c>
      <c r="G48" s="9" t="n">
        <f aca="false">G29*INP_160+G30*INP_165+G31*INP_170+G32*INP_175+G41</f>
        <v>17398.1468973435</v>
      </c>
      <c r="H48" s="9" t="n">
        <f aca="false">H29*INP_160+H30*INP_165+H31*INP_170+H32*INP_175+H41</f>
        <v>34970.5186956773</v>
      </c>
      <c r="I48" s="9" t="n">
        <f aca="false">I29*INP_160+I30*INP_165+I31*INP_170+I32*INP_175+I41</f>
        <v>66871.1272821246</v>
      </c>
      <c r="Q48" s="12" t="s">
        <v>1972</v>
      </c>
    </row>
    <row r="49" customFormat="false" ht="15" hidden="false" customHeight="false" outlineLevel="0" collapsed="false">
      <c r="A49" s="9" t="s">
        <v>1977</v>
      </c>
      <c r="B49" s="10" t="s">
        <v>1978</v>
      </c>
      <c r="C49" s="9" t="s">
        <v>1850</v>
      </c>
      <c r="D49" s="9" t="n">
        <f aca="false">D43+D44+D45</f>
        <v>744.6</v>
      </c>
      <c r="E49" s="9" t="n">
        <f aca="false">E43+E44+E45</f>
        <v>1733.0565</v>
      </c>
      <c r="F49" s="9" t="n">
        <f aca="false">F43+F44+F45</f>
        <v>2884.6269375</v>
      </c>
      <c r="G49" s="9" t="n">
        <f aca="false">G43+G44+G45</f>
        <v>4378.863691125</v>
      </c>
      <c r="H49" s="9" t="n">
        <f aca="false">H43+H44+H45</f>
        <v>6277.83091184288</v>
      </c>
      <c r="I49" s="9" t="n">
        <f aca="false">I43+I44+I45</f>
        <v>8642.17281849429</v>
      </c>
      <c r="Q49" s="2"/>
    </row>
    <row r="50" customFormat="false" ht="15" hidden="false" customHeight="false" outlineLevel="0" collapsed="false">
      <c r="A50" s="9" t="s">
        <v>1979</v>
      </c>
      <c r="B50" s="10" t="s">
        <v>1980</v>
      </c>
      <c r="C50" s="9" t="s">
        <v>1850</v>
      </c>
      <c r="D50" s="9" t="n">
        <f aca="false">D46+D47+D48</f>
        <v>2793.46010994171</v>
      </c>
      <c r="E50" s="9" t="n">
        <f aca="false">E46+E47+E48</f>
        <v>8285.56781937762</v>
      </c>
      <c r="F50" s="9" t="n">
        <f aca="false">F46+F47+F48</f>
        <v>19562.672071542</v>
      </c>
      <c r="G50" s="9" t="n">
        <f aca="false">G46+G47+G48</f>
        <v>42758.6880937428</v>
      </c>
      <c r="H50" s="9" t="n">
        <f aca="false">H46+H47+H48</f>
        <v>86134.4889671973</v>
      </c>
      <c r="I50" s="9" t="n">
        <f aca="false">I46+I47+I48</f>
        <v>165031.69307784</v>
      </c>
      <c r="Q50" s="2"/>
    </row>
    <row r="51" customFormat="false" ht="15" hidden="false" customHeight="false" outlineLevel="0" collapsed="false">
      <c r="A51" s="9" t="s">
        <v>1981</v>
      </c>
      <c r="B51" s="9" t="s">
        <v>1982</v>
      </c>
      <c r="C51" s="9" t="s">
        <v>1850</v>
      </c>
      <c r="D51" s="9" t="n">
        <f aca="false">D49+D50</f>
        <v>3538.06010994171</v>
      </c>
      <c r="E51" s="9" t="n">
        <f aca="false">E49+E50</f>
        <v>10018.6243193776</v>
      </c>
      <c r="F51" s="9" t="n">
        <f aca="false">F49+F50</f>
        <v>22447.299009042</v>
      </c>
      <c r="G51" s="9" t="n">
        <f aca="false">G49+G50</f>
        <v>47137.5517848678</v>
      </c>
      <c r="H51" s="9" t="n">
        <f aca="false">H49+H50</f>
        <v>92412.3198790402</v>
      </c>
      <c r="I51" s="9" t="n">
        <f aca="false">I49+I50</f>
        <v>173673.865896334</v>
      </c>
      <c r="Q51" s="2"/>
    </row>
    <row r="52" customFormat="false" ht="15" hidden="false" customHeight="false" outlineLevel="0" collapsed="false">
      <c r="A52" s="9" t="s">
        <v>1983</v>
      </c>
      <c r="B52" s="10" t="s">
        <v>1984</v>
      </c>
      <c r="C52" s="9" t="s">
        <v>1850</v>
      </c>
      <c r="D52" s="9" t="n">
        <f aca="false">D33+D38</f>
        <v>3538.06010994171</v>
      </c>
      <c r="E52" s="9" t="n">
        <f aca="false">E33+E38</f>
        <v>10018.6243193776</v>
      </c>
      <c r="F52" s="9" t="n">
        <f aca="false">F33+F38</f>
        <v>22447.299009042</v>
      </c>
      <c r="G52" s="9" t="n">
        <f aca="false">G33+G38</f>
        <v>47137.5517848678</v>
      </c>
      <c r="H52" s="9" t="n">
        <f aca="false">H33+H38</f>
        <v>92412.3198790402</v>
      </c>
      <c r="I52" s="9" t="n">
        <f aca="false">I33+I38</f>
        <v>173673.865896334</v>
      </c>
      <c r="Q52" s="2" t="s">
        <v>1985</v>
      </c>
    </row>
    <row r="53" customFormat="false" ht="15" hidden="false" customHeight="false" outlineLevel="0" collapsed="false">
      <c r="A53" s="14" t="s">
        <v>1986</v>
      </c>
    </row>
    <row r="54" customFormat="false" ht="15" hidden="false" customHeight="false" outlineLevel="0" collapsed="false">
      <c r="A54" s="9" t="s">
        <v>1987</v>
      </c>
      <c r="B54" s="9" t="s">
        <v>1988</v>
      </c>
      <c r="C54" s="9" t="s">
        <v>798</v>
      </c>
      <c r="D54" s="9" t="n">
        <f aca="false">TK_IF_AllocDemand</f>
        <v>4190200000</v>
      </c>
      <c r="Q54" s="12" t="s">
        <v>1989</v>
      </c>
    </row>
    <row r="55" customFormat="false" ht="15" hidden="false" customHeight="false" outlineLevel="0" collapsed="false">
      <c r="A55" s="9" t="s">
        <v>1990</v>
      </c>
      <c r="B55" s="10" t="s">
        <v>1991</v>
      </c>
      <c r="C55" s="9" t="s">
        <v>798</v>
      </c>
      <c r="D55" s="9" t="n">
        <f aca="false">D51*INP_254</f>
        <v>3538060109.94171</v>
      </c>
      <c r="Q55" s="12" t="s">
        <v>1992</v>
      </c>
    </row>
    <row r="56" customFormat="false" ht="15" hidden="false" customHeight="false" outlineLevel="0" collapsed="false">
      <c r="A56" s="9" t="s">
        <v>1993</v>
      </c>
      <c r="B56" s="10" t="s">
        <v>1994</v>
      </c>
      <c r="C56" s="9" t="s">
        <v>798</v>
      </c>
      <c r="D56" s="9" t="n">
        <f aca="false">D55-D54</f>
        <v>-652139890.058288</v>
      </c>
      <c r="Q56" s="2"/>
    </row>
    <row r="57" customFormat="false" ht="15" hidden="false" customHeight="false" outlineLevel="0" collapsed="false">
      <c r="A57" s="9" t="s">
        <v>1995</v>
      </c>
      <c r="B57" s="10" t="s">
        <v>1996</v>
      </c>
      <c r="C57" s="10" t="s">
        <v>560</v>
      </c>
      <c r="D57" s="9" t="n">
        <f aca="false">D55/D54</f>
        <v>0.844365450322589</v>
      </c>
      <c r="Q57" s="2"/>
    </row>
    <row r="58" customFormat="false" ht="15" hidden="false" customHeight="false" outlineLevel="0" collapsed="false">
      <c r="A58" s="9" t="s">
        <v>1997</v>
      </c>
      <c r="B58" s="9" t="s">
        <v>1998</v>
      </c>
      <c r="C58" s="9" t="s">
        <v>1850</v>
      </c>
      <c r="D58" s="9" t="n">
        <f aca="false">V9_ApiTok</f>
        <v>2628</v>
      </c>
      <c r="K58" s="2" t="n">
        <v>2628</v>
      </c>
      <c r="Q58" s="12" t="s">
        <v>1999</v>
      </c>
    </row>
    <row r="59" customFormat="false" ht="15" hidden="false" customHeight="false" outlineLevel="0" collapsed="false">
      <c r="A59" s="9" t="s">
        <v>2000</v>
      </c>
      <c r="B59" s="9" t="s">
        <v>2001</v>
      </c>
      <c r="C59" s="10" t="s">
        <v>120</v>
      </c>
      <c r="D59" s="9" t="n">
        <f aca="false">D38/D58</f>
        <v>0.801304106007182</v>
      </c>
      <c r="K59" s="2" t="n">
        <v>0.700366929535506</v>
      </c>
      <c r="Q59" s="12" t="s">
        <v>2002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2003</v>
      </c>
    </row>
    <row r="2" customFormat="false" ht="15" hidden="false" customHeight="false" outlineLevel="0" collapsed="false">
      <c r="A2" s="2" t="s">
        <v>2004</v>
      </c>
    </row>
    <row r="3" customFormat="false" ht="15" hidden="false" customHeight="false" outlineLevel="0" collapsed="false">
      <c r="A3" s="2" t="s">
        <v>2005</v>
      </c>
    </row>
    <row r="5" customFormat="false" ht="15" hidden="false" customHeight="false" outlineLevel="0" collapsed="false">
      <c r="A5" s="8" t="s">
        <v>1793</v>
      </c>
      <c r="B5" s="8" t="s">
        <v>1794</v>
      </c>
      <c r="C5" s="8" t="s">
        <v>46</v>
      </c>
      <c r="D5" s="7" t="s">
        <v>411</v>
      </c>
      <c r="E5" s="7" t="s">
        <v>423</v>
      </c>
      <c r="F5" s="7" t="s">
        <v>1170</v>
      </c>
      <c r="G5" s="7" t="s">
        <v>1172</v>
      </c>
      <c r="H5" s="7" t="s">
        <v>1174</v>
      </c>
      <c r="I5" s="7" t="s">
        <v>1176</v>
      </c>
      <c r="J5" s="8"/>
      <c r="K5" s="7" t="s">
        <v>1870</v>
      </c>
      <c r="L5" s="7" t="s">
        <v>1871</v>
      </c>
      <c r="M5" s="7" t="s">
        <v>1872</v>
      </c>
      <c r="N5" s="7" t="s">
        <v>1873</v>
      </c>
      <c r="O5" s="7" t="s">
        <v>1874</v>
      </c>
      <c r="P5" s="7" t="s">
        <v>1875</v>
      </c>
      <c r="Q5" s="8" t="s">
        <v>777</v>
      </c>
    </row>
    <row r="6" customFormat="false" ht="15" hidden="false" customHeight="false" outlineLevel="0" collapsed="false">
      <c r="B6" s="3" t="s">
        <v>1876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2006</v>
      </c>
    </row>
    <row r="8" customFormat="false" ht="15" hidden="false" customHeight="false" outlineLevel="0" collapsed="false">
      <c r="A8" s="9" t="s">
        <v>2007</v>
      </c>
      <c r="B8" s="10" t="s">
        <v>2008</v>
      </c>
      <c r="C8" s="9" t="s">
        <v>815</v>
      </c>
      <c r="D8" s="9" t="n">
        <f aca="false">INP_015</f>
        <v>2.5</v>
      </c>
      <c r="E8" s="9" t="n">
        <f aca="false">D65</f>
        <v>6.61095890410959</v>
      </c>
      <c r="F8" s="9" t="n">
        <f aca="false">E8*(1+INP_021)</f>
        <v>4.62767123287671</v>
      </c>
      <c r="G8" s="9" t="n">
        <f aca="false">F8*(1+INP_021)</f>
        <v>3.2393698630137</v>
      </c>
      <c r="H8" s="9" t="n">
        <f aca="false">G8*(1+INP_021)</f>
        <v>2.26755890410959</v>
      </c>
      <c r="I8" s="9" t="n">
        <f aca="false">H8*(1+INP_021)</f>
        <v>1.58729123287671</v>
      </c>
      <c r="K8" s="2" t="n">
        <v>2.5</v>
      </c>
      <c r="L8" s="2" t="n">
        <v>6.6</v>
      </c>
      <c r="M8" s="2" t="n">
        <v>4.62</v>
      </c>
      <c r="N8" s="2" t="n">
        <v>3.234</v>
      </c>
      <c r="O8" s="2" t="n">
        <v>2.2638</v>
      </c>
      <c r="P8" s="2" t="n">
        <v>1.58466</v>
      </c>
      <c r="Q8" s="12" t="s">
        <v>2009</v>
      </c>
    </row>
    <row r="9" customFormat="false" ht="15" hidden="false" customHeight="false" outlineLevel="0" collapsed="false">
      <c r="A9" s="9" t="s">
        <v>2010</v>
      </c>
      <c r="B9" s="10" t="s">
        <v>2011</v>
      </c>
      <c r="C9" s="9" t="s">
        <v>815</v>
      </c>
      <c r="D9" s="9" t="n">
        <f aca="false">INP_018</f>
        <v>14</v>
      </c>
      <c r="E9" s="9" t="n">
        <f aca="false">D66</f>
        <v>36.2465753424658</v>
      </c>
      <c r="F9" s="9" t="n">
        <f aca="false">E9*(1+INP_021)</f>
        <v>25.372602739726</v>
      </c>
      <c r="G9" s="9" t="n">
        <f aca="false">F9*(1+INP_021)</f>
        <v>17.7608219178082</v>
      </c>
      <c r="H9" s="9" t="n">
        <f aca="false">G9*(1+INP_021)</f>
        <v>12.4325753424658</v>
      </c>
      <c r="I9" s="9" t="n">
        <f aca="false">H9*(1+INP_021)</f>
        <v>8.70280273972603</v>
      </c>
      <c r="K9" s="2" t="n">
        <v>14</v>
      </c>
      <c r="L9" s="2" t="n">
        <v>35.8</v>
      </c>
      <c r="M9" s="2" t="n">
        <v>25.06</v>
      </c>
      <c r="N9" s="2" t="n">
        <v>17.542</v>
      </c>
      <c r="O9" s="2" t="n">
        <v>12.2794</v>
      </c>
      <c r="P9" s="2" t="n">
        <v>8.59558</v>
      </c>
      <c r="Q9" s="12" t="s">
        <v>2009</v>
      </c>
    </row>
    <row r="10" customFormat="false" ht="15" hidden="false" customHeight="false" outlineLevel="0" collapsed="false">
      <c r="A10" s="9" t="s">
        <v>2012</v>
      </c>
      <c r="B10" s="10" t="s">
        <v>2013</v>
      </c>
      <c r="C10" s="9" t="s">
        <v>815</v>
      </c>
      <c r="D10" s="9" t="n">
        <f aca="false">INP_016</f>
        <v>1.5</v>
      </c>
      <c r="E10" s="9" t="n">
        <f aca="false">D67</f>
        <v>2.28767123287671</v>
      </c>
      <c r="F10" s="9" t="n">
        <f aca="false">E10*(1+INP_022)</f>
        <v>1.37260273972603</v>
      </c>
      <c r="G10" s="9" t="n">
        <f aca="false">F10*(1+INP_022)</f>
        <v>0.823561643835616</v>
      </c>
      <c r="H10" s="9" t="n">
        <f aca="false">G10*(1+INP_022)</f>
        <v>0.49413698630137</v>
      </c>
      <c r="I10" s="9" t="n">
        <f aca="false">H10*(1+INP_022)</f>
        <v>0.296482191780822</v>
      </c>
      <c r="K10" s="2" t="n">
        <v>1.5</v>
      </c>
      <c r="L10" s="2" t="n">
        <v>2.29</v>
      </c>
      <c r="M10" s="2" t="n">
        <v>1.374</v>
      </c>
      <c r="N10" s="2" t="n">
        <v>0.8244</v>
      </c>
      <c r="O10" s="2" t="n">
        <v>0.49464</v>
      </c>
      <c r="P10" s="2" t="n">
        <v>0.296784</v>
      </c>
      <c r="Q10" s="12" t="s">
        <v>2009</v>
      </c>
    </row>
    <row r="11" customFormat="false" ht="15" hidden="false" customHeight="false" outlineLevel="0" collapsed="false">
      <c r="A11" s="9" t="s">
        <v>2014</v>
      </c>
      <c r="B11" s="10" t="s">
        <v>2015</v>
      </c>
      <c r="C11" s="9" t="s">
        <v>815</v>
      </c>
      <c r="D11" s="9" t="n">
        <f aca="false">INP_019</f>
        <v>8</v>
      </c>
      <c r="E11" s="9" t="n">
        <f aca="false">D68</f>
        <v>13.172602739726</v>
      </c>
      <c r="F11" s="9" t="n">
        <f aca="false">E11*(1+INP_022)</f>
        <v>7.90356164383562</v>
      </c>
      <c r="G11" s="9" t="n">
        <f aca="false">F11*(1+INP_022)</f>
        <v>4.74213698630137</v>
      </c>
      <c r="H11" s="9" t="n">
        <f aca="false">G11*(1+INP_022)</f>
        <v>2.84528219178082</v>
      </c>
      <c r="I11" s="9" t="n">
        <f aca="false">H11*(1+INP_022)</f>
        <v>1.70716931506849</v>
      </c>
      <c r="K11" s="2" t="n">
        <v>8</v>
      </c>
      <c r="L11" s="2" t="n">
        <v>13.25</v>
      </c>
      <c r="M11" s="2" t="n">
        <v>7.95</v>
      </c>
      <c r="N11" s="2" t="n">
        <v>4.77</v>
      </c>
      <c r="O11" s="2" t="n">
        <v>2.862</v>
      </c>
      <c r="P11" s="2" t="n">
        <v>1.7172</v>
      </c>
      <c r="Q11" s="12" t="s">
        <v>2009</v>
      </c>
    </row>
    <row r="12" customFormat="false" ht="15" hidden="false" customHeight="false" outlineLevel="0" collapsed="false">
      <c r="A12" s="9" t="s">
        <v>2016</v>
      </c>
      <c r="B12" s="10" t="s">
        <v>2017</v>
      </c>
      <c r="C12" s="9" t="s">
        <v>815</v>
      </c>
      <c r="D12" s="9" t="n">
        <f aca="false">INP_017</f>
        <v>0.2</v>
      </c>
      <c r="E12" s="9" t="n">
        <f aca="false">D69</f>
        <v>0.632602739726027</v>
      </c>
      <c r="F12" s="9" t="n">
        <f aca="false">E12*(1+INP_023)</f>
        <v>0.379561643835616</v>
      </c>
      <c r="G12" s="9" t="n">
        <f aca="false">F12*(1+INP_023)</f>
        <v>0.22773698630137</v>
      </c>
      <c r="H12" s="9" t="n">
        <f aca="false">G12*(1+INP_023)</f>
        <v>0.136642191780822</v>
      </c>
      <c r="I12" s="9" t="n">
        <f aca="false">H12*(1+INP_023)</f>
        <v>0.0819853150684932</v>
      </c>
      <c r="K12" s="2" t="n">
        <v>0.2</v>
      </c>
      <c r="L12" s="2" t="n">
        <v>0.64</v>
      </c>
      <c r="M12" s="2" t="n">
        <v>0.384</v>
      </c>
      <c r="N12" s="2" t="n">
        <v>0.2304</v>
      </c>
      <c r="O12" s="2" t="n">
        <v>0.13824</v>
      </c>
      <c r="P12" s="2" t="n">
        <v>0.082944</v>
      </c>
      <c r="Q12" s="12" t="s">
        <v>2009</v>
      </c>
    </row>
    <row r="13" customFormat="false" ht="15" hidden="false" customHeight="false" outlineLevel="0" collapsed="false">
      <c r="A13" s="9" t="s">
        <v>2018</v>
      </c>
      <c r="B13" s="10" t="s">
        <v>2019</v>
      </c>
      <c r="C13" s="9" t="s">
        <v>815</v>
      </c>
      <c r="D13" s="9" t="n">
        <f aca="false">INP_020</f>
        <v>1</v>
      </c>
      <c r="E13" s="9" t="n">
        <f aca="false">D70</f>
        <v>3.76794520547945</v>
      </c>
      <c r="F13" s="9" t="n">
        <f aca="false">E13*(1+INP_023)</f>
        <v>2.26076712328767</v>
      </c>
      <c r="G13" s="9" t="n">
        <f aca="false">F13*(1+INP_023)</f>
        <v>1.3564602739726</v>
      </c>
      <c r="H13" s="9" t="n">
        <f aca="false">G13*(1+INP_023)</f>
        <v>0.813876164383562</v>
      </c>
      <c r="I13" s="9" t="n">
        <f aca="false">H13*(1+INP_023)</f>
        <v>0.488325698630137</v>
      </c>
      <c r="K13" s="2" t="n">
        <v>1</v>
      </c>
      <c r="L13" s="2" t="n">
        <v>3.83</v>
      </c>
      <c r="M13" s="2" t="n">
        <v>2.298</v>
      </c>
      <c r="N13" s="2" t="n">
        <v>1.3788</v>
      </c>
      <c r="O13" s="2" t="n">
        <v>0.82728</v>
      </c>
      <c r="P13" s="2" t="n">
        <v>0.496368</v>
      </c>
      <c r="Q13" s="12" t="s">
        <v>2009</v>
      </c>
    </row>
    <row r="14" customFormat="false" ht="15" hidden="false" customHeight="false" outlineLevel="0" collapsed="false">
      <c r="A14" s="14" t="s">
        <v>2020</v>
      </c>
    </row>
    <row r="15" customFormat="false" ht="15" hidden="false" customHeight="false" outlineLevel="0" collapsed="false">
      <c r="A15" s="9" t="s">
        <v>2021</v>
      </c>
      <c r="B15" s="10" t="s">
        <v>2022</v>
      </c>
      <c r="C15" s="9" t="s">
        <v>815</v>
      </c>
      <c r="D15" s="9" t="n">
        <f aca="false">(1-INP_028)*(INP_029*SRC_OAI_030+(1-INP_029))*D8+INP_028*D9</f>
        <v>3.81</v>
      </c>
      <c r="E15" s="9" t="n">
        <f aca="false">(1-INP_028)*(INP_029*SRC_OAI_030+(1-INP_029))*E8+INP_028*E9</f>
        <v>9.92014246575343</v>
      </c>
      <c r="F15" s="9" t="n">
        <f aca="false">(1-INP_028)*(INP_029*SRC_OAI_030+(1-INP_029))*F8+INP_028*F9</f>
        <v>6.9440997260274</v>
      </c>
      <c r="G15" s="9" t="n">
        <f aca="false">(1-INP_028)*(INP_029*SRC_OAI_030+(1-INP_029))*G8+INP_028*G9</f>
        <v>4.86086980821918</v>
      </c>
      <c r="H15" s="9" t="n">
        <f aca="false">(1-INP_028)*(INP_029*SRC_OAI_030+(1-INP_029))*H8+INP_028*H9</f>
        <v>3.40260886575342</v>
      </c>
      <c r="I15" s="9" t="n">
        <f aca="false">(1-INP_028)*(INP_029*SRC_OAI_030+(1-INP_029))*I8+INP_028*I9</f>
        <v>2.3818262060274</v>
      </c>
      <c r="K15" s="2" t="n">
        <v>3.81</v>
      </c>
      <c r="L15" s="2" t="n">
        <v>9.8264</v>
      </c>
      <c r="M15" s="2" t="n">
        <v>6.87848</v>
      </c>
      <c r="N15" s="2" t="n">
        <v>4.814936</v>
      </c>
      <c r="O15" s="2" t="n">
        <v>3.3704552</v>
      </c>
      <c r="P15" s="2" t="n">
        <v>2.35931864</v>
      </c>
      <c r="Q15" s="2" t="s">
        <v>2023</v>
      </c>
    </row>
    <row r="16" customFormat="false" ht="15" hidden="false" customHeight="false" outlineLevel="0" collapsed="false">
      <c r="A16" s="9" t="s">
        <v>2024</v>
      </c>
      <c r="B16" s="10" t="s">
        <v>2025</v>
      </c>
      <c r="C16" s="9" t="s">
        <v>815</v>
      </c>
      <c r="D16" s="9" t="n">
        <f aca="false">(1-INP_028)*(INP_029*SRC_OAI_030+(1-INP_029))*D10+INP_028*D11</f>
        <v>2.206</v>
      </c>
      <c r="E16" s="9" t="n">
        <f aca="false">(1-INP_028)*(INP_029*SRC_OAI_030+(1-INP_029))*E10+INP_028*E11</f>
        <v>3.5587397260274</v>
      </c>
      <c r="F16" s="9" t="n">
        <f aca="false">(1-INP_028)*(INP_029*SRC_OAI_030+(1-INP_029))*F10+INP_028*F11</f>
        <v>2.13524383561644</v>
      </c>
      <c r="G16" s="9" t="n">
        <f aca="false">(1-INP_028)*(INP_029*SRC_OAI_030+(1-INP_029))*G10+INP_028*G11</f>
        <v>1.28114630136986</v>
      </c>
      <c r="H16" s="9" t="n">
        <f aca="false">(1-INP_028)*(INP_029*SRC_OAI_030+(1-INP_029))*H10+INP_028*H11</f>
        <v>0.768687780821918</v>
      </c>
      <c r="I16" s="9" t="n">
        <f aca="false">(1-INP_028)*(INP_029*SRC_OAI_030+(1-INP_029))*I10+INP_028*I11</f>
        <v>0.461212668493151</v>
      </c>
      <c r="K16" s="2" t="n">
        <v>2.206</v>
      </c>
      <c r="L16" s="2" t="n">
        <v>3.57516</v>
      </c>
      <c r="M16" s="2" t="n">
        <v>2.145096</v>
      </c>
      <c r="N16" s="2" t="n">
        <v>1.2870576</v>
      </c>
      <c r="O16" s="2" t="n">
        <v>0.77223456</v>
      </c>
      <c r="P16" s="2" t="n">
        <v>0.463340736</v>
      </c>
      <c r="Q16" s="2" t="s">
        <v>2023</v>
      </c>
    </row>
    <row r="17" customFormat="false" ht="15" hidden="false" customHeight="false" outlineLevel="0" collapsed="false">
      <c r="A17" s="9" t="s">
        <v>2026</v>
      </c>
      <c r="B17" s="10" t="s">
        <v>2027</v>
      </c>
      <c r="C17" s="9" t="s">
        <v>815</v>
      </c>
      <c r="D17" s="9" t="n">
        <f aca="false">(1-INP_028)*(INP_029*SRC_OAI_030+(1-INP_029))*D12+INP_028*D13</f>
        <v>0.2808</v>
      </c>
      <c r="E17" s="9" t="n">
        <f aca="false">(1-INP_028)*(INP_029*SRC_OAI_030+(1-INP_029))*E12+INP_028*E13</f>
        <v>1.00916054794521</v>
      </c>
      <c r="F17" s="9" t="n">
        <f aca="false">(1-INP_028)*(INP_029*SRC_OAI_030+(1-INP_029))*F12+INP_028*F13</f>
        <v>0.605496328767123</v>
      </c>
      <c r="G17" s="9" t="n">
        <f aca="false">(1-INP_028)*(INP_029*SRC_OAI_030+(1-INP_029))*G12+INP_028*G13</f>
        <v>0.363297797260274</v>
      </c>
      <c r="H17" s="9" t="n">
        <f aca="false">(1-INP_028)*(INP_029*SRC_OAI_030+(1-INP_029))*H12+INP_028*H13</f>
        <v>0.217978678356164</v>
      </c>
      <c r="I17" s="9" t="n">
        <f aca="false">(1-INP_028)*(INP_029*SRC_OAI_030+(1-INP_029))*I12+INP_028*I13</f>
        <v>0.130787207013699</v>
      </c>
      <c r="K17" s="2" t="n">
        <v>0.2808</v>
      </c>
      <c r="L17" s="2" t="n">
        <v>1.02456</v>
      </c>
      <c r="M17" s="2" t="n">
        <v>0.614736</v>
      </c>
      <c r="N17" s="2" t="n">
        <v>0.3688416</v>
      </c>
      <c r="O17" s="2" t="n">
        <v>0.22130496</v>
      </c>
      <c r="P17" s="2" t="n">
        <v>0.132782976</v>
      </c>
      <c r="Q17" s="2" t="s">
        <v>2023</v>
      </c>
    </row>
    <row r="18" customFormat="false" ht="15" hidden="false" customHeight="false" outlineLevel="0" collapsed="false">
      <c r="A18" s="9" t="s">
        <v>2028</v>
      </c>
      <c r="B18" s="9" t="s">
        <v>2029</v>
      </c>
      <c r="C18" s="10" t="s">
        <v>120</v>
      </c>
      <c r="D18" s="9" t="n">
        <f aca="false">INP_024</f>
        <v>0.4</v>
      </c>
      <c r="E18" s="9" t="n">
        <f aca="false">INP_025</f>
        <v>0.15</v>
      </c>
      <c r="F18" s="9" t="n">
        <f aca="false">INP_025</f>
        <v>0.15</v>
      </c>
      <c r="G18" s="9" t="n">
        <f aca="false">INP_025</f>
        <v>0.15</v>
      </c>
      <c r="H18" s="9" t="n">
        <f aca="false">INP_025</f>
        <v>0.15</v>
      </c>
      <c r="I18" s="9" t="n">
        <f aca="false">INP_025</f>
        <v>0.15</v>
      </c>
      <c r="K18" s="2" t="n">
        <v>0.4</v>
      </c>
      <c r="L18" s="2" t="n">
        <v>0.15</v>
      </c>
      <c r="M18" s="2" t="n">
        <v>0.15</v>
      </c>
      <c r="N18" s="2" t="n">
        <v>0.15</v>
      </c>
      <c r="O18" s="2" t="n">
        <v>0.15</v>
      </c>
      <c r="P18" s="2" t="n">
        <v>0.15</v>
      </c>
      <c r="Q18" s="12" t="s">
        <v>2030</v>
      </c>
    </row>
    <row r="19" customFormat="false" ht="15" hidden="false" customHeight="false" outlineLevel="0" collapsed="false">
      <c r="A19" s="9" t="s">
        <v>2031</v>
      </c>
      <c r="B19" s="9" t="s">
        <v>2032</v>
      </c>
      <c r="C19" s="10" t="s">
        <v>120</v>
      </c>
      <c r="D19" s="9" t="n">
        <f aca="false">INP_026</f>
        <v>0.4</v>
      </c>
      <c r="E19" s="9" t="n">
        <f aca="false">INP_027</f>
        <v>0.45</v>
      </c>
      <c r="F19" s="9" t="n">
        <f aca="false">INP_027</f>
        <v>0.45</v>
      </c>
      <c r="G19" s="9" t="n">
        <f aca="false">INP_027</f>
        <v>0.45</v>
      </c>
      <c r="H19" s="9" t="n">
        <f aca="false">INP_027</f>
        <v>0.45</v>
      </c>
      <c r="I19" s="9" t="n">
        <f aca="false">INP_027</f>
        <v>0.45</v>
      </c>
      <c r="K19" s="2" t="n">
        <v>0.4</v>
      </c>
      <c r="L19" s="2" t="n">
        <v>0.45</v>
      </c>
      <c r="M19" s="2" t="n">
        <v>0.45</v>
      </c>
      <c r="N19" s="2" t="n">
        <v>0.45</v>
      </c>
      <c r="O19" s="2" t="n">
        <v>0.45</v>
      </c>
      <c r="P19" s="2" t="n">
        <v>0.45</v>
      </c>
      <c r="Q19" s="2" t="s">
        <v>388</v>
      </c>
    </row>
    <row r="20" customFormat="false" ht="15" hidden="false" customHeight="false" outlineLevel="0" collapsed="false">
      <c r="A20" s="9" t="s">
        <v>2033</v>
      </c>
      <c r="B20" s="9" t="s">
        <v>2034</v>
      </c>
      <c r="C20" s="10" t="s">
        <v>120</v>
      </c>
      <c r="D20" s="9" t="n">
        <f aca="false">(1-D18-D19)</f>
        <v>0.2</v>
      </c>
      <c r="E20" s="9" t="n">
        <f aca="false">(1-E18-E19)</f>
        <v>0.4</v>
      </c>
      <c r="F20" s="9" t="n">
        <f aca="false">(1-F18-F19)</f>
        <v>0.4</v>
      </c>
      <c r="G20" s="9" t="n">
        <f aca="false">(1-G18-G19)</f>
        <v>0.4</v>
      </c>
      <c r="H20" s="9" t="n">
        <f aca="false">(1-H18-H19)</f>
        <v>0.4</v>
      </c>
      <c r="I20" s="9" t="n">
        <f aca="false">(1-I18-I19)</f>
        <v>0.4</v>
      </c>
      <c r="K20" s="2" t="n">
        <v>0.2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s">
        <v>2035</v>
      </c>
    </row>
    <row r="21" customFormat="false" ht="15" hidden="false" customHeight="false" outlineLevel="0" collapsed="false">
      <c r="A21" s="9" t="s">
        <v>2036</v>
      </c>
      <c r="B21" s="10" t="s">
        <v>2037</v>
      </c>
      <c r="C21" s="9" t="s">
        <v>815</v>
      </c>
      <c r="D21" s="9" t="n">
        <f aca="false">(D18*D15+D19*D16+D20*D17)*(1-INP_030)</f>
        <v>1.970048</v>
      </c>
      <c r="E21" s="9" t="n">
        <f aca="false">(E18*E15+E19*E16+E20*E17)*(1-INP_030)</f>
        <v>2.79449477260274</v>
      </c>
      <c r="F21" s="9" t="n">
        <f aca="false">(F18*F15+F19*F16+F20*F17)*(1-INP_030)</f>
        <v>1.79573857315068</v>
      </c>
      <c r="G21" s="9" t="n">
        <f aca="false">(G18*G15+G19*G16+G20*G17)*(1-INP_030)</f>
        <v>1.16077234060274</v>
      </c>
      <c r="H21" s="9" t="n">
        <f aca="false">(H18*H15+H19*H16+H20*H17)*(1-INP_030)</f>
        <v>0.754793842060274</v>
      </c>
      <c r="I21" s="9" t="n">
        <f aca="false">(I18*I15+I19*I16+I20*I17)*(1-INP_030)</f>
        <v>0.493707611625206</v>
      </c>
      <c r="K21" s="2" t="n">
        <v>1.970048</v>
      </c>
      <c r="L21" s="2" t="n">
        <v>2.7940848</v>
      </c>
      <c r="M21" s="2" t="n">
        <v>1.79436768</v>
      </c>
      <c r="N21" s="2" t="n">
        <v>1.159162368</v>
      </c>
      <c r="O21" s="2" t="n">
        <v>0.7532766528</v>
      </c>
      <c r="P21" s="2" t="n">
        <v>0.49241145408</v>
      </c>
      <c r="Q21" s="12" t="s">
        <v>2038</v>
      </c>
    </row>
    <row r="22" customFormat="false" ht="15" hidden="false" customHeight="false" outlineLevel="0" collapsed="false">
      <c r="A22" s="14" t="s">
        <v>2039</v>
      </c>
    </row>
    <row r="23" customFormat="false" ht="15" hidden="false" customHeight="false" outlineLevel="0" collapsed="false">
      <c r="A23" s="9" t="s">
        <v>2040</v>
      </c>
      <c r="B23" s="9" t="s">
        <v>2041</v>
      </c>
      <c r="C23" s="9" t="s">
        <v>68</v>
      </c>
      <c r="D23" s="13" t="n">
        <f aca="false">Demand!D11*INP_096*INP_252/INP_253</f>
        <v>0.144</v>
      </c>
      <c r="E23" s="13" t="n">
        <f aca="false">Demand!E11*INP_096*INP_252/INP_253</f>
        <v>2.9232</v>
      </c>
      <c r="F23" s="13" t="n">
        <f aca="false">Demand!F11*INP_096*INP_252/INP_253</f>
        <v>5.57624347826087</v>
      </c>
      <c r="G23" s="13" t="n">
        <f aca="false">Demand!G11*INP_096*INP_252/INP_253</f>
        <v>8.42431304347826</v>
      </c>
      <c r="H23" s="13" t="n">
        <f aca="false">Demand!H11*INP_096*INP_252/INP_253</f>
        <v>10.6178086956522</v>
      </c>
      <c r="I23" s="13" t="n">
        <f aca="false">Demand!I11*INP_096*INP_252/INP_253</f>
        <v>12.7939304347826</v>
      </c>
      <c r="K23" s="2" t="n">
        <v>0.144</v>
      </c>
      <c r="L23" s="2" t="n">
        <v>2.9232</v>
      </c>
      <c r="M23" s="2" t="n">
        <v>5.57624347826087</v>
      </c>
      <c r="N23" s="2" t="n">
        <v>8.42431304347826</v>
      </c>
      <c r="O23" s="2" t="n">
        <v>10.6178086956522</v>
      </c>
      <c r="P23" s="2" t="n">
        <v>12.7939304347826</v>
      </c>
      <c r="Q23" s="12" t="s">
        <v>2042</v>
      </c>
    </row>
    <row r="24" customFormat="false" ht="15" hidden="false" customHeight="false" outlineLevel="0" collapsed="false">
      <c r="A24" s="9" t="s">
        <v>2043</v>
      </c>
      <c r="B24" s="9" t="s">
        <v>2044</v>
      </c>
      <c r="C24" s="9" t="s">
        <v>68</v>
      </c>
      <c r="D24" s="13" t="n">
        <f aca="false">Demand!D12*INP_097*INP_252/INP_253</f>
        <v>7.02</v>
      </c>
      <c r="E24" s="13" t="n">
        <f aca="false">Demand!E12*INP_098*INP_252/INP_253</f>
        <v>7.9572</v>
      </c>
      <c r="F24" s="13" t="n">
        <f aca="false">Demand!F12*INP_098*INP_252/INP_253</f>
        <v>8.99509565217391</v>
      </c>
      <c r="G24" s="13" t="n">
        <f aca="false">Demand!G12*INP_098*INP_252/INP_253</f>
        <v>9.86000869565217</v>
      </c>
      <c r="H24" s="13" t="n">
        <f aca="false">Demand!H12*INP_098*INP_252/INP_253</f>
        <v>10.5519391304348</v>
      </c>
      <c r="I24" s="13" t="n">
        <f aca="false">Demand!I12*INP_098*INP_252/INP_253</f>
        <v>11.0708869565217</v>
      </c>
      <c r="K24" s="2" t="n">
        <v>7.02</v>
      </c>
      <c r="L24" s="2" t="n">
        <v>7.9572</v>
      </c>
      <c r="M24" s="2" t="n">
        <v>8.99509565217391</v>
      </c>
      <c r="N24" s="2" t="n">
        <v>9.86000869565217</v>
      </c>
      <c r="O24" s="2" t="n">
        <v>10.5519391304348</v>
      </c>
      <c r="P24" s="2" t="n">
        <v>11.0708869565217</v>
      </c>
      <c r="Q24" s="12" t="s">
        <v>2042</v>
      </c>
    </row>
    <row r="25" customFormat="false" ht="15" hidden="false" customHeight="false" outlineLevel="0" collapsed="false">
      <c r="A25" s="9" t="s">
        <v>2045</v>
      </c>
      <c r="B25" s="9" t="s">
        <v>2046</v>
      </c>
      <c r="C25" s="9" t="s">
        <v>68</v>
      </c>
      <c r="D25" s="13" t="n">
        <f aca="false">Demand!D13*INP_099*INP_252/INP_253</f>
        <v>0.67741935483871</v>
      </c>
      <c r="E25" s="13" t="n">
        <f aca="false">Demand!E13*INP_100*INP_252/INP_253</f>
        <v>1.01612903225806</v>
      </c>
      <c r="F25" s="13" t="n">
        <f aca="false">Demand!F13*INP_100*INP_252/INP_253</f>
        <v>1.45161290322581</v>
      </c>
      <c r="G25" s="13" t="n">
        <f aca="false">Demand!G13*INP_100*INP_252/INP_253</f>
        <v>1.88709677419355</v>
      </c>
      <c r="H25" s="13" t="n">
        <f aca="false">Demand!H13*INP_100*INP_252/INP_253</f>
        <v>2.23548387096774</v>
      </c>
      <c r="I25" s="13" t="n">
        <f aca="false">Demand!I13*INP_100*INP_252/INP_253</f>
        <v>2.54032258064516</v>
      </c>
      <c r="K25" s="2" t="n">
        <v>1.2</v>
      </c>
      <c r="L25" s="2" t="n">
        <v>1.8</v>
      </c>
      <c r="M25" s="2" t="n">
        <v>2.7</v>
      </c>
      <c r="N25" s="2" t="n">
        <v>3.6</v>
      </c>
      <c r="O25" s="2" t="n">
        <v>4.5</v>
      </c>
      <c r="P25" s="2" t="n">
        <v>5.4</v>
      </c>
      <c r="Q25" s="12" t="s">
        <v>2042</v>
      </c>
    </row>
    <row r="26" customFormat="false" ht="15" hidden="false" customHeight="false" outlineLevel="0" collapsed="false">
      <c r="A26" s="9" t="s">
        <v>2047</v>
      </c>
      <c r="B26" s="10" t="s">
        <v>2048</v>
      </c>
      <c r="C26" s="9" t="s">
        <v>68</v>
      </c>
      <c r="D26" s="13" t="n">
        <f aca="false">Demand!D14*INP_101*INP_252/INP_253</f>
        <v>1.08</v>
      </c>
      <c r="E26" s="13" t="n">
        <f aca="false">Demand!E14*INP_101*INP_252/INP_253</f>
        <v>5.04</v>
      </c>
      <c r="F26" s="13" t="n">
        <f aca="false">Demand!F14*INP_101*INP_252/INP_253</f>
        <v>9.36</v>
      </c>
      <c r="G26" s="13" t="n">
        <f aca="false">Demand!G14*INP_101*INP_252/INP_253</f>
        <v>13.68</v>
      </c>
      <c r="H26" s="13" t="n">
        <f aca="false">Demand!H14*INP_101*INP_252/INP_253</f>
        <v>17.28</v>
      </c>
      <c r="I26" s="13" t="n">
        <f aca="false">Demand!I14*INP_101*INP_252/INP_253</f>
        <v>20.16</v>
      </c>
      <c r="K26" s="2" t="n">
        <v>1.08</v>
      </c>
      <c r="L26" s="2" t="n">
        <v>5.04</v>
      </c>
      <c r="M26" s="2" t="n">
        <v>9.36</v>
      </c>
      <c r="N26" s="2" t="n">
        <v>13.68</v>
      </c>
      <c r="O26" s="2" t="n">
        <v>17.28</v>
      </c>
      <c r="P26" s="2" t="n">
        <v>20.16</v>
      </c>
      <c r="Q26" s="12" t="s">
        <v>2042</v>
      </c>
    </row>
    <row r="27" customFormat="false" ht="15" hidden="false" customHeight="false" outlineLevel="0" collapsed="false">
      <c r="A27" s="9" t="s">
        <v>2049</v>
      </c>
      <c r="B27" s="10" t="s">
        <v>2050</v>
      </c>
      <c r="C27" s="9" t="s">
        <v>68</v>
      </c>
      <c r="D27" s="9" t="n">
        <f aca="false">D23+D24+D25+D26</f>
        <v>8.92141935483871</v>
      </c>
      <c r="E27" s="9" t="n">
        <f aca="false">E23+E24+E25+E26</f>
        <v>16.9365290322581</v>
      </c>
      <c r="F27" s="9" t="n">
        <f aca="false">F23+F24+F25+F26</f>
        <v>25.3829520336606</v>
      </c>
      <c r="G27" s="9" t="n">
        <f aca="false">G23+G24+G25+G26</f>
        <v>33.851418513324</v>
      </c>
      <c r="H27" s="9" t="n">
        <f aca="false">H23+H24+H25+H26</f>
        <v>40.6852316970547</v>
      </c>
      <c r="I27" s="9" t="n">
        <f aca="false">I23+I24+I25+I26</f>
        <v>46.5651399719495</v>
      </c>
      <c r="K27" s="2" t="n">
        <v>9.444</v>
      </c>
      <c r="L27" s="2" t="n">
        <v>17.7204</v>
      </c>
      <c r="M27" s="2" t="n">
        <v>26.6313391304348</v>
      </c>
      <c r="N27" s="2" t="n">
        <v>35.5643217391304</v>
      </c>
      <c r="O27" s="2" t="n">
        <v>42.949747826087</v>
      </c>
      <c r="P27" s="2" t="n">
        <v>49.4248173913043</v>
      </c>
      <c r="Q27" s="2"/>
    </row>
    <row r="28" customFormat="false" ht="15" hidden="false" customHeight="false" outlineLevel="0" collapsed="false">
      <c r="A28" s="14" t="s">
        <v>2051</v>
      </c>
    </row>
    <row r="29" customFormat="false" ht="15" hidden="false" customHeight="false" outlineLevel="0" collapsed="false">
      <c r="A29" s="9" t="s">
        <v>2052</v>
      </c>
      <c r="B29" s="10" t="s">
        <v>2053</v>
      </c>
      <c r="C29" s="9" t="s">
        <v>258</v>
      </c>
      <c r="D29" s="13" t="n">
        <f aca="false">(Demand!D10+Demand!D11)*INP_124</f>
        <v>0</v>
      </c>
      <c r="E29" s="13" t="n">
        <f aca="false">(Demand!E10+Demand!E11)*INP_125</f>
        <v>247.65</v>
      </c>
      <c r="F29" s="13" t="n">
        <f aca="false">(Demand!F10+Demand!F11)*INP_126</f>
        <v>464.606739130435</v>
      </c>
      <c r="G29" s="13" t="n">
        <f aca="false">(Demand!G10+Demand!G11)*INP_127</f>
        <v>646.801739130435</v>
      </c>
      <c r="H29" s="13" t="n">
        <f aca="false">(Demand!H10+Demand!H11)*INP_128</f>
        <v>831.361304347826</v>
      </c>
      <c r="I29" s="13" t="n">
        <f aca="false">(Demand!I10+Demand!I11)*INP_129</f>
        <v>1013.84673913043</v>
      </c>
      <c r="K29" s="2" t="n">
        <v>0</v>
      </c>
      <c r="L29" s="2" t="n">
        <v>247.65</v>
      </c>
      <c r="M29" s="2" t="n">
        <v>464.606739130435</v>
      </c>
      <c r="N29" s="2" t="n">
        <v>646.801739130435</v>
      </c>
      <c r="O29" s="2" t="n">
        <v>831.361304347826</v>
      </c>
      <c r="P29" s="2" t="n">
        <v>1013.84673913043</v>
      </c>
      <c r="Q29" s="2" t="s">
        <v>2054</v>
      </c>
    </row>
    <row r="30" customFormat="false" ht="15" hidden="false" customHeight="false" outlineLevel="0" collapsed="false">
      <c r="A30" s="9" t="s">
        <v>2055</v>
      </c>
      <c r="B30" s="10" t="s">
        <v>2056</v>
      </c>
      <c r="C30" s="9" t="s">
        <v>68</v>
      </c>
      <c r="D30" s="9" t="n">
        <f aca="false">D29*INP_130/INP_253</f>
        <v>0</v>
      </c>
      <c r="E30" s="9" t="n">
        <f aca="false">E29*INP_131/INP_253</f>
        <v>0.74295</v>
      </c>
      <c r="F30" s="9" t="n">
        <f aca="false">F29*INP_132/INP_253</f>
        <v>1.85842695652174</v>
      </c>
      <c r="G30" s="9" t="n">
        <f aca="false">G29*INP_133/INP_253</f>
        <v>2.91060782608696</v>
      </c>
      <c r="H30" s="9" t="n">
        <f aca="false">H29*INP_134/INP_253</f>
        <v>4.15680652173913</v>
      </c>
      <c r="I30" s="9" t="n">
        <f aca="false">I29*INP_135/INP_253</f>
        <v>5.57615706521739</v>
      </c>
      <c r="K30" s="2" t="n">
        <v>0</v>
      </c>
      <c r="L30" s="2" t="n">
        <v>0.74295</v>
      </c>
      <c r="M30" s="2" t="n">
        <v>1.85842695652174</v>
      </c>
      <c r="N30" s="2" t="n">
        <v>2.91060782608696</v>
      </c>
      <c r="O30" s="2" t="n">
        <v>4.15680652173913</v>
      </c>
      <c r="P30" s="2" t="n">
        <v>5.57615706521739</v>
      </c>
      <c r="Q30" s="2" t="s">
        <v>2057</v>
      </c>
    </row>
    <row r="31" customFormat="false" ht="15" hidden="false" customHeight="false" outlineLevel="0" collapsed="false">
      <c r="A31" s="9" t="s">
        <v>2058</v>
      </c>
      <c r="B31" s="10" t="s">
        <v>1364</v>
      </c>
      <c r="C31" s="9" t="s">
        <v>68</v>
      </c>
      <c r="D31" s="9" t="n">
        <f aca="false">INP_136</f>
        <v>0</v>
      </c>
      <c r="E31" s="9" t="n">
        <f aca="false">INP_136</f>
        <v>0</v>
      </c>
      <c r="F31" s="9" t="n">
        <f aca="false">INP_136</f>
        <v>0</v>
      </c>
      <c r="G31" s="9" t="n">
        <f aca="false">INP_136</f>
        <v>0</v>
      </c>
      <c r="H31" s="9" t="n">
        <f aca="false">INP_136</f>
        <v>0</v>
      </c>
      <c r="I31" s="9" t="n">
        <f aca="false">INP_136</f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12" t="s">
        <v>2059</v>
      </c>
    </row>
    <row r="32" customFormat="false" ht="15" hidden="false" customHeight="false" outlineLevel="0" collapsed="false">
      <c r="A32" s="14" t="s">
        <v>2060</v>
      </c>
    </row>
    <row r="33" customFormat="false" ht="15" hidden="false" customHeight="false" outlineLevel="0" collapsed="false">
      <c r="A33" s="9" t="s">
        <v>2061</v>
      </c>
      <c r="B33" s="9" t="s">
        <v>2062</v>
      </c>
      <c r="C33" s="9" t="s">
        <v>68</v>
      </c>
      <c r="D33" s="9" t="n">
        <f aca="false">SRC_OAI_002-D27-D30-D31</f>
        <v>4.14858064516129</v>
      </c>
      <c r="Q33" s="12" t="s">
        <v>2063</v>
      </c>
    </row>
    <row r="34" customFormat="false" ht="15" hidden="false" customHeight="false" outlineLevel="0" collapsed="false">
      <c r="A34" s="9" t="s">
        <v>2064</v>
      </c>
      <c r="B34" s="9" t="s">
        <v>2065</v>
      </c>
      <c r="C34" s="9" t="s">
        <v>68</v>
      </c>
      <c r="D34" s="13" t="n">
        <f aca="false">Demand!D38*D21/INP_253</f>
        <v>4.14858064516129</v>
      </c>
      <c r="E34" s="13" t="n">
        <f aca="false">Demand!E38*E21/INP_253</f>
        <v>16.5243023976881</v>
      </c>
      <c r="F34" s="13" t="n">
        <f aca="false">Demand!F38*F21/INP_253</f>
        <v>27.5542742481448</v>
      </c>
      <c r="G34" s="13" t="n">
        <f aca="false">Demand!G38*G21/INP_253</f>
        <v>41.662062663195</v>
      </c>
      <c r="H34" s="13" t="n">
        <f aca="false">Demand!H38*H21/INP_253</f>
        <v>57.2853361618931</v>
      </c>
      <c r="I34" s="13" t="n">
        <f aca="false">Demand!I38*I21/INP_253</f>
        <v>74.2417956658134</v>
      </c>
      <c r="K34" s="2" t="n">
        <v>3.626</v>
      </c>
      <c r="L34" s="2" t="n">
        <v>14.44068112519</v>
      </c>
      <c r="M34" s="2" t="n">
        <v>24.0798357762544</v>
      </c>
      <c r="N34" s="2" t="n">
        <v>36.4087116936967</v>
      </c>
      <c r="O34" s="2" t="n">
        <v>50.0619785788329</v>
      </c>
      <c r="P34" s="2" t="n">
        <v>64.8803242381675</v>
      </c>
      <c r="Q34" s="2" t="s">
        <v>2066</v>
      </c>
    </row>
    <row r="35" customFormat="false" ht="15" hidden="false" customHeight="false" outlineLevel="0" collapsed="false">
      <c r="A35" s="9" t="s">
        <v>2067</v>
      </c>
      <c r="B35" s="9" t="s">
        <v>2068</v>
      </c>
      <c r="C35" s="9" t="s">
        <v>68</v>
      </c>
      <c r="D35" s="13" t="n">
        <f aca="false">Demand!D38*D18*D15*(1-INP_030)/INP_253</f>
        <v>2.56742451076352</v>
      </c>
      <c r="E35" s="13" t="n">
        <f aca="false">Demand!E38*E18*E15*(1-INP_030)/INP_253</f>
        <v>7.03913002977269</v>
      </c>
      <c r="F35" s="13" t="n">
        <f aca="false">Demand!F38*F18*F15*(1-INP_030)/INP_253</f>
        <v>12.7862461352633</v>
      </c>
      <c r="G35" s="13" t="n">
        <f aca="false">Demand!G38*G18*G15*(1-INP_030)/INP_253</f>
        <v>20.935770655166</v>
      </c>
      <c r="H35" s="13" t="n">
        <f aca="false">Demand!H38*H18*H15*(1-INP_030)/INP_253</f>
        <v>30.9890592912215</v>
      </c>
      <c r="I35" s="13" t="n">
        <f aca="false">Demand!I38*I18*I15*(1-INP_030)/INP_253</f>
        <v>42.9803512043737</v>
      </c>
      <c r="K35" s="2" t="n">
        <v>2.2440159833669</v>
      </c>
      <c r="L35" s="2" t="n">
        <v>6.09429931440452</v>
      </c>
      <c r="M35" s="2" t="n">
        <v>11.0768380841713</v>
      </c>
      <c r="N35" s="2" t="n">
        <v>18.1481685210403</v>
      </c>
      <c r="O35" s="2" t="n">
        <v>26.879631338015</v>
      </c>
      <c r="P35" s="2" t="n">
        <v>37.3037687265861</v>
      </c>
      <c r="Q35" s="2"/>
    </row>
    <row r="36" customFormat="false" ht="15" hidden="false" customHeight="false" outlineLevel="0" collapsed="false">
      <c r="A36" s="9" t="s">
        <v>2069</v>
      </c>
      <c r="B36" s="9" t="s">
        <v>2070</v>
      </c>
      <c r="C36" s="9" t="s">
        <v>68</v>
      </c>
      <c r="D36" s="13" t="n">
        <f aca="false">Demand!D38*D19*D16*(1-INP_030)/INP_253</f>
        <v>1.48654553037909</v>
      </c>
      <c r="E36" s="13" t="n">
        <f aca="false">Demand!E38*E19*E16*(1-INP_030)/INP_253</f>
        <v>7.57562658805685</v>
      </c>
      <c r="F36" s="13" t="n">
        <f aca="false">Demand!F38*F19*F16*(1-INP_030)/INP_253</f>
        <v>11.7949428946123</v>
      </c>
      <c r="G36" s="13" t="n">
        <f aca="false">Demand!G38*G19*G16*(1-INP_030)/INP_253</f>
        <v>16.553694832049</v>
      </c>
      <c r="H36" s="13" t="n">
        <f aca="false">Demand!H38*H19*H16*(1-INP_030)/INP_253</f>
        <v>21.002335698423</v>
      </c>
      <c r="I36" s="13" t="n">
        <f aca="false">Demand!I38*I19*I16*(1-INP_030)/INP_253</f>
        <v>24.9679205244843</v>
      </c>
      <c r="K36" s="2" t="n">
        <v>1.29929114417517</v>
      </c>
      <c r="L36" s="2" t="n">
        <v>6.65190562267559</v>
      </c>
      <c r="M36" s="2" t="n">
        <v>10.3631388331449</v>
      </c>
      <c r="N36" s="2" t="n">
        <v>14.5533013654298</v>
      </c>
      <c r="O36" s="2" t="n">
        <v>18.4758844555544</v>
      </c>
      <c r="P36" s="2" t="n">
        <v>21.9779838521729</v>
      </c>
      <c r="Q36" s="2"/>
    </row>
    <row r="37" customFormat="false" ht="15" hidden="false" customHeight="false" outlineLevel="0" collapsed="false">
      <c r="A37" s="9" t="s">
        <v>2071</v>
      </c>
      <c r="B37" s="9" t="s">
        <v>2072</v>
      </c>
      <c r="C37" s="9" t="s">
        <v>68</v>
      </c>
      <c r="D37" s="13" t="n">
        <f aca="false">Demand!D38*D20*D17*(1-INP_030)/INP_253</f>
        <v>0.0946106040186871</v>
      </c>
      <c r="E37" s="13" t="n">
        <f aca="false">Demand!E38*E20*E17*(1-INP_030)/INP_253</f>
        <v>1.9095457798585</v>
      </c>
      <c r="F37" s="13" t="n">
        <f aca="false">Demand!F38*F20*F17*(1-INP_030)/INP_253</f>
        <v>2.97308521826921</v>
      </c>
      <c r="G37" s="13" t="n">
        <f aca="false">Demand!G38*G20*G17*(1-INP_030)/INP_253</f>
        <v>4.17259717597996</v>
      </c>
      <c r="H37" s="13" t="n">
        <f aca="false">Demand!H38*H20*H17*(1-INP_030)/INP_253</f>
        <v>5.29394117224858</v>
      </c>
      <c r="I37" s="13" t="n">
        <f aca="false">Demand!I38*I20*I17*(1-INP_030)/INP_253</f>
        <v>6.29352393695539</v>
      </c>
      <c r="K37" s="2" t="n">
        <v>0.08269287245793</v>
      </c>
      <c r="L37" s="2" t="n">
        <v>1.69447618810993</v>
      </c>
      <c r="M37" s="2" t="n">
        <v>2.63985885893826</v>
      </c>
      <c r="N37" s="2" t="n">
        <v>3.70724180722659</v>
      </c>
      <c r="O37" s="2" t="n">
        <v>4.70646278526347</v>
      </c>
      <c r="P37" s="2" t="n">
        <v>5.5985716594085</v>
      </c>
      <c r="Q37" s="2"/>
    </row>
    <row r="38" customFormat="false" ht="15" hidden="false" customHeight="false" outlineLevel="0" collapsed="false">
      <c r="A38" s="9" t="s">
        <v>2073</v>
      </c>
      <c r="B38" s="10" t="s">
        <v>2074</v>
      </c>
      <c r="C38" s="9" t="s">
        <v>68</v>
      </c>
      <c r="D38" s="9" t="n">
        <f aca="false">D27+D34+D30+D31</f>
        <v>13.07</v>
      </c>
      <c r="E38" s="9" t="n">
        <f aca="false">E27+E34+E30+E31</f>
        <v>34.2037814299461</v>
      </c>
      <c r="F38" s="9" t="n">
        <f aca="false">F27+F34+F30+F31</f>
        <v>54.7956532383272</v>
      </c>
      <c r="G38" s="9" t="n">
        <f aca="false">G27+G34+G30+G31</f>
        <v>78.4240890026059</v>
      </c>
      <c r="H38" s="9" t="n">
        <f aca="false">H27+H34+H30+H31</f>
        <v>102.127374380687</v>
      </c>
      <c r="I38" s="9" t="n">
        <f aca="false">I27+I34+I30+I31</f>
        <v>126.38309270298</v>
      </c>
      <c r="K38" s="2" t="n">
        <v>13.07</v>
      </c>
      <c r="L38" s="2" t="n">
        <v>32.9040311251901</v>
      </c>
      <c r="M38" s="2" t="n">
        <v>52.5696018632109</v>
      </c>
      <c r="N38" s="2" t="n">
        <v>74.8836412589141</v>
      </c>
      <c r="O38" s="2" t="n">
        <v>97.168532926659</v>
      </c>
      <c r="P38" s="2" t="n">
        <v>119.881298694689</v>
      </c>
      <c r="Q38" s="2" t="s">
        <v>2075</v>
      </c>
    </row>
    <row r="39" customFormat="false" ht="15" hidden="false" customHeight="false" outlineLevel="0" collapsed="false">
      <c r="A39" s="9" t="s">
        <v>2076</v>
      </c>
      <c r="B39" s="9" t="s">
        <v>2077</v>
      </c>
      <c r="C39" s="9" t="s">
        <v>68</v>
      </c>
      <c r="D39" s="9" t="n">
        <f aca="false">SRC_OAI_009*D38*(D$6&lt;INP_011)+(D$6&gt;=INP_011)*(D$6&lt;=SRC_OAI_011)*MIN(SRC_OAI_009*D38,SRC_OAI_010)</f>
        <v>2.614</v>
      </c>
      <c r="E39" s="9" t="n">
        <f aca="false">SRC_OAI_009*E38*(E$6&lt;INP_011)+(E$6&gt;=INP_011)*(E$6&lt;=SRC_OAI_011)*MIN(SRC_OAI_009*E38,SRC_OAI_010-D40)</f>
        <v>6.84075628598922</v>
      </c>
      <c r="F39" s="9" t="n">
        <f aca="false">SRC_OAI_009*F38*(F$6&lt;INP_011)+(F$6&gt;=INP_011)*(F$6&lt;=SRC_OAI_011)*MIN(SRC_OAI_009*F38,SRC_OAI_010-E40)</f>
        <v>10.9591306476654</v>
      </c>
      <c r="G39" s="9" t="n">
        <f aca="false">SRC_OAI_009*G38*(G$6&lt;INP_011)+(G$6&gt;=INP_011)*(G$6&lt;=SRC_OAI_011)*MIN(SRC_OAI_009*G38,SRC_OAI_010-F40)</f>
        <v>15.6848178005212</v>
      </c>
      <c r="H39" s="9" t="n">
        <f aca="false">SRC_OAI_009*H38*(H$6&lt;INP_011)+(H$6&gt;=INP_011)*(H$6&lt;=SRC_OAI_011)*MIN(SRC_OAI_009*H38,SRC_OAI_010-G40)</f>
        <v>4.51529526582416</v>
      </c>
      <c r="I39" s="9" t="n">
        <f aca="false">SRC_OAI_009*I38*(I$6&lt;INP_011)+(I$6&gt;=INP_011)*(I$6&lt;=SRC_OAI_011)*MIN(SRC_OAI_009*I38,SRC_OAI_010-H40)</f>
        <v>0</v>
      </c>
      <c r="K39" s="2" t="n">
        <v>2.614</v>
      </c>
      <c r="L39" s="2" t="n">
        <v>6.58080622503801</v>
      </c>
      <c r="M39" s="2" t="n">
        <v>10.5139203726422</v>
      </c>
      <c r="N39" s="2" t="n">
        <v>14.9767282517828</v>
      </c>
      <c r="O39" s="2" t="n">
        <v>5.928545150537</v>
      </c>
      <c r="P39" s="2" t="n">
        <v>0</v>
      </c>
      <c r="Q39" s="2" t="s">
        <v>2078</v>
      </c>
    </row>
    <row r="40" customFormat="false" ht="15" hidden="false" customHeight="false" outlineLevel="0" collapsed="false">
      <c r="A40" s="9" t="s">
        <v>2079</v>
      </c>
      <c r="B40" s="9" t="s">
        <v>2080</v>
      </c>
      <c r="C40" s="9" t="s">
        <v>68</v>
      </c>
      <c r="D40" s="9" t="n">
        <f aca="false">D39*(D$6&gt;=INP_011)</f>
        <v>0</v>
      </c>
      <c r="E40" s="9" t="n">
        <f aca="false">D40+E39*(E$6&gt;=INP_011)</f>
        <v>6.84075628598922</v>
      </c>
      <c r="F40" s="9" t="n">
        <f aca="false">E40+F39*(F$6&gt;=INP_011)</f>
        <v>17.7998869336547</v>
      </c>
      <c r="G40" s="9" t="n">
        <f aca="false">F40+G39*(G$6&gt;=INP_011)</f>
        <v>33.4847047341758</v>
      </c>
      <c r="H40" s="9" t="n">
        <f aca="false">G40+H39*(H$6&gt;=INP_011)</f>
        <v>38</v>
      </c>
      <c r="I40" s="9" t="n">
        <f aca="false">H40+I39*(I$6&gt;=INP_011)</f>
        <v>38</v>
      </c>
      <c r="K40" s="2" t="n">
        <v>0</v>
      </c>
      <c r="L40" s="2" t="n">
        <v>6.58080622503801</v>
      </c>
      <c r="M40" s="2" t="n">
        <v>17.0947265976802</v>
      </c>
      <c r="N40" s="2" t="n">
        <v>32.071454849463</v>
      </c>
      <c r="O40" s="2" t="n">
        <v>38</v>
      </c>
      <c r="P40" s="2" t="n">
        <v>38</v>
      </c>
      <c r="Q40" s="2" t="s">
        <v>2081</v>
      </c>
    </row>
    <row r="41" customFormat="false" ht="15" hidden="false" customHeight="false" outlineLevel="0" collapsed="false">
      <c r="A41" s="9" t="s">
        <v>2082</v>
      </c>
      <c r="B41" s="10" t="s">
        <v>2083</v>
      </c>
      <c r="C41" s="9" t="s">
        <v>68</v>
      </c>
      <c r="D41" s="9" t="n">
        <f aca="false">D38-D39</f>
        <v>10.456</v>
      </c>
      <c r="E41" s="9" t="n">
        <f aca="false">E38-E39</f>
        <v>27.3630251439569</v>
      </c>
      <c r="F41" s="9" t="n">
        <f aca="false">F38-F39</f>
        <v>43.8365225906617</v>
      </c>
      <c r="G41" s="9" t="n">
        <f aca="false">G38-G39</f>
        <v>62.7392712020847</v>
      </c>
      <c r="H41" s="9" t="n">
        <f aca="false">H38-H39</f>
        <v>97.6120791148627</v>
      </c>
      <c r="I41" s="9" t="n">
        <f aca="false">I38-I39</f>
        <v>126.38309270298</v>
      </c>
      <c r="K41" s="2" t="n">
        <v>10.456</v>
      </c>
      <c r="L41" s="2" t="n">
        <v>26.323224900152</v>
      </c>
      <c r="M41" s="2" t="n">
        <v>42.0556814905687</v>
      </c>
      <c r="N41" s="2" t="n">
        <v>59.9069130071312</v>
      </c>
      <c r="O41" s="2" t="n">
        <v>91.239987776122</v>
      </c>
      <c r="P41" s="2" t="n">
        <v>119.881298694689</v>
      </c>
      <c r="Q41" s="2" t="s">
        <v>2084</v>
      </c>
    </row>
    <row r="42" customFormat="false" ht="15" hidden="false" customHeight="false" outlineLevel="0" collapsed="false">
      <c r="A42" s="9" t="s">
        <v>2085</v>
      </c>
      <c r="B42" s="10" t="s">
        <v>2086</v>
      </c>
      <c r="C42" s="9" t="s">
        <v>68</v>
      </c>
      <c r="D42" s="9" t="n">
        <f aca="false">D23+D24+D25+D30</f>
        <v>7.84141935483871</v>
      </c>
      <c r="E42" s="9" t="n">
        <f aca="false">E23+E24+E25+E30</f>
        <v>12.6394790322581</v>
      </c>
      <c r="F42" s="9" t="n">
        <f aca="false">F23+F24+F25+F30</f>
        <v>17.8813789901823</v>
      </c>
      <c r="G42" s="9" t="n">
        <f aca="false">G23+G24+G25+G30</f>
        <v>23.0820263394109</v>
      </c>
      <c r="H42" s="9" t="n">
        <f aca="false">H23+H24+H25+H30</f>
        <v>27.5620382187938</v>
      </c>
      <c r="I42" s="9" t="n">
        <f aca="false">I23+I24+I25+I30</f>
        <v>31.9812970371669</v>
      </c>
      <c r="K42" s="2" t="n">
        <v>8.364</v>
      </c>
      <c r="L42" s="2" t="n">
        <v>13.42335</v>
      </c>
      <c r="M42" s="2" t="n">
        <v>19.1297660869565</v>
      </c>
      <c r="N42" s="2" t="n">
        <v>24.7949295652174</v>
      </c>
      <c r="O42" s="2" t="n">
        <v>29.8265543478261</v>
      </c>
      <c r="P42" s="2" t="n">
        <v>34.8409744565217</v>
      </c>
      <c r="Q42" s="2"/>
    </row>
    <row r="43" customFormat="false" ht="15" hidden="false" customHeight="false" outlineLevel="0" collapsed="false">
      <c r="A43" s="9" t="s">
        <v>2087</v>
      </c>
      <c r="B43" s="10" t="s">
        <v>2088</v>
      </c>
      <c r="C43" s="9" t="s">
        <v>68</v>
      </c>
      <c r="D43" s="9" t="n">
        <f aca="false">D26+D34</f>
        <v>5.22858064516129</v>
      </c>
      <c r="E43" s="9" t="n">
        <f aca="false">E26+E34</f>
        <v>21.5643023976881</v>
      </c>
      <c r="F43" s="9" t="n">
        <f aca="false">F26+F34</f>
        <v>36.9142742481448</v>
      </c>
      <c r="G43" s="9" t="n">
        <f aca="false">G26+G34</f>
        <v>55.342062663195</v>
      </c>
      <c r="H43" s="9" t="n">
        <f aca="false">H26+H34</f>
        <v>74.5653361618931</v>
      </c>
      <c r="I43" s="9" t="n">
        <f aca="false">I26+I34</f>
        <v>94.4017956658134</v>
      </c>
      <c r="K43" s="2" t="n">
        <v>4.706</v>
      </c>
      <c r="L43" s="2" t="n">
        <v>19.48068112519</v>
      </c>
      <c r="M43" s="2" t="n">
        <v>33.4398357762544</v>
      </c>
      <c r="N43" s="2" t="n">
        <v>50.0887116936967</v>
      </c>
      <c r="O43" s="2" t="n">
        <v>67.3419785788329</v>
      </c>
      <c r="P43" s="2" t="n">
        <v>85.0403242381675</v>
      </c>
      <c r="Q43" s="2"/>
    </row>
    <row r="44" customFormat="false" ht="15" hidden="false" customHeight="false" outlineLevel="0" collapsed="false">
      <c r="A44" s="9" t="s">
        <v>2089</v>
      </c>
      <c r="B44" s="10" t="s">
        <v>2090</v>
      </c>
      <c r="C44" s="10" t="s">
        <v>120</v>
      </c>
      <c r="D44" s="9" t="n">
        <f aca="false">D43/(D42+D43)</f>
        <v>0.400044425796579</v>
      </c>
      <c r="E44" s="9" t="n">
        <f aca="false">E43/(E42+E43)</f>
        <v>0.630465448443313</v>
      </c>
      <c r="F44" s="9" t="n">
        <f aca="false">F43/(F42+F43)</f>
        <v>0.673671579159584</v>
      </c>
      <c r="G44" s="9" t="n">
        <f aca="false">G43/(G42+G43)</f>
        <v>0.705676831787693</v>
      </c>
      <c r="H44" s="9" t="n">
        <f aca="false">H43/(H42+H43)</f>
        <v>0.730120955464356</v>
      </c>
      <c r="I44" s="9" t="n">
        <f aca="false">I43/(I42+I43)</f>
        <v>0.746949561423316</v>
      </c>
      <c r="K44" s="2" t="n">
        <v>0.360061208875287</v>
      </c>
      <c r="L44" s="2" t="n">
        <v>0.592045426017009</v>
      </c>
      <c r="M44" s="2" t="n">
        <v>0.636105935579781</v>
      </c>
      <c r="N44" s="2" t="n">
        <v>0.668887234269396</v>
      </c>
      <c r="O44" s="2" t="n">
        <v>0.693043072181211</v>
      </c>
      <c r="P44" s="2" t="n">
        <v>0.709371062577042</v>
      </c>
      <c r="Q44" s="2" t="s">
        <v>2091</v>
      </c>
    </row>
    <row r="45" customFormat="false" ht="15" hidden="false" customHeight="false" outlineLevel="0" collapsed="false">
      <c r="A45" s="9" t="s">
        <v>2092</v>
      </c>
      <c r="B45" s="10" t="s">
        <v>2093</v>
      </c>
      <c r="C45" s="9" t="s">
        <v>68</v>
      </c>
      <c r="D45" s="9" t="n">
        <f aca="false">D42+D43+D31-D38</f>
        <v>0</v>
      </c>
      <c r="E45" s="9" t="n">
        <f aca="false">E42+E43+E31-E38</f>
        <v>0</v>
      </c>
      <c r="F45" s="9" t="n">
        <f aca="false">F42+F43+F31-F38</f>
        <v>0</v>
      </c>
      <c r="G45" s="9" t="n">
        <f aca="false">G42+G43+G31-G38</f>
        <v>0</v>
      </c>
      <c r="H45" s="9" t="n">
        <f aca="false">H42+H43+H31-H38</f>
        <v>0</v>
      </c>
      <c r="I45" s="9" t="n">
        <f aca="false">I42+I43+I31-I38</f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/>
    </row>
    <row r="46" customFormat="false" ht="15" hidden="false" customHeight="false" outlineLevel="0" collapsed="false">
      <c r="A46" s="9" t="s">
        <v>2094</v>
      </c>
      <c r="B46" s="10" t="s">
        <v>2095</v>
      </c>
      <c r="C46" s="10" t="s">
        <v>120</v>
      </c>
      <c r="E46" s="9" t="n">
        <f aca="false">(E38-D38)/D38</f>
        <v>1.61696873985816</v>
      </c>
      <c r="F46" s="9" t="n">
        <f aca="false">(F38-E38)/E38</f>
        <v>0.602034948988197</v>
      </c>
      <c r="G46" s="9" t="n">
        <f aca="false">(G38-F38)/F38</f>
        <v>0.431210038896876</v>
      </c>
      <c r="H46" s="9" t="n">
        <f aca="false">(H38-G38)/G38</f>
        <v>0.302244956613948</v>
      </c>
      <c r="I46" s="9" t="n">
        <f aca="false">(I38-H38)/H38</f>
        <v>0.237504571809303</v>
      </c>
      <c r="L46" s="2" t="n">
        <v>1.51752342197323</v>
      </c>
      <c r="M46" s="2" t="n">
        <v>0.597664482603947</v>
      </c>
      <c r="N46" s="2" t="n">
        <v>0.424466585342714</v>
      </c>
      <c r="O46" s="2" t="n">
        <v>0.29759359044379</v>
      </c>
      <c r="P46" s="2" t="n">
        <v>0.233746101581809</v>
      </c>
      <c r="Q46" s="2"/>
    </row>
    <row r="47" customFormat="false" ht="15" hidden="false" customHeight="false" outlineLevel="0" collapsed="false">
      <c r="A47" s="9" t="s">
        <v>2096</v>
      </c>
      <c r="B47" s="10" t="s">
        <v>2097</v>
      </c>
      <c r="C47" s="10" t="s">
        <v>120</v>
      </c>
      <c r="D47" s="9" t="n">
        <f aca="false">D30/D38</f>
        <v>0</v>
      </c>
      <c r="E47" s="9" t="n">
        <f aca="false">E30/E38</f>
        <v>0.0217212825289993</v>
      </c>
      <c r="F47" s="9" t="n">
        <f aca="false">F30/F38</f>
        <v>0.0339155908670115</v>
      </c>
      <c r="G47" s="9" t="n">
        <f aca="false">G30/G38</f>
        <v>0.0371136963540659</v>
      </c>
      <c r="H47" s="9" t="n">
        <f aca="false">H30/H38</f>
        <v>0.0407021775204398</v>
      </c>
      <c r="I47" s="9" t="n">
        <f aca="false">I30/I38</f>
        <v>0.0441210683008226</v>
      </c>
      <c r="K47" s="2" t="n">
        <v>0</v>
      </c>
      <c r="L47" s="2" t="n">
        <v>0.0225793003043699</v>
      </c>
      <c r="M47" s="2" t="n">
        <v>0.0353517411327838</v>
      </c>
      <c r="N47" s="2" t="n">
        <v>0.0388684067328321</v>
      </c>
      <c r="O47" s="2" t="n">
        <v>0.0427793483809888</v>
      </c>
      <c r="P47" s="2" t="n">
        <v>0.046513986134056</v>
      </c>
      <c r="Q47" s="2"/>
    </row>
    <row r="48" customFormat="false" ht="15" hidden="false" customHeight="false" outlineLevel="0" collapsed="false">
      <c r="A48" s="14" t="s">
        <v>2098</v>
      </c>
    </row>
    <row r="49" customFormat="false" ht="15" hidden="false" customHeight="false" outlineLevel="0" collapsed="false">
      <c r="A49" s="9" t="s">
        <v>2099</v>
      </c>
      <c r="B49" s="9" t="s">
        <v>2100</v>
      </c>
      <c r="C49" s="9" t="s">
        <v>68</v>
      </c>
      <c r="D49" s="9" t="n">
        <f aca="false">D38-SRC_OAI_002</f>
        <v>0</v>
      </c>
      <c r="Q49" s="12" t="s">
        <v>2101</v>
      </c>
    </row>
    <row r="50" customFormat="false" ht="15" hidden="false" customHeight="false" outlineLevel="0" collapsed="false">
      <c r="A50" s="9" t="s">
        <v>2102</v>
      </c>
      <c r="B50" s="9" t="s">
        <v>2103</v>
      </c>
      <c r="C50" s="9" t="s">
        <v>68</v>
      </c>
      <c r="D50" s="9" t="n">
        <f aca="false">D27+D30+D31+V9_ApiTok*D21/INP_253</f>
        <v>14.0987054988387</v>
      </c>
      <c r="Q50" s="2" t="s">
        <v>2104</v>
      </c>
    </row>
    <row r="51" customFormat="false" ht="15" hidden="false" customHeight="false" outlineLevel="0" collapsed="false">
      <c r="A51" s="9" t="s">
        <v>2105</v>
      </c>
      <c r="B51" s="9" t="s">
        <v>2106</v>
      </c>
      <c r="C51" s="9" t="s">
        <v>68</v>
      </c>
      <c r="D51" s="9" t="n">
        <f aca="false">D50-SRC_OAI_002</f>
        <v>1.02870549883871</v>
      </c>
      <c r="Q51" s="2"/>
    </row>
    <row r="52" customFormat="false" ht="15" hidden="false" customHeight="false" outlineLevel="0" collapsed="false">
      <c r="A52" s="9" t="s">
        <v>2107</v>
      </c>
      <c r="B52" s="9" t="s">
        <v>2108</v>
      </c>
      <c r="C52" s="10" t="s">
        <v>120</v>
      </c>
      <c r="D52" s="9" t="n">
        <f aca="false">D51/SRC_OAI_002</f>
        <v>0.07870738323173</v>
      </c>
      <c r="Q52" s="2"/>
    </row>
    <row r="53" customFormat="false" ht="15" hidden="false" customHeight="false" outlineLevel="0" collapsed="false">
      <c r="A53" s="9" t="s">
        <v>2109</v>
      </c>
      <c r="B53" s="9" t="s">
        <v>2110</v>
      </c>
      <c r="C53" s="9" t="s">
        <v>68</v>
      </c>
      <c r="E53" s="9" t="n">
        <f aca="false">SRC_OAI_004+SRC_OAI_005+SRC_OAI_006*INP_255/INP_252</f>
        <v>32.4</v>
      </c>
      <c r="L53" s="2" t="n">
        <v>32.9</v>
      </c>
      <c r="Q53" s="12" t="s">
        <v>2111</v>
      </c>
    </row>
    <row r="54" customFormat="false" ht="15" hidden="false" customHeight="false" outlineLevel="0" collapsed="false">
      <c r="A54" s="9" t="s">
        <v>2112</v>
      </c>
      <c r="B54" s="9" t="s">
        <v>2113</v>
      </c>
      <c r="C54" s="9" t="s">
        <v>68</v>
      </c>
      <c r="E54" s="9" t="n">
        <f aca="false">E38-E53</f>
        <v>1.80378142994611</v>
      </c>
      <c r="Q54" s="2"/>
    </row>
    <row r="55" customFormat="false" ht="15" hidden="false" customHeight="false" outlineLevel="0" collapsed="false">
      <c r="A55" s="9" t="s">
        <v>2114</v>
      </c>
      <c r="B55" s="9" t="s">
        <v>2115</v>
      </c>
      <c r="C55" s="9" t="s">
        <v>68</v>
      </c>
      <c r="E55" s="9" t="n">
        <f aca="false">E38-SRC_OAI_004-SRC_OAI_005</f>
        <v>21.8037814299461</v>
      </c>
      <c r="L55" s="2" t="n">
        <v>20.5040311251901</v>
      </c>
      <c r="Q55" s="2"/>
    </row>
    <row r="56" customFormat="false" ht="15" hidden="false" customHeight="false" outlineLevel="0" collapsed="false">
      <c r="A56" s="9" t="s">
        <v>2116</v>
      </c>
      <c r="B56" s="10" t="s">
        <v>2117</v>
      </c>
      <c r="C56" s="9" t="s">
        <v>68</v>
      </c>
      <c r="E56" s="9" t="n">
        <f aca="false">SRC_OAI_043</f>
        <v>36</v>
      </c>
      <c r="I56" s="9" t="n">
        <f aca="false">SRC_OAI_044</f>
        <v>350</v>
      </c>
      <c r="Q56" s="12" t="s">
        <v>2118</v>
      </c>
    </row>
    <row r="57" customFormat="false" ht="15" hidden="false" customHeight="false" outlineLevel="0" collapsed="false">
      <c r="A57" s="9" t="s">
        <v>2119</v>
      </c>
      <c r="B57" s="10" t="s">
        <v>2120</v>
      </c>
      <c r="C57" s="9" t="s">
        <v>68</v>
      </c>
      <c r="E57" s="9" t="n">
        <f aca="false">E38-E56</f>
        <v>-1.79621857005389</v>
      </c>
      <c r="I57" s="9" t="n">
        <f aca="false">I38-I56</f>
        <v>-223.61690729702</v>
      </c>
      <c r="Q57" s="2"/>
    </row>
    <row r="59" customFormat="false" ht="15" hidden="false" customHeight="false" outlineLevel="0" collapsed="false">
      <c r="A59" s="14" t="s">
        <v>2121</v>
      </c>
    </row>
    <row r="60" customFormat="false" ht="41" hidden="false" customHeight="false" outlineLevel="0" collapsed="false">
      <c r="A60" s="8" t="s">
        <v>1793</v>
      </c>
      <c r="B60" s="8" t="s">
        <v>1794</v>
      </c>
      <c r="C60" s="8" t="s">
        <v>46</v>
      </c>
      <c r="D60" s="8" t="s">
        <v>773</v>
      </c>
      <c r="E60" s="8" t="s">
        <v>2122</v>
      </c>
      <c r="F60" s="8" t="s">
        <v>2123</v>
      </c>
      <c r="G60" s="7" t="s">
        <v>2124</v>
      </c>
      <c r="H60" s="7" t="s">
        <v>2125</v>
      </c>
      <c r="I60" s="8"/>
      <c r="J60" s="7" t="s">
        <v>2126</v>
      </c>
      <c r="K60" s="7" t="s">
        <v>2127</v>
      </c>
      <c r="L60" s="7" t="s">
        <v>2128</v>
      </c>
    </row>
    <row r="61" customFormat="false" ht="15" hidden="false" customHeight="false" outlineLevel="0" collapsed="false">
      <c r="A61" s="9" t="s">
        <v>2129</v>
      </c>
      <c r="B61" s="10" t="s">
        <v>2130</v>
      </c>
      <c r="C61" s="10" t="s">
        <v>120</v>
      </c>
      <c r="D61" s="9" t="n">
        <f aca="false">(INP_250+INP_251-MAX(INP_250,MIN(INP_250+INP_251,SRC_OAI_125+INP_246)))/INP_251</f>
        <v>0.424657534246575</v>
      </c>
      <c r="E61" s="13" t="n">
        <f aca="false">(INP_250+INP_251-MAX(INP_250,MIN(INP_250+INP_251,SRC_OAI_125+Inputs!$F$238)))/INP_251</f>
        <v>0.673972602739726</v>
      </c>
      <c r="F61" s="13" t="n">
        <f aca="false">(INP_250+INP_251-MAX(INP_250,MIN(INP_250+INP_251,SRC_OAI_125+Inputs!$G$238)))/INP_251</f>
        <v>0.175342465753425</v>
      </c>
      <c r="Q61" s="2" t="s">
        <v>2131</v>
      </c>
    </row>
    <row r="62" customFormat="false" ht="15" hidden="false" customHeight="false" outlineLevel="0" collapsed="false">
      <c r="A62" s="9" t="s">
        <v>2132</v>
      </c>
      <c r="B62" s="10" t="s">
        <v>2133</v>
      </c>
      <c r="C62" s="10" t="s">
        <v>120</v>
      </c>
      <c r="D62" s="9" t="n">
        <f aca="false">(INP_250+INP_251-MAX(INP_250,MIN(INP_250+INP_251,SRC_OAI_126+INP_247)))/INP_251</f>
        <v>0.361643835616438</v>
      </c>
      <c r="E62" s="13" t="n">
        <f aca="false">(INP_250+INP_251-MAX(INP_250,MIN(INP_250+INP_251,SRC_OAI_126+Inputs!$F$239)))/INP_251</f>
        <v>0.610958904109589</v>
      </c>
      <c r="F62" s="13" t="n">
        <f aca="false">(INP_250+INP_251-MAX(INP_250,MIN(INP_250+INP_251,SRC_OAI_126+Inputs!$G$239)))/INP_251</f>
        <v>0.112328767123288</v>
      </c>
      <c r="Q62" s="2" t="s">
        <v>2131</v>
      </c>
    </row>
    <row r="63" customFormat="false" ht="15" hidden="false" customHeight="false" outlineLevel="0" collapsed="false">
      <c r="A63" s="9" t="s">
        <v>2134</v>
      </c>
      <c r="B63" s="10" t="s">
        <v>2135</v>
      </c>
      <c r="C63" s="10" t="s">
        <v>120</v>
      </c>
      <c r="D63" s="9" t="n">
        <f aca="false">(INP_250+INP_251-MAX(INP_250,MIN(INP_250+INP_251,SRC_OAI_127+INP_248)))/INP_251</f>
        <v>0.328767123287671</v>
      </c>
      <c r="E63" s="13" t="n">
        <f aca="false">(INP_250+INP_251-MAX(INP_250,MIN(INP_250+INP_251,SRC_OAI_127+Inputs!$F$240)))/INP_251</f>
        <v>0.578082191780822</v>
      </c>
      <c r="F63" s="13" t="n">
        <f aca="false">(INP_250+INP_251-MAX(INP_250,MIN(INP_250+INP_251,SRC_OAI_127+Inputs!$G$240)))/INP_251</f>
        <v>0.0794520547945206</v>
      </c>
      <c r="Q63" s="2" t="s">
        <v>2131</v>
      </c>
    </row>
    <row r="64" customFormat="false" ht="15" hidden="false" customHeight="false" outlineLevel="0" collapsed="false">
      <c r="A64" s="9" t="s">
        <v>2136</v>
      </c>
      <c r="B64" s="10" t="s">
        <v>2137</v>
      </c>
      <c r="C64" s="10" t="s">
        <v>120</v>
      </c>
      <c r="D64" s="9" t="n">
        <f aca="false">(INP_250+INP_251-MAX(INP_250,MIN(INP_250+INP_251,SRC_OAI_128+INP_249)))/INP_251</f>
        <v>0.276712328767123</v>
      </c>
      <c r="E64" s="13" t="n">
        <f aca="false">(INP_250+INP_251-MAX(INP_250,MIN(INP_250+INP_251,SRC_OAI_128+Inputs!$F$241)))/INP_251</f>
        <v>0.526027397260274</v>
      </c>
      <c r="F64" s="13" t="n">
        <f aca="false">(INP_250+INP_251-MAX(INP_250,MIN(INP_250+INP_251,SRC_OAI_128+Inputs!$G$241)))/INP_251</f>
        <v>0.0273972602739726</v>
      </c>
      <c r="Q64" s="2" t="s">
        <v>2131</v>
      </c>
    </row>
    <row r="65" customFormat="false" ht="15" hidden="false" customHeight="false" outlineLevel="0" collapsed="false">
      <c r="A65" s="9" t="s">
        <v>2138</v>
      </c>
      <c r="B65" s="9" t="s">
        <v>2139</v>
      </c>
      <c r="C65" s="9" t="s">
        <v>815</v>
      </c>
      <c r="D65" s="9" t="n">
        <f aca="false">SRC_OAI_113+(SRC_OAI_123-SRC_OAI_113)*D62+(SRC_OAI_013-SRC_OAI_123)*D63</f>
        <v>6.61095890410959</v>
      </c>
      <c r="E65" s="9" t="n">
        <f aca="false">SRC_OAI_113+(SRC_OAI_123-SRC_OAI_113)*E62+(SRC_OAI_013-SRC_OAI_123)*E63</f>
        <v>7.85753424657534</v>
      </c>
      <c r="F65" s="9" t="n">
        <f aca="false">SRC_OAI_113+(SRC_OAI_123-SRC_OAI_113)*F62+(SRC_OAI_013-SRC_OAI_123)*F63</f>
        <v>5.36438356164384</v>
      </c>
      <c r="G65" s="9" t="n">
        <f aca="false">MIN(D65:F65)</f>
        <v>5.36438356164384</v>
      </c>
      <c r="H65" s="9" t="n">
        <f aca="false">MAX(D65:F65)</f>
        <v>7.85753424657534</v>
      </c>
      <c r="J65" s="2" t="n">
        <v>6.6</v>
      </c>
      <c r="K65" s="2" t="n">
        <v>5</v>
      </c>
      <c r="L65" s="2" t="n">
        <v>7.5</v>
      </c>
      <c r="Q65" s="2" t="s">
        <v>2140</v>
      </c>
    </row>
    <row r="66" customFormat="false" ht="15" hidden="false" customHeight="false" outlineLevel="0" collapsed="false">
      <c r="A66" s="9" t="s">
        <v>2141</v>
      </c>
      <c r="B66" s="9" t="s">
        <v>2142</v>
      </c>
      <c r="C66" s="9" t="s">
        <v>815</v>
      </c>
      <c r="D66" s="9" t="n">
        <f aca="false">SRC_OAI_114+(SRC_OAI_124-SRC_OAI_114)*D62+(SRC_OAI_015-SRC_OAI_124)*D63</f>
        <v>36.2465753424658</v>
      </c>
      <c r="E66" s="9" t="n">
        <f aca="false">SRC_OAI_114+(SRC_OAI_124-SRC_OAI_114)*E62+(SRC_OAI_015-SRC_OAI_124)*E63</f>
        <v>41.2328767123288</v>
      </c>
      <c r="F66" s="9" t="n">
        <f aca="false">SRC_OAI_114+(SRC_OAI_124-SRC_OAI_114)*F62+(SRC_OAI_015-SRC_OAI_124)*F63</f>
        <v>31.2602739726027</v>
      </c>
      <c r="G66" s="9" t="n">
        <f aca="false">MIN(D66:F66)</f>
        <v>31.2602739726027</v>
      </c>
      <c r="H66" s="9" t="n">
        <f aca="false">MAX(D66:F66)</f>
        <v>41.2328767123288</v>
      </c>
      <c r="J66" s="2" t="n">
        <v>35.8</v>
      </c>
      <c r="K66" s="2" t="n">
        <v>28</v>
      </c>
      <c r="L66" s="2" t="n">
        <v>40</v>
      </c>
      <c r="Q66" s="2" t="s">
        <v>2140</v>
      </c>
    </row>
    <row r="67" customFormat="false" ht="15" hidden="false" customHeight="false" outlineLevel="0" collapsed="false">
      <c r="A67" s="9" t="s">
        <v>2143</v>
      </c>
      <c r="B67" s="9" t="s">
        <v>2144</v>
      </c>
      <c r="C67" s="9" t="s">
        <v>815</v>
      </c>
      <c r="D67" s="9" t="n">
        <f aca="false">SRC_OAI_115+(SRC_OAI_119-SRC_OAI_115)*D61+(SRC_OAI_016-SRC_OAI_119)*D64</f>
        <v>2.28767123287671</v>
      </c>
      <c r="E67" s="9" t="n">
        <f aca="false">SRC_OAI_115+(SRC_OAI_119-SRC_OAI_115)*E61+(SRC_OAI_016-SRC_OAI_119)*E64</f>
        <v>2.16301369863014</v>
      </c>
      <c r="F67" s="9" t="n">
        <f aca="false">SRC_OAI_115+(SRC_OAI_119-SRC_OAI_115)*F61+(SRC_OAI_016-SRC_OAI_119)*F64</f>
        <v>2.41232876712329</v>
      </c>
      <c r="G67" s="9" t="n">
        <f aca="false">MIN(D67:F67)</f>
        <v>2.16301369863014</v>
      </c>
      <c r="H67" s="9" t="n">
        <f aca="false">MAX(D67:F67)</f>
        <v>2.41232876712329</v>
      </c>
      <c r="J67" s="2" t="n">
        <v>2.29</v>
      </c>
      <c r="K67" s="2" t="n">
        <v>2</v>
      </c>
      <c r="L67" s="2" t="n">
        <v>2.5</v>
      </c>
      <c r="Q67" s="2" t="s">
        <v>2145</v>
      </c>
    </row>
    <row r="68" customFormat="false" ht="15" hidden="false" customHeight="false" outlineLevel="0" collapsed="false">
      <c r="A68" s="9" t="s">
        <v>2146</v>
      </c>
      <c r="B68" s="9" t="s">
        <v>2147</v>
      </c>
      <c r="C68" s="9" t="s">
        <v>815</v>
      </c>
      <c r="D68" s="9" t="n">
        <f aca="false">SRC_OAI_116+(SRC_OAI_120-SRC_OAI_116)*D61+(SRC_OAI_018-SRC_OAI_120)*D64</f>
        <v>13.172602739726</v>
      </c>
      <c r="E68" s="9" t="n">
        <f aca="false">SRC_OAI_116+(SRC_OAI_120-SRC_OAI_116)*E61+(SRC_OAI_018-SRC_OAI_120)*E64</f>
        <v>11.9260273972603</v>
      </c>
      <c r="F68" s="9" t="n">
        <f aca="false">SRC_OAI_116+(SRC_OAI_120-SRC_OAI_116)*F61+(SRC_OAI_018-SRC_OAI_120)*F64</f>
        <v>14.4191780821918</v>
      </c>
      <c r="G68" s="9" t="n">
        <f aca="false">MIN(D68:F68)</f>
        <v>11.9260273972603</v>
      </c>
      <c r="H68" s="9" t="n">
        <f aca="false">MAX(D68:F68)</f>
        <v>14.4191780821918</v>
      </c>
      <c r="J68" s="2" t="n">
        <v>13.25</v>
      </c>
      <c r="K68" s="2" t="n">
        <v>11</v>
      </c>
      <c r="L68" s="2" t="n">
        <v>15</v>
      </c>
      <c r="Q68" s="2" t="s">
        <v>2145</v>
      </c>
    </row>
    <row r="69" customFormat="false" ht="15" hidden="false" customHeight="false" outlineLevel="0" collapsed="false">
      <c r="A69" s="9" t="s">
        <v>2148</v>
      </c>
      <c r="B69" s="9" t="s">
        <v>2149</v>
      </c>
      <c r="C69" s="9" t="s">
        <v>815</v>
      </c>
      <c r="D69" s="9" t="n">
        <f aca="false">SRC_OAI_117+(SRC_OAI_121-SRC_OAI_117)*D61+(SRC_OAI_019-SRC_OAI_121)*D64</f>
        <v>0.632602739726027</v>
      </c>
      <c r="E69" s="9" t="n">
        <f aca="false">SRC_OAI_117+(SRC_OAI_121-SRC_OAI_117)*E61+(SRC_OAI_019-SRC_OAI_121)*E64</f>
        <v>0.408219178082192</v>
      </c>
      <c r="F69" s="9" t="n">
        <f aca="false">SRC_OAI_117+(SRC_OAI_121-SRC_OAI_117)*F61+(SRC_OAI_019-SRC_OAI_121)*F64</f>
        <v>0.856986301369863</v>
      </c>
      <c r="G69" s="9" t="n">
        <f aca="false">MIN(D69:F69)</f>
        <v>0.408219178082192</v>
      </c>
      <c r="H69" s="9" t="n">
        <f aca="false">MAX(D69:F69)</f>
        <v>0.856986301369863</v>
      </c>
      <c r="J69" s="2" t="n">
        <v>0.64</v>
      </c>
      <c r="K69" s="2" t="n">
        <v>0.4</v>
      </c>
      <c r="L69" s="2" t="n">
        <v>0.8</v>
      </c>
      <c r="Q69" s="2" t="s">
        <v>2150</v>
      </c>
    </row>
    <row r="70" customFormat="false" ht="15" hidden="false" customHeight="false" outlineLevel="0" collapsed="false">
      <c r="A70" s="9" t="s">
        <v>2151</v>
      </c>
      <c r="B70" s="9" t="s">
        <v>2152</v>
      </c>
      <c r="C70" s="9" t="s">
        <v>815</v>
      </c>
      <c r="D70" s="9" t="n">
        <f aca="false">SRC_OAI_118+(SRC_OAI_122-SRC_OAI_118)*D61+(SRC_OAI_021-SRC_OAI_122)*D64</f>
        <v>3.76794520547945</v>
      </c>
      <c r="E70" s="9" t="n">
        <f aca="false">SRC_OAI_118+(SRC_OAI_122-SRC_OAI_118)*E61+(SRC_OAI_021-SRC_OAI_122)*E64</f>
        <v>2.39671232876712</v>
      </c>
      <c r="F70" s="9" t="n">
        <f aca="false">SRC_OAI_118+(SRC_OAI_122-SRC_OAI_118)*F61+(SRC_OAI_021-SRC_OAI_122)*F64</f>
        <v>5.13917808219178</v>
      </c>
      <c r="G70" s="9" t="n">
        <f aca="false">MIN(D70:F70)</f>
        <v>2.39671232876712</v>
      </c>
      <c r="H70" s="9" t="n">
        <f aca="false">MAX(D70:F70)</f>
        <v>5.13917808219178</v>
      </c>
      <c r="J70" s="2" t="n">
        <v>3.83</v>
      </c>
      <c r="K70" s="2" t="n">
        <v>2.5</v>
      </c>
      <c r="L70" s="2" t="n">
        <v>5</v>
      </c>
      <c r="Q70" s="2" t="s">
        <v>2150</v>
      </c>
    </row>
    <row r="72" customFormat="false" ht="15" hidden="false" customHeight="false" outlineLevel="0" collapsed="false">
      <c r="A72" s="14" t="s">
        <v>2153</v>
      </c>
    </row>
    <row r="73" customFormat="false" ht="15" hidden="false" customHeight="false" outlineLevel="0" collapsed="false">
      <c r="A73" s="9" t="s">
        <v>2154</v>
      </c>
      <c r="B73" s="10" t="s">
        <v>2155</v>
      </c>
      <c r="C73" s="10" t="s">
        <v>560</v>
      </c>
      <c r="D73" s="13" t="n">
        <f aca="false">Compute!D93</f>
        <v>1</v>
      </c>
      <c r="E73" s="13" t="n">
        <f aca="false">Compute!E93</f>
        <v>1</v>
      </c>
      <c r="F73" s="13" t="n">
        <f aca="false">Compute!F93</f>
        <v>1</v>
      </c>
      <c r="G73" s="13" t="n">
        <f aca="false">Compute!G93</f>
        <v>1</v>
      </c>
      <c r="H73" s="13" t="n">
        <f aca="false">Compute!H93</f>
        <v>1</v>
      </c>
      <c r="I73" s="13" t="n">
        <f aca="false">Compute!I93</f>
        <v>1</v>
      </c>
      <c r="Q73" s="12" t="s">
        <v>2156</v>
      </c>
    </row>
    <row r="74" customFormat="false" ht="15" hidden="false" customHeight="false" outlineLevel="0" collapsed="false">
      <c r="A74" s="9" t="s">
        <v>2157</v>
      </c>
      <c r="B74" s="10" t="s">
        <v>2158</v>
      </c>
      <c r="C74" s="9" t="s">
        <v>68</v>
      </c>
      <c r="D74" s="9" t="n">
        <f aca="false">D38*D73</f>
        <v>13.07</v>
      </c>
      <c r="E74" s="9" t="n">
        <f aca="false">E38*E73</f>
        <v>34.2037814299461</v>
      </c>
      <c r="F74" s="9" t="n">
        <f aca="false">F38*F73</f>
        <v>54.7956532383272</v>
      </c>
      <c r="G74" s="9" t="n">
        <f aca="false">G38*G73</f>
        <v>78.4240890026059</v>
      </c>
      <c r="H74" s="9" t="n">
        <f aca="false">H38*H73</f>
        <v>102.127374380687</v>
      </c>
      <c r="I74" s="9" t="n">
        <f aca="false">I38*I73</f>
        <v>126.38309270298</v>
      </c>
      <c r="Q74" s="2" t="s">
        <v>2159</v>
      </c>
    </row>
    <row r="75" customFormat="false" ht="15" hidden="false" customHeight="false" outlineLevel="0" collapsed="false">
      <c r="A75" s="9" t="s">
        <v>2160</v>
      </c>
      <c r="B75" s="10" t="s">
        <v>2161</v>
      </c>
      <c r="C75" s="9" t="s">
        <v>68</v>
      </c>
      <c r="D75" s="9" t="n">
        <f aca="false">SRC_OAI_009*D74*(D$6&lt;INP_011)+(D$6&gt;=INP_011)*(D$6&lt;=SRC_OAI_011)*MIN(SRC_OAI_009*D74,SRC_OAI_010)</f>
        <v>2.614</v>
      </c>
      <c r="E75" s="9" t="n">
        <f aca="false">SRC_OAI_009*E74*(E$6&lt;INP_011)+(E$6&gt;=INP_011)*(E$6&lt;=SRC_OAI_011)*MIN(SRC_OAI_009*E74,SRC_OAI_010-D76)</f>
        <v>6.84075628598922</v>
      </c>
      <c r="F75" s="9" t="n">
        <f aca="false">SRC_OAI_009*F74*(F$6&lt;INP_011)+(F$6&gt;=INP_011)*(F$6&lt;=SRC_OAI_011)*MIN(SRC_OAI_009*F74,SRC_OAI_010-E76)</f>
        <v>10.9591306476654</v>
      </c>
      <c r="G75" s="9" t="n">
        <f aca="false">SRC_OAI_009*G74*(G$6&lt;INP_011)+(G$6&gt;=INP_011)*(G$6&lt;=SRC_OAI_011)*MIN(SRC_OAI_009*G74,SRC_OAI_010-F76)</f>
        <v>15.6848178005212</v>
      </c>
      <c r="H75" s="9" t="n">
        <f aca="false">SRC_OAI_009*H74*(H$6&lt;INP_011)+(H$6&gt;=INP_011)*(H$6&lt;=SRC_OAI_011)*MIN(SRC_OAI_009*H74,SRC_OAI_010-G76)</f>
        <v>4.51529526582416</v>
      </c>
      <c r="I75" s="9" t="n">
        <f aca="false">SRC_OAI_009*I74*(I$6&lt;INP_011)+(I$6&gt;=INP_011)*(I$6&lt;=SRC_OAI_011)*MIN(SRC_OAI_009*I74,SRC_OAI_010-H76)</f>
        <v>0</v>
      </c>
      <c r="Q75" s="2" t="s">
        <v>2162</v>
      </c>
    </row>
    <row r="76" customFormat="false" ht="15" hidden="false" customHeight="false" outlineLevel="0" collapsed="false">
      <c r="A76" s="9" t="s">
        <v>2163</v>
      </c>
      <c r="B76" s="10" t="s">
        <v>2164</v>
      </c>
      <c r="C76" s="9" t="s">
        <v>68</v>
      </c>
      <c r="D76" s="9" t="n">
        <f aca="false">D75*(D$6&gt;=INP_011)</f>
        <v>0</v>
      </c>
      <c r="E76" s="9" t="n">
        <f aca="false">D76+E75*(E$6&gt;=INP_011)</f>
        <v>6.84075628598922</v>
      </c>
      <c r="F76" s="9" t="n">
        <f aca="false">E76+F75*(F$6&gt;=INP_011)</f>
        <v>17.7998869336547</v>
      </c>
      <c r="G76" s="9" t="n">
        <f aca="false">F76+G75*(G$6&gt;=INP_011)</f>
        <v>33.4847047341758</v>
      </c>
      <c r="H76" s="9" t="n">
        <f aca="false">G76+H75*(H$6&gt;=INP_011)</f>
        <v>38</v>
      </c>
      <c r="I76" s="9" t="n">
        <f aca="false">H76+I75*(I$6&gt;=INP_011)</f>
        <v>38</v>
      </c>
      <c r="Q76" s="2"/>
    </row>
    <row r="77" customFormat="false" ht="15" hidden="false" customHeight="false" outlineLevel="0" collapsed="false">
      <c r="A77" s="9" t="s">
        <v>2165</v>
      </c>
      <c r="B77" s="10" t="s">
        <v>2166</v>
      </c>
      <c r="C77" s="9" t="s">
        <v>68</v>
      </c>
      <c r="D77" s="9" t="n">
        <f aca="false">D74-D75</f>
        <v>10.456</v>
      </c>
      <c r="E77" s="9" t="n">
        <f aca="false">E74-E75</f>
        <v>27.3630251439569</v>
      </c>
      <c r="F77" s="9" t="n">
        <f aca="false">F74-F75</f>
        <v>43.8365225906617</v>
      </c>
      <c r="G77" s="9" t="n">
        <f aca="false">G74-G75</f>
        <v>62.7392712020847</v>
      </c>
      <c r="H77" s="9" t="n">
        <f aca="false">H74-H75</f>
        <v>97.6120791148627</v>
      </c>
      <c r="I77" s="9" t="n">
        <f aca="false">I74-I75</f>
        <v>126.38309270298</v>
      </c>
      <c r="Q77" s="2" t="s">
        <v>2167</v>
      </c>
    </row>
    <row r="78" customFormat="false" ht="15" hidden="false" customHeight="false" outlineLevel="0" collapsed="false">
      <c r="A78" s="9" t="s">
        <v>2168</v>
      </c>
      <c r="B78" s="10" t="s">
        <v>2169</v>
      </c>
      <c r="C78" s="9" t="s">
        <v>68</v>
      </c>
      <c r="D78" s="9" t="n">
        <f aca="false">D38-D74</f>
        <v>0</v>
      </c>
      <c r="E78" s="9" t="n">
        <f aca="false">E38-E74</f>
        <v>0</v>
      </c>
      <c r="F78" s="9" t="n">
        <f aca="false">F38-F74</f>
        <v>0</v>
      </c>
      <c r="G78" s="9" t="n">
        <f aca="false">G38-G74</f>
        <v>0</v>
      </c>
      <c r="H78" s="9" t="n">
        <f aca="false">H38-H74</f>
        <v>0</v>
      </c>
      <c r="I78" s="9" t="n">
        <f aca="false">I38-I74</f>
        <v>0</v>
      </c>
      <c r="Q78" s="2"/>
    </row>
    <row r="79" customFormat="false" ht="15" hidden="false" customHeight="false" outlineLevel="0" collapsed="false">
      <c r="A79" s="9" t="s">
        <v>2170</v>
      </c>
      <c r="B79" s="10" t="s">
        <v>2171</v>
      </c>
      <c r="C79" s="10" t="s">
        <v>2172</v>
      </c>
      <c r="D79" s="13" t="n">
        <f aca="false">Compute!D94</f>
        <v>0</v>
      </c>
      <c r="E79" s="13" t="n">
        <f aca="false">Compute!E94</f>
        <v>0</v>
      </c>
      <c r="F79" s="13" t="n">
        <f aca="false">Compute!F94</f>
        <v>0</v>
      </c>
      <c r="G79" s="13" t="n">
        <f aca="false">Compute!G94</f>
        <v>0</v>
      </c>
      <c r="H79" s="13" t="n">
        <f aca="false">Compute!H94</f>
        <v>0</v>
      </c>
      <c r="I79" s="13" t="n">
        <f aca="false">Compute!I94</f>
        <v>0</v>
      </c>
      <c r="Q79" s="12" t="s">
        <v>2173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2174</v>
      </c>
    </row>
    <row r="2" customFormat="false" ht="15" hidden="false" customHeight="false" outlineLevel="0" collapsed="false">
      <c r="A2" s="12" t="s">
        <v>2175</v>
      </c>
    </row>
    <row r="3" customFormat="false" ht="15" hidden="false" customHeight="false" outlineLevel="0" collapsed="false">
      <c r="A3" s="12" t="s">
        <v>2176</v>
      </c>
    </row>
    <row r="5" customFormat="false" ht="15" hidden="false" customHeight="false" outlineLevel="0" collapsed="false">
      <c r="A5" s="8" t="s">
        <v>1793</v>
      </c>
      <c r="B5" s="8" t="s">
        <v>1794</v>
      </c>
      <c r="C5" s="8" t="s">
        <v>46</v>
      </c>
      <c r="D5" s="7" t="s">
        <v>411</v>
      </c>
      <c r="E5" s="7" t="s">
        <v>423</v>
      </c>
      <c r="F5" s="7" t="s">
        <v>1170</v>
      </c>
      <c r="G5" s="7" t="s">
        <v>1172</v>
      </c>
      <c r="H5" s="7" t="s">
        <v>1174</v>
      </c>
      <c r="I5" s="7" t="s">
        <v>1176</v>
      </c>
      <c r="J5" s="8"/>
      <c r="K5" s="8"/>
      <c r="L5" s="8"/>
      <c r="M5" s="8"/>
      <c r="N5" s="8"/>
      <c r="O5" s="8"/>
      <c r="P5" s="8"/>
      <c r="Q5" s="8" t="s">
        <v>777</v>
      </c>
    </row>
    <row r="6" customFormat="false" ht="15" hidden="false" customHeight="false" outlineLevel="0" collapsed="false">
      <c r="B6" s="3" t="s">
        <v>1876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2177</v>
      </c>
    </row>
    <row r="8" customFormat="false" ht="15" hidden="false" customHeight="false" outlineLevel="0" collapsed="false">
      <c r="A8" s="9" t="s">
        <v>2178</v>
      </c>
      <c r="B8" s="9" t="s">
        <v>2179</v>
      </c>
      <c r="C8" s="10" t="s">
        <v>193</v>
      </c>
      <c r="D8" s="9" t="s">
        <v>766</v>
      </c>
      <c r="E8" s="9" t="s">
        <v>767</v>
      </c>
      <c r="F8" s="9" t="s">
        <v>768</v>
      </c>
      <c r="G8" s="9" t="s">
        <v>769</v>
      </c>
      <c r="H8" s="9" t="s">
        <v>770</v>
      </c>
      <c r="I8" s="10" t="s">
        <v>2180</v>
      </c>
      <c r="Q8" s="12" t="s">
        <v>2181</v>
      </c>
    </row>
    <row r="9" customFormat="false" ht="15" hidden="false" customHeight="false" outlineLevel="0" collapsed="false">
      <c r="A9" s="9" t="s">
        <v>2182</v>
      </c>
      <c r="B9" s="9" t="s">
        <v>2183</v>
      </c>
      <c r="C9" s="10" t="s">
        <v>193</v>
      </c>
      <c r="D9" s="10" t="s">
        <v>773</v>
      </c>
      <c r="E9" s="10" t="s">
        <v>773</v>
      </c>
      <c r="F9" s="10" t="s">
        <v>773</v>
      </c>
      <c r="G9" s="10" t="s">
        <v>773</v>
      </c>
      <c r="H9" s="10" t="s">
        <v>773</v>
      </c>
      <c r="I9" s="9" t="s">
        <v>71</v>
      </c>
      <c r="Q9" s="2" t="s">
        <v>2184</v>
      </c>
    </row>
    <row r="10" customFormat="false" ht="15" hidden="false" customHeight="false" outlineLevel="0" collapsed="false">
      <c r="A10" s="9" t="s">
        <v>2185</v>
      </c>
      <c r="B10" s="10" t="s">
        <v>2186</v>
      </c>
      <c r="C10" s="9" t="s">
        <v>981</v>
      </c>
      <c r="D10" s="9" t="n">
        <f aca="false">SUMIFS(TK_IF_TokGW_Astra,TK_HdrGen,D$8,TK_HdrCost,D$9)</f>
        <v>3876518295.93805</v>
      </c>
      <c r="E10" s="9" t="n">
        <f aca="false">SUMIFS(TK_IF_TokGW_Astra,TK_HdrGen,E$8,TK_HdrCost,E$9)</f>
        <v>20041838664.2467</v>
      </c>
      <c r="F10" s="9" t="n">
        <f aca="false">SUMIFS(TK_IF_TokGW_Astra,TK_HdrGen,F$8,TK_HdrCost,F$9)</f>
        <v>24234237528.7831</v>
      </c>
      <c r="G10" s="9" t="n">
        <f aca="false">SUMIFS(TK_IF_TokGW_Astra,TK_HdrGen,G$8,TK_HdrCost,G$9)</f>
        <v>51167890551.5595</v>
      </c>
      <c r="H10" s="9" t="n">
        <f aca="false">SUMIFS(TK_IF_TokGW_Astra,TK_HdrGen,H$8,TK_HdrCost,H$9)</f>
        <v>74400955991.7707</v>
      </c>
      <c r="I10" s="9" t="n">
        <f aca="false">$G$10*INP_204</f>
        <v>30700734330.9357</v>
      </c>
      <c r="Q10" s="12" t="s">
        <v>2187</v>
      </c>
    </row>
    <row r="11" customFormat="false" ht="15" hidden="false" customHeight="false" outlineLevel="0" collapsed="false">
      <c r="A11" s="9" t="s">
        <v>2188</v>
      </c>
      <c r="B11" s="10" t="s">
        <v>2189</v>
      </c>
      <c r="C11" s="9" t="s">
        <v>981</v>
      </c>
      <c r="D11" s="9" t="n">
        <f aca="false">SUMIFS(TK_IF_TokGW_Sol,TK_HdrGen,D$8,TK_HdrCost,D$9)</f>
        <v>21490429685.4234</v>
      </c>
      <c r="E11" s="9" t="n">
        <f aca="false">SUMIFS(TK_IF_TokGW_Sol,TK_HdrGen,E$8,TK_HdrCost,E$9)</f>
        <v>104125401080.667</v>
      </c>
      <c r="F11" s="9" t="n">
        <f aca="false">SUMIFS(TK_IF_TokGW_Sol,TK_HdrGen,F$8,TK_HdrCost,F$9)</f>
        <v>151593674754.548</v>
      </c>
      <c r="G11" s="9" t="n">
        <f aca="false">SUMIFS(TK_IF_TokGW_Sol,TK_HdrGen,G$8,TK_HdrCost,G$9)</f>
        <v>237287338734.99</v>
      </c>
      <c r="H11" s="9" t="n">
        <f aca="false">SUMIFS(TK_IF_TokGW_Sol,TK_HdrGen,H$8,TK_HdrCost,H$9)</f>
        <v>326185670522.351</v>
      </c>
      <c r="I11" s="9" t="n">
        <f aca="false">$G$11*INP_204</f>
        <v>142372403240.994</v>
      </c>
      <c r="Q11" s="12" t="s">
        <v>2190</v>
      </c>
    </row>
    <row r="12" customFormat="false" ht="15" hidden="false" customHeight="false" outlineLevel="0" collapsed="false">
      <c r="A12" s="9" t="s">
        <v>2191</v>
      </c>
      <c r="B12" s="10" t="s">
        <v>2192</v>
      </c>
      <c r="C12" s="9" t="s">
        <v>981</v>
      </c>
      <c r="D12" s="9" t="n">
        <f aca="false">SUMIFS(TK_IF_TokGW_Luna,TK_HdrGen,D$8,TK_HdrCost,D$9)</f>
        <v>74067251304.9223</v>
      </c>
      <c r="E12" s="9" t="n">
        <f aca="false">SUMIFS(TK_IF_TokGW_Luna,TK_HdrGen,E$8,TK_HdrCost,E$9)</f>
        <v>362306894085.614</v>
      </c>
      <c r="F12" s="9" t="n">
        <f aca="false">SUMIFS(TK_IF_TokGW_Luna,TK_HdrGen,F$8,TK_HdrCost,F$9)</f>
        <v>527473919843.971</v>
      </c>
      <c r="G12" s="9" t="n">
        <f aca="false">SUMIFS(TK_IF_TokGW_Luna,TK_HdrGen,G$8,TK_HdrCost,G$9)</f>
        <v>772778400993.445</v>
      </c>
      <c r="H12" s="9" t="n">
        <f aca="false">SUMIFS(TK_IF_TokGW_Luna,TK_HdrGen,H$8,TK_HdrCost,H$9)</f>
        <v>1044373713057.39</v>
      </c>
      <c r="I12" s="9" t="n">
        <f aca="false">$G$12*INP_204</f>
        <v>463667040596.067</v>
      </c>
      <c r="Q12" s="12" t="s">
        <v>2193</v>
      </c>
    </row>
    <row r="13" customFormat="false" ht="15" hidden="false" customHeight="false" outlineLevel="0" collapsed="false">
      <c r="A13" s="9" t="s">
        <v>2194</v>
      </c>
      <c r="B13" s="9" t="s">
        <v>2195</v>
      </c>
      <c r="C13" s="10" t="s">
        <v>560</v>
      </c>
      <c r="D13" s="9" t="n">
        <f aca="false">D11/$G$11</f>
        <v>0.0905671149585634</v>
      </c>
      <c r="E13" s="9" t="n">
        <f aca="false">E11/$G$11</f>
        <v>0.438815663894135</v>
      </c>
      <c r="F13" s="9" t="n">
        <f aca="false">F11/$G$11</f>
        <v>0.638861203310357</v>
      </c>
      <c r="G13" s="9" t="n">
        <f aca="false">G11/$G$11</f>
        <v>1</v>
      </c>
      <c r="H13" s="9" t="n">
        <f aca="false">H11/$G$11</f>
        <v>1.37464422780115</v>
      </c>
      <c r="I13" s="9" t="n">
        <f aca="false">I11/$G$11</f>
        <v>0.6</v>
      </c>
      <c r="Q13" s="2" t="s">
        <v>2196</v>
      </c>
    </row>
    <row r="14" customFormat="false" ht="15" hidden="false" customHeight="false" outlineLevel="0" collapsed="false">
      <c r="A14" s="14" t="s">
        <v>2197</v>
      </c>
    </row>
    <row r="15" customFormat="false" ht="15" hidden="false" customHeight="false" outlineLevel="0" collapsed="false">
      <c r="A15" s="9" t="s">
        <v>2198</v>
      </c>
      <c r="B15" s="9" t="s">
        <v>2199</v>
      </c>
      <c r="C15" s="10" t="s">
        <v>120</v>
      </c>
      <c r="D15" s="9" t="n">
        <f aca="false">INP_205</f>
        <v>0.6</v>
      </c>
      <c r="E15" s="9" t="n">
        <f aca="false">INP_206</f>
        <v>0.35</v>
      </c>
      <c r="F15" s="9" t="n">
        <f aca="false">INP_207</f>
        <v>0.15</v>
      </c>
      <c r="G15" s="9" t="n">
        <f aca="false">INP_208</f>
        <v>0.05</v>
      </c>
      <c r="H15" s="9" t="n">
        <f aca="false">INP_209</f>
        <v>0</v>
      </c>
      <c r="I15" s="9" t="n">
        <f aca="false">INP_210</f>
        <v>0</v>
      </c>
      <c r="Q15" s="12" t="s">
        <v>2200</v>
      </c>
    </row>
    <row r="16" customFormat="false" ht="15" hidden="false" customHeight="false" outlineLevel="0" collapsed="false">
      <c r="A16" s="9" t="s">
        <v>2201</v>
      </c>
      <c r="B16" s="9" t="s">
        <v>2202</v>
      </c>
      <c r="C16" s="10" t="s">
        <v>120</v>
      </c>
      <c r="D16" s="9" t="n">
        <f aca="false">INP_211</f>
        <v>0.4</v>
      </c>
      <c r="E16" s="9" t="n">
        <f aca="false">INP_212</f>
        <v>0.55</v>
      </c>
      <c r="F16" s="9" t="n">
        <f aca="false">INP_213</f>
        <v>0.45</v>
      </c>
      <c r="G16" s="9" t="n">
        <f aca="false">INP_214</f>
        <v>0.3</v>
      </c>
      <c r="H16" s="9" t="n">
        <f aca="false">INP_215</f>
        <v>0.2</v>
      </c>
      <c r="I16" s="9" t="n">
        <f aca="false">INP_216</f>
        <v>0.1</v>
      </c>
      <c r="Q16" s="12" t="s">
        <v>2200</v>
      </c>
    </row>
    <row r="17" customFormat="false" ht="15" hidden="false" customHeight="false" outlineLevel="0" collapsed="false">
      <c r="A17" s="9" t="s">
        <v>2203</v>
      </c>
      <c r="B17" s="9" t="s">
        <v>1668</v>
      </c>
      <c r="C17" s="10" t="s">
        <v>120</v>
      </c>
      <c r="D17" s="9" t="n">
        <f aca="false">INP_256</f>
        <v>0</v>
      </c>
      <c r="E17" s="9" t="n">
        <f aca="false">INP_257</f>
        <v>0.5</v>
      </c>
      <c r="F17" s="9" t="n">
        <f aca="false">INP_257</f>
        <v>0.5</v>
      </c>
      <c r="G17" s="9" t="n">
        <f aca="false">INP_257</f>
        <v>0.5</v>
      </c>
      <c r="H17" s="9" t="n">
        <f aca="false">INP_257</f>
        <v>0.5</v>
      </c>
      <c r="I17" s="9" t="n">
        <f aca="false">INP_257</f>
        <v>0.5</v>
      </c>
      <c r="Q17" s="12" t="s">
        <v>2204</v>
      </c>
    </row>
    <row r="18" customFormat="false" ht="15" hidden="false" customHeight="false" outlineLevel="0" collapsed="false">
      <c r="A18" s="9" t="s">
        <v>2205</v>
      </c>
      <c r="B18" s="9" t="s">
        <v>2206</v>
      </c>
      <c r="C18" s="10" t="s">
        <v>120</v>
      </c>
      <c r="D18" s="9" t="n">
        <f aca="false">D16*(1-D17)</f>
        <v>0.4</v>
      </c>
      <c r="E18" s="9" t="n">
        <f aca="false">E16*(1-E17)</f>
        <v>0.275</v>
      </c>
      <c r="F18" s="9" t="n">
        <f aca="false">F16*(1-F17)</f>
        <v>0.225</v>
      </c>
      <c r="G18" s="9" t="n">
        <f aca="false">G16*(1-G17)</f>
        <v>0.15</v>
      </c>
      <c r="H18" s="9" t="n">
        <f aca="false">H16*(1-H17)</f>
        <v>0.1</v>
      </c>
      <c r="I18" s="9" t="n">
        <f aca="false">I16*(1-I17)</f>
        <v>0.05</v>
      </c>
      <c r="Q18" s="12" t="s">
        <v>2207</v>
      </c>
    </row>
    <row r="19" customFormat="false" ht="15" hidden="false" customHeight="false" outlineLevel="0" collapsed="false">
      <c r="A19" s="9" t="s">
        <v>2208</v>
      </c>
      <c r="B19" s="9" t="s">
        <v>2209</v>
      </c>
      <c r="C19" s="10" t="s">
        <v>120</v>
      </c>
      <c r="D19" s="9" t="n">
        <f aca="false">D16*D17</f>
        <v>0</v>
      </c>
      <c r="E19" s="9" t="n">
        <f aca="false">E16*E17</f>
        <v>0.275</v>
      </c>
      <c r="F19" s="9" t="n">
        <f aca="false">F16*F17</f>
        <v>0.225</v>
      </c>
      <c r="G19" s="9" t="n">
        <f aca="false">G16*G17</f>
        <v>0.15</v>
      </c>
      <c r="H19" s="9" t="n">
        <f aca="false">H16*H17</f>
        <v>0.1</v>
      </c>
      <c r="I19" s="9" t="n">
        <f aca="false">I16*I17</f>
        <v>0.05</v>
      </c>
      <c r="Q19" s="12" t="s">
        <v>2210</v>
      </c>
    </row>
    <row r="20" customFormat="false" ht="15" hidden="false" customHeight="false" outlineLevel="0" collapsed="false">
      <c r="A20" s="9" t="s">
        <v>2211</v>
      </c>
      <c r="B20" s="9" t="s">
        <v>2212</v>
      </c>
      <c r="C20" s="10" t="s">
        <v>120</v>
      </c>
      <c r="D20" s="9" t="n">
        <f aca="false">INP_217</f>
        <v>0</v>
      </c>
      <c r="E20" s="9" t="n">
        <f aca="false">INP_218</f>
        <v>0.05</v>
      </c>
      <c r="F20" s="9" t="n">
        <f aca="false">INP_219</f>
        <v>0.3</v>
      </c>
      <c r="G20" s="9" t="n">
        <f aca="false">INP_220</f>
        <v>0.45</v>
      </c>
      <c r="H20" s="9" t="n">
        <f aca="false">INP_221</f>
        <v>0.5</v>
      </c>
      <c r="I20" s="9" t="n">
        <f aca="false">INP_222</f>
        <v>0.45</v>
      </c>
      <c r="Q20" s="12" t="s">
        <v>2200</v>
      </c>
    </row>
    <row r="21" customFormat="false" ht="15" hidden="false" customHeight="false" outlineLevel="0" collapsed="false">
      <c r="A21" s="9" t="s">
        <v>2213</v>
      </c>
      <c r="B21" s="9" t="s">
        <v>2214</v>
      </c>
      <c r="C21" s="10" t="s">
        <v>120</v>
      </c>
      <c r="D21" s="9" t="n">
        <f aca="false">INP_223</f>
        <v>0</v>
      </c>
      <c r="E21" s="9" t="n">
        <f aca="false">INP_224</f>
        <v>0</v>
      </c>
      <c r="F21" s="9" t="n">
        <f aca="false">INP_225</f>
        <v>0</v>
      </c>
      <c r="G21" s="9" t="n">
        <f aca="false">INP_226</f>
        <v>0.05</v>
      </c>
      <c r="H21" s="9" t="n">
        <f aca="false">INP_227</f>
        <v>0.1</v>
      </c>
      <c r="I21" s="9" t="n">
        <f aca="false">INP_228</f>
        <v>0.2</v>
      </c>
      <c r="Q21" s="12" t="s">
        <v>2215</v>
      </c>
    </row>
    <row r="22" customFormat="false" ht="15" hidden="false" customHeight="false" outlineLevel="0" collapsed="false">
      <c r="A22" s="9" t="s">
        <v>2216</v>
      </c>
      <c r="B22" s="10" t="s">
        <v>2217</v>
      </c>
      <c r="C22" s="10" t="s">
        <v>120</v>
      </c>
      <c r="D22" s="9" t="n">
        <f aca="false">(1-D15-D16-D20-D21)</f>
        <v>0</v>
      </c>
      <c r="E22" s="9" t="n">
        <f aca="false">(1-E15-E16-E20-E21)</f>
        <v>0.05</v>
      </c>
      <c r="F22" s="9" t="n">
        <f aca="false">(1-F15-F16-F20-F21)</f>
        <v>0.1</v>
      </c>
      <c r="G22" s="9" t="n">
        <f aca="false">(1-G15-G16-G20-G21)</f>
        <v>0.15</v>
      </c>
      <c r="H22" s="9" t="n">
        <f aca="false">(1-H15-H16-H20-H21)</f>
        <v>0.2</v>
      </c>
      <c r="I22" s="9" t="n">
        <f aca="false">(1-I15-I16-I20-I21)</f>
        <v>0.25</v>
      </c>
      <c r="Q22" s="2" t="s">
        <v>2218</v>
      </c>
    </row>
    <row r="23" customFormat="false" ht="15" hidden="false" customHeight="false" outlineLevel="0" collapsed="false">
      <c r="A23" s="9" t="s">
        <v>2219</v>
      </c>
      <c r="B23" s="10" t="s">
        <v>2220</v>
      </c>
      <c r="C23" s="10" t="s">
        <v>120</v>
      </c>
      <c r="D23" s="9" t="n">
        <f aca="false">D15+D18+D19+D20+D21+D22</f>
        <v>1</v>
      </c>
      <c r="E23" s="9" t="n">
        <f aca="false">E15+E18+E19+E20+E21+E22</f>
        <v>1</v>
      </c>
      <c r="F23" s="9" t="n">
        <f aca="false">F15+F18+F19+F20+F21+F22</f>
        <v>1</v>
      </c>
      <c r="G23" s="9" t="n">
        <f aca="false">G15+G18+G19+G20+G21+G22</f>
        <v>1</v>
      </c>
      <c r="H23" s="9" t="n">
        <f aca="false">H15+H18+H19+H20+H21+H22</f>
        <v>1</v>
      </c>
      <c r="I23" s="9" t="n">
        <f aca="false">I15+I18+I19+I20+I21+I22</f>
        <v>1</v>
      </c>
      <c r="Q23" s="12" t="s">
        <v>2221</v>
      </c>
    </row>
    <row r="24" customFormat="false" ht="15" hidden="false" customHeight="false" outlineLevel="0" collapsed="false">
      <c r="A24" s="14" t="s">
        <v>2222</v>
      </c>
    </row>
    <row r="25" customFormat="false" ht="15" hidden="false" customHeight="false" outlineLevel="0" collapsed="false">
      <c r="A25" s="9" t="s">
        <v>2223</v>
      </c>
      <c r="B25" s="10" t="s">
        <v>2224</v>
      </c>
      <c r="C25" s="10" t="s">
        <v>120</v>
      </c>
      <c r="D25" s="13" t="n">
        <f aca="false">Demand!D46/Demand!D50</f>
        <v>0.318929252222354</v>
      </c>
      <c r="E25" s="13" t="n">
        <f aca="false">Demand!E46/Demand!E50</f>
        <v>0.126108450327373</v>
      </c>
      <c r="F25" s="13" t="n">
        <f aca="false">Demand!F46/Demand!F50</f>
        <v>0.131491186941358</v>
      </c>
      <c r="G25" s="13" t="n">
        <f aca="false">Demand!G46/Demand!G50</f>
        <v>0.135959474492606</v>
      </c>
      <c r="H25" s="13" t="n">
        <f aca="false">Demand!H46/Demand!H50</f>
        <v>0.139519702183015</v>
      </c>
      <c r="I25" s="13" t="n">
        <f aca="false">Demand!I46/Demand!I50</f>
        <v>0.142103525313182</v>
      </c>
      <c r="Q25" s="12" t="s">
        <v>2225</v>
      </c>
    </row>
    <row r="26" customFormat="false" ht="15" hidden="false" customHeight="false" outlineLevel="0" collapsed="false">
      <c r="A26" s="9" t="s">
        <v>2226</v>
      </c>
      <c r="B26" s="10" t="s">
        <v>2227</v>
      </c>
      <c r="C26" s="10" t="s">
        <v>120</v>
      </c>
      <c r="D26" s="13" t="n">
        <f aca="false">Demand!D47/Demand!D50</f>
        <v>0.446688600088227</v>
      </c>
      <c r="E26" s="13" t="n">
        <f aca="false">Demand!E47/Demand!E50</f>
        <v>0.473435271419342</v>
      </c>
      <c r="F26" s="13" t="n">
        <f aca="false">Demand!F47/Demand!F50</f>
        <v>0.462842072105722</v>
      </c>
      <c r="G26" s="13" t="n">
        <f aca="false">Demand!G47/Demand!G50</f>
        <v>0.457149021745625</v>
      </c>
      <c r="H26" s="13" t="n">
        <f aca="false">Demand!H47/Demand!H50</f>
        <v>0.454481271004448</v>
      </c>
      <c r="I26" s="13" t="n">
        <f aca="false">Demand!I47/Demand!I50</f>
        <v>0.452694746249216</v>
      </c>
      <c r="Q26" s="12" t="s">
        <v>2228</v>
      </c>
    </row>
    <row r="27" customFormat="false" ht="15" hidden="false" customHeight="false" outlineLevel="0" collapsed="false">
      <c r="A27" s="9" t="s">
        <v>2229</v>
      </c>
      <c r="B27" s="10" t="s">
        <v>2230</v>
      </c>
      <c r="C27" s="10" t="s">
        <v>120</v>
      </c>
      <c r="D27" s="13" t="n">
        <f aca="false">Demand!D48/Demand!D50</f>
        <v>0.234382147689419</v>
      </c>
      <c r="E27" s="13" t="n">
        <f aca="false">Demand!E48/Demand!E50</f>
        <v>0.400456278253285</v>
      </c>
      <c r="F27" s="13" t="n">
        <f aca="false">Demand!F48/Demand!F50</f>
        <v>0.40566674095292</v>
      </c>
      <c r="G27" s="13" t="n">
        <f aca="false">Demand!G48/Demand!G50</f>
        <v>0.406891503761769</v>
      </c>
      <c r="H27" s="13" t="n">
        <f aca="false">Demand!H48/Demand!H50</f>
        <v>0.405999026812537</v>
      </c>
      <c r="I27" s="13" t="n">
        <f aca="false">Demand!I48/Demand!I50</f>
        <v>0.405201728437602</v>
      </c>
      <c r="Q27" s="12" t="s">
        <v>2231</v>
      </c>
    </row>
    <row r="28" customFormat="false" ht="15" hidden="false" customHeight="false" outlineLevel="0" collapsed="false">
      <c r="A28" s="9" t="s">
        <v>2232</v>
      </c>
      <c r="B28" s="10" t="s">
        <v>2233</v>
      </c>
      <c r="C28" s="10" t="s">
        <v>120</v>
      </c>
      <c r="D28" s="13" t="n">
        <f aca="false">Demand!D43/Demand!D49</f>
        <v>0</v>
      </c>
      <c r="E28" s="13" t="n">
        <f aca="false">Demand!E43/Demand!E49</f>
        <v>0</v>
      </c>
      <c r="F28" s="13" t="n">
        <f aca="false">Demand!F43/Demand!F49</f>
        <v>0</v>
      </c>
      <c r="G28" s="13" t="n">
        <f aca="false">Demand!G43/Demand!G49</f>
        <v>0</v>
      </c>
      <c r="H28" s="13" t="n">
        <f aca="false">Demand!H43/Demand!H49</f>
        <v>0</v>
      </c>
      <c r="I28" s="13" t="n">
        <f aca="false">Demand!I43/Demand!I49</f>
        <v>0</v>
      </c>
      <c r="Q28" s="12" t="s">
        <v>2234</v>
      </c>
    </row>
    <row r="29" customFormat="false" ht="15" hidden="false" customHeight="false" outlineLevel="0" collapsed="false">
      <c r="A29" s="9" t="s">
        <v>2235</v>
      </c>
      <c r="B29" s="10" t="s">
        <v>2236</v>
      </c>
      <c r="C29" s="10" t="s">
        <v>120</v>
      </c>
      <c r="D29" s="13" t="n">
        <f aca="false">Demand!D44/Demand!D49</f>
        <v>0.1</v>
      </c>
      <c r="E29" s="13" t="n">
        <f aca="false">Demand!E44/Demand!E49</f>
        <v>0.1</v>
      </c>
      <c r="F29" s="13" t="n">
        <f aca="false">Demand!F44/Demand!F49</f>
        <v>0.1</v>
      </c>
      <c r="G29" s="13" t="n">
        <f aca="false">Demand!G44/Demand!G49</f>
        <v>0.1</v>
      </c>
      <c r="H29" s="13" t="n">
        <f aca="false">Demand!H44/Demand!H49</f>
        <v>0.1</v>
      </c>
      <c r="I29" s="13" t="n">
        <f aca="false">Demand!I44/Demand!I49</f>
        <v>0.1</v>
      </c>
      <c r="Q29" s="12" t="s">
        <v>2237</v>
      </c>
    </row>
    <row r="30" customFormat="false" ht="15" hidden="false" customHeight="false" outlineLevel="0" collapsed="false">
      <c r="A30" s="9" t="s">
        <v>2238</v>
      </c>
      <c r="B30" s="10" t="s">
        <v>2239</v>
      </c>
      <c r="C30" s="10" t="s">
        <v>120</v>
      </c>
      <c r="D30" s="13" t="n">
        <f aca="false">Demand!D45/Demand!D49</f>
        <v>0.9</v>
      </c>
      <c r="E30" s="13" t="n">
        <f aca="false">Demand!E45/Demand!E49</f>
        <v>0.9</v>
      </c>
      <c r="F30" s="13" t="n">
        <f aca="false">Demand!F45/Demand!F49</f>
        <v>0.9</v>
      </c>
      <c r="G30" s="13" t="n">
        <f aca="false">Demand!G45/Demand!G49</f>
        <v>0.9</v>
      </c>
      <c r="H30" s="13" t="n">
        <f aca="false">Demand!H45/Demand!H49</f>
        <v>0.9</v>
      </c>
      <c r="I30" s="13" t="n">
        <f aca="false">Demand!I45/Demand!I49</f>
        <v>0.9</v>
      </c>
      <c r="Q30" s="12" t="s">
        <v>2240</v>
      </c>
    </row>
    <row r="31" customFormat="false" ht="15" hidden="false" customHeight="false" outlineLevel="0" collapsed="false">
      <c r="A31" s="14" t="s">
        <v>2241</v>
      </c>
    </row>
    <row r="32" customFormat="false" ht="15" hidden="false" customHeight="false" outlineLevel="0" collapsed="false">
      <c r="A32" s="9" t="s">
        <v>2242</v>
      </c>
      <c r="B32" s="10" t="s">
        <v>2243</v>
      </c>
      <c r="C32" s="9" t="s">
        <v>981</v>
      </c>
      <c r="D32" s="9" t="n">
        <f aca="false">TK_IF_Util/(D25/$D$10+D26/$D$11+D27/$D$12)</f>
        <v>5648547162.89886</v>
      </c>
      <c r="E32" s="9" t="n">
        <f aca="false">TK_IF_Util/(E25/$D$10+E26/$D$11+E27/$D$12)</f>
        <v>10005322995.9297</v>
      </c>
      <c r="F32" s="9" t="n">
        <f aca="false">TK_IF_Util/(F25/$D$10+F26/$D$11+F27/$D$12)</f>
        <v>9846711379.50311</v>
      </c>
      <c r="G32" s="9" t="n">
        <f aca="false">TK_IF_Util/(G25/$D$10+G26/$D$11+G27/$D$12)</f>
        <v>9702720083.91377</v>
      </c>
      <c r="H32" s="9" t="n">
        <f aca="false">TK_IF_Util/(H25/$D$10+H26/$D$11+H27/$D$12)</f>
        <v>9581518907.71395</v>
      </c>
      <c r="I32" s="9" t="n">
        <f aca="false">TK_IF_Util/(I25/$D$10+I26/$D$11+I27/$D$12)</f>
        <v>9494694285.68242</v>
      </c>
      <c r="Q32" s="12" t="s">
        <v>2244</v>
      </c>
    </row>
    <row r="33" customFormat="false" ht="15" hidden="false" customHeight="false" outlineLevel="0" collapsed="false">
      <c r="A33" s="9" t="s">
        <v>2245</v>
      </c>
      <c r="B33" s="10" t="s">
        <v>2246</v>
      </c>
      <c r="C33" s="9" t="s">
        <v>981</v>
      </c>
      <c r="D33" s="9" t="n">
        <f aca="false">TK_IF_Util/(D25/$E$10+D26/$E$11+D27/$E$12)</f>
        <v>28776979272.4541</v>
      </c>
      <c r="E33" s="9" t="n">
        <f aca="false">TK_IF_Util/(E25/$E$10+E26/$E$11+E27/$E$12)</f>
        <v>50233017940.7353</v>
      </c>
      <c r="F33" s="9" t="n">
        <f aca="false">TK_IF_Util/(F25/$E$10+F26/$E$11+F27/$E$12)</f>
        <v>49482265253.0946</v>
      </c>
      <c r="G33" s="9" t="n">
        <f aca="false">TK_IF_Util/(G25/$E$10+G26/$E$11+G27/$E$12)</f>
        <v>48791555407.4585</v>
      </c>
      <c r="H33" s="9" t="n">
        <f aca="false">TK_IF_Util/(H25/$E$10+H26/$E$11+H27/$E$12)</f>
        <v>48205293477.1052</v>
      </c>
      <c r="I33" s="9" t="n">
        <f aca="false">TK_IF_Util/(I25/$E$10+I26/$E$11+I27/$E$12)</f>
        <v>47784666057.4855</v>
      </c>
      <c r="Q33" s="12" t="s">
        <v>2244</v>
      </c>
    </row>
    <row r="34" customFormat="false" ht="15" hidden="false" customHeight="false" outlineLevel="0" collapsed="false">
      <c r="A34" s="9" t="s">
        <v>2247</v>
      </c>
      <c r="B34" s="10" t="s">
        <v>2248</v>
      </c>
      <c r="C34" s="9" t="s">
        <v>981</v>
      </c>
      <c r="D34" s="9" t="n">
        <f aca="false">TK_IF_Util/(D25/$F$10+D26/$F$11+D27/$F$12)</f>
        <v>36251056212.2056</v>
      </c>
      <c r="E34" s="9" t="n">
        <f aca="false">TK_IF_Util/(E25/$F$10+E26/$F$11+E27/$F$12)</f>
        <v>66035793705.9828</v>
      </c>
      <c r="F34" s="9" t="n">
        <f aca="false">TK_IF_Util/(F25/$F$10+F26/$F$11+F27/$F$12)</f>
        <v>64878235839.0971</v>
      </c>
      <c r="G34" s="9" t="n">
        <f aca="false">TK_IF_Util/(G25/$F$10+G26/$F$11+G27/$F$12)</f>
        <v>63848534022.8952</v>
      </c>
      <c r="H34" s="9" t="n">
        <f aca="false">TK_IF_Util/(H25/$F$10+H26/$F$11+H27/$F$12)</f>
        <v>62993058351.3086</v>
      </c>
      <c r="I34" s="9" t="n">
        <f aca="false">TK_IF_Util/(I25/$F$10+I26/$F$11+I27/$F$12)</f>
        <v>62381856352.0825</v>
      </c>
      <c r="Q34" s="12" t="s">
        <v>2244</v>
      </c>
    </row>
    <row r="35" customFormat="false" ht="15" hidden="false" customHeight="false" outlineLevel="0" collapsed="false">
      <c r="A35" s="9" t="s">
        <v>2249</v>
      </c>
      <c r="B35" s="10" t="s">
        <v>2250</v>
      </c>
      <c r="C35" s="9" t="s">
        <v>981</v>
      </c>
      <c r="D35" s="9" t="n">
        <f aca="false">TK_IF_Util/(D25/$G$10+D26/$G$11+D27/$G$12)</f>
        <v>71269287817.8142</v>
      </c>
      <c r="E35" s="9" t="n">
        <f aca="false">TK_IF_Util/(E25/$G$10+E26/$G$11+E27/$G$12)</f>
        <v>120530266516.208</v>
      </c>
      <c r="F35" s="9" t="n">
        <f aca="false">TK_IF_Util/(F25/$G$10+F26/$G$11+F27/$G$12)</f>
        <v>118922563946.261</v>
      </c>
      <c r="G35" s="9" t="n">
        <f aca="false">TK_IF_Util/(G25/$G$10+G26/$G$11+G27/$G$12)</f>
        <v>117411807743.699</v>
      </c>
      <c r="H35" s="9" t="n">
        <f aca="false">TK_IF_Util/(H25/$G$10+H26/$G$11+H27/$G$12)</f>
        <v>116112544907.619</v>
      </c>
      <c r="I35" s="9" t="n">
        <f aca="false">TK_IF_Util/(I25/$G$10+I26/$G$11+I27/$G$12)</f>
        <v>115177813871.239</v>
      </c>
      <c r="Q35" s="12" t="s">
        <v>2244</v>
      </c>
    </row>
    <row r="36" customFormat="false" ht="15" hidden="false" customHeight="false" outlineLevel="0" collapsed="false">
      <c r="A36" s="9" t="s">
        <v>2251</v>
      </c>
      <c r="B36" s="10" t="s">
        <v>2252</v>
      </c>
      <c r="C36" s="9" t="s">
        <v>981</v>
      </c>
      <c r="D36" s="9" t="n">
        <f aca="false">TK_IF_Util/(D25/$H$10+D26/$H$11+D27/$H$12)</f>
        <v>102032443123.226</v>
      </c>
      <c r="E36" s="9" t="n">
        <f aca="false">TK_IF_Util/(E25/$H$10+E26/$H$11+E27/$H$12)</f>
        <v>169978672243.505</v>
      </c>
      <c r="F36" s="9" t="n">
        <f aca="false">TK_IF_Util/(F25/$H$10+F26/$H$11+F27/$H$12)</f>
        <v>167845530186.896</v>
      </c>
      <c r="G36" s="9" t="n">
        <f aca="false">TK_IF_Util/(G25/$H$10+G26/$H$11+G27/$H$12)</f>
        <v>165814950449.179</v>
      </c>
      <c r="H36" s="9" t="n">
        <f aca="false">TK_IF_Util/(H25/$H$10+H26/$H$11+H27/$H$12)</f>
        <v>164054989072.551</v>
      </c>
      <c r="I36" s="9" t="n">
        <f aca="false">TK_IF_Util/(I25/$H$10+I26/$H$11+I27/$H$12)</f>
        <v>162786990946.932</v>
      </c>
      <c r="Q36" s="12" t="s">
        <v>2244</v>
      </c>
    </row>
    <row r="37" customFormat="false" ht="15" hidden="false" customHeight="false" outlineLevel="0" collapsed="false">
      <c r="A37" s="9" t="s">
        <v>2253</v>
      </c>
      <c r="B37" s="10" t="s">
        <v>2254</v>
      </c>
      <c r="C37" s="9" t="s">
        <v>981</v>
      </c>
      <c r="D37" s="9" t="n">
        <f aca="false">TK_IF_Util/(D25/$I$10+D26/$I$11+D27/$I$12)</f>
        <v>42761572690.6885</v>
      </c>
      <c r="E37" s="9" t="n">
        <f aca="false">TK_IF_Util/(E25/$I$10+E26/$I$11+E27/$I$12)</f>
        <v>72318159909.7249</v>
      </c>
      <c r="F37" s="9" t="n">
        <f aca="false">TK_IF_Util/(F25/$I$10+F26/$I$11+F27/$I$12)</f>
        <v>71353538367.7566</v>
      </c>
      <c r="G37" s="9" t="n">
        <f aca="false">TK_IF_Util/(G25/$I$10+G26/$I$11+G27/$I$12)</f>
        <v>70447084646.2191</v>
      </c>
      <c r="H37" s="9" t="n">
        <f aca="false">TK_IF_Util/(H25/$I$10+H26/$I$11+H27/$I$12)</f>
        <v>69667526944.5714</v>
      </c>
      <c r="I37" s="9" t="n">
        <f aca="false">TK_IF_Util/(I25/$I$10+I26/$I$11+I27/$I$12)</f>
        <v>69106688322.7436</v>
      </c>
      <c r="Q37" s="12" t="s">
        <v>2244</v>
      </c>
    </row>
    <row r="38" customFormat="false" ht="15" hidden="false" customHeight="false" outlineLevel="0" collapsed="false">
      <c r="A38" s="9" t="s">
        <v>2255</v>
      </c>
      <c r="B38" s="10" t="s">
        <v>2256</v>
      </c>
      <c r="C38" s="9" t="s">
        <v>981</v>
      </c>
      <c r="D38" s="9" t="n">
        <f aca="false">D15*D32+D18*D33+D19*D34+D20*D35+D21*D36+D22*D37</f>
        <v>14899920006.721</v>
      </c>
      <c r="E38" s="9" t="n">
        <f aca="false">E15*E32+E18*E33+E19*E34+E20*E35+E21*E36+E22*E37</f>
        <v>45118207572.7195</v>
      </c>
      <c r="F38" s="9" t="n">
        <f aca="false">F15*F32+F18*F33+F19*F34+F20*F35+F21*F36+F22*F37</f>
        <v>70020242473.3225</v>
      </c>
      <c r="G38" s="9" t="n">
        <f aca="false">G15*G32+G18*G33+G19*G34+G20*G35+G21*G36+G22*G37</f>
        <v>89074273122.8049</v>
      </c>
      <c r="H38" s="9" t="n">
        <f aca="false">H15*H32+H18*H33+H19*H34+H20*H35+H21*H36+H22*H37</f>
        <v>99515111932.8202</v>
      </c>
      <c r="I38" s="9" t="n">
        <f aca="false">I15*I32+I18*I33+I19*I34+I20*I35+I21*I36+I22*I37</f>
        <v>107172412632.608</v>
      </c>
      <c r="Q38" s="12" t="s">
        <v>2257</v>
      </c>
    </row>
    <row r="39" customFormat="false" ht="15" hidden="false" customHeight="false" outlineLevel="0" collapsed="false">
      <c r="A39" s="9" t="s">
        <v>2258</v>
      </c>
      <c r="B39" s="10" t="s">
        <v>2259</v>
      </c>
      <c r="C39" s="9" t="s">
        <v>981</v>
      </c>
      <c r="D39" s="9" t="n">
        <f aca="false">TK_IF_Util/(D28/$D$10+D29/$D$11+D30/$D$12)</f>
        <v>35705033654.1941</v>
      </c>
      <c r="E39" s="9" t="n">
        <f aca="false">TK_IF_Util/(E28/$D$10+E29/$D$11+E30/$D$12)</f>
        <v>35705033654.1941</v>
      </c>
      <c r="F39" s="9" t="n">
        <f aca="false">TK_IF_Util/(F28/$D$10+F29/$D$11+F30/$D$12)</f>
        <v>35705033654.1941</v>
      </c>
      <c r="G39" s="9" t="n">
        <f aca="false">TK_IF_Util/(G28/$D$10+G29/$D$11+G30/$D$12)</f>
        <v>35705033654.1941</v>
      </c>
      <c r="H39" s="9" t="n">
        <f aca="false">TK_IF_Util/(H28/$D$10+H29/$D$11+H30/$D$12)</f>
        <v>35705033654.1941</v>
      </c>
      <c r="I39" s="9" t="n">
        <f aca="false">TK_IF_Util/(I28/$D$10+I29/$D$11+I30/$D$12)</f>
        <v>35705033654.1941</v>
      </c>
      <c r="Q39" s="12" t="s">
        <v>2244</v>
      </c>
    </row>
    <row r="40" customFormat="false" ht="15" hidden="false" customHeight="false" outlineLevel="0" collapsed="false">
      <c r="A40" s="9" t="s">
        <v>2260</v>
      </c>
      <c r="B40" s="10" t="s">
        <v>2261</v>
      </c>
      <c r="C40" s="9" t="s">
        <v>981</v>
      </c>
      <c r="D40" s="9" t="n">
        <f aca="false">TK_IF_Util/(D28/$E$10+D29/$E$11+D30/$E$12)</f>
        <v>174192642344.908</v>
      </c>
      <c r="E40" s="9" t="n">
        <f aca="false">TK_IF_Util/(E28/$E$10+E29/$E$11+E30/$E$12)</f>
        <v>174192642344.908</v>
      </c>
      <c r="F40" s="9" t="n">
        <f aca="false">TK_IF_Util/(F28/$E$10+F29/$E$11+F30/$E$12)</f>
        <v>174192642344.908</v>
      </c>
      <c r="G40" s="9" t="n">
        <f aca="false">TK_IF_Util/(G28/$E$10+G29/$E$11+G30/$E$12)</f>
        <v>174192642344.908</v>
      </c>
      <c r="H40" s="9" t="n">
        <f aca="false">TK_IF_Util/(H28/$E$10+H29/$E$11+H30/$E$12)</f>
        <v>174192642344.908</v>
      </c>
      <c r="I40" s="9" t="n">
        <f aca="false">TK_IF_Util/(I28/$E$10+I29/$E$11+I30/$E$12)</f>
        <v>174192642344.908</v>
      </c>
      <c r="Q40" s="12" t="s">
        <v>2244</v>
      </c>
    </row>
    <row r="41" customFormat="false" ht="15" hidden="false" customHeight="false" outlineLevel="0" collapsed="false">
      <c r="A41" s="9" t="s">
        <v>2262</v>
      </c>
      <c r="B41" s="10" t="s">
        <v>2263</v>
      </c>
      <c r="C41" s="9" t="s">
        <v>981</v>
      </c>
      <c r="D41" s="9" t="n">
        <f aca="false">TK_IF_Util/(D28/$F$10+D29/$F$11+D30/$F$12)</f>
        <v>253602891265.81</v>
      </c>
      <c r="E41" s="9" t="n">
        <f aca="false">TK_IF_Util/(E28/$F$10+E29/$F$11+E30/$F$12)</f>
        <v>253602891265.81</v>
      </c>
      <c r="F41" s="9" t="n">
        <f aca="false">TK_IF_Util/(F28/$F$10+F29/$F$11+F30/$F$12)</f>
        <v>253602891265.81</v>
      </c>
      <c r="G41" s="9" t="n">
        <f aca="false">TK_IF_Util/(G28/$F$10+G29/$F$11+G30/$F$12)</f>
        <v>253602891265.81</v>
      </c>
      <c r="H41" s="9" t="n">
        <f aca="false">TK_IF_Util/(H28/$F$10+H29/$F$11+H30/$F$12)</f>
        <v>253602891265.81</v>
      </c>
      <c r="I41" s="9" t="n">
        <f aca="false">TK_IF_Util/(I28/$F$10+I29/$F$11+I30/$F$12)</f>
        <v>253602891265.81</v>
      </c>
      <c r="Q41" s="12" t="s">
        <v>2244</v>
      </c>
    </row>
    <row r="42" customFormat="false" ht="15" hidden="false" customHeight="false" outlineLevel="0" collapsed="false">
      <c r="A42" s="9" t="s">
        <v>2264</v>
      </c>
      <c r="B42" s="10" t="s">
        <v>2265</v>
      </c>
      <c r="C42" s="9" t="s">
        <v>981</v>
      </c>
      <c r="D42" s="9" t="n">
        <f aca="false">TK_IF_Util/(D28/$G$10+D29/$G$11+D30/$G$12)</f>
        <v>378296186837.881</v>
      </c>
      <c r="E42" s="9" t="n">
        <f aca="false">TK_IF_Util/(E28/$G$10+E29/$G$11+E30/$G$12)</f>
        <v>378296186837.881</v>
      </c>
      <c r="F42" s="9" t="n">
        <f aca="false">TK_IF_Util/(F28/$G$10+F29/$G$11+F30/$G$12)</f>
        <v>378296186837.881</v>
      </c>
      <c r="G42" s="9" t="n">
        <f aca="false">TK_IF_Util/(G28/$G$10+G29/$G$11+G30/$G$12)</f>
        <v>378296186837.881</v>
      </c>
      <c r="H42" s="9" t="n">
        <f aca="false">TK_IF_Util/(H28/$G$10+H29/$G$11+H30/$G$12)</f>
        <v>378296186837.881</v>
      </c>
      <c r="I42" s="9" t="n">
        <f aca="false">TK_IF_Util/(I28/$G$10+I29/$G$11+I30/$G$12)</f>
        <v>378296186837.881</v>
      </c>
      <c r="Q42" s="12" t="s">
        <v>2244</v>
      </c>
    </row>
    <row r="43" customFormat="false" ht="15" hidden="false" customHeight="false" outlineLevel="0" collapsed="false">
      <c r="A43" s="9" t="s">
        <v>2266</v>
      </c>
      <c r="B43" s="10" t="s">
        <v>2267</v>
      </c>
      <c r="C43" s="9" t="s">
        <v>981</v>
      </c>
      <c r="D43" s="9" t="n">
        <f aca="false">TK_IF_Util/(D28/$H$10+D29/$H$11+D30/$H$12)</f>
        <v>513551622847.546</v>
      </c>
      <c r="E43" s="9" t="n">
        <f aca="false">TK_IF_Util/(E28/$H$10+E29/$H$11+E30/$H$12)</f>
        <v>513551622847.546</v>
      </c>
      <c r="F43" s="9" t="n">
        <f aca="false">TK_IF_Util/(F28/$H$10+F29/$H$11+F30/$H$12)</f>
        <v>513551622847.546</v>
      </c>
      <c r="G43" s="9" t="n">
        <f aca="false">TK_IF_Util/(G28/$H$10+G29/$H$11+G30/$H$12)</f>
        <v>513551622847.546</v>
      </c>
      <c r="H43" s="9" t="n">
        <f aca="false">TK_IF_Util/(H28/$H$10+H29/$H$11+H30/$H$12)</f>
        <v>513551622847.546</v>
      </c>
      <c r="I43" s="9" t="n">
        <f aca="false">TK_IF_Util/(I28/$H$10+I29/$H$11+I30/$H$12)</f>
        <v>513551622847.546</v>
      </c>
      <c r="Q43" s="12" t="s">
        <v>2244</v>
      </c>
    </row>
    <row r="44" customFormat="false" ht="15" hidden="false" customHeight="false" outlineLevel="0" collapsed="false">
      <c r="A44" s="9" t="s">
        <v>2268</v>
      </c>
      <c r="B44" s="10" t="s">
        <v>2269</v>
      </c>
      <c r="C44" s="9" t="s">
        <v>981</v>
      </c>
      <c r="D44" s="9" t="n">
        <f aca="false">TK_IF_Util/(D28/$I$10+D29/$I$11+D30/$I$12)</f>
        <v>226977712102.729</v>
      </c>
      <c r="E44" s="9" t="n">
        <f aca="false">TK_IF_Util/(E28/$I$10+E29/$I$11+E30/$I$12)</f>
        <v>226977712102.729</v>
      </c>
      <c r="F44" s="9" t="n">
        <f aca="false">TK_IF_Util/(F28/$I$10+F29/$I$11+F30/$I$12)</f>
        <v>226977712102.729</v>
      </c>
      <c r="G44" s="9" t="n">
        <f aca="false">TK_IF_Util/(G28/$I$10+G29/$I$11+G30/$I$12)</f>
        <v>226977712102.729</v>
      </c>
      <c r="H44" s="9" t="n">
        <f aca="false">TK_IF_Util/(H28/$I$10+H29/$I$11+H30/$I$12)</f>
        <v>226977712102.729</v>
      </c>
      <c r="I44" s="9" t="n">
        <f aca="false">TK_IF_Util/(I28/$I$10+I29/$I$11+I30/$I$12)</f>
        <v>226977712102.729</v>
      </c>
      <c r="Q44" s="12" t="s">
        <v>2244</v>
      </c>
    </row>
    <row r="45" customFormat="false" ht="15" hidden="false" customHeight="false" outlineLevel="0" collapsed="false">
      <c r="A45" s="9" t="s">
        <v>2270</v>
      </c>
      <c r="B45" s="10" t="s">
        <v>2271</v>
      </c>
      <c r="C45" s="9" t="s">
        <v>981</v>
      </c>
      <c r="D45" s="9" t="n">
        <f aca="false">D15*D39+D18*D40+D19*D41+D20*D42+D21*D43+D22*D44</f>
        <v>91100077130.4795</v>
      </c>
      <c r="E45" s="9" t="n">
        <f aca="false">E15*E39+E18*E40+E19*E41+E20*E42+E21*E43+E22*E44</f>
        <v>160404228468.946</v>
      </c>
      <c r="F45" s="9" t="n">
        <f aca="false">F15*F39+F18*F40+F19*F41+F20*F42+F21*F43+F22*F44</f>
        <v>237796377372.178</v>
      </c>
      <c r="G45" s="9" t="n">
        <f aca="false">G15*G39+G18*G40+G19*G41+G20*G42+G21*G43+G22*G44</f>
        <v>295912103759.15</v>
      </c>
      <c r="H45" s="9" t="n">
        <f aca="false">H15*H39+H18*H40+H19*H41+H20*H42+H21*H43+H22*H44</f>
        <v>328678351485.313</v>
      </c>
      <c r="I45" s="9" t="n">
        <f aca="false">I15*I39+I18*I40+I19*I41+I20*I42+I21*I43+I22*I44</f>
        <v>351077813352.774</v>
      </c>
      <c r="Q45" s="12" t="s">
        <v>2257</v>
      </c>
    </row>
    <row r="46" customFormat="false" ht="15" hidden="false" customHeight="false" outlineLevel="0" collapsed="false">
      <c r="A46" s="14" t="s">
        <v>2272</v>
      </c>
    </row>
    <row r="47" customFormat="false" ht="15" hidden="false" customHeight="false" outlineLevel="0" collapsed="false">
      <c r="A47" s="9" t="s">
        <v>2273</v>
      </c>
      <c r="B47" s="10" t="s">
        <v>2274</v>
      </c>
      <c r="C47" s="9" t="s">
        <v>798</v>
      </c>
      <c r="D47" s="13" t="n">
        <f aca="false">Demand!D50*INP_254</f>
        <v>2793460109.94171</v>
      </c>
      <c r="E47" s="13" t="n">
        <f aca="false">Demand!E50*INP_254</f>
        <v>8285567819.37762</v>
      </c>
      <c r="F47" s="13" t="n">
        <f aca="false">Demand!F50*INP_254</f>
        <v>19562672071.542</v>
      </c>
      <c r="G47" s="13" t="n">
        <f aca="false">Demand!G50*INP_254</f>
        <v>42758688093.7428</v>
      </c>
      <c r="H47" s="13" t="n">
        <f aca="false">Demand!H50*INP_254</f>
        <v>86134488967.1973</v>
      </c>
      <c r="I47" s="13" t="n">
        <f aca="false">Demand!I50*INP_254</f>
        <v>165031693077.84</v>
      </c>
      <c r="Q47" s="12" t="s">
        <v>2275</v>
      </c>
    </row>
    <row r="48" customFormat="false" ht="15" hidden="false" customHeight="false" outlineLevel="0" collapsed="false">
      <c r="A48" s="9" t="s">
        <v>2276</v>
      </c>
      <c r="B48" s="10" t="s">
        <v>2277</v>
      </c>
      <c r="C48" s="9" t="s">
        <v>798</v>
      </c>
      <c r="D48" s="13" t="n">
        <f aca="false">Demand!D49*INP_254</f>
        <v>744600000</v>
      </c>
      <c r="E48" s="13" t="n">
        <f aca="false">Demand!E49*INP_254</f>
        <v>1733056500</v>
      </c>
      <c r="F48" s="13" t="n">
        <f aca="false">Demand!F49*INP_254</f>
        <v>2884626937.5</v>
      </c>
      <c r="G48" s="13" t="n">
        <f aca="false">Demand!G49*INP_254</f>
        <v>4378863691.125</v>
      </c>
      <c r="H48" s="13" t="n">
        <f aca="false">Demand!H49*INP_254</f>
        <v>6277830911.84288</v>
      </c>
      <c r="I48" s="13" t="n">
        <f aca="false">Demand!I49*INP_254</f>
        <v>8642172818.49429</v>
      </c>
      <c r="Q48" s="12" t="s">
        <v>2278</v>
      </c>
    </row>
    <row r="49" customFormat="false" ht="15" hidden="false" customHeight="false" outlineLevel="0" collapsed="false">
      <c r="A49" s="9" t="s">
        <v>2279</v>
      </c>
      <c r="B49" s="10" t="s">
        <v>2280</v>
      </c>
      <c r="C49" s="9" t="s">
        <v>375</v>
      </c>
      <c r="D49" s="9" t="n">
        <f aca="false">D47/D38</f>
        <v>0.187481550819176</v>
      </c>
      <c r="E49" s="9" t="n">
        <f aca="false">E47/E38</f>
        <v>0.183641333845617</v>
      </c>
      <c r="F49" s="9" t="n">
        <f aca="false">F47/F38</f>
        <v>0.279385951555299</v>
      </c>
      <c r="G49" s="9" t="n">
        <f aca="false">G47/G38</f>
        <v>0.480034095083687</v>
      </c>
      <c r="H49" s="9" t="n">
        <f aca="false">H47/H38</f>
        <v>0.865541798569691</v>
      </c>
      <c r="I49" s="9" t="n">
        <f aca="false">I47/I38</f>
        <v>1.53987102673125</v>
      </c>
      <c r="Q49" s="2"/>
    </row>
    <row r="50" customFormat="false" ht="15" hidden="false" customHeight="false" outlineLevel="0" collapsed="false">
      <c r="A50" s="9" t="s">
        <v>2281</v>
      </c>
      <c r="B50" s="10" t="s">
        <v>2282</v>
      </c>
      <c r="C50" s="9" t="s">
        <v>375</v>
      </c>
      <c r="D50" s="9" t="n">
        <f aca="false">D48/D45</f>
        <v>0.00817342886475865</v>
      </c>
      <c r="E50" s="9" t="n">
        <f aca="false">E48/E45</f>
        <v>0.0108043068224696</v>
      </c>
      <c r="F50" s="9" t="n">
        <f aca="false">F48/F45</f>
        <v>0.0121306597239925</v>
      </c>
      <c r="G50" s="9" t="n">
        <f aca="false">G48/G45</f>
        <v>0.014797852590339</v>
      </c>
      <c r="H50" s="9" t="n">
        <f aca="false">H48/H45</f>
        <v>0.0191002263564761</v>
      </c>
      <c r="I50" s="9" t="n">
        <f aca="false">I48/I45</f>
        <v>0.0246161178228895</v>
      </c>
      <c r="Q50" s="2"/>
    </row>
    <row r="51" customFormat="false" ht="15" hidden="false" customHeight="false" outlineLevel="0" collapsed="false">
      <c r="A51" s="9" t="s">
        <v>2283</v>
      </c>
      <c r="B51" s="10" t="s">
        <v>2284</v>
      </c>
      <c r="C51" s="9" t="s">
        <v>375</v>
      </c>
      <c r="D51" s="9" t="n">
        <f aca="false">D49+D50</f>
        <v>0.195654979683935</v>
      </c>
      <c r="E51" s="9" t="n">
        <f aca="false">E49+E50</f>
        <v>0.194445640668086</v>
      </c>
      <c r="F51" s="9" t="n">
        <f aca="false">F49+F50</f>
        <v>0.291516611279292</v>
      </c>
      <c r="G51" s="9" t="n">
        <f aca="false">G49+G50</f>
        <v>0.494831947674026</v>
      </c>
      <c r="H51" s="9" t="n">
        <f aca="false">H49+H50</f>
        <v>0.884642024926167</v>
      </c>
      <c r="I51" s="9" t="n">
        <f aca="false">I49+I50</f>
        <v>1.56448714455414</v>
      </c>
      <c r="Q51" s="2"/>
    </row>
    <row r="52" customFormat="false" ht="15" hidden="false" customHeight="false" outlineLevel="0" collapsed="false">
      <c r="A52" s="14" t="s">
        <v>2285</v>
      </c>
    </row>
    <row r="53" customFormat="false" ht="15" hidden="false" customHeight="false" outlineLevel="0" collapsed="false">
      <c r="A53" s="9" t="s">
        <v>2286</v>
      </c>
      <c r="B53" s="9" t="s">
        <v>2287</v>
      </c>
      <c r="C53" s="9" t="s">
        <v>68</v>
      </c>
      <c r="D53" s="9" t="n">
        <f aca="false">SRC_OAI_047</f>
        <v>8.4</v>
      </c>
      <c r="Q53" s="12" t="s">
        <v>2288</v>
      </c>
    </row>
    <row r="54" customFormat="false" ht="15" hidden="false" customHeight="false" outlineLevel="0" collapsed="false">
      <c r="A54" s="9" t="s">
        <v>2289</v>
      </c>
      <c r="B54" s="10" t="s">
        <v>2290</v>
      </c>
      <c r="C54" s="9" t="s">
        <v>1566</v>
      </c>
      <c r="D54" s="9" t="n">
        <f aca="false">INP_229</f>
        <v>12</v>
      </c>
      <c r="Q54" s="12" t="s">
        <v>2291</v>
      </c>
    </row>
    <row r="55" customFormat="false" ht="15" hidden="false" customHeight="false" outlineLevel="0" collapsed="false">
      <c r="A55" s="9" t="s">
        <v>2292</v>
      </c>
      <c r="B55" s="9" t="s">
        <v>2293</v>
      </c>
      <c r="C55" s="9" t="s">
        <v>375</v>
      </c>
      <c r="D55" s="9" t="n">
        <f aca="false">D53/D54</f>
        <v>0.7</v>
      </c>
      <c r="Q55" s="12" t="s">
        <v>2294</v>
      </c>
    </row>
    <row r="56" customFormat="false" ht="15" hidden="false" customHeight="false" outlineLevel="0" collapsed="false">
      <c r="A56" s="9" t="s">
        <v>2295</v>
      </c>
      <c r="B56" s="9" t="s">
        <v>2296</v>
      </c>
      <c r="C56" s="9" t="s">
        <v>375</v>
      </c>
      <c r="D56" s="9" t="n">
        <f aca="false">D51</f>
        <v>0.195654979683935</v>
      </c>
      <c r="Q56" s="2" t="s">
        <v>2297</v>
      </c>
    </row>
    <row r="57" customFormat="false" ht="15" hidden="false" customHeight="false" outlineLevel="0" collapsed="false">
      <c r="A57" s="9" t="s">
        <v>2298</v>
      </c>
      <c r="B57" s="9" t="s">
        <v>2299</v>
      </c>
      <c r="C57" s="10" t="s">
        <v>560</v>
      </c>
      <c r="D57" s="9" t="n">
        <f aca="false">D56/D55</f>
        <v>0.279507113834192</v>
      </c>
      <c r="Q57" s="12" t="s">
        <v>2300</v>
      </c>
    </row>
    <row r="58" customFormat="false" ht="15" hidden="false" customHeight="false" outlineLevel="0" collapsed="false">
      <c r="A58" s="9" t="s">
        <v>2301</v>
      </c>
      <c r="B58" s="9" t="s">
        <v>2302</v>
      </c>
      <c r="C58" s="10" t="s">
        <v>560</v>
      </c>
      <c r="D58" s="9" t="n">
        <f aca="false">$D$57+INP_258*(INP_259-$D$57)*MIN(INP_260-INP_002,D$6-INP_002)/(INP_260-INP_002)</f>
        <v>0.279507113834192</v>
      </c>
      <c r="E58" s="9" t="n">
        <f aca="false">$D$57+INP_258*(INP_259-$D$57)*MIN(INP_260-INP_002,E$6-INP_002)/(INP_260-INP_002)</f>
        <v>0.279507113834192</v>
      </c>
      <c r="F58" s="9" t="n">
        <f aca="false">$D$57+INP_258*(INP_259-$D$57)*MIN(INP_260-INP_002,F$6-INP_002)/(INP_260-INP_002)</f>
        <v>0.279507113834192</v>
      </c>
      <c r="G58" s="9" t="n">
        <f aca="false">$D$57+INP_258*(INP_259-$D$57)*MIN(INP_260-INP_002,G$6-INP_002)/(INP_260-INP_002)</f>
        <v>0.279507113834192</v>
      </c>
      <c r="H58" s="9" t="n">
        <f aca="false">$D$57+INP_258*(INP_259-$D$57)*MIN(INP_260-INP_002,H$6-INP_002)/(INP_260-INP_002)</f>
        <v>0.279507113834192</v>
      </c>
      <c r="I58" s="9" t="n">
        <f aca="false">$D$57+INP_258*(INP_259-$D$57)*MIN(INP_260-INP_002,I$6-INP_002)/(INP_260-INP_002)</f>
        <v>0.279507113834192</v>
      </c>
      <c r="Q58" s="2" t="s">
        <v>2303</v>
      </c>
    </row>
    <row r="59" customFormat="false" ht="15" hidden="false" customHeight="false" outlineLevel="0" collapsed="false">
      <c r="A59" s="9" t="s">
        <v>2304</v>
      </c>
      <c r="B59" s="10" t="s">
        <v>2305</v>
      </c>
      <c r="C59" s="9" t="s">
        <v>375</v>
      </c>
      <c r="D59" s="9" t="n">
        <f aca="false">D49/D58</f>
        <v>0.670757707191642</v>
      </c>
      <c r="E59" s="9" t="n">
        <f aca="false">E49/E58</f>
        <v>0.65701846127092</v>
      </c>
      <c r="F59" s="9" t="n">
        <f aca="false">F49/F58</f>
        <v>0.999566514507517</v>
      </c>
      <c r="G59" s="9" t="n">
        <f aca="false">G49/G58</f>
        <v>1.7174306889679</v>
      </c>
      <c r="H59" s="9" t="n">
        <f aca="false">H49/H58</f>
        <v>3.09667180450779</v>
      </c>
      <c r="I59" s="9" t="n">
        <f aca="false">I49/I58</f>
        <v>5.50923733427666</v>
      </c>
      <c r="Q59" s="12" t="s">
        <v>2306</v>
      </c>
    </row>
    <row r="60" customFormat="false" ht="15" hidden="false" customHeight="false" outlineLevel="0" collapsed="false">
      <c r="A60" s="9" t="s">
        <v>2307</v>
      </c>
      <c r="B60" s="10" t="s">
        <v>2308</v>
      </c>
      <c r="C60" s="9" t="s">
        <v>375</v>
      </c>
      <c r="D60" s="9" t="n">
        <f aca="false">D50/D58</f>
        <v>0.0292422928083585</v>
      </c>
      <c r="E60" s="9" t="n">
        <f aca="false">E50/E58</f>
        <v>0.0386548545196559</v>
      </c>
      <c r="F60" s="9" t="n">
        <f aca="false">F50/F58</f>
        <v>0.0434001824053344</v>
      </c>
      <c r="G60" s="9" t="n">
        <f aca="false">G50/G58</f>
        <v>0.0529426689265494</v>
      </c>
      <c r="H60" s="9" t="n">
        <f aca="false">H50/H58</f>
        <v>0.0683353854378341</v>
      </c>
      <c r="I60" s="9" t="n">
        <f aca="false">I50/I58</f>
        <v>0.0880697363484357</v>
      </c>
      <c r="Q60" s="12" t="s">
        <v>2306</v>
      </c>
    </row>
    <row r="61" customFormat="false" ht="15" hidden="false" customHeight="false" outlineLevel="0" collapsed="false">
      <c r="A61" s="9" t="s">
        <v>2309</v>
      </c>
      <c r="B61" s="10" t="s">
        <v>2310</v>
      </c>
      <c r="C61" s="9" t="s">
        <v>375</v>
      </c>
      <c r="D61" s="9" t="n">
        <f aca="false">D51/D58</f>
        <v>0.7</v>
      </c>
      <c r="E61" s="9" t="n">
        <f aca="false">E51/E58</f>
        <v>0.695673315790576</v>
      </c>
      <c r="F61" s="9" t="n">
        <f aca="false">F51/F58</f>
        <v>1.04296669691285</v>
      </c>
      <c r="G61" s="9" t="n">
        <f aca="false">G51/G58</f>
        <v>1.77037335789445</v>
      </c>
      <c r="H61" s="9" t="n">
        <f aca="false">H51/H58</f>
        <v>3.16500718994562</v>
      </c>
      <c r="I61" s="9" t="n">
        <f aca="false">I51/I58</f>
        <v>5.5973070706251</v>
      </c>
      <c r="Q61" s="12" t="s">
        <v>2311</v>
      </c>
    </row>
    <row r="62" customFormat="false" ht="15" hidden="false" customHeight="false" outlineLevel="0" collapsed="false">
      <c r="A62" s="14" t="s">
        <v>2312</v>
      </c>
    </row>
    <row r="63" customFormat="false" ht="15" hidden="false" customHeight="false" outlineLevel="0" collapsed="false">
      <c r="A63" s="9" t="s">
        <v>2313</v>
      </c>
      <c r="B63" s="9" t="s">
        <v>2314</v>
      </c>
      <c r="C63" s="9" t="s">
        <v>68</v>
      </c>
      <c r="D63" s="9" t="n">
        <f aca="false">SRC_OAI_047+SRC_OAI_098+INP_230</f>
        <v>20.4</v>
      </c>
      <c r="Q63" s="12" t="s">
        <v>2315</v>
      </c>
    </row>
    <row r="64" customFormat="false" ht="15" hidden="false" customHeight="false" outlineLevel="0" collapsed="false">
      <c r="A64" s="9" t="s">
        <v>2316</v>
      </c>
      <c r="B64" s="9" t="s">
        <v>2317</v>
      </c>
      <c r="C64" s="9" t="s">
        <v>375</v>
      </c>
      <c r="D64" s="9" t="n">
        <f aca="false">AVERAGE(SRC_OAI_089,SRC_OAI_090)</f>
        <v>1.25</v>
      </c>
      <c r="Q64" s="12" t="s">
        <v>2318</v>
      </c>
    </row>
    <row r="65" customFormat="false" ht="15" hidden="false" customHeight="false" outlineLevel="0" collapsed="false">
      <c r="A65" s="9" t="s">
        <v>2319</v>
      </c>
      <c r="B65" s="10" t="s">
        <v>2320</v>
      </c>
      <c r="C65" s="9" t="s">
        <v>1566</v>
      </c>
      <c r="D65" s="9" t="n">
        <f aca="false">D63/D64</f>
        <v>16.32</v>
      </c>
      <c r="Q65" s="12" t="s">
        <v>2321</v>
      </c>
    </row>
    <row r="66" customFormat="false" ht="15" hidden="false" customHeight="false" outlineLevel="0" collapsed="false">
      <c r="A66" s="9" t="s">
        <v>2322</v>
      </c>
      <c r="B66" s="10" t="s">
        <v>2323</v>
      </c>
      <c r="C66" s="9" t="s">
        <v>1566</v>
      </c>
      <c r="D66" s="9" t="n">
        <f aca="false">D65-INP_229</f>
        <v>4.32</v>
      </c>
      <c r="Q66" s="2"/>
    </row>
    <row r="67" customFormat="false" ht="15" hidden="false" customHeight="false" outlineLevel="0" collapsed="false">
      <c r="A67" s="9" t="s">
        <v>2324</v>
      </c>
      <c r="B67" s="10" t="s">
        <v>2325</v>
      </c>
      <c r="C67" s="10" t="s">
        <v>120</v>
      </c>
      <c r="D67" s="9" t="n">
        <f aca="false">D66/INP_229</f>
        <v>0.36</v>
      </c>
      <c r="Q67" s="12" t="s">
        <v>2326</v>
      </c>
    </row>
    <row r="68" customFormat="false" ht="15" hidden="false" customHeight="false" outlineLevel="0" collapsed="false">
      <c r="A68" s="9" t="s">
        <v>2327</v>
      </c>
      <c r="B68" s="10" t="s">
        <v>2328</v>
      </c>
      <c r="C68" s="10" t="s">
        <v>560</v>
      </c>
      <c r="D68" s="9" t="n">
        <f aca="false">D51/(D53/D65)</f>
        <v>0.380129674814501</v>
      </c>
      <c r="Q68" s="2" t="s">
        <v>2329</v>
      </c>
    </row>
    <row r="69" customFormat="false" ht="15" hidden="false" customHeight="false" outlineLevel="0" collapsed="false">
      <c r="A69" s="9" t="s">
        <v>2330</v>
      </c>
      <c r="B69" s="9" t="s">
        <v>2331</v>
      </c>
      <c r="C69" s="10" t="s">
        <v>560</v>
      </c>
      <c r="D69" s="9" t="n">
        <f aca="false">D68-D57</f>
        <v>0.100622560980309</v>
      </c>
      <c r="Q69" s="2"/>
    </row>
    <row r="70" customFormat="false" ht="15" hidden="false" customHeight="false" outlineLevel="0" collapsed="false">
      <c r="A70" s="14" t="s">
        <v>2332</v>
      </c>
    </row>
    <row r="71" customFormat="false" ht="15" hidden="false" customHeight="false" outlineLevel="0" collapsed="false">
      <c r="A71" s="9" t="s">
        <v>2333</v>
      </c>
      <c r="B71" s="9" t="s">
        <v>2334</v>
      </c>
      <c r="C71" s="9" t="s">
        <v>68</v>
      </c>
      <c r="D71" s="9" t="n">
        <f aca="false">SRC_OAI_098+INP_230</f>
        <v>12</v>
      </c>
      <c r="Q71" s="12" t="s">
        <v>2335</v>
      </c>
    </row>
    <row r="72" customFormat="false" ht="15" hidden="false" customHeight="false" outlineLevel="0" collapsed="false">
      <c r="A72" s="9" t="s">
        <v>2336</v>
      </c>
      <c r="B72" s="10" t="s">
        <v>2337</v>
      </c>
      <c r="C72" s="9" t="s">
        <v>375</v>
      </c>
      <c r="D72" s="9" t="n">
        <f aca="false">D71/INP_229</f>
        <v>1</v>
      </c>
      <c r="E72" s="9" t="n">
        <f aca="false">E87*(1-INP_232)-E92</f>
        <v>1.85511239849514</v>
      </c>
      <c r="F72" s="9" t="n">
        <f aca="false">F87*(1-INP_232)-F92</f>
        <v>7.36012555499933</v>
      </c>
      <c r="G72" s="9" t="n">
        <f aca="false">G87*(1-INP_232)-G92</f>
        <v>8.61410727188601</v>
      </c>
      <c r="H72" s="9" t="n">
        <f aca="false">H87*(1-INP_232)-H92</f>
        <v>9.46948457806583</v>
      </c>
      <c r="I72" s="9" t="n">
        <f aca="false">I87*(1-INP_232)-I92</f>
        <v>8.88381859598005</v>
      </c>
      <c r="Q72" s="12" t="s">
        <v>2338</v>
      </c>
    </row>
    <row r="73" customFormat="false" ht="15" hidden="false" customHeight="false" outlineLevel="0" collapsed="false">
      <c r="A73" s="9" t="s">
        <v>2339</v>
      </c>
      <c r="B73" s="10" t="s">
        <v>2340</v>
      </c>
      <c r="C73" s="9" t="s">
        <v>375</v>
      </c>
      <c r="D73" s="9" t="n">
        <f aca="false">D61+D72</f>
        <v>1.7</v>
      </c>
      <c r="E73" s="9" t="n">
        <f aca="false">E61+E72</f>
        <v>2.55078571428571</v>
      </c>
      <c r="F73" s="9" t="n">
        <f aca="false">F61+F72</f>
        <v>8.40309225191219</v>
      </c>
      <c r="G73" s="9" t="n">
        <f aca="false">G61+G72</f>
        <v>10.3844806297805</v>
      </c>
      <c r="H73" s="9" t="n">
        <f aca="false">H61+H72</f>
        <v>12.6344917680114</v>
      </c>
      <c r="I73" s="9" t="n">
        <f aca="false">I61+I72</f>
        <v>14.4811256666051</v>
      </c>
      <c r="Q73" s="12" t="s">
        <v>2341</v>
      </c>
    </row>
    <row r="74" customFormat="false" ht="15" hidden="false" customHeight="false" outlineLevel="0" collapsed="false">
      <c r="A74" s="9" t="s">
        <v>2342</v>
      </c>
      <c r="B74" s="10" t="s">
        <v>2343</v>
      </c>
      <c r="C74" s="9" t="s">
        <v>375</v>
      </c>
      <c r="D74" s="9" t="n">
        <f aca="false">SRC_OAI_089</f>
        <v>0.6</v>
      </c>
      <c r="Q74" s="12" t="s">
        <v>2344</v>
      </c>
    </row>
    <row r="75" customFormat="false" ht="15" hidden="false" customHeight="false" outlineLevel="0" collapsed="false">
      <c r="A75" s="9" t="s">
        <v>2345</v>
      </c>
      <c r="B75" s="10" t="s">
        <v>2346</v>
      </c>
      <c r="C75" s="9" t="s">
        <v>375</v>
      </c>
      <c r="D75" s="9" t="n">
        <f aca="false">SRC_OAI_090</f>
        <v>1.9</v>
      </c>
      <c r="Q75" s="2" t="s">
        <v>2347</v>
      </c>
    </row>
    <row r="76" customFormat="false" ht="15" hidden="false" customHeight="false" outlineLevel="0" collapsed="false">
      <c r="A76" s="9" t="s">
        <v>2348</v>
      </c>
      <c r="B76" s="10" t="s">
        <v>2349</v>
      </c>
      <c r="C76" s="9" t="s">
        <v>375</v>
      </c>
      <c r="D76" s="9" t="n">
        <f aca="false">D73-D64</f>
        <v>0.45</v>
      </c>
      <c r="Q76" s="2" t="s">
        <v>2350</v>
      </c>
    </row>
    <row r="77" customFormat="false" ht="15" hidden="false" customHeight="false" outlineLevel="0" collapsed="false">
      <c r="A77" s="9" t="s">
        <v>2351</v>
      </c>
      <c r="B77" s="10" t="s">
        <v>2352</v>
      </c>
      <c r="C77" s="9" t="s">
        <v>375</v>
      </c>
      <c r="D77" s="9" t="n">
        <f aca="false">D73-D75</f>
        <v>-0.2</v>
      </c>
      <c r="Q77" s="2" t="s">
        <v>2350</v>
      </c>
    </row>
    <row r="78" customFormat="false" ht="15" hidden="false" customHeight="false" outlineLevel="0" collapsed="false">
      <c r="A78" s="14" t="s">
        <v>2353</v>
      </c>
    </row>
    <row r="79" customFormat="false" ht="15" hidden="false" customHeight="false" outlineLevel="0" collapsed="false">
      <c r="A79" s="9" t="s">
        <v>2354</v>
      </c>
      <c r="B79" s="10" t="s">
        <v>2355</v>
      </c>
      <c r="C79" s="9" t="s">
        <v>375</v>
      </c>
      <c r="D79" s="9" t="n">
        <f aca="false">(D$6&gt;=INP_182)*(D$6&lt;=INP_183)*IF(INP_181="even",SRC_OAI_057/(INP_183-INP_182+1),SRC_OAI_057*(D$6-INP_182+1)/((INP_183-INP_182+1)*((INP_183-INP_182+1)+1)/INP_261))/INP_229</f>
        <v>0.992063492063492</v>
      </c>
      <c r="E79" s="9" t="n">
        <f aca="false">(E$6&gt;=INP_182)*(E$6&lt;=INP_183)*IF(INP_181="even",SRC_OAI_057/(INP_183-INP_182+1),SRC_OAI_057*(E$6-INP_182+1)/((INP_183-INP_182+1)*((INP_183-INP_182+1)+1)/INP_261))/INP_229</f>
        <v>1.98412698412698</v>
      </c>
      <c r="F79" s="9" t="n">
        <f aca="false">(F$6&gt;=INP_182)*(F$6&lt;=INP_183)*IF(INP_181="even",SRC_OAI_057/(INP_183-INP_182+1),SRC_OAI_057*(F$6-INP_182+1)/((INP_183-INP_182+1)*((INP_183-INP_182+1)+1)/INP_261))/INP_229</f>
        <v>2.97619047619048</v>
      </c>
      <c r="G79" s="9" t="n">
        <f aca="false">(G$6&gt;=INP_182)*(G$6&lt;=INP_183)*IF(INP_181="even",SRC_OAI_057/(INP_183-INP_182+1),SRC_OAI_057*(G$6-INP_182+1)/((INP_183-INP_182+1)*((INP_183-INP_182+1)+1)/INP_261))/INP_229</f>
        <v>3.96825396825397</v>
      </c>
      <c r="H79" s="9" t="n">
        <f aca="false">(H$6&gt;=INP_182)*(H$6&lt;=INP_183)*IF(INP_181="even",SRC_OAI_057/(INP_183-INP_182+1),SRC_OAI_057*(H$6-INP_182+1)/((INP_183-INP_182+1)*((INP_183-INP_182+1)+1)/INP_261))/INP_229</f>
        <v>4.96031746031746</v>
      </c>
      <c r="I79" s="9" t="n">
        <f aca="false">(I$6&gt;=INP_182)*(I$6&lt;=INP_183)*IF(INP_181="even",SRC_OAI_057/(INP_183-INP_182+1),SRC_OAI_057*(I$6-INP_182+1)/((INP_183-INP_182+1)*((INP_183-INP_182+1)+1)/INP_261))/INP_229</f>
        <v>5.95238095238095</v>
      </c>
      <c r="Q79" s="2" t="s">
        <v>2356</v>
      </c>
    </row>
    <row r="80" customFormat="false" ht="15" hidden="false" customHeight="false" outlineLevel="0" collapsed="false">
      <c r="A80" s="9" t="s">
        <v>2357</v>
      </c>
      <c r="B80" s="10" t="s">
        <v>2358</v>
      </c>
      <c r="C80" s="9" t="s">
        <v>375</v>
      </c>
      <c r="D80" s="9" t="n">
        <f aca="false">(D$6&gt;=SRC_OAI_059)*(D$6&lt;=SRC_OAI_060)*SRC_OAI_061</f>
        <v>0</v>
      </c>
      <c r="E80" s="9" t="n">
        <f aca="false">(E$6&gt;=SRC_OAI_059)*(E$6&lt;=SRC_OAI_060)*SRC_OAI_061</f>
        <v>0</v>
      </c>
      <c r="F80" s="9" t="n">
        <f aca="false">(F$6&gt;=SRC_OAI_059)*(F$6&lt;=SRC_OAI_060)*SRC_OAI_061</f>
        <v>4.5</v>
      </c>
      <c r="G80" s="9" t="n">
        <f aca="false">(G$6&gt;=SRC_OAI_059)*(G$6&lt;=SRC_OAI_060)*SRC_OAI_061</f>
        <v>4.5</v>
      </c>
      <c r="H80" s="9" t="n">
        <f aca="false">(H$6&gt;=SRC_OAI_059)*(H$6&lt;=SRC_OAI_060)*SRC_OAI_061</f>
        <v>4.5</v>
      </c>
      <c r="I80" s="9" t="n">
        <f aca="false">(I$6&gt;=SRC_OAI_059)*(I$6&lt;=SRC_OAI_060)*SRC_OAI_061</f>
        <v>4.5</v>
      </c>
      <c r="Q80" s="2" t="s">
        <v>2359</v>
      </c>
    </row>
    <row r="81" customFormat="false" ht="15" hidden="false" customHeight="false" outlineLevel="0" collapsed="false">
      <c r="A81" s="9" t="s">
        <v>2360</v>
      </c>
      <c r="B81" s="10" t="s">
        <v>2361</v>
      </c>
      <c r="C81" s="9" t="s">
        <v>375</v>
      </c>
      <c r="D81" s="9" t="n">
        <f aca="false">(D$6&gt;=SRC_OAI_063)*(D$6&lt;=SRC_OAI_064)*IF(INP_181="even",SRC_OAI_062/(SRC_OAI_064-SRC_OAI_063+1),SRC_OAI_062*(D$6-SRC_OAI_063+1)/((SRC_OAI_064-SRC_OAI_063+1)*((SRC_OAI_064-SRC_OAI_063+1)+1)/INP_261))/INP_229</f>
        <v>0.113095238095238</v>
      </c>
      <c r="E81" s="9" t="n">
        <f aca="false">(E$6&gt;=SRC_OAI_063)*(E$6&lt;=SRC_OAI_064)*IF(INP_181="even",SRC_OAI_062/(SRC_OAI_064-SRC_OAI_063+1),SRC_OAI_062*(E$6-SRC_OAI_063+1)/((SRC_OAI_064-SRC_OAI_063+1)*((SRC_OAI_064-SRC_OAI_063+1)+1)/INP_261))/INP_229</f>
        <v>0.226190476190476</v>
      </c>
      <c r="F81" s="9" t="n">
        <f aca="false">(F$6&gt;=SRC_OAI_063)*(F$6&lt;=SRC_OAI_064)*IF(INP_181="even",SRC_OAI_062/(SRC_OAI_064-SRC_OAI_063+1),SRC_OAI_062*(F$6-SRC_OAI_063+1)/((SRC_OAI_064-SRC_OAI_063+1)*((SRC_OAI_064-SRC_OAI_063+1)+1)/INP_261))/INP_229</f>
        <v>0.339285714285714</v>
      </c>
      <c r="G81" s="9" t="n">
        <f aca="false">(G$6&gt;=SRC_OAI_063)*(G$6&lt;=SRC_OAI_064)*IF(INP_181="even",SRC_OAI_062/(SRC_OAI_064-SRC_OAI_063+1),SRC_OAI_062*(G$6-SRC_OAI_063+1)/((SRC_OAI_064-SRC_OAI_063+1)*((SRC_OAI_064-SRC_OAI_063+1)+1)/INP_261))/INP_229</f>
        <v>0.452380952380952</v>
      </c>
      <c r="H81" s="9" t="n">
        <f aca="false">(H$6&gt;=SRC_OAI_063)*(H$6&lt;=SRC_OAI_064)*IF(INP_181="even",SRC_OAI_062/(SRC_OAI_064-SRC_OAI_063+1),SRC_OAI_062*(H$6-SRC_OAI_063+1)/((SRC_OAI_064-SRC_OAI_063+1)*((SRC_OAI_064-SRC_OAI_063+1)+1)/INP_261))/INP_229</f>
        <v>0.565476190476191</v>
      </c>
      <c r="I81" s="9" t="n">
        <f aca="false">(I$6&gt;=SRC_OAI_063)*(I$6&lt;=SRC_OAI_064)*IF(INP_181="even",SRC_OAI_062/(SRC_OAI_064-SRC_OAI_063+1),SRC_OAI_062*(I$6-SRC_OAI_063+1)/((SRC_OAI_064-SRC_OAI_063+1)*((SRC_OAI_064-SRC_OAI_063+1)+1)/INP_261))/INP_229</f>
        <v>0.678571428571429</v>
      </c>
      <c r="Q81" s="2" t="s">
        <v>2362</v>
      </c>
    </row>
    <row r="82" customFormat="false" ht="15" hidden="false" customHeight="false" outlineLevel="0" collapsed="false">
      <c r="A82" s="9" t="s">
        <v>2363</v>
      </c>
      <c r="B82" s="10" t="s">
        <v>2364</v>
      </c>
      <c r="C82" s="9" t="s">
        <v>375</v>
      </c>
      <c r="D82" s="9" t="n">
        <f aca="false">(D$6&gt;=SRC_OAI_066)*(D$6&lt;=SRC_OAI_067)*IF(INP_181="even",INP_244,INP_244*(D$6-SRC_OAI_066+1)/(SRC_OAI_067-SRC_OAI_066+1))</f>
        <v>0</v>
      </c>
      <c r="E82" s="9" t="n">
        <f aca="false">(E$6&gt;=SRC_OAI_066)*(E$6&lt;=SRC_OAI_067)*IF(INP_181="even",INP_244,INP_244*(E$6-SRC_OAI_066+1)/(SRC_OAI_067-SRC_OAI_066+1))</f>
        <v>0.25</v>
      </c>
      <c r="F82" s="9" t="n">
        <f aca="false">(F$6&gt;=SRC_OAI_066)*(F$6&lt;=SRC_OAI_067)*IF(INP_181="even",INP_244,INP_244*(F$6-SRC_OAI_066+1)/(SRC_OAI_067-SRC_OAI_066+1))</f>
        <v>0.5</v>
      </c>
      <c r="G82" s="9" t="n">
        <f aca="false">(G$6&gt;=SRC_OAI_066)*(G$6&lt;=SRC_OAI_067)*IF(INP_181="even",INP_244,INP_244*(G$6-SRC_OAI_066+1)/(SRC_OAI_067-SRC_OAI_066+1))</f>
        <v>0.75</v>
      </c>
      <c r="H82" s="9" t="n">
        <f aca="false">(H$6&gt;=SRC_OAI_066)*(H$6&lt;=SRC_OAI_067)*IF(INP_181="even",INP_244,INP_244*(H$6-SRC_OAI_066+1)/(SRC_OAI_067-SRC_OAI_066+1))</f>
        <v>1</v>
      </c>
      <c r="I82" s="9" t="n">
        <f aca="false">(I$6&gt;=SRC_OAI_066)*(I$6&lt;=SRC_OAI_067)*IF(INP_181="even",INP_244,INP_244*(I$6-SRC_OAI_066+1)/(SRC_OAI_067-SRC_OAI_066+1))</f>
        <v>1.25</v>
      </c>
      <c r="Q82" s="2" t="s">
        <v>2365</v>
      </c>
    </row>
    <row r="83" customFormat="false" ht="15" hidden="false" customHeight="false" outlineLevel="0" collapsed="false">
      <c r="A83" s="9" t="s">
        <v>2366</v>
      </c>
      <c r="B83" s="10" t="s">
        <v>2367</v>
      </c>
      <c r="C83" s="9" t="s">
        <v>375</v>
      </c>
      <c r="D83" s="9" t="n">
        <f aca="false">(D$6&gt;=SRC_OAI_071)*(D$6&lt;=SRC_OAI_072)*IF(INP_181="even",SRC_OAI_070/(SRC_OAI_072-SRC_OAI_071+1),SRC_OAI_070*(D$6-SRC_OAI_071+1)/((SRC_OAI_072-SRC_OAI_071+1)*((SRC_OAI_072-SRC_OAI_071+1)+1)/INP_261))/INP_229</f>
        <v>0.124444444444444</v>
      </c>
      <c r="E83" s="9" t="n">
        <f aca="false">(E$6&gt;=SRC_OAI_071)*(E$6&lt;=SRC_OAI_072)*IF(INP_181="even",SRC_OAI_070/(SRC_OAI_072-SRC_OAI_071+1),SRC_OAI_070*(E$6-SRC_OAI_071+1)/((SRC_OAI_072-SRC_OAI_071+1)*((SRC_OAI_072-SRC_OAI_071+1)+1)/INP_261))/INP_229</f>
        <v>0.248888888888889</v>
      </c>
      <c r="F83" s="9" t="n">
        <f aca="false">(F$6&gt;=SRC_OAI_071)*(F$6&lt;=SRC_OAI_072)*IF(INP_181="even",SRC_OAI_070/(SRC_OAI_072-SRC_OAI_071+1),SRC_OAI_070*(F$6-SRC_OAI_071+1)/((SRC_OAI_072-SRC_OAI_071+1)*((SRC_OAI_072-SRC_OAI_071+1)+1)/INP_261))/INP_229</f>
        <v>0.373333333333333</v>
      </c>
      <c r="G83" s="9" t="n">
        <f aca="false">(G$6&gt;=SRC_OAI_071)*(G$6&lt;=SRC_OAI_072)*IF(INP_181="even",SRC_OAI_070/(SRC_OAI_072-SRC_OAI_071+1),SRC_OAI_070*(G$6-SRC_OAI_071+1)/((SRC_OAI_072-SRC_OAI_071+1)*((SRC_OAI_072-SRC_OAI_071+1)+1)/INP_261))/INP_229</f>
        <v>0.497777777777778</v>
      </c>
      <c r="H83" s="9" t="n">
        <f aca="false">(H$6&gt;=SRC_OAI_071)*(H$6&lt;=SRC_OAI_072)*IF(INP_181="even",SRC_OAI_070/(SRC_OAI_072-SRC_OAI_071+1),SRC_OAI_070*(H$6-SRC_OAI_071+1)/((SRC_OAI_072-SRC_OAI_071+1)*((SRC_OAI_072-SRC_OAI_071+1)+1)/INP_261))/INP_229</f>
        <v>0.622222222222222</v>
      </c>
      <c r="I83" s="9" t="n">
        <f aca="false">(I$6&gt;=SRC_OAI_071)*(I$6&lt;=SRC_OAI_072)*IF(INP_181="even",SRC_OAI_070/(SRC_OAI_072-SRC_OAI_071+1),SRC_OAI_070*(I$6-SRC_OAI_071+1)/((SRC_OAI_072-SRC_OAI_071+1)*((SRC_OAI_072-SRC_OAI_071+1)+1)/INP_261))/INP_229</f>
        <v>0</v>
      </c>
      <c r="Q83" s="2" t="s">
        <v>2362</v>
      </c>
    </row>
    <row r="84" customFormat="false" ht="15" hidden="false" customHeight="false" outlineLevel="0" collapsed="false">
      <c r="A84" s="9" t="s">
        <v>2368</v>
      </c>
      <c r="B84" s="10" t="s">
        <v>2369</v>
      </c>
      <c r="C84" s="9" t="s">
        <v>375</v>
      </c>
      <c r="D84" s="9" t="n">
        <f aca="false">(D$6&gt;=SRC_OAI_074)*(D$6&lt;=INP_185)*IF(INP_181="even",SRC_OAI_075,SRC_OAI_075*(D$6-SRC_OAI_074+1)/(INP_185-SRC_OAI_074+1))</f>
        <v>0</v>
      </c>
      <c r="E84" s="9" t="n">
        <f aca="false">(E$6&gt;=SRC_OAI_074)*(E$6&lt;=INP_185)*IF(INP_181="even",SRC_OAI_075,SRC_OAI_075*(E$6-SRC_OAI_074+1)/(INP_185-SRC_OAI_074+1))</f>
        <v>0.125</v>
      </c>
      <c r="F84" s="9" t="n">
        <f aca="false">(F$6&gt;=SRC_OAI_074)*(F$6&lt;=INP_185)*IF(INP_181="even",SRC_OAI_075,SRC_OAI_075*(F$6-SRC_OAI_074+1)/(INP_185-SRC_OAI_074+1))</f>
        <v>0.25</v>
      </c>
      <c r="G84" s="9" t="n">
        <f aca="false">(G$6&gt;=SRC_OAI_074)*(G$6&lt;=INP_185)*IF(INP_181="even",SRC_OAI_075,SRC_OAI_075*(G$6-SRC_OAI_074+1)/(INP_185-SRC_OAI_074+1))</f>
        <v>0.375</v>
      </c>
      <c r="H84" s="9" t="n">
        <f aca="false">(H$6&gt;=SRC_OAI_074)*(H$6&lt;=INP_185)*IF(INP_181="even",SRC_OAI_075,SRC_OAI_075*(H$6-SRC_OAI_074+1)/(INP_185-SRC_OAI_074+1))</f>
        <v>0.5</v>
      </c>
      <c r="I84" s="9" t="n">
        <f aca="false">(I$6&gt;=SRC_OAI_074)*(I$6&lt;=INP_185)*IF(INP_181="even",SRC_OAI_075,SRC_OAI_075*(I$6-SRC_OAI_074+1)/(INP_185-SRC_OAI_074+1))</f>
        <v>0.625</v>
      </c>
      <c r="Q84" s="2" t="s">
        <v>2370</v>
      </c>
    </row>
    <row r="85" customFormat="false" ht="15" hidden="false" customHeight="false" outlineLevel="0" collapsed="false">
      <c r="A85" s="9" t="s">
        <v>2371</v>
      </c>
      <c r="B85" s="10" t="s">
        <v>2372</v>
      </c>
      <c r="C85" s="9" t="s">
        <v>375</v>
      </c>
      <c r="D85" s="9" t="n">
        <f aca="false">D80+D82+D84</f>
        <v>0</v>
      </c>
      <c r="E85" s="9" t="n">
        <f aca="false">E80+E82+E84</f>
        <v>0.375</v>
      </c>
      <c r="F85" s="9" t="n">
        <f aca="false">F80+F82+F84</f>
        <v>5.25</v>
      </c>
      <c r="G85" s="9" t="n">
        <f aca="false">G80+G82+G84</f>
        <v>5.625</v>
      </c>
      <c r="H85" s="9" t="n">
        <f aca="false">H80+H82+H84</f>
        <v>6</v>
      </c>
      <c r="I85" s="9" t="n">
        <f aca="false">I80+I82+I84</f>
        <v>6.375</v>
      </c>
      <c r="Q85" s="12" t="s">
        <v>2373</v>
      </c>
    </row>
    <row r="86" customFormat="false" ht="15" hidden="false" customHeight="false" outlineLevel="0" collapsed="false">
      <c r="A86" s="9" t="s">
        <v>2374</v>
      </c>
      <c r="B86" s="10" t="s">
        <v>2375</v>
      </c>
      <c r="C86" s="9" t="s">
        <v>375</v>
      </c>
      <c r="D86" s="9" t="n">
        <f aca="false">D79+D81+D83</f>
        <v>1.22960317460317</v>
      </c>
      <c r="E86" s="9" t="n">
        <f aca="false">E79+E81+E83</f>
        <v>2.45920634920635</v>
      </c>
      <c r="F86" s="9" t="n">
        <f aca="false">F79+F81+F83</f>
        <v>3.68880952380952</v>
      </c>
      <c r="G86" s="9" t="n">
        <f aca="false">G79+G81+G83</f>
        <v>4.9184126984127</v>
      </c>
      <c r="H86" s="9" t="n">
        <f aca="false">H79+H81+H83</f>
        <v>6.14801587301587</v>
      </c>
      <c r="I86" s="9" t="n">
        <f aca="false">I79+I81+I83</f>
        <v>6.63095238095238</v>
      </c>
      <c r="Q86" s="12" t="s">
        <v>2376</v>
      </c>
    </row>
    <row r="87" customFormat="false" ht="15" hidden="false" customHeight="false" outlineLevel="0" collapsed="false">
      <c r="A87" s="9" t="s">
        <v>2377</v>
      </c>
      <c r="B87" s="10" t="s">
        <v>2378</v>
      </c>
      <c r="C87" s="9" t="s">
        <v>375</v>
      </c>
      <c r="D87" s="9" t="n">
        <f aca="false">D85+D86+D156</f>
        <v>1.22960317460317</v>
      </c>
      <c r="E87" s="9" t="n">
        <f aca="false">E85+E86+E156</f>
        <v>2.83420634920635</v>
      </c>
      <c r="F87" s="9" t="n">
        <f aca="false">F85+F86+F156</f>
        <v>9.33676916879132</v>
      </c>
      <c r="G87" s="9" t="n">
        <f aca="false">G85+G86+G156</f>
        <v>11.5383118108672</v>
      </c>
      <c r="H87" s="9" t="n">
        <f aca="false">H85+H86+H156</f>
        <v>14.0383241866794</v>
      </c>
      <c r="I87" s="9" t="n">
        <f aca="false">I85+I86+I156</f>
        <v>16.0901396295613</v>
      </c>
      <c r="Q87" s="2" t="s">
        <v>2379</v>
      </c>
    </row>
    <row r="88" customFormat="false" ht="15" hidden="false" customHeight="false" outlineLevel="0" collapsed="false">
      <c r="A88" s="9" t="s">
        <v>2380</v>
      </c>
      <c r="B88" s="10" t="s">
        <v>2381</v>
      </c>
      <c r="C88" s="9" t="s">
        <v>375</v>
      </c>
      <c r="D88" s="9" t="n">
        <f aca="false">D64-D87</f>
        <v>0.0203968253968254</v>
      </c>
      <c r="Q88" s="2" t="s">
        <v>2350</v>
      </c>
    </row>
    <row r="89" customFormat="false" ht="15" hidden="false" customHeight="false" outlineLevel="0" collapsed="false">
      <c r="A89" s="14" t="s">
        <v>2382</v>
      </c>
    </row>
    <row r="90" customFormat="false" ht="15" hidden="false" customHeight="false" outlineLevel="0" collapsed="false">
      <c r="A90" s="9" t="s">
        <v>2383</v>
      </c>
      <c r="B90" s="10" t="s">
        <v>2384</v>
      </c>
      <c r="C90" s="9" t="s">
        <v>375</v>
      </c>
      <c r="D90" s="9" t="n">
        <f aca="false">D87*INP_232*(D$6&gt;INP_002)</f>
        <v>0</v>
      </c>
      <c r="E90" s="9" t="n">
        <f aca="false">E87*INP_232*(E$6&gt;INP_002)</f>
        <v>0.283420634920635</v>
      </c>
      <c r="F90" s="9" t="n">
        <f aca="false">F87*INP_232*(F$6&gt;INP_002)</f>
        <v>0.933676916879132</v>
      </c>
      <c r="G90" s="9" t="n">
        <f aca="false">G87*INP_232*(G$6&gt;INP_002)</f>
        <v>1.15383118108672</v>
      </c>
      <c r="H90" s="9" t="n">
        <f aca="false">H87*INP_232*(H$6&gt;INP_002)</f>
        <v>1.40383241866794</v>
      </c>
      <c r="I90" s="9" t="n">
        <f aca="false">I87*INP_232*(I$6&gt;INP_002)</f>
        <v>1.60901396295613</v>
      </c>
      <c r="Q90" s="12" t="s">
        <v>2385</v>
      </c>
    </row>
    <row r="91" customFormat="false" ht="15" hidden="false" customHeight="false" outlineLevel="0" collapsed="false">
      <c r="A91" s="9" t="s">
        <v>2386</v>
      </c>
      <c r="B91" s="10" t="s">
        <v>2387</v>
      </c>
      <c r="C91" s="9" t="s">
        <v>375</v>
      </c>
      <c r="D91" s="9" t="n">
        <f aca="false">D87*(1-INP_232)*(1-INP_233)</f>
        <v>0.77465</v>
      </c>
      <c r="E91" s="9" t="n">
        <f aca="false">E87*(1-INP_232)*(1-INP_233)</f>
        <v>1.78555</v>
      </c>
      <c r="F91" s="9" t="n">
        <f aca="false">F87*(1-INP_232)*(1-INP_233)</f>
        <v>5.88216457633853</v>
      </c>
      <c r="G91" s="9" t="n">
        <f aca="false">G87*(1-INP_232)*(1-INP_233)</f>
        <v>7.26913644084632</v>
      </c>
      <c r="H91" s="9" t="n">
        <f aca="false">H87*(1-INP_232)*(1-INP_233)</f>
        <v>8.84414423760801</v>
      </c>
      <c r="I91" s="9" t="n">
        <f aca="false">I87*(1-INP_232)*(1-INP_233)</f>
        <v>10.1367879666236</v>
      </c>
      <c r="Q91" s="12" t="s">
        <v>2388</v>
      </c>
    </row>
    <row r="92" customFormat="false" ht="15" hidden="false" customHeight="false" outlineLevel="0" collapsed="false">
      <c r="A92" s="9" t="s">
        <v>2389</v>
      </c>
      <c r="B92" s="10" t="s">
        <v>2390</v>
      </c>
      <c r="C92" s="9" t="s">
        <v>375</v>
      </c>
      <c r="D92" s="9" t="n">
        <f aca="false">IF(D$6&lt;=INP_002,D61,MIN(D91,D61))</f>
        <v>0.7</v>
      </c>
      <c r="E92" s="9" t="n">
        <f aca="false">IF(E$6&lt;=INP_002,E61,MIN(E91,E61))</f>
        <v>0.695673315790576</v>
      </c>
      <c r="F92" s="9" t="n">
        <f aca="false">IF(F$6&lt;=INP_002,F61,MIN(F91,F61))</f>
        <v>1.04296669691285</v>
      </c>
      <c r="G92" s="9" t="n">
        <f aca="false">IF(G$6&lt;=INP_002,G61,MIN(G91,G61))</f>
        <v>1.77037335789445</v>
      </c>
      <c r="H92" s="9" t="n">
        <f aca="false">IF(H$6&lt;=INP_002,H61,MIN(H91,H61))</f>
        <v>3.16500718994562</v>
      </c>
      <c r="I92" s="9" t="n">
        <f aca="false">IF(I$6&lt;=INP_002,I61,MIN(I91,I61))</f>
        <v>5.5973070706251</v>
      </c>
      <c r="Q92" s="2" t="s">
        <v>2391</v>
      </c>
    </row>
    <row r="93" customFormat="false" ht="15" hidden="false" customHeight="false" outlineLevel="0" collapsed="false">
      <c r="A93" s="9" t="s">
        <v>2392</v>
      </c>
      <c r="B93" s="10" t="s">
        <v>2393</v>
      </c>
      <c r="C93" s="10" t="s">
        <v>560</v>
      </c>
      <c r="D93" s="9" t="n">
        <f aca="false">D92/D61</f>
        <v>1</v>
      </c>
      <c r="E93" s="9" t="n">
        <f aca="false">E92/E61</f>
        <v>1</v>
      </c>
      <c r="F93" s="9" t="n">
        <f aca="false">F92/F61</f>
        <v>1</v>
      </c>
      <c r="G93" s="9" t="n">
        <f aca="false">G92/G61</f>
        <v>1</v>
      </c>
      <c r="H93" s="9" t="n">
        <f aca="false">H92/H61</f>
        <v>1</v>
      </c>
      <c r="I93" s="9" t="n">
        <f aca="false">I92/I61</f>
        <v>1</v>
      </c>
      <c r="Q93" s="2" t="s">
        <v>2394</v>
      </c>
    </row>
    <row r="94" customFormat="false" ht="15" hidden="false" customHeight="false" outlineLevel="0" collapsed="false">
      <c r="A94" s="9" t="s">
        <v>2395</v>
      </c>
      <c r="B94" s="10" t="s">
        <v>2396</v>
      </c>
      <c r="C94" s="10" t="s">
        <v>2172</v>
      </c>
      <c r="D94" s="9" t="n">
        <f aca="false">(D61&gt;D91)*(D$6&gt;INP_002)</f>
        <v>0</v>
      </c>
      <c r="E94" s="9" t="n">
        <f aca="false">(E61&gt;E91)*(E$6&gt;INP_002)</f>
        <v>0</v>
      </c>
      <c r="F94" s="9" t="n">
        <f aca="false">(F61&gt;F91)*(F$6&gt;INP_002)</f>
        <v>0</v>
      </c>
      <c r="G94" s="9" t="n">
        <f aca="false">(G61&gt;G91)*(G$6&gt;INP_002)</f>
        <v>0</v>
      </c>
      <c r="H94" s="9" t="n">
        <f aca="false">(H61&gt;H91)*(H$6&gt;INP_002)</f>
        <v>0</v>
      </c>
      <c r="I94" s="9" t="n">
        <f aca="false">(I61&gt;I91)*(I$6&gt;INP_002)</f>
        <v>0</v>
      </c>
      <c r="Q94" s="2" t="s">
        <v>2397</v>
      </c>
    </row>
    <row r="95" customFormat="false" ht="15" hidden="false" customHeight="false" outlineLevel="0" collapsed="false">
      <c r="A95" s="9" t="s">
        <v>2398</v>
      </c>
      <c r="B95" s="10" t="s">
        <v>2399</v>
      </c>
      <c r="C95" s="9" t="s">
        <v>375</v>
      </c>
      <c r="D95" s="9" t="n">
        <f aca="false">D61-D92</f>
        <v>0</v>
      </c>
      <c r="E95" s="9" t="n">
        <f aca="false">E61-E92</f>
        <v>0</v>
      </c>
      <c r="F95" s="9" t="n">
        <f aca="false">F61-F92</f>
        <v>0</v>
      </c>
      <c r="G95" s="9" t="n">
        <f aca="false">G61-G92</f>
        <v>0</v>
      </c>
      <c r="H95" s="9" t="n">
        <f aca="false">H61-H92</f>
        <v>0</v>
      </c>
      <c r="I95" s="9" t="n">
        <f aca="false">I61-I92</f>
        <v>0</v>
      </c>
      <c r="Q95" s="2"/>
    </row>
    <row r="96" customFormat="false" ht="15" hidden="false" customHeight="false" outlineLevel="0" collapsed="false">
      <c r="A96" s="9" t="s">
        <v>2400</v>
      </c>
      <c r="B96" s="10" t="s">
        <v>2401</v>
      </c>
      <c r="C96" s="9" t="s">
        <v>375</v>
      </c>
      <c r="D96" s="9" t="n">
        <f aca="false">D92+D72+D90-D87</f>
        <v>0.470396825396826</v>
      </c>
      <c r="E96" s="9" t="n">
        <f aca="false">E92+E72+E90-E87</f>
        <v>0</v>
      </c>
      <c r="F96" s="9" t="n">
        <f aca="false">F92+F72+F90-F87</f>
        <v>0</v>
      </c>
      <c r="G96" s="9" t="n">
        <f aca="false">G92+G72+G90-G87</f>
        <v>0</v>
      </c>
      <c r="H96" s="9" t="n">
        <f aca="false">H92+H72+H90-H87</f>
        <v>0</v>
      </c>
      <c r="I96" s="9" t="n">
        <f aca="false">I92+I72+I90-I87</f>
        <v>0</v>
      </c>
      <c r="Q96" s="12" t="s">
        <v>2402</v>
      </c>
    </row>
    <row r="97" customFormat="false" ht="15" hidden="false" customHeight="false" outlineLevel="0" collapsed="false">
      <c r="A97" s="14" t="s">
        <v>2403</v>
      </c>
    </row>
    <row r="98" customFormat="false" ht="15" hidden="false" customHeight="false" outlineLevel="0" collapsed="false">
      <c r="A98" s="9" t="s">
        <v>2404</v>
      </c>
      <c r="B98" s="10" t="s">
        <v>2405</v>
      </c>
      <c r="C98" s="10" t="s">
        <v>560</v>
      </c>
      <c r="D98" s="9" t="n">
        <f aca="false">D15*$D$13+D18*$E$13+D19*$F$13+D20*$G$13+D21*$H$13+D22*$I$13</f>
        <v>0.229866534532792</v>
      </c>
      <c r="E98" s="9" t="n">
        <f aca="false">E15*$D$13+E18*$E$13+E19*$F$13+E20*$G$13+E21*$H$13+E22*$I$13</f>
        <v>0.408059628716732</v>
      </c>
      <c r="F98" s="9" t="n">
        <f aca="false">F15*$D$13+F18*$E$13+F19*$F$13+F20*$G$13+F21*$H$13+F22*$I$13</f>
        <v>0.616062362364795</v>
      </c>
      <c r="G98" s="9" t="n">
        <f aca="false">G15*$D$13+G18*$E$13+G19*$F$13+G20*$G$13+G21*$H$13+G22*$I$13</f>
        <v>0.77491209721866</v>
      </c>
      <c r="H98" s="9" t="n">
        <f aca="false">H15*$D$13+H18*$E$13+H19*$F$13+H20*$G$13+H21*$H$13+H22*$I$13</f>
        <v>0.865232109500565</v>
      </c>
      <c r="I98" s="9" t="n">
        <f aca="false">I15*$D$13+I18*$E$13+I19*$F$13+I20*$G$13+I21*$H$13+I22*$I$13</f>
        <v>0.928812688920455</v>
      </c>
      <c r="Q98" s="2"/>
    </row>
    <row r="99" customFormat="false" ht="15" hidden="false" customHeight="false" outlineLevel="0" collapsed="false">
      <c r="A99" s="9" t="s">
        <v>2406</v>
      </c>
      <c r="B99" s="10" t="s">
        <v>2407</v>
      </c>
      <c r="C99" s="9" t="s">
        <v>375</v>
      </c>
      <c r="D99" s="9" t="n">
        <f aca="false">D87*D98</f>
        <v>0.282644620596551</v>
      </c>
      <c r="E99" s="9" t="n">
        <f aca="false">E87*E98</f>
        <v>1.15652519056375</v>
      </c>
      <c r="F99" s="9" t="n">
        <f aca="false">F87*F98</f>
        <v>5.75203207098036</v>
      </c>
      <c r="G99" s="9" t="n">
        <f aca="false">G87*G98</f>
        <v>8.94117740372192</v>
      </c>
      <c r="H99" s="9" t="n">
        <f aca="false">H87*H98</f>
        <v>12.1464088498934</v>
      </c>
      <c r="I99" s="9" t="n">
        <f aca="false">I87*I98</f>
        <v>14.9447258544384</v>
      </c>
      <c r="Q99" s="2"/>
    </row>
    <row r="100" customFormat="false" ht="15" hidden="false" customHeight="false" outlineLevel="0" collapsed="false">
      <c r="A100" s="9" t="s">
        <v>2408</v>
      </c>
      <c r="B100" s="10" t="s">
        <v>2409</v>
      </c>
      <c r="C100" s="9" t="s">
        <v>375</v>
      </c>
      <c r="D100" s="9" t="n">
        <f aca="false">D92*D98</f>
        <v>0.160906574172954</v>
      </c>
      <c r="E100" s="9" t="n">
        <f aca="false">E92*E98</f>
        <v>0.28387619494964</v>
      </c>
      <c r="F100" s="9" t="n">
        <f aca="false">F92*F98</f>
        <v>0.642532527167939</v>
      </c>
      <c r="G100" s="9" t="n">
        <f aca="false">G92*G98</f>
        <v>1.37188373162603</v>
      </c>
      <c r="H100" s="9" t="n">
        <f aca="false">H92*H98</f>
        <v>2.7384658475411</v>
      </c>
      <c r="I100" s="9" t="n">
        <f aca="false">I92*I98</f>
        <v>5.19884983098078</v>
      </c>
      <c r="Q100" s="2"/>
    </row>
    <row r="101" customFormat="false" ht="15" hidden="false" customHeight="false" outlineLevel="0" collapsed="false">
      <c r="A101" s="9" t="s">
        <v>2410</v>
      </c>
      <c r="B101" s="10" t="s">
        <v>2411</v>
      </c>
      <c r="C101" s="9" t="s">
        <v>375</v>
      </c>
      <c r="D101" s="9" t="n">
        <f aca="false">D72*D98</f>
        <v>0.229866534532792</v>
      </c>
      <c r="E101" s="9" t="n">
        <f aca="false">E72*E98</f>
        <v>0.756996476557733</v>
      </c>
      <c r="F101" s="9" t="n">
        <f aca="false">F72*F98</f>
        <v>4.53429633671439</v>
      </c>
      <c r="G101" s="9" t="n">
        <f aca="false">G72*G98</f>
        <v>6.67517593172369</v>
      </c>
      <c r="H101" s="9" t="n">
        <f aca="false">H72*H98</f>
        <v>8.19330211736296</v>
      </c>
      <c r="I101" s="9" t="n">
        <f aca="false">I72*I98</f>
        <v>8.25140343801377</v>
      </c>
      <c r="Q101" s="2"/>
    </row>
    <row r="102" customFormat="false" ht="15" hidden="false" customHeight="false" outlineLevel="0" collapsed="false">
      <c r="A102" s="9" t="s">
        <v>2412</v>
      </c>
      <c r="B102" s="10" t="s">
        <v>2413</v>
      </c>
      <c r="C102" s="10" t="s">
        <v>560</v>
      </c>
      <c r="D102" s="9" t="n">
        <f aca="false">D38/D35</f>
        <v>0.209065089085914</v>
      </c>
      <c r="E102" s="9" t="n">
        <f aca="false">E38/E35</f>
        <v>0.374330936758132</v>
      </c>
      <c r="F102" s="9" t="n">
        <f aca="false">F38/F35</f>
        <v>0.588788537261638</v>
      </c>
      <c r="G102" s="9" t="n">
        <f aca="false">G38/G35</f>
        <v>0.758648340695406</v>
      </c>
      <c r="H102" s="9" t="n">
        <f aca="false">H38/H35</f>
        <v>0.857057366299189</v>
      </c>
      <c r="I102" s="9" t="n">
        <f aca="false">I38/I35</f>
        <v>0.930495284034646</v>
      </c>
      <c r="Q102" s="2" t="s">
        <v>2414</v>
      </c>
    </row>
    <row r="103" customFormat="false" ht="15" hidden="false" customHeight="false" outlineLevel="0" collapsed="false">
      <c r="A103" s="14" t="s">
        <v>2415</v>
      </c>
    </row>
    <row r="104" customFormat="false" ht="15" hidden="false" customHeight="false" outlineLevel="0" collapsed="false">
      <c r="A104" s="9" t="s">
        <v>2416</v>
      </c>
      <c r="B104" s="9" t="s">
        <v>2417</v>
      </c>
      <c r="C104" s="9" t="s">
        <v>1566</v>
      </c>
      <c r="D104" s="13" t="n">
        <f aca="false">Inputs!$F$222</f>
        <v>8</v>
      </c>
      <c r="Q104" s="12" t="s">
        <v>2418</v>
      </c>
    </row>
    <row r="105" customFormat="false" ht="15" hidden="false" customHeight="false" outlineLevel="0" collapsed="false">
      <c r="A105" s="9" t="s">
        <v>2419</v>
      </c>
      <c r="B105" s="9" t="s">
        <v>2420</v>
      </c>
      <c r="C105" s="10" t="s">
        <v>560</v>
      </c>
      <c r="D105" s="9" t="n">
        <f aca="false">D51/(D53/D104)</f>
        <v>0.186338075889461</v>
      </c>
      <c r="Q105" s="2"/>
    </row>
    <row r="106" customFormat="false" ht="15" hidden="false" customHeight="false" outlineLevel="0" collapsed="false">
      <c r="A106" s="9" t="s">
        <v>2421</v>
      </c>
      <c r="B106" s="9" t="s">
        <v>2422</v>
      </c>
      <c r="C106" s="9" t="s">
        <v>375</v>
      </c>
      <c r="D106" s="9" t="n">
        <f aca="false">D51/$D$105</f>
        <v>1.05</v>
      </c>
      <c r="E106" s="9" t="n">
        <f aca="false">E51/$D$105</f>
        <v>1.04350997368586</v>
      </c>
      <c r="F106" s="9" t="n">
        <f aca="false">F51/$D$105</f>
        <v>1.56445004536928</v>
      </c>
      <c r="G106" s="9" t="n">
        <f aca="false">G51/$D$105</f>
        <v>2.65556003684168</v>
      </c>
      <c r="H106" s="9" t="n">
        <f aca="false">H51/$D$105</f>
        <v>4.74751078491843</v>
      </c>
      <c r="I106" s="9" t="n">
        <f aca="false">I51/$D$105</f>
        <v>8.39596060593765</v>
      </c>
      <c r="Q106" s="12" t="s">
        <v>2423</v>
      </c>
    </row>
    <row r="107" customFormat="false" ht="15" hidden="false" customHeight="false" outlineLevel="0" collapsed="false">
      <c r="A107" s="9" t="s">
        <v>2424</v>
      </c>
      <c r="B107" s="9" t="s">
        <v>2425</v>
      </c>
      <c r="C107" s="9" t="s">
        <v>375</v>
      </c>
      <c r="D107" s="9" t="n">
        <f aca="false">D85+D86*INP_229/$D$104+D156</f>
        <v>1.84440476190476</v>
      </c>
      <c r="E107" s="9" t="n">
        <f aca="false">E85+E86*INP_229/$D$104+E156</f>
        <v>4.06380952380952</v>
      </c>
      <c r="F107" s="9" t="n">
        <f aca="false">F85+F86*INP_229/$D$104+F156</f>
        <v>11.1811739306961</v>
      </c>
      <c r="G107" s="9" t="n">
        <f aca="false">G85+G86*INP_229/$D$104+G156</f>
        <v>13.9975181600735</v>
      </c>
      <c r="H107" s="9" t="n">
        <f aca="false">H85+H86*INP_229/$D$104+H156</f>
        <v>17.1123321231873</v>
      </c>
      <c r="I107" s="9" t="n">
        <f aca="false">I85+I86*INP_229/$D$104+I156</f>
        <v>19.4056158200375</v>
      </c>
      <c r="Q107" s="2" t="s">
        <v>2426</v>
      </c>
    </row>
    <row r="108" customFormat="false" ht="15" hidden="false" customHeight="false" outlineLevel="0" collapsed="false">
      <c r="A108" s="9" t="s">
        <v>2427</v>
      </c>
      <c r="B108" s="9" t="s">
        <v>2428</v>
      </c>
      <c r="C108" s="10" t="s">
        <v>560</v>
      </c>
      <c r="D108" s="9" t="n">
        <f aca="false">IF(D$6&lt;=INP_002,D106,MIN(D107*(1-INP_232)*(1-INP_233),D106))/D106</f>
        <v>1</v>
      </c>
      <c r="E108" s="9" t="n">
        <f aca="false">IF(E$6&lt;=INP_002,E106,MIN(E107*(1-INP_232)*(1-INP_233),E106))/E106</f>
        <v>1</v>
      </c>
      <c r="F108" s="9" t="n">
        <f aca="false">IF(F$6&lt;=INP_002,F106,MIN(F107*(1-INP_232)*(1-INP_233),F106))/F106</f>
        <v>1</v>
      </c>
      <c r="G108" s="9" t="n">
        <f aca="false">IF(G$6&lt;=INP_002,G106,MIN(G107*(1-INP_232)*(1-INP_233),G106))/G106</f>
        <v>1</v>
      </c>
      <c r="H108" s="9" t="n">
        <f aca="false">IF(H$6&lt;=INP_002,H106,MIN(H107*(1-INP_232)*(1-INP_233),H106))/H106</f>
        <v>1</v>
      </c>
      <c r="I108" s="9" t="n">
        <f aca="false">IF(I$6&lt;=INP_002,I106,MIN(I107*(1-INP_232)*(1-INP_233),I106))/I106</f>
        <v>1</v>
      </c>
      <c r="Q108" s="2"/>
    </row>
    <row r="109" customFormat="false" ht="15" hidden="false" customHeight="false" outlineLevel="0" collapsed="false">
      <c r="A109" s="9" t="s">
        <v>2429</v>
      </c>
      <c r="B109" s="9" t="s">
        <v>2430</v>
      </c>
      <c r="C109" s="9" t="s">
        <v>1566</v>
      </c>
      <c r="D109" s="13" t="n">
        <f aca="false">Inputs!$E$222</f>
        <v>12</v>
      </c>
      <c r="Q109" s="12" t="s">
        <v>2431</v>
      </c>
    </row>
    <row r="110" customFormat="false" ht="15" hidden="false" customHeight="false" outlineLevel="0" collapsed="false">
      <c r="A110" s="9" t="s">
        <v>2432</v>
      </c>
      <c r="B110" s="9" t="s">
        <v>2433</v>
      </c>
      <c r="C110" s="10" t="s">
        <v>560</v>
      </c>
      <c r="D110" s="9" t="n">
        <f aca="false">D51/(D53/D109)</f>
        <v>0.279507113834192</v>
      </c>
      <c r="Q110" s="2"/>
    </row>
    <row r="111" customFormat="false" ht="15" hidden="false" customHeight="false" outlineLevel="0" collapsed="false">
      <c r="A111" s="9" t="s">
        <v>2434</v>
      </c>
      <c r="B111" s="9" t="s">
        <v>2435</v>
      </c>
      <c r="C111" s="9" t="s">
        <v>375</v>
      </c>
      <c r="D111" s="9" t="n">
        <f aca="false">D51/$D$110</f>
        <v>0.7</v>
      </c>
      <c r="E111" s="9" t="n">
        <f aca="false">E51/$D$110</f>
        <v>0.695673315790576</v>
      </c>
      <c r="F111" s="9" t="n">
        <f aca="false">F51/$D$110</f>
        <v>1.04296669691285</v>
      </c>
      <c r="G111" s="9" t="n">
        <f aca="false">G51/$D$110</f>
        <v>1.77037335789445</v>
      </c>
      <c r="H111" s="9" t="n">
        <f aca="false">H51/$D$110</f>
        <v>3.16500718994562</v>
      </c>
      <c r="I111" s="9" t="n">
        <f aca="false">I51/$D$110</f>
        <v>5.5973070706251</v>
      </c>
      <c r="Q111" s="12" t="s">
        <v>2423</v>
      </c>
    </row>
    <row r="112" customFormat="false" ht="15" hidden="false" customHeight="false" outlineLevel="0" collapsed="false">
      <c r="A112" s="9" t="s">
        <v>2436</v>
      </c>
      <c r="B112" s="9" t="s">
        <v>2437</v>
      </c>
      <c r="C112" s="9" t="s">
        <v>375</v>
      </c>
      <c r="D112" s="9" t="n">
        <f aca="false">D85+D86*INP_229/$D$109+D156</f>
        <v>1.22960317460317</v>
      </c>
      <c r="E112" s="9" t="n">
        <f aca="false">E85+E86*INP_229/$D$109+E156</f>
        <v>2.83420634920635</v>
      </c>
      <c r="F112" s="9" t="n">
        <f aca="false">F85+F86*INP_229/$D$109+F156</f>
        <v>9.33676916879132</v>
      </c>
      <c r="G112" s="9" t="n">
        <f aca="false">G85+G86*INP_229/$D$109+G156</f>
        <v>11.5383118108672</v>
      </c>
      <c r="H112" s="9" t="n">
        <f aca="false">H85+H86*INP_229/$D$109+H156</f>
        <v>14.0383241866794</v>
      </c>
      <c r="I112" s="9" t="n">
        <f aca="false">I85+I86*INP_229/$D$109+I156</f>
        <v>16.0901396295613</v>
      </c>
      <c r="Q112" s="2" t="s">
        <v>2426</v>
      </c>
    </row>
    <row r="113" customFormat="false" ht="15" hidden="false" customHeight="false" outlineLevel="0" collapsed="false">
      <c r="A113" s="9" t="s">
        <v>2438</v>
      </c>
      <c r="B113" s="9" t="s">
        <v>2439</v>
      </c>
      <c r="C113" s="10" t="s">
        <v>560</v>
      </c>
      <c r="D113" s="9" t="n">
        <f aca="false">IF(D$6&lt;=INP_002,D111,MIN(D112*(1-INP_232)*(1-INP_233),D111))/D111</f>
        <v>1</v>
      </c>
      <c r="E113" s="9" t="n">
        <f aca="false">IF(E$6&lt;=INP_002,E111,MIN(E112*(1-INP_232)*(1-INP_233),E111))/E111</f>
        <v>1</v>
      </c>
      <c r="F113" s="9" t="n">
        <f aca="false">IF(F$6&lt;=INP_002,F111,MIN(F112*(1-INP_232)*(1-INP_233),F111))/F111</f>
        <v>1</v>
      </c>
      <c r="G113" s="9" t="n">
        <f aca="false">IF(G$6&lt;=INP_002,G111,MIN(G112*(1-INP_232)*(1-INP_233),G111))/G111</f>
        <v>1</v>
      </c>
      <c r="H113" s="9" t="n">
        <f aca="false">IF(H$6&lt;=INP_002,H111,MIN(H112*(1-INP_232)*(1-INP_233),H111))/H111</f>
        <v>1</v>
      </c>
      <c r="I113" s="9" t="n">
        <f aca="false">IF(I$6&lt;=INP_002,I111,MIN(I112*(1-INP_232)*(1-INP_233),I111))/I111</f>
        <v>1</v>
      </c>
      <c r="Q113" s="2"/>
    </row>
    <row r="114" customFormat="false" ht="15" hidden="false" customHeight="false" outlineLevel="0" collapsed="false">
      <c r="A114" s="9" t="s">
        <v>2440</v>
      </c>
      <c r="B114" s="9" t="s">
        <v>2441</v>
      </c>
      <c r="C114" s="9" t="s">
        <v>1566</v>
      </c>
      <c r="D114" s="13" t="n">
        <f aca="false">Inputs!$G$222</f>
        <v>20</v>
      </c>
      <c r="Q114" s="12" t="s">
        <v>2442</v>
      </c>
    </row>
    <row r="115" customFormat="false" ht="15" hidden="false" customHeight="false" outlineLevel="0" collapsed="false">
      <c r="A115" s="9" t="s">
        <v>2443</v>
      </c>
      <c r="B115" s="9" t="s">
        <v>2444</v>
      </c>
      <c r="C115" s="10" t="s">
        <v>560</v>
      </c>
      <c r="D115" s="9" t="n">
        <f aca="false">D51/(D53/D114)</f>
        <v>0.465845189723654</v>
      </c>
      <c r="Q115" s="2"/>
    </row>
    <row r="116" customFormat="false" ht="15" hidden="false" customHeight="false" outlineLevel="0" collapsed="false">
      <c r="A116" s="9" t="s">
        <v>2445</v>
      </c>
      <c r="B116" s="9" t="s">
        <v>2446</v>
      </c>
      <c r="C116" s="9" t="s">
        <v>375</v>
      </c>
      <c r="D116" s="9" t="n">
        <f aca="false">D51/$D$115</f>
        <v>0.42</v>
      </c>
      <c r="E116" s="9" t="n">
        <f aca="false">E51/$D$115</f>
        <v>0.417403989474345</v>
      </c>
      <c r="F116" s="9" t="n">
        <f aca="false">F51/$D$115</f>
        <v>0.625780018147711</v>
      </c>
      <c r="G116" s="9" t="n">
        <f aca="false">G51/$D$115</f>
        <v>1.06222401473667</v>
      </c>
      <c r="H116" s="9" t="n">
        <f aca="false">H51/$D$115</f>
        <v>1.89900431396737</v>
      </c>
      <c r="I116" s="9" t="n">
        <f aca="false">I51/$D$115</f>
        <v>3.35838424237506</v>
      </c>
      <c r="Q116" s="12" t="s">
        <v>2423</v>
      </c>
    </row>
    <row r="117" customFormat="false" ht="15" hidden="false" customHeight="false" outlineLevel="0" collapsed="false">
      <c r="A117" s="9" t="s">
        <v>2447</v>
      </c>
      <c r="B117" s="9" t="s">
        <v>2448</v>
      </c>
      <c r="C117" s="9" t="s">
        <v>375</v>
      </c>
      <c r="D117" s="9" t="n">
        <f aca="false">D85+D86*INP_229/$D$114+D156</f>
        <v>0.737761904761905</v>
      </c>
      <c r="E117" s="9" t="n">
        <f aca="false">E85+E86*INP_229/$D$114+E156</f>
        <v>1.85052380952381</v>
      </c>
      <c r="F117" s="9" t="n">
        <f aca="false">F85+F86*INP_229/$D$114+F156</f>
        <v>7.86124535926751</v>
      </c>
      <c r="G117" s="9" t="n">
        <f aca="false">G85+G86*INP_229/$D$114+G156</f>
        <v>9.5709467315021</v>
      </c>
      <c r="H117" s="9" t="n">
        <f aca="false">H85+H86*INP_229/$D$114+H156</f>
        <v>11.579117837473</v>
      </c>
      <c r="I117" s="9" t="n">
        <f aca="false">I85+I86*INP_229/$D$114+I156</f>
        <v>13.4377586771803</v>
      </c>
      <c r="Q117" s="2" t="s">
        <v>2426</v>
      </c>
    </row>
    <row r="118" customFormat="false" ht="15" hidden="false" customHeight="false" outlineLevel="0" collapsed="false">
      <c r="A118" s="9" t="s">
        <v>2449</v>
      </c>
      <c r="B118" s="9" t="s">
        <v>2450</v>
      </c>
      <c r="C118" s="10" t="s">
        <v>560</v>
      </c>
      <c r="D118" s="9" t="n">
        <f aca="false">IF(D$6&lt;=INP_002,D116,MIN(D117*(1-INP_232)*(1-INP_233),D116))/D116</f>
        <v>1</v>
      </c>
      <c r="E118" s="9" t="n">
        <f aca="false">IF(E$6&lt;=INP_002,E116,MIN(E117*(1-INP_232)*(1-INP_233),E116))/E116</f>
        <v>1</v>
      </c>
      <c r="F118" s="9" t="n">
        <f aca="false">IF(F$6&lt;=INP_002,F116,MIN(F117*(1-INP_232)*(1-INP_233),F116))/F116</f>
        <v>1</v>
      </c>
      <c r="G118" s="9" t="n">
        <f aca="false">IF(G$6&lt;=INP_002,G116,MIN(G117*(1-INP_232)*(1-INP_233),G116))/G116</f>
        <v>1</v>
      </c>
      <c r="H118" s="9" t="n">
        <f aca="false">IF(H$6&lt;=INP_002,H116,MIN(H117*(1-INP_232)*(1-INP_233),H116))/H116</f>
        <v>1</v>
      </c>
      <c r="I118" s="9" t="n">
        <f aca="false">IF(I$6&lt;=INP_002,I116,MIN(I117*(1-INP_232)*(1-INP_233),I116))/I116</f>
        <v>1</v>
      </c>
      <c r="Q118" s="2"/>
    </row>
    <row r="119" customFormat="false" ht="15" hidden="false" customHeight="false" outlineLevel="0" collapsed="false">
      <c r="A119" s="9" t="s">
        <v>2451</v>
      </c>
      <c r="B119" s="9" t="s">
        <v>2452</v>
      </c>
      <c r="C119" s="10" t="s">
        <v>560</v>
      </c>
      <c r="D119" s="9" t="n">
        <f aca="false">$D$57</f>
        <v>0.279507113834192</v>
      </c>
      <c r="E119" s="9" t="n">
        <f aca="false">$D$57</f>
        <v>0.279507113834192</v>
      </c>
      <c r="F119" s="9" t="n">
        <f aca="false">$D$57</f>
        <v>0.279507113834192</v>
      </c>
      <c r="G119" s="9" t="n">
        <f aca="false">$D$57</f>
        <v>0.279507113834192</v>
      </c>
      <c r="H119" s="9" t="n">
        <f aca="false">$D$57</f>
        <v>0.279507113834192</v>
      </c>
      <c r="I119" s="9" t="n">
        <f aca="false">$D$57</f>
        <v>0.279507113834192</v>
      </c>
      <c r="Q119" s="2"/>
    </row>
    <row r="120" customFormat="false" ht="15" hidden="false" customHeight="false" outlineLevel="0" collapsed="false">
      <c r="A120" s="9" t="s">
        <v>2453</v>
      </c>
      <c r="B120" s="9" t="s">
        <v>2454</v>
      </c>
      <c r="C120" s="9" t="s">
        <v>375</v>
      </c>
      <c r="D120" s="9" t="n">
        <f aca="false">D51/D119</f>
        <v>0.7</v>
      </c>
      <c r="E120" s="9" t="n">
        <f aca="false">E51/E119</f>
        <v>0.695673315790576</v>
      </c>
      <c r="F120" s="9" t="n">
        <f aca="false">F51/F119</f>
        <v>1.04296669691285</v>
      </c>
      <c r="G120" s="9" t="n">
        <f aca="false">G51/G119</f>
        <v>1.77037335789445</v>
      </c>
      <c r="H120" s="9" t="n">
        <f aca="false">H51/H119</f>
        <v>3.16500718994562</v>
      </c>
      <c r="I120" s="9" t="n">
        <f aca="false">I51/I119</f>
        <v>5.5973070706251</v>
      </c>
      <c r="Q120" s="2"/>
    </row>
    <row r="121" customFormat="false" ht="15" hidden="false" customHeight="false" outlineLevel="0" collapsed="false">
      <c r="A121" s="9" t="s">
        <v>2455</v>
      </c>
      <c r="B121" s="9" t="s">
        <v>2456</v>
      </c>
      <c r="C121" s="10" t="s">
        <v>560</v>
      </c>
      <c r="D121" s="9" t="n">
        <f aca="false">IF(D$6&lt;=INP_002,D120,MIN(D87*(1-INP_232)*(1-INP_233),D120))/D120</f>
        <v>1</v>
      </c>
      <c r="E121" s="9" t="n">
        <f aca="false">IF(E$6&lt;=INP_002,E120,MIN(E87*(1-INP_232)*(1-INP_233),E120))/E120</f>
        <v>1</v>
      </c>
      <c r="F121" s="9" t="n">
        <f aca="false">IF(F$6&lt;=INP_002,F120,MIN(F87*(1-INP_232)*(1-INP_233),F120))/F120</f>
        <v>1</v>
      </c>
      <c r="G121" s="9" t="n">
        <f aca="false">IF(G$6&lt;=INP_002,G120,MIN(G87*(1-INP_232)*(1-INP_233),G120))/G120</f>
        <v>1</v>
      </c>
      <c r="H121" s="9" t="n">
        <f aca="false">IF(H$6&lt;=INP_002,H120,MIN(H87*(1-INP_232)*(1-INP_233),H120))/H120</f>
        <v>1</v>
      </c>
      <c r="I121" s="9" t="n">
        <f aca="false">IF(I$6&lt;=INP_002,I120,MIN(I87*(1-INP_232)*(1-INP_233),I120))/I120</f>
        <v>1</v>
      </c>
      <c r="Q121" s="2" t="s">
        <v>2457</v>
      </c>
    </row>
    <row r="122" customFormat="false" ht="15" hidden="false" customHeight="false" outlineLevel="0" collapsed="false">
      <c r="A122" s="9" t="s">
        <v>2458</v>
      </c>
      <c r="B122" s="9" t="s">
        <v>2459</v>
      </c>
      <c r="C122" s="10" t="s">
        <v>560</v>
      </c>
      <c r="D122" s="9" t="n">
        <f aca="false">$D$57+(INP_259-$D$57)*MIN(INP_260-INP_002,D$6-INP_002)/(INP_260-INP_002)</f>
        <v>0.279507113834192</v>
      </c>
      <c r="E122" s="9" t="n">
        <f aca="false">$D$57+(INP_259-$D$57)*MIN(INP_260-INP_002,E$6-INP_002)/(INP_260-INP_002)</f>
        <v>0.423605691067354</v>
      </c>
      <c r="F122" s="9" t="n">
        <f aca="false">$D$57+(INP_259-$D$57)*MIN(INP_260-INP_002,F$6-INP_002)/(INP_260-INP_002)</f>
        <v>0.567704268300515</v>
      </c>
      <c r="G122" s="9" t="n">
        <f aca="false">$D$57+(INP_259-$D$57)*MIN(INP_260-INP_002,G$6-INP_002)/(INP_260-INP_002)</f>
        <v>0.711802845533677</v>
      </c>
      <c r="H122" s="9" t="n">
        <f aca="false">$D$57+(INP_259-$D$57)*MIN(INP_260-INP_002,H$6-INP_002)/(INP_260-INP_002)</f>
        <v>0.855901422766838</v>
      </c>
      <c r="I122" s="9" t="n">
        <f aca="false">$D$57+(INP_259-$D$57)*MIN(INP_260-INP_002,I$6-INP_002)/(INP_260-INP_002)</f>
        <v>1</v>
      </c>
      <c r="Q122" s="2"/>
    </row>
    <row r="123" customFormat="false" ht="15" hidden="false" customHeight="false" outlineLevel="0" collapsed="false">
      <c r="A123" s="9" t="s">
        <v>2460</v>
      </c>
      <c r="B123" s="9" t="s">
        <v>2461</v>
      </c>
      <c r="C123" s="9" t="s">
        <v>375</v>
      </c>
      <c r="D123" s="9" t="n">
        <f aca="false">D51/D122</f>
        <v>0.7</v>
      </c>
      <c r="E123" s="9" t="n">
        <f aca="false">E51/E122</f>
        <v>0.4590250904754</v>
      </c>
      <c r="F123" s="9" t="n">
        <f aca="false">F51/F122</f>
        <v>0.513500827027386</v>
      </c>
      <c r="G123" s="9" t="n">
        <f aca="false">G51/G122</f>
        <v>0.695181187851285</v>
      </c>
      <c r="H123" s="9" t="n">
        <f aca="false">H51/H122</f>
        <v>1.03357933681944</v>
      </c>
      <c r="I123" s="9" t="n">
        <f aca="false">I51/I122</f>
        <v>1.56448714455414</v>
      </c>
      <c r="Q123" s="2"/>
    </row>
    <row r="124" customFormat="false" ht="15" hidden="false" customHeight="false" outlineLevel="0" collapsed="false">
      <c r="A124" s="9" t="s">
        <v>2462</v>
      </c>
      <c r="B124" s="9" t="s">
        <v>2463</v>
      </c>
      <c r="C124" s="10" t="s">
        <v>560</v>
      </c>
      <c r="D124" s="9" t="n">
        <f aca="false">IF(D$6&lt;=INP_002,D123,MIN(D87*(1-INP_232)*(1-INP_233),D123))/D123</f>
        <v>1</v>
      </c>
      <c r="E124" s="9" t="n">
        <f aca="false">IF(E$6&lt;=INP_002,E123,MIN(E87*(1-INP_232)*(1-INP_233),E123))/E123</f>
        <v>1</v>
      </c>
      <c r="F124" s="9" t="n">
        <f aca="false">IF(F$6&lt;=INP_002,F123,MIN(F87*(1-INP_232)*(1-INP_233),F123))/F123</f>
        <v>1</v>
      </c>
      <c r="G124" s="9" t="n">
        <f aca="false">IF(G$6&lt;=INP_002,G123,MIN(G87*(1-INP_232)*(1-INP_233),G123))/G123</f>
        <v>1</v>
      </c>
      <c r="H124" s="9" t="n">
        <f aca="false">IF(H$6&lt;=INP_002,H123,MIN(H87*(1-INP_232)*(1-INP_233),H123))/H123</f>
        <v>1</v>
      </c>
      <c r="I124" s="9" t="n">
        <f aca="false">IF(I$6&lt;=INP_002,I123,MIN(I87*(1-INP_232)*(1-INP_233),I123))/I123</f>
        <v>1</v>
      </c>
      <c r="Q124" s="2" t="s">
        <v>2457</v>
      </c>
    </row>
    <row r="125" customFormat="false" ht="15" hidden="false" customHeight="false" outlineLevel="0" collapsed="false">
      <c r="A125" s="9" t="s">
        <v>2464</v>
      </c>
      <c r="B125" s="9" t="s">
        <v>2465</v>
      </c>
      <c r="C125" s="10" t="s">
        <v>120</v>
      </c>
      <c r="D125" s="13" t="n">
        <f aca="false">Inputs!$F$249</f>
        <v>0</v>
      </c>
      <c r="Q125" s="12" t="s">
        <v>2466</v>
      </c>
    </row>
    <row r="126" customFormat="false" ht="15" hidden="false" customHeight="false" outlineLevel="0" collapsed="false">
      <c r="A126" s="9" t="s">
        <v>2467</v>
      </c>
      <c r="B126" s="9" t="s">
        <v>2468</v>
      </c>
      <c r="C126" s="9" t="s">
        <v>375</v>
      </c>
      <c r="D126" s="13" t="n">
        <f aca="false">D47/(D38+D16*(Inputs!$F$249-D17)*(D34-D33)*(D$6&gt;INP_002))+D48/(D45+D16*(Inputs!$F$249-D17)*(D41-D40)*(D$6&gt;INP_002))</f>
        <v>0.195654979683935</v>
      </c>
      <c r="E126" s="13" t="n">
        <f aca="false">E47/(E38+E16*(Inputs!$F$249-E17)*(E34-E33)*(E$6&gt;INP_002))+E48/(E45+E16*(Inputs!$F$249-E17)*(E41-E40)*(E$6&gt;INP_002))</f>
        <v>0.215721937452586</v>
      </c>
      <c r="F126" s="13" t="n">
        <f aca="false">F47/(F38+F16*(Inputs!$F$249-F17)*(F34-F33)*(F$6&gt;INP_002))+F48/(F45+F16*(Inputs!$F$249-F17)*(F41-F40)*(F$6&gt;INP_002))</f>
        <v>0.307043512447672</v>
      </c>
      <c r="G126" s="13" t="n">
        <f aca="false">G47/(G38+G16*(Inputs!$F$249-G17)*(G34-G33)*(G$6&gt;INP_002))+G48/(G45+G16*(Inputs!$F$249-G17)*(G41-G40)*(G$6&gt;INP_002))</f>
        <v>0.507940882681526</v>
      </c>
      <c r="H126" s="13" t="n">
        <f aca="false">H47/(H38+H16*(Inputs!$F$249-H17)*(H34-H33)*(H$6&gt;INP_002))+H48/(H45+H16*(Inputs!$F$249-H17)*(H41-H40)*(H$6&gt;INP_002))</f>
        <v>0.898170721582999</v>
      </c>
      <c r="I126" s="13" t="n">
        <f aca="false">I47/(I38+I16*(Inputs!$F$249-I17)*(I34-I33)*(I$6&gt;INP_002))+I48/(I45+I16*(Inputs!$F$249-I17)*(I41-I40)*(I$6&gt;INP_002))</f>
        <v>1.57532737357909</v>
      </c>
      <c r="Q126" s="2" t="s">
        <v>2469</v>
      </c>
    </row>
    <row r="127" customFormat="false" ht="15" hidden="false" customHeight="false" outlineLevel="0" collapsed="false">
      <c r="A127" s="9" t="s">
        <v>2470</v>
      </c>
      <c r="B127" s="9" t="s">
        <v>2471</v>
      </c>
      <c r="C127" s="9" t="s">
        <v>375</v>
      </c>
      <c r="D127" s="9" t="n">
        <f aca="false">D126/($D$126/$D$55)</f>
        <v>0.7</v>
      </c>
      <c r="E127" s="9" t="n">
        <f aca="false">E126/($D$126/$D$55)</f>
        <v>0.771794086001532</v>
      </c>
      <c r="F127" s="9" t="n">
        <f aca="false">F126/($D$126/$D$55)</f>
        <v>1.09851770223571</v>
      </c>
      <c r="G127" s="9" t="n">
        <f aca="false">G126/($D$126/$D$55)</f>
        <v>1.81727354167753</v>
      </c>
      <c r="H127" s="9" t="n">
        <f aca="false">H126/($D$126/$D$55)</f>
        <v>3.21340916609302</v>
      </c>
      <c r="I127" s="9" t="n">
        <f aca="false">I126/($D$126/$D$55)</f>
        <v>5.63609044495946</v>
      </c>
      <c r="Q127" s="12" t="s">
        <v>2472</v>
      </c>
    </row>
    <row r="128" customFormat="false" ht="15" hidden="false" customHeight="false" outlineLevel="0" collapsed="false">
      <c r="A128" s="9" t="s">
        <v>2473</v>
      </c>
      <c r="B128" s="9" t="s">
        <v>2474</v>
      </c>
      <c r="C128" s="10" t="s">
        <v>560</v>
      </c>
      <c r="D128" s="9" t="n">
        <f aca="false">IF(D$6&lt;=INP_002,D127,MIN(D87*(1-INP_232)*(1-INP_233),D127))/D127</f>
        <v>1</v>
      </c>
      <c r="E128" s="9" t="n">
        <f aca="false">IF(E$6&lt;=INP_002,E127,MIN(E87*(1-INP_232)*(1-INP_233),E127))/E127</f>
        <v>1</v>
      </c>
      <c r="F128" s="9" t="n">
        <f aca="false">IF(F$6&lt;=INP_002,F127,MIN(F87*(1-INP_232)*(1-INP_233),F127))/F127</f>
        <v>1</v>
      </c>
      <c r="G128" s="9" t="n">
        <f aca="false">IF(G$6&lt;=INP_002,G127,MIN(G87*(1-INP_232)*(1-INP_233),G127))/G127</f>
        <v>1</v>
      </c>
      <c r="H128" s="9" t="n">
        <f aca="false">IF(H$6&lt;=INP_002,H127,MIN(H87*(1-INP_232)*(1-INP_233),H127))/H127</f>
        <v>1</v>
      </c>
      <c r="I128" s="9" t="n">
        <f aca="false">IF(I$6&lt;=INP_002,I127,MIN(I87*(1-INP_232)*(1-INP_233),I127))/I127</f>
        <v>1</v>
      </c>
      <c r="Q128" s="2"/>
    </row>
    <row r="129" customFormat="false" ht="15" hidden="false" customHeight="false" outlineLevel="0" collapsed="false">
      <c r="A129" s="9" t="s">
        <v>2475</v>
      </c>
      <c r="B129" s="9" t="s">
        <v>2476</v>
      </c>
      <c r="C129" s="10" t="s">
        <v>120</v>
      </c>
      <c r="D129" s="13" t="n">
        <f aca="false">Inputs!$E$249</f>
        <v>0.5</v>
      </c>
      <c r="Q129" s="12" t="s">
        <v>2477</v>
      </c>
    </row>
    <row r="130" customFormat="false" ht="15" hidden="false" customHeight="false" outlineLevel="0" collapsed="false">
      <c r="A130" s="9" t="s">
        <v>2478</v>
      </c>
      <c r="B130" s="9" t="s">
        <v>2479</v>
      </c>
      <c r="C130" s="9" t="s">
        <v>375</v>
      </c>
      <c r="D130" s="13" t="n">
        <f aca="false">D47/(D38+D16*(Inputs!$E$249-D17)*(D34-D33)*(D$6&gt;INP_002))+D48/(D45+D16*(Inputs!$E$249-D17)*(D41-D40)*(D$6&gt;INP_002))</f>
        <v>0.195654979683935</v>
      </c>
      <c r="E130" s="13" t="n">
        <f aca="false">E47/(E38+E16*(Inputs!$E$249-E17)*(E34-E33)*(E$6&gt;INP_002))+E48/(E45+E16*(Inputs!$E$249-E17)*(E41-E40)*(E$6&gt;INP_002))</f>
        <v>0.194445640668086</v>
      </c>
      <c r="F130" s="13" t="n">
        <f aca="false">F47/(F38+F16*(Inputs!$E$249-F17)*(F34-F33)*(F$6&gt;INP_002))+F48/(F45+F16*(Inputs!$E$249-F17)*(F41-F40)*(F$6&gt;INP_002))</f>
        <v>0.291516611279292</v>
      </c>
      <c r="G130" s="13" t="n">
        <f aca="false">G47/(G38+G16*(Inputs!$E$249-G17)*(G34-G33)*(G$6&gt;INP_002))+G48/(G45+G16*(Inputs!$E$249-G17)*(G41-G40)*(G$6&gt;INP_002))</f>
        <v>0.494831947674026</v>
      </c>
      <c r="H130" s="13" t="n">
        <f aca="false">H47/(H38+H16*(Inputs!$E$249-H17)*(H34-H33)*(H$6&gt;INP_002))+H48/(H45+H16*(Inputs!$E$249-H17)*(H41-H40)*(H$6&gt;INP_002))</f>
        <v>0.884642024926167</v>
      </c>
      <c r="I130" s="13" t="n">
        <f aca="false">I47/(I38+I16*(Inputs!$E$249-I17)*(I34-I33)*(I$6&gt;INP_002))+I48/(I45+I16*(Inputs!$E$249-I17)*(I41-I40)*(I$6&gt;INP_002))</f>
        <v>1.56448714455414</v>
      </c>
      <c r="Q130" s="2" t="s">
        <v>2469</v>
      </c>
    </row>
    <row r="131" customFormat="false" ht="15" hidden="false" customHeight="false" outlineLevel="0" collapsed="false">
      <c r="A131" s="9" t="s">
        <v>2480</v>
      </c>
      <c r="B131" s="9" t="s">
        <v>2481</v>
      </c>
      <c r="C131" s="9" t="s">
        <v>375</v>
      </c>
      <c r="D131" s="9" t="n">
        <f aca="false">D130/($D$130/$D$55)</f>
        <v>0.7</v>
      </c>
      <c r="E131" s="9" t="n">
        <f aca="false">E130/($D$130/$D$55)</f>
        <v>0.695673315790576</v>
      </c>
      <c r="F131" s="9" t="n">
        <f aca="false">F130/($D$130/$D$55)</f>
        <v>1.04296669691285</v>
      </c>
      <c r="G131" s="9" t="n">
        <f aca="false">G130/($D$130/$D$55)</f>
        <v>1.77037335789445</v>
      </c>
      <c r="H131" s="9" t="n">
        <f aca="false">H130/($D$130/$D$55)</f>
        <v>3.16500718994562</v>
      </c>
      <c r="I131" s="9" t="n">
        <f aca="false">I130/($D$130/$D$55)</f>
        <v>5.5973070706251</v>
      </c>
      <c r="Q131" s="12" t="s">
        <v>2472</v>
      </c>
    </row>
    <row r="132" customFormat="false" ht="15" hidden="false" customHeight="false" outlineLevel="0" collapsed="false">
      <c r="A132" s="9" t="s">
        <v>2482</v>
      </c>
      <c r="B132" s="9" t="s">
        <v>2483</v>
      </c>
      <c r="C132" s="10" t="s">
        <v>560</v>
      </c>
      <c r="D132" s="9" t="n">
        <f aca="false">IF(D$6&lt;=INP_002,D131,MIN(D87*(1-INP_232)*(1-INP_233),D131))/D131</f>
        <v>1</v>
      </c>
      <c r="E132" s="9" t="n">
        <f aca="false">IF(E$6&lt;=INP_002,E131,MIN(E87*(1-INP_232)*(1-INP_233),E131))/E131</f>
        <v>1</v>
      </c>
      <c r="F132" s="9" t="n">
        <f aca="false">IF(F$6&lt;=INP_002,F131,MIN(F87*(1-INP_232)*(1-INP_233),F131))/F131</f>
        <v>1</v>
      </c>
      <c r="G132" s="9" t="n">
        <f aca="false">IF(G$6&lt;=INP_002,G131,MIN(G87*(1-INP_232)*(1-INP_233),G131))/G131</f>
        <v>1</v>
      </c>
      <c r="H132" s="9" t="n">
        <f aca="false">IF(H$6&lt;=INP_002,H131,MIN(H87*(1-INP_232)*(1-INP_233),H131))/H131</f>
        <v>1</v>
      </c>
      <c r="I132" s="9" t="n">
        <f aca="false">IF(I$6&lt;=INP_002,I131,MIN(I87*(1-INP_232)*(1-INP_233),I131))/I131</f>
        <v>1</v>
      </c>
      <c r="Q132" s="2"/>
    </row>
    <row r="133" customFormat="false" ht="15" hidden="false" customHeight="false" outlineLevel="0" collapsed="false">
      <c r="A133" s="9" t="s">
        <v>2484</v>
      </c>
      <c r="B133" s="9" t="s">
        <v>2485</v>
      </c>
      <c r="C133" s="10" t="s">
        <v>120</v>
      </c>
      <c r="D133" s="13" t="n">
        <f aca="false">Inputs!$G$249</f>
        <v>0.8</v>
      </c>
      <c r="Q133" s="12" t="s">
        <v>2486</v>
      </c>
    </row>
    <row r="134" customFormat="false" ht="15" hidden="false" customHeight="false" outlineLevel="0" collapsed="false">
      <c r="A134" s="9" t="s">
        <v>2487</v>
      </c>
      <c r="B134" s="9" t="s">
        <v>2488</v>
      </c>
      <c r="C134" s="9" t="s">
        <v>375</v>
      </c>
      <c r="D134" s="13" t="n">
        <f aca="false">D47/(D38+D16*(Inputs!$G$249-D17)*(D34-D33)*(D$6&gt;INP_002))+D48/(D45+D16*(Inputs!$G$249-D17)*(D41-D40)*(D$6&gt;INP_002))</f>
        <v>0.195654979683935</v>
      </c>
      <c r="E134" s="13" t="n">
        <f aca="false">E47/(E38+E16*(Inputs!$G$249-E17)*(E34-E33)*(E$6&gt;INP_002))+E48/(E45+E16*(Inputs!$G$249-E17)*(E41-E40)*(E$6&gt;INP_002))</f>
        <v>0.183596619300117</v>
      </c>
      <c r="F134" s="13" t="n">
        <f aca="false">F47/(F38+F16*(Inputs!$G$249-F17)*(F34-F33)*(F$6&gt;INP_002))+F48/(F45+F16*(Inputs!$G$249-F17)*(F41-F40)*(F$6&gt;INP_002))</f>
        <v>0.282939207482031</v>
      </c>
      <c r="G134" s="13" t="n">
        <f aca="false">G47/(G38+G16*(Inputs!$G$249-G17)*(G34-G33)*(G$6&gt;INP_002))+G48/(G45+G16*(Inputs!$G$249-G17)*(G41-G40)*(G$6&gt;INP_002))</f>
        <v>0.48728943388669</v>
      </c>
      <c r="H134" s="13" t="n">
        <f aca="false">H47/(H38+H16*(Inputs!$G$249-H17)*(H34-H33)*(H$6&gt;INP_002))+H48/(H45+H16*(Inputs!$G$249-H17)*(H41-H40)*(H$6&gt;INP_002))</f>
        <v>0.876720219252442</v>
      </c>
      <c r="I134" s="13" t="n">
        <f aca="false">I47/(I38+I16*(Inputs!$G$249-I17)*(I34-I33)*(I$6&gt;INP_002))+I48/(I45+I16*(Inputs!$G$249-I17)*(I41-I40)*(I$6&gt;INP_002))</f>
        <v>1.55805479244751</v>
      </c>
      <c r="Q134" s="2" t="s">
        <v>2469</v>
      </c>
    </row>
    <row r="135" customFormat="false" ht="15" hidden="false" customHeight="false" outlineLevel="0" collapsed="false">
      <c r="A135" s="9" t="s">
        <v>2489</v>
      </c>
      <c r="B135" s="9" t="s">
        <v>2490</v>
      </c>
      <c r="C135" s="9" t="s">
        <v>375</v>
      </c>
      <c r="D135" s="9" t="n">
        <f aca="false">D134/($D$134/$D$55)</f>
        <v>0.7</v>
      </c>
      <c r="E135" s="9" t="n">
        <f aca="false">E134/($D$134/$D$55)</f>
        <v>0.656858484857848</v>
      </c>
      <c r="F135" s="9" t="n">
        <f aca="false">F134/($D$134/$D$55)</f>
        <v>1.01227909229486</v>
      </c>
      <c r="G135" s="9" t="n">
        <f aca="false">G134/($D$134/$D$55)</f>
        <v>1.74338830665955</v>
      </c>
      <c r="H135" s="9" t="n">
        <f aca="false">H134/($D$134/$D$55)</f>
        <v>3.13666513608854</v>
      </c>
      <c r="I135" s="9" t="n">
        <f aca="false">I134/($D$134/$D$55)</f>
        <v>5.57429387422237</v>
      </c>
      <c r="Q135" s="12" t="s">
        <v>2472</v>
      </c>
    </row>
    <row r="136" customFormat="false" ht="15" hidden="false" customHeight="false" outlineLevel="0" collapsed="false">
      <c r="A136" s="9" t="s">
        <v>2491</v>
      </c>
      <c r="B136" s="9" t="s">
        <v>2492</v>
      </c>
      <c r="C136" s="10" t="s">
        <v>560</v>
      </c>
      <c r="D136" s="9" t="n">
        <f aca="false">IF(D$6&lt;=INP_002,D135,MIN(D87*(1-INP_232)*(1-INP_233),D135))/D135</f>
        <v>1</v>
      </c>
      <c r="E136" s="9" t="n">
        <f aca="false">IF(E$6&lt;=INP_002,E135,MIN(E87*(1-INP_232)*(1-INP_233),E135))/E135</f>
        <v>1</v>
      </c>
      <c r="F136" s="9" t="n">
        <f aca="false">IF(F$6&lt;=INP_002,F135,MIN(F87*(1-INP_232)*(1-INP_233),F135))/F135</f>
        <v>1</v>
      </c>
      <c r="G136" s="9" t="n">
        <f aca="false">IF(G$6&lt;=INP_002,G135,MIN(G87*(1-INP_232)*(1-INP_233),G135))/G135</f>
        <v>1</v>
      </c>
      <c r="H136" s="9" t="n">
        <f aca="false">IF(H$6&lt;=INP_002,H135,MIN(H87*(1-INP_232)*(1-INP_233),H135))/H135</f>
        <v>1</v>
      </c>
      <c r="I136" s="9" t="n">
        <f aca="false">IF(I$6&lt;=INP_002,I135,MIN(I87*(1-INP_232)*(1-INP_233),I135))/I135</f>
        <v>1</v>
      </c>
      <c r="Q136" s="2"/>
    </row>
    <row r="137" customFormat="false" ht="15" hidden="false" customHeight="false" outlineLevel="0" collapsed="false">
      <c r="A137" s="9" t="s">
        <v>2493</v>
      </c>
      <c r="B137" s="9" t="s">
        <v>2494</v>
      </c>
      <c r="C137" s="10" t="s">
        <v>560</v>
      </c>
      <c r="D137" s="13" t="n">
        <f aca="false">Inputs!$F$197</f>
        <v>0.4</v>
      </c>
      <c r="Q137" s="12" t="s">
        <v>2466</v>
      </c>
    </row>
    <row r="138" customFormat="false" ht="15" hidden="false" customHeight="false" outlineLevel="0" collapsed="false">
      <c r="A138" s="9" t="s">
        <v>2495</v>
      </c>
      <c r="B138" s="9" t="s">
        <v>2496</v>
      </c>
      <c r="C138" s="9" t="s">
        <v>375</v>
      </c>
      <c r="D138" s="13" t="n">
        <f aca="false">D47/(D38+D22*(Inputs!$F$197-INP_204)*D35)+D48/(D45+D22*(Inputs!$F$197-INP_204)*D42)</f>
        <v>0.195654979683935</v>
      </c>
      <c r="E138" s="13" t="n">
        <f aca="false">E47/(E38+E22*(Inputs!$F$197-INP_204)*E35)+E48/(E45+E22*(Inputs!$F$197-INP_204)*E42)</f>
        <v>0.199747112115241</v>
      </c>
      <c r="F138" s="13" t="n">
        <f aca="false">F47/(F38+F22*(Inputs!$F$197-INP_204)*F35)+F48/(F45+F22*(Inputs!$F$197-INP_204)*F42)</f>
        <v>0.301739149079229</v>
      </c>
      <c r="G138" s="13" t="n">
        <f aca="false">G47/(G38+G22*(Inputs!$F$197-INP_204)*G35)+G48/(G45+G22*(Inputs!$F$197-INP_204)*G42)</f>
        <v>0.515186135663901</v>
      </c>
      <c r="H138" s="13" t="n">
        <f aca="false">H47/(H38+H22*(Inputs!$F$197-INP_204)*H35)+H48/(H45+H22*(Inputs!$F$197-INP_204)*H42)</f>
        <v>0.92793741967564</v>
      </c>
      <c r="I138" s="13" t="n">
        <f aca="false">I47/(I38+I22*(Inputs!$F$197-INP_204)*I35)+I48/(I45+I22*(Inputs!$F$197-INP_204)*I42)</f>
        <v>1.65333235040934</v>
      </c>
      <c r="Q138" s="2" t="s">
        <v>2469</v>
      </c>
    </row>
    <row r="139" customFormat="false" ht="15" hidden="false" customHeight="false" outlineLevel="0" collapsed="false">
      <c r="A139" s="9" t="s">
        <v>2497</v>
      </c>
      <c r="B139" s="9" t="s">
        <v>2498</v>
      </c>
      <c r="C139" s="9" t="s">
        <v>375</v>
      </c>
      <c r="D139" s="9" t="n">
        <f aca="false">D138/($D$138/$D$55)</f>
        <v>0.7</v>
      </c>
      <c r="E139" s="9" t="n">
        <f aca="false">E138/($D$138/$D$55)</f>
        <v>0.714640530522361</v>
      </c>
      <c r="F139" s="9" t="n">
        <f aca="false">F138/($D$138/$D$55)</f>
        <v>1.07954014100058</v>
      </c>
      <c r="G139" s="9" t="n">
        <f aca="false">G138/($D$138/$D$55)</f>
        <v>1.84319507506173</v>
      </c>
      <c r="H139" s="9" t="n">
        <f aca="false">H138/($D$138/$D$55)</f>
        <v>3.31990626981361</v>
      </c>
      <c r="I139" s="9" t="n">
        <f aca="false">I138/($D$138/$D$55)</f>
        <v>5.91517091543553</v>
      </c>
      <c r="Q139" s="12" t="s">
        <v>2472</v>
      </c>
    </row>
    <row r="140" customFormat="false" ht="15" hidden="false" customHeight="false" outlineLevel="0" collapsed="false">
      <c r="A140" s="9" t="s">
        <v>2499</v>
      </c>
      <c r="B140" s="9" t="s">
        <v>2500</v>
      </c>
      <c r="C140" s="10" t="s">
        <v>560</v>
      </c>
      <c r="D140" s="9" t="n">
        <f aca="false">IF(D$6&lt;=INP_002,D139,MIN(D87*(1-INP_232)*(1-INP_233),D139))/D139</f>
        <v>1</v>
      </c>
      <c r="E140" s="9" t="n">
        <f aca="false">IF(E$6&lt;=INP_002,E139,MIN(E87*(1-INP_232)*(1-INP_233),E139))/E139</f>
        <v>1</v>
      </c>
      <c r="F140" s="9" t="n">
        <f aca="false">IF(F$6&lt;=INP_002,F139,MIN(F87*(1-INP_232)*(1-INP_233),F139))/F139</f>
        <v>1</v>
      </c>
      <c r="G140" s="9" t="n">
        <f aca="false">IF(G$6&lt;=INP_002,G139,MIN(G87*(1-INP_232)*(1-INP_233),G139))/G139</f>
        <v>1</v>
      </c>
      <c r="H140" s="9" t="n">
        <f aca="false">IF(H$6&lt;=INP_002,H139,MIN(H87*(1-INP_232)*(1-INP_233),H139))/H139</f>
        <v>1</v>
      </c>
      <c r="I140" s="9" t="n">
        <f aca="false">IF(I$6&lt;=INP_002,I139,MIN(I87*(1-INP_232)*(1-INP_233),I139))/I139</f>
        <v>1</v>
      </c>
      <c r="Q140" s="2"/>
    </row>
    <row r="141" customFormat="false" ht="15" hidden="false" customHeight="false" outlineLevel="0" collapsed="false">
      <c r="A141" s="9" t="s">
        <v>2501</v>
      </c>
      <c r="B141" s="9" t="s">
        <v>2502</v>
      </c>
      <c r="C141" s="10" t="s">
        <v>560</v>
      </c>
      <c r="D141" s="13" t="n">
        <f aca="false">D98+D22*(Inputs!$F$197-INP_204)</f>
        <v>0.229866534532792</v>
      </c>
      <c r="E141" s="13" t="n">
        <f aca="false">E98+E22*(Inputs!$F$197-INP_204)</f>
        <v>0.398059628716732</v>
      </c>
      <c r="F141" s="13" t="n">
        <f aca="false">F98+F22*(Inputs!$F$197-INP_204)</f>
        <v>0.596062362364795</v>
      </c>
      <c r="G141" s="13" t="n">
        <f aca="false">G98+G22*(Inputs!$F$197-INP_204)</f>
        <v>0.74491209721866</v>
      </c>
      <c r="H141" s="13" t="n">
        <f aca="false">H98+H22*(Inputs!$F$197-INP_204)</f>
        <v>0.825232109500565</v>
      </c>
      <c r="I141" s="13" t="n">
        <f aca="false">I98+I22*(Inputs!$F$197-INP_204)</f>
        <v>0.878812688920455</v>
      </c>
      <c r="Q141" s="2"/>
    </row>
    <row r="142" customFormat="false" ht="15" hidden="false" customHeight="false" outlineLevel="0" collapsed="false">
      <c r="A142" s="9" t="s">
        <v>2503</v>
      </c>
      <c r="B142" s="9" t="s">
        <v>2504</v>
      </c>
      <c r="C142" s="10" t="s">
        <v>560</v>
      </c>
      <c r="D142" s="13" t="n">
        <f aca="false">Inputs!$E$197</f>
        <v>0.6</v>
      </c>
      <c r="Q142" s="12" t="s">
        <v>2477</v>
      </c>
    </row>
    <row r="143" customFormat="false" ht="15" hidden="false" customHeight="false" outlineLevel="0" collapsed="false">
      <c r="A143" s="9" t="s">
        <v>2505</v>
      </c>
      <c r="B143" s="9" t="s">
        <v>2506</v>
      </c>
      <c r="C143" s="9" t="s">
        <v>375</v>
      </c>
      <c r="D143" s="13" t="n">
        <f aca="false">D47/(D38+D22*(Inputs!$E$197-INP_204)*D35)+D48/(D45+D22*(Inputs!$E$197-INP_204)*D42)</f>
        <v>0.195654979683935</v>
      </c>
      <c r="E143" s="13" t="n">
        <f aca="false">E47/(E38+E22*(Inputs!$E$197-INP_204)*E35)+E48/(E45+E22*(Inputs!$E$197-INP_204)*E42)</f>
        <v>0.194445640668086</v>
      </c>
      <c r="F143" s="13" t="n">
        <f aca="false">F47/(F38+F22*(Inputs!$E$197-INP_204)*F35)+F48/(F45+F22*(Inputs!$E$197-INP_204)*F42)</f>
        <v>0.291516611279292</v>
      </c>
      <c r="G143" s="13" t="n">
        <f aca="false">G47/(G38+G22*(Inputs!$E$197-INP_204)*G35)+G48/(G45+G22*(Inputs!$E$197-INP_204)*G42)</f>
        <v>0.494831947674026</v>
      </c>
      <c r="H143" s="13" t="n">
        <f aca="false">H47/(H38+H22*(Inputs!$E$197-INP_204)*H35)+H48/(H45+H22*(Inputs!$E$197-INP_204)*H42)</f>
        <v>0.884642024926167</v>
      </c>
      <c r="I143" s="13" t="n">
        <f aca="false">I47/(I38+I22*(Inputs!$E$197-INP_204)*I35)+I48/(I45+I22*(Inputs!$E$197-INP_204)*I42)</f>
        <v>1.56448714455414</v>
      </c>
      <c r="Q143" s="2" t="s">
        <v>2469</v>
      </c>
    </row>
    <row r="144" customFormat="false" ht="15" hidden="false" customHeight="false" outlineLevel="0" collapsed="false">
      <c r="A144" s="9" t="s">
        <v>2507</v>
      </c>
      <c r="B144" s="9" t="s">
        <v>2508</v>
      </c>
      <c r="C144" s="9" t="s">
        <v>375</v>
      </c>
      <c r="D144" s="9" t="n">
        <f aca="false">D143/($D$143/$D$55)</f>
        <v>0.7</v>
      </c>
      <c r="E144" s="9" t="n">
        <f aca="false">E143/($D$143/$D$55)</f>
        <v>0.695673315790576</v>
      </c>
      <c r="F144" s="9" t="n">
        <f aca="false">F143/($D$143/$D$55)</f>
        <v>1.04296669691285</v>
      </c>
      <c r="G144" s="9" t="n">
        <f aca="false">G143/($D$143/$D$55)</f>
        <v>1.77037335789445</v>
      </c>
      <c r="H144" s="9" t="n">
        <f aca="false">H143/($D$143/$D$55)</f>
        <v>3.16500718994562</v>
      </c>
      <c r="I144" s="9" t="n">
        <f aca="false">I143/($D$143/$D$55)</f>
        <v>5.5973070706251</v>
      </c>
      <c r="Q144" s="12" t="s">
        <v>2472</v>
      </c>
    </row>
    <row r="145" customFormat="false" ht="15" hidden="false" customHeight="false" outlineLevel="0" collapsed="false">
      <c r="A145" s="9" t="s">
        <v>2509</v>
      </c>
      <c r="B145" s="9" t="s">
        <v>2510</v>
      </c>
      <c r="C145" s="10" t="s">
        <v>560</v>
      </c>
      <c r="D145" s="9" t="n">
        <f aca="false">IF(D$6&lt;=INP_002,D144,MIN(D87*(1-INP_232)*(1-INP_233),D144))/D144</f>
        <v>1</v>
      </c>
      <c r="E145" s="9" t="n">
        <f aca="false">IF(E$6&lt;=INP_002,E144,MIN(E87*(1-INP_232)*(1-INP_233),E144))/E144</f>
        <v>1</v>
      </c>
      <c r="F145" s="9" t="n">
        <f aca="false">IF(F$6&lt;=INP_002,F144,MIN(F87*(1-INP_232)*(1-INP_233),F144))/F144</f>
        <v>1</v>
      </c>
      <c r="G145" s="9" t="n">
        <f aca="false">IF(G$6&lt;=INP_002,G144,MIN(G87*(1-INP_232)*(1-INP_233),G144))/G144</f>
        <v>1</v>
      </c>
      <c r="H145" s="9" t="n">
        <f aca="false">IF(H$6&lt;=INP_002,H144,MIN(H87*(1-INP_232)*(1-INP_233),H144))/H144</f>
        <v>1</v>
      </c>
      <c r="I145" s="9" t="n">
        <f aca="false">IF(I$6&lt;=INP_002,I144,MIN(I87*(1-INP_232)*(1-INP_233),I144))/I144</f>
        <v>1</v>
      </c>
      <c r="Q145" s="2"/>
    </row>
    <row r="146" customFormat="false" ht="15" hidden="false" customHeight="false" outlineLevel="0" collapsed="false">
      <c r="A146" s="9" t="s">
        <v>2511</v>
      </c>
      <c r="B146" s="9" t="s">
        <v>2512</v>
      </c>
      <c r="C146" s="10" t="s">
        <v>560</v>
      </c>
      <c r="D146" s="13" t="n">
        <f aca="false">D98+D22*(Inputs!$E$197-INP_204)</f>
        <v>0.229866534532792</v>
      </c>
      <c r="E146" s="13" t="n">
        <f aca="false">E98+E22*(Inputs!$E$197-INP_204)</f>
        <v>0.408059628716732</v>
      </c>
      <c r="F146" s="13" t="n">
        <f aca="false">F98+F22*(Inputs!$E$197-INP_204)</f>
        <v>0.616062362364795</v>
      </c>
      <c r="G146" s="13" t="n">
        <f aca="false">G98+G22*(Inputs!$E$197-INP_204)</f>
        <v>0.77491209721866</v>
      </c>
      <c r="H146" s="13" t="n">
        <f aca="false">H98+H22*(Inputs!$E$197-INP_204)</f>
        <v>0.865232109500565</v>
      </c>
      <c r="I146" s="13" t="n">
        <f aca="false">I98+I22*(Inputs!$E$197-INP_204)</f>
        <v>0.928812688920455</v>
      </c>
      <c r="Q146" s="2"/>
    </row>
    <row r="147" customFormat="false" ht="15" hidden="false" customHeight="false" outlineLevel="0" collapsed="false">
      <c r="A147" s="9" t="s">
        <v>2513</v>
      </c>
      <c r="B147" s="9" t="s">
        <v>2514</v>
      </c>
      <c r="C147" s="10" t="s">
        <v>560</v>
      </c>
      <c r="D147" s="13" t="n">
        <f aca="false">Inputs!$G$197</f>
        <v>1</v>
      </c>
      <c r="Q147" s="12" t="s">
        <v>2486</v>
      </c>
    </row>
    <row r="148" customFormat="false" ht="15" hidden="false" customHeight="false" outlineLevel="0" collapsed="false">
      <c r="A148" s="9" t="s">
        <v>2515</v>
      </c>
      <c r="B148" s="9" t="s">
        <v>2516</v>
      </c>
      <c r="C148" s="9" t="s">
        <v>375</v>
      </c>
      <c r="D148" s="13" t="n">
        <f aca="false">D47/(D38+D22*(Inputs!$G$197-INP_204)*D35)+D48/(D45+D22*(Inputs!$G$197-INP_204)*D42)</f>
        <v>0.195654979683935</v>
      </c>
      <c r="E148" s="13" t="n">
        <f aca="false">E47/(E38+E22*(Inputs!$G$197-INP_204)*E35)+E48/(E45+E22*(Inputs!$G$197-INP_204)*E42)</f>
        <v>0.184644907586536</v>
      </c>
      <c r="F148" s="13" t="n">
        <f aca="false">F47/(F38+F22*(Inputs!$G$197-INP_204)*F35)+F48/(F45+F22*(Inputs!$G$197-INP_204)*F42)</f>
        <v>0.273017907367506</v>
      </c>
      <c r="G148" s="13" t="n">
        <f aca="false">G47/(G38+G22*(Inputs!$G$197-INP_204)*G35)+G48/(G45+G22*(Inputs!$G$197-INP_204)*G42)</f>
        <v>0.458595308999043</v>
      </c>
      <c r="H148" s="13" t="n">
        <f aca="false">H47/(H38+H22*(Inputs!$G$197-INP_204)*H35)+H48/(H45+H22*(Inputs!$G$197-INP_204)*H42)</f>
        <v>0.809137160611288</v>
      </c>
      <c r="I148" s="13" t="n">
        <f aca="false">I47/(I38+I22*(Inputs!$G$197-INP_204)*I35)+I48/(I45+I22*(Inputs!$G$197-INP_204)*I42)</f>
        <v>1.41266251056705</v>
      </c>
      <c r="Q148" s="2" t="s">
        <v>2469</v>
      </c>
    </row>
    <row r="149" customFormat="false" ht="15" hidden="false" customHeight="false" outlineLevel="0" collapsed="false">
      <c r="A149" s="9" t="s">
        <v>2517</v>
      </c>
      <c r="B149" s="9" t="s">
        <v>2518</v>
      </c>
      <c r="C149" s="9" t="s">
        <v>375</v>
      </c>
      <c r="D149" s="9" t="n">
        <f aca="false">D148/($D$148/$D$55)</f>
        <v>0.7</v>
      </c>
      <c r="E149" s="9" t="n">
        <f aca="false">E148/($D$148/$D$55)</f>
        <v>0.660608973609417</v>
      </c>
      <c r="F149" s="9" t="n">
        <f aca="false">F148/($D$148/$D$55)</f>
        <v>0.976783394248292</v>
      </c>
      <c r="G149" s="9" t="n">
        <f aca="false">G148/($D$148/$D$55)</f>
        <v>1.64072857648657</v>
      </c>
      <c r="H149" s="9" t="n">
        <f aca="false">H148/($D$148/$D$55)</f>
        <v>2.89487143819631</v>
      </c>
      <c r="I149" s="9" t="n">
        <f aca="false">I148/($D$148/$D$55)</f>
        <v>5.05412005865821</v>
      </c>
      <c r="Q149" s="12" t="s">
        <v>2472</v>
      </c>
    </row>
    <row r="150" customFormat="false" ht="15" hidden="false" customHeight="false" outlineLevel="0" collapsed="false">
      <c r="A150" s="9" t="s">
        <v>2519</v>
      </c>
      <c r="B150" s="9" t="s">
        <v>2520</v>
      </c>
      <c r="C150" s="10" t="s">
        <v>560</v>
      </c>
      <c r="D150" s="9" t="n">
        <f aca="false">IF(D$6&lt;=INP_002,D149,MIN(D87*(1-INP_232)*(1-INP_233),D149))/D149</f>
        <v>1</v>
      </c>
      <c r="E150" s="9" t="n">
        <f aca="false">IF(E$6&lt;=INP_002,E149,MIN(E87*(1-INP_232)*(1-INP_233),E149))/E149</f>
        <v>1</v>
      </c>
      <c r="F150" s="9" t="n">
        <f aca="false">IF(F$6&lt;=INP_002,F149,MIN(F87*(1-INP_232)*(1-INP_233),F149))/F149</f>
        <v>1</v>
      </c>
      <c r="G150" s="9" t="n">
        <f aca="false">IF(G$6&lt;=INP_002,G149,MIN(G87*(1-INP_232)*(1-INP_233),G149))/G149</f>
        <v>1</v>
      </c>
      <c r="H150" s="9" t="n">
        <f aca="false">IF(H$6&lt;=INP_002,H149,MIN(H87*(1-INP_232)*(1-INP_233),H149))/H149</f>
        <v>1</v>
      </c>
      <c r="I150" s="9" t="n">
        <f aca="false">IF(I$6&lt;=INP_002,I149,MIN(I87*(1-INP_232)*(1-INP_233),I149))/I149</f>
        <v>1</v>
      </c>
      <c r="Q150" s="2"/>
    </row>
    <row r="151" customFormat="false" ht="15" hidden="false" customHeight="false" outlineLevel="0" collapsed="false">
      <c r="A151" s="9" t="s">
        <v>2521</v>
      </c>
      <c r="B151" s="9" t="s">
        <v>2522</v>
      </c>
      <c r="C151" s="10" t="s">
        <v>560</v>
      </c>
      <c r="D151" s="13" t="n">
        <f aca="false">D98+D22*(Inputs!$G$197-INP_204)</f>
        <v>0.229866534532792</v>
      </c>
      <c r="E151" s="13" t="n">
        <f aca="false">E98+E22*(Inputs!$G$197-INP_204)</f>
        <v>0.428059628716732</v>
      </c>
      <c r="F151" s="13" t="n">
        <f aca="false">F98+F22*(Inputs!$G$197-INP_204)</f>
        <v>0.656062362364795</v>
      </c>
      <c r="G151" s="13" t="n">
        <f aca="false">G98+G22*(Inputs!$G$197-INP_204)</f>
        <v>0.834912097218659</v>
      </c>
      <c r="H151" s="13" t="n">
        <f aca="false">H98+H22*(Inputs!$G$197-INP_204)</f>
        <v>0.945232109500565</v>
      </c>
      <c r="I151" s="13" t="n">
        <f aca="false">I98+I22*(Inputs!$G$197-INP_204)</f>
        <v>1.02881268892046</v>
      </c>
      <c r="Q151" s="2"/>
    </row>
    <row r="152" customFormat="false" ht="15" hidden="false" customHeight="false" outlineLevel="0" collapsed="false">
      <c r="A152" s="14" t="s">
        <v>2523</v>
      </c>
    </row>
    <row r="153" customFormat="false" ht="15" hidden="false" customHeight="false" outlineLevel="0" collapsed="false">
      <c r="A153" s="9" t="s">
        <v>2524</v>
      </c>
      <c r="B153" s="10" t="s">
        <v>2525</v>
      </c>
      <c r="C153" s="9" t="s">
        <v>68</v>
      </c>
      <c r="D153" s="9" t="n">
        <f aca="false">INP_186</f>
        <v>0</v>
      </c>
      <c r="E153" s="9" t="n">
        <f aca="false">INP_187</f>
        <v>20</v>
      </c>
      <c r="F153" s="9" t="n">
        <f aca="false">INP_188</f>
        <v>30</v>
      </c>
      <c r="G153" s="9" t="n">
        <f aca="false">INP_189</f>
        <v>45</v>
      </c>
      <c r="H153" s="9" t="n">
        <f aca="false">INP_190</f>
        <v>60</v>
      </c>
      <c r="I153" s="9" t="n">
        <f aca="false">INP_191</f>
        <v>70</v>
      </c>
      <c r="Q153" s="12" t="s">
        <v>2526</v>
      </c>
    </row>
    <row r="154" customFormat="false" ht="15" hidden="false" customHeight="false" outlineLevel="0" collapsed="false">
      <c r="A154" s="9" t="s">
        <v>2527</v>
      </c>
      <c r="B154" s="10" t="s">
        <v>2528</v>
      </c>
      <c r="C154" s="9" t="s">
        <v>68</v>
      </c>
      <c r="D154" s="9" t="n">
        <f aca="false">SUMPRODUCT(($D$6:$I$6&lt;=D$6-INP_262)*($D$153:$I$153))</f>
        <v>0</v>
      </c>
      <c r="E154" s="9" t="n">
        <f aca="false">SUMPRODUCT(($D$6:$I$6&lt;=E$6-INP_262)*($D$153:$I$153))</f>
        <v>0</v>
      </c>
      <c r="F154" s="9" t="n">
        <f aca="false">SUMPRODUCT(($D$6:$I$6&lt;=F$6-INP_262)*($D$153:$I$153))</f>
        <v>20</v>
      </c>
      <c r="G154" s="9" t="n">
        <f aca="false">SUMPRODUCT(($D$6:$I$6&lt;=G$6-INP_262)*($D$153:$I$153))</f>
        <v>50</v>
      </c>
      <c r="H154" s="9" t="n">
        <f aca="false">SUMPRODUCT(($D$6:$I$6&lt;=H$6-INP_262)*($D$153:$I$153))</f>
        <v>95</v>
      </c>
      <c r="I154" s="9" t="n">
        <f aca="false">SUMPRODUCT(($D$6:$I$6&lt;=I$6-INP_262)*($D$153:$I$153))</f>
        <v>155</v>
      </c>
      <c r="Q154" s="12" t="s">
        <v>2529</v>
      </c>
    </row>
    <row r="155" customFormat="false" ht="15" hidden="false" customHeight="false" outlineLevel="0" collapsed="false">
      <c r="A155" s="9" t="s">
        <v>2530</v>
      </c>
      <c r="B155" s="10" t="s">
        <v>2531</v>
      </c>
      <c r="C155" s="9" t="s">
        <v>2532</v>
      </c>
      <c r="D155" s="9" t="n">
        <f aca="false">SUMIFS(TK_IF_CapexTotal,TK_HdrGen,$G$8,TK_HdrCost,$G$9)</f>
        <v>50.256352</v>
      </c>
      <c r="E155" s="9" t="n">
        <f aca="false">SUMIFS(TK_IF_CapexTotal,TK_HdrGen,$G$8,TK_HdrCost,$G$9)</f>
        <v>50.256352</v>
      </c>
      <c r="F155" s="9" t="n">
        <f aca="false">SUMIFS(TK_IF_CapexTotal,TK_HdrGen,$G$8,TK_HdrCost,$G$9)</f>
        <v>50.256352</v>
      </c>
      <c r="G155" s="9" t="n">
        <f aca="false">SUMIFS(TK_IF_CapexTotal,TK_HdrGen,$G$8,TK_HdrCost,$G$9)</f>
        <v>50.256352</v>
      </c>
      <c r="H155" s="9" t="n">
        <f aca="false">SUMIFS(TK_IF_CapexTotal,TK_HdrGen,$G$8,TK_HdrCost,$G$9)</f>
        <v>50.256352</v>
      </c>
      <c r="I155" s="9" t="n">
        <f aca="false">SUMIFS(TK_IF_CapexTotal,TK_HdrGen,$G$8,TK_HdrCost,$G$9)</f>
        <v>50.256352</v>
      </c>
      <c r="Q155" s="12" t="s">
        <v>2533</v>
      </c>
    </row>
    <row r="156" customFormat="false" ht="15" hidden="false" customHeight="false" outlineLevel="0" collapsed="false">
      <c r="A156" s="9" t="s">
        <v>2534</v>
      </c>
      <c r="B156" s="10" t="s">
        <v>2535</v>
      </c>
      <c r="C156" s="9" t="s">
        <v>375</v>
      </c>
      <c r="D156" s="9" t="n">
        <f aca="false">D154/D155</f>
        <v>0</v>
      </c>
      <c r="E156" s="9" t="n">
        <f aca="false">E154/E155</f>
        <v>0</v>
      </c>
      <c r="F156" s="9" t="n">
        <f aca="false">F154/F155</f>
        <v>0.397959644981793</v>
      </c>
      <c r="G156" s="9" t="n">
        <f aca="false">G154/G155</f>
        <v>0.994899112454481</v>
      </c>
      <c r="H156" s="9" t="n">
        <f aca="false">H154/H155</f>
        <v>1.89030831366351</v>
      </c>
      <c r="I156" s="9" t="n">
        <f aca="false">I154/I155</f>
        <v>3.08418724860889</v>
      </c>
      <c r="Q156" s="2" t="s">
        <v>2536</v>
      </c>
    </row>
    <row r="157" customFormat="false" ht="15" hidden="false" customHeight="false" outlineLevel="0" collapsed="false">
      <c r="A157" s="9" t="s">
        <v>2537</v>
      </c>
      <c r="B157" s="10" t="s">
        <v>2538</v>
      </c>
      <c r="C157" s="9" t="s">
        <v>375</v>
      </c>
      <c r="D157" s="9" t="n">
        <f aca="false">D85+D86</f>
        <v>1.22960317460317</v>
      </c>
      <c r="E157" s="9" t="n">
        <f aca="false">E85+E86</f>
        <v>2.83420634920635</v>
      </c>
      <c r="F157" s="9" t="n">
        <f aca="false">F85+F86</f>
        <v>8.93880952380953</v>
      </c>
      <c r="G157" s="9" t="n">
        <f aca="false">G85+G86</f>
        <v>10.5434126984127</v>
      </c>
      <c r="H157" s="9" t="n">
        <f aca="false">H85+H86</f>
        <v>12.1480158730159</v>
      </c>
      <c r="I157" s="9" t="n">
        <f aca="false">I85+I86</f>
        <v>13.0059523809524</v>
      </c>
      <c r="Q157" s="2" t="s">
        <v>2539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2540</v>
      </c>
    </row>
    <row r="2" customFormat="false" ht="15" hidden="false" customHeight="false" outlineLevel="0" collapsed="false">
      <c r="A2" s="12" t="s">
        <v>2541</v>
      </c>
    </row>
    <row r="3" customFormat="false" ht="15" hidden="false" customHeight="false" outlineLevel="0" collapsed="false">
      <c r="A3" s="2" t="s">
        <v>2542</v>
      </c>
    </row>
    <row r="5" customFormat="false" ht="15" hidden="false" customHeight="false" outlineLevel="0" collapsed="false">
      <c r="A5" s="8" t="s">
        <v>1793</v>
      </c>
      <c r="B5" s="8" t="s">
        <v>1794</v>
      </c>
      <c r="C5" s="8" t="s">
        <v>46</v>
      </c>
      <c r="D5" s="7" t="s">
        <v>411</v>
      </c>
      <c r="E5" s="7" t="s">
        <v>423</v>
      </c>
      <c r="F5" s="7" t="s">
        <v>1170</v>
      </c>
      <c r="G5" s="7" t="s">
        <v>1172</v>
      </c>
      <c r="H5" s="7" t="s">
        <v>1174</v>
      </c>
      <c r="I5" s="7" t="s">
        <v>1176</v>
      </c>
      <c r="J5" s="8"/>
      <c r="K5" s="7" t="s">
        <v>1870</v>
      </c>
      <c r="L5" s="7" t="s">
        <v>1871</v>
      </c>
      <c r="M5" s="7" t="s">
        <v>1872</v>
      </c>
      <c r="N5" s="7" t="s">
        <v>1873</v>
      </c>
      <c r="O5" s="7" t="s">
        <v>1874</v>
      </c>
      <c r="P5" s="7" t="s">
        <v>1875</v>
      </c>
      <c r="Q5" s="8" t="s">
        <v>777</v>
      </c>
    </row>
    <row r="6" customFormat="false" ht="15" hidden="false" customHeight="false" outlineLevel="0" collapsed="false">
      <c r="B6" s="3" t="s">
        <v>1876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2543</v>
      </c>
    </row>
    <row r="8" customFormat="false" ht="15" hidden="false" customHeight="false" outlineLevel="0" collapsed="false">
      <c r="A8" s="9" t="s">
        <v>2544</v>
      </c>
      <c r="B8" s="9" t="s">
        <v>2545</v>
      </c>
      <c r="C8" s="10" t="s">
        <v>193</v>
      </c>
      <c r="D8" s="13" t="str">
        <f aca="false">Compute!D8</f>
        <v>Hopper H100</v>
      </c>
      <c r="E8" s="13" t="str">
        <f aca="false">Compute!E8</f>
        <v>GB200 NVL72</v>
      </c>
      <c r="F8" s="13" t="str">
        <f aca="false">Compute!F8</f>
        <v>GB300 NVL72</v>
      </c>
      <c r="G8" s="13" t="str">
        <f aca="false">Compute!G8</f>
        <v>VR200 NVL72</v>
      </c>
      <c r="H8" s="13" t="str">
        <f aca="false">Compute!H8</f>
        <v>Rubin Ultra（MGX NVL 單架，72 GPU）</v>
      </c>
      <c r="Q8" s="12" t="s">
        <v>2546</v>
      </c>
    </row>
    <row r="9" customFormat="false" ht="15" hidden="false" customHeight="false" outlineLevel="0" collapsed="false">
      <c r="A9" s="9" t="s">
        <v>2547</v>
      </c>
      <c r="B9" s="10" t="s">
        <v>2548</v>
      </c>
      <c r="C9" s="10" t="s">
        <v>193</v>
      </c>
      <c r="D9" s="10" t="s">
        <v>772</v>
      </c>
      <c r="E9" s="10" t="s">
        <v>772</v>
      </c>
      <c r="F9" s="10" t="s">
        <v>772</v>
      </c>
      <c r="G9" s="10" t="s">
        <v>772</v>
      </c>
      <c r="H9" s="10" t="s">
        <v>772</v>
      </c>
      <c r="Q9" s="12" t="s">
        <v>2549</v>
      </c>
    </row>
    <row r="10" customFormat="false" ht="15" hidden="false" customHeight="false" outlineLevel="0" collapsed="false">
      <c r="A10" s="9" t="s">
        <v>2550</v>
      </c>
      <c r="B10" s="10" t="s">
        <v>2551</v>
      </c>
      <c r="C10" s="10" t="s">
        <v>193</v>
      </c>
      <c r="D10" s="13" t="str">
        <f aca="false">Compute!D9</f>
        <v>基準</v>
      </c>
      <c r="E10" s="13" t="str">
        <f aca="false">Compute!E9</f>
        <v>基準</v>
      </c>
      <c r="F10" s="13" t="str">
        <f aca="false">Compute!F9</f>
        <v>基準</v>
      </c>
      <c r="G10" s="13" t="str">
        <f aca="false">Compute!G9</f>
        <v>基準</v>
      </c>
      <c r="H10" s="13" t="str">
        <f aca="false">Compute!H9</f>
        <v>基準</v>
      </c>
      <c r="Q10" s="2"/>
    </row>
    <row r="11" customFormat="false" ht="15" hidden="false" customHeight="false" outlineLevel="0" collapsed="false">
      <c r="A11" s="9" t="s">
        <v>2552</v>
      </c>
      <c r="B11" s="10" t="s">
        <v>2553</v>
      </c>
      <c r="C11" s="10" t="s">
        <v>193</v>
      </c>
      <c r="D11" s="10" t="s">
        <v>774</v>
      </c>
      <c r="E11" s="10" t="s">
        <v>774</v>
      </c>
      <c r="F11" s="10" t="s">
        <v>774</v>
      </c>
      <c r="G11" s="10" t="s">
        <v>774</v>
      </c>
      <c r="H11" s="10" t="s">
        <v>774</v>
      </c>
      <c r="Q11" s="2"/>
    </row>
    <row r="12" customFormat="false" ht="15" hidden="false" customHeight="false" outlineLevel="0" collapsed="false">
      <c r="A12" s="9" t="s">
        <v>2554</v>
      </c>
      <c r="B12" s="10" t="s">
        <v>2555</v>
      </c>
      <c r="C12" s="9" t="s">
        <v>1566</v>
      </c>
      <c r="D12" s="9" t="n">
        <f aca="false">SUMIFS(TK_IF_HoldEcon,TK_HdrGen,D$8,TK_HdrCost,D$10)</f>
        <v>10.0957952959174</v>
      </c>
      <c r="E12" s="9" t="n">
        <f aca="false">SUMIFS(TK_IF_HoldEcon,TK_HdrGen,E$8,TK_HdrCost,E$10)</f>
        <v>9.17098191725462</v>
      </c>
      <c r="F12" s="9" t="n">
        <f aca="false">SUMIFS(TK_IF_HoldEcon,TK_HdrGen,F$8,TK_HdrCost,F$10)</f>
        <v>12.7247463559608</v>
      </c>
      <c r="G12" s="9" t="n">
        <f aca="false">SUMIFS(TK_IF_HoldEcon,TK_HdrGen,G$8,TK_HdrCost,G$10)</f>
        <v>12.7620157762701</v>
      </c>
      <c r="H12" s="9" t="n">
        <f aca="false">SUMIFS(TK_IF_HoldEcon,TK_HdrGen,H$8,TK_HdrCost,H$10)</f>
        <v>16.0694566753819</v>
      </c>
      <c r="I12" s="9" t="n">
        <f aca="false">$G$12*INP_204</f>
        <v>7.65720946576206</v>
      </c>
      <c r="Q12" s="12" t="s">
        <v>2556</v>
      </c>
    </row>
    <row r="13" customFormat="false" ht="15" hidden="false" customHeight="false" outlineLevel="0" collapsed="false">
      <c r="A13" s="9" t="s">
        <v>2557</v>
      </c>
      <c r="B13" s="10" t="s">
        <v>2558</v>
      </c>
      <c r="C13" s="9" t="s">
        <v>1566</v>
      </c>
      <c r="D13" s="9" t="n">
        <f aca="false">SUMIFS(TK_IF_HoldEcon,TK_HdrGen,D$8,TK_HdrCost,D$9)</f>
        <v>7.0000433103819</v>
      </c>
      <c r="E13" s="9" t="n">
        <f aca="false">SUMIFS(TK_IF_HoldEcon,TK_HdrGen,E$8,TK_HdrCost,E$9)</f>
        <v>6.81316695089878</v>
      </c>
      <c r="F13" s="9" t="n">
        <f aca="false">SUMIFS(TK_IF_HoldEcon,TK_HdrGen,F$8,TK_HdrCost,F$9)</f>
        <v>8.70747076237914</v>
      </c>
      <c r="G13" s="9" t="n">
        <f aca="false">SUMIFS(TK_IF_HoldEcon,TK_HdrGen,G$8,TK_HdrCost,G$9)</f>
        <v>9.83668060375303</v>
      </c>
      <c r="H13" s="9" t="n">
        <f aca="false">SUMIFS(TK_IF_HoldEcon,TK_HdrGen,H$8,TK_HdrCost,H$9)</f>
        <v>10.4522416094636</v>
      </c>
      <c r="I13" s="9" t="n">
        <f aca="false">$G$13*INP_204</f>
        <v>5.90200836225182</v>
      </c>
      <c r="Q13" s="12" t="s">
        <v>2556</v>
      </c>
    </row>
    <row r="14" customFormat="false" ht="15" hidden="false" customHeight="false" outlineLevel="0" collapsed="false">
      <c r="A14" s="9" t="s">
        <v>2559</v>
      </c>
      <c r="B14" s="10" t="s">
        <v>2560</v>
      </c>
      <c r="C14" s="9" t="s">
        <v>1566</v>
      </c>
      <c r="D14" s="9" t="n">
        <f aca="false">SUMIFS(TK_IF_HoldEcon,TK_HdrGen,D$8,TK_HdrCost,D$11)</f>
        <v>17.4059720636914</v>
      </c>
      <c r="E14" s="9" t="n">
        <f aca="false">SUMIFS(TK_IF_HoldEcon,TK_HdrGen,E$8,TK_HdrCost,E$11)</f>
        <v>14.9200285257983</v>
      </c>
      <c r="F14" s="9" t="n">
        <f aca="false">SUMIFS(TK_IF_HoldEcon,TK_HdrGen,F$8,TK_HdrCost,F$11)</f>
        <v>23.87186935202</v>
      </c>
      <c r="G14" s="9" t="n">
        <f aca="false">SUMIFS(TK_IF_HoldEcon,TK_HdrGen,G$8,TK_HdrCost,G$11)</f>
        <v>20.6780894215396</v>
      </c>
      <c r="H14" s="9" t="n">
        <f aca="false">SUMIFS(TK_IF_HoldEcon,TK_HdrGen,H$8,TK_HdrCost,H$11)</f>
        <v>29.454615058956</v>
      </c>
      <c r="I14" s="9" t="n">
        <f aca="false">$G$14*INP_204</f>
        <v>12.4068536529238</v>
      </c>
      <c r="Q14" s="12" t="s">
        <v>2556</v>
      </c>
    </row>
    <row r="15" customFormat="false" ht="15" hidden="false" customHeight="false" outlineLevel="0" collapsed="false">
      <c r="A15" s="9" t="s">
        <v>2561</v>
      </c>
      <c r="B15" s="10" t="s">
        <v>2562</v>
      </c>
      <c r="C15" s="9" t="s">
        <v>2532</v>
      </c>
      <c r="D15" s="9" t="n">
        <f aca="false">SUMIFS(TK_IF_CapexTotal,TK_HdrGen,D$8,TK_HdrCost,D$10)</f>
        <v>40.180214</v>
      </c>
      <c r="E15" s="9" t="n">
        <f aca="false">SUMIFS(TK_IF_CapexTotal,TK_HdrGen,E$8,TK_HdrCost,E$10)</f>
        <v>36.685174</v>
      </c>
      <c r="F15" s="9" t="n">
        <f aca="false">SUMIFS(TK_IF_CapexTotal,TK_HdrGen,F$8,TK_HdrCost,F$10)</f>
        <v>50.115504</v>
      </c>
      <c r="G15" s="9" t="n">
        <f aca="false">SUMIFS(TK_IF_CapexTotal,TK_HdrGen,G$8,TK_HdrCost,G$10)</f>
        <v>50.256352</v>
      </c>
      <c r="H15" s="9" t="n">
        <f aca="false">SUMIFS(TK_IF_CapexTotal,TK_HdrGen,H$8,TK_HdrCost,H$10)</f>
        <v>62.75578</v>
      </c>
      <c r="Q15" s="12" t="s">
        <v>2563</v>
      </c>
    </row>
    <row r="16" customFormat="false" ht="15" hidden="false" customHeight="false" outlineLevel="0" collapsed="false">
      <c r="A16" s="14" t="s">
        <v>2564</v>
      </c>
    </row>
    <row r="17" customFormat="false" ht="15" hidden="false" customHeight="false" outlineLevel="0" collapsed="false">
      <c r="A17" s="9" t="s">
        <v>2565</v>
      </c>
      <c r="B17" s="10" t="s">
        <v>2566</v>
      </c>
      <c r="C17" s="9" t="s">
        <v>68</v>
      </c>
      <c r="D17" s="9" t="n">
        <f aca="false">IF((D$6&gt;=INP_182)*(D$6&lt;=INP_183),IF(INP_181="even",SRC_OAI_057/(INP_183-INP_182+1),SRC_OAI_057*(D$6-INP_182+1)/((INP_183-INP_182+1)*((INP_183-INP_182+1)+1)/INP_261)),(D$6&gt;=INP_182)*(D$6&lt;=INP_183))</f>
        <v>11.9047619047619</v>
      </c>
      <c r="E17" s="9" t="n">
        <f aca="false">IF((E$6&gt;=INP_182)*(E$6&lt;=INP_183),IF(INP_181="even",SRC_OAI_057/(INP_183-INP_182+1),SRC_OAI_057*(E$6-INP_182+1)/((INP_183-INP_182+1)*((INP_183-INP_182+1)+1)/INP_261)),(E$6&gt;=INP_182)*(E$6&lt;=INP_183))</f>
        <v>23.8095238095238</v>
      </c>
      <c r="F17" s="9" t="n">
        <f aca="false">IF((F$6&gt;=INP_182)*(F$6&lt;=INP_183),IF(INP_181="even",SRC_OAI_057/(INP_183-INP_182+1),SRC_OAI_057*(F$6-INP_182+1)/((INP_183-INP_182+1)*((INP_183-INP_182+1)+1)/INP_261)),(F$6&gt;=INP_182)*(F$6&lt;=INP_183))</f>
        <v>35.7142857142857</v>
      </c>
      <c r="G17" s="9" t="n">
        <f aca="false">IF((G$6&gt;=INP_182)*(G$6&lt;=INP_183),IF(INP_181="even",SRC_OAI_057/(INP_183-INP_182+1),SRC_OAI_057*(G$6-INP_182+1)/((INP_183-INP_182+1)*((INP_183-INP_182+1)+1)/INP_261)),(G$6&gt;=INP_182)*(G$6&lt;=INP_183))</f>
        <v>47.6190476190476</v>
      </c>
      <c r="H17" s="9" t="n">
        <f aca="false">IF((H$6&gt;=INP_182)*(H$6&lt;=INP_183),IF(INP_181="even",SRC_OAI_057/(INP_183-INP_182+1),SRC_OAI_057*(H$6-INP_182+1)/((INP_183-INP_182+1)*((INP_183-INP_182+1)+1)/INP_261)),(H$6&gt;=INP_182)*(H$6&lt;=INP_183))</f>
        <v>59.5238095238095</v>
      </c>
      <c r="I17" s="9" t="n">
        <f aca="false">IF((I$6&gt;=INP_182)*(I$6&lt;=INP_183),IF(INP_181="even",SRC_OAI_057/(INP_183-INP_182+1),SRC_OAI_057*(I$6-INP_182+1)/((INP_183-INP_182+1)*((INP_183-INP_182+1)+1)/INP_261)),(I$6&gt;=INP_182)*(I$6&lt;=INP_183))</f>
        <v>71.4285714285714</v>
      </c>
      <c r="K17" s="2" t="n">
        <v>11.9047619047619</v>
      </c>
      <c r="L17" s="2" t="n">
        <v>23.8095238095238</v>
      </c>
      <c r="M17" s="2" t="n">
        <v>35.7142857142857</v>
      </c>
      <c r="N17" s="2" t="n">
        <v>47.6190476190476</v>
      </c>
      <c r="O17" s="2" t="n">
        <v>59.5238095238095</v>
      </c>
      <c r="P17" s="2" t="n">
        <v>71.4285714285714</v>
      </c>
      <c r="Q17" s="2" t="s">
        <v>2567</v>
      </c>
    </row>
    <row r="18" customFormat="false" ht="15" hidden="false" customHeight="false" outlineLevel="0" collapsed="false">
      <c r="A18" s="9" t="s">
        <v>2568</v>
      </c>
      <c r="B18" s="10" t="s">
        <v>2569</v>
      </c>
      <c r="C18" s="9" t="s">
        <v>68</v>
      </c>
      <c r="D18" s="9" t="n">
        <f aca="false">IF((D$6&gt;=SRC_OAI_059)*(D$6&lt;=SRC_OAI_060),SRC_OAI_058/(SRC_OAI_060-SRC_OAI_059+1),(D$6&gt;=SRC_OAI_059)*(D$6&lt;=SRC_OAI_060))</f>
        <v>0</v>
      </c>
      <c r="E18" s="9" t="n">
        <f aca="false">IF((E$6&gt;=SRC_OAI_059)*(E$6&lt;=SRC_OAI_060),SRC_OAI_058/(SRC_OAI_060-SRC_OAI_059+1),(E$6&gt;=SRC_OAI_059)*(E$6&lt;=SRC_OAI_060))</f>
        <v>0</v>
      </c>
      <c r="F18" s="9" t="n">
        <f aca="false">IF((F$6&gt;=SRC_OAI_059)*(F$6&lt;=SRC_OAI_060),SRC_OAI_058/(SRC_OAI_060-SRC_OAI_059+1),(F$6&gt;=SRC_OAI_059)*(F$6&lt;=SRC_OAI_060))</f>
        <v>60</v>
      </c>
      <c r="G18" s="9" t="n">
        <f aca="false">IF((G$6&gt;=SRC_OAI_059)*(G$6&lt;=SRC_OAI_060),SRC_OAI_058/(SRC_OAI_060-SRC_OAI_059+1),(G$6&gt;=SRC_OAI_059)*(G$6&lt;=SRC_OAI_060))</f>
        <v>60</v>
      </c>
      <c r="H18" s="9" t="n">
        <f aca="false">IF((H$6&gt;=SRC_OAI_059)*(H$6&lt;=SRC_OAI_060),SRC_OAI_058/(SRC_OAI_060-SRC_OAI_059+1),(H$6&gt;=SRC_OAI_059)*(H$6&lt;=SRC_OAI_060))</f>
        <v>60</v>
      </c>
      <c r="I18" s="9" t="n">
        <f aca="false">IF((I$6&gt;=SRC_OAI_059)*(I$6&lt;=SRC_OAI_060),SRC_OAI_058/(SRC_OAI_060-SRC_OAI_059+1),(I$6&gt;=SRC_OAI_059)*(I$6&lt;=SRC_OAI_060))</f>
        <v>60</v>
      </c>
      <c r="K18" s="2" t="n">
        <v>0</v>
      </c>
      <c r="L18" s="2" t="n">
        <v>0</v>
      </c>
      <c r="M18" s="2" t="n">
        <v>60</v>
      </c>
      <c r="N18" s="2" t="n">
        <v>60</v>
      </c>
      <c r="O18" s="2" t="n">
        <v>60</v>
      </c>
      <c r="P18" s="2" t="n">
        <v>60</v>
      </c>
      <c r="Q18" s="2" t="s">
        <v>2570</v>
      </c>
    </row>
    <row r="19" customFormat="false" ht="15" hidden="false" customHeight="false" outlineLevel="0" collapsed="false">
      <c r="A19" s="9" t="s">
        <v>2571</v>
      </c>
      <c r="B19" s="10" t="s">
        <v>2572</v>
      </c>
      <c r="C19" s="9" t="s">
        <v>68</v>
      </c>
      <c r="D19" s="9" t="n">
        <f aca="false">IF((D$6&gt;=SRC_OAI_063)*(D$6&lt;=SRC_OAI_064),IF(INP_181="even",SRC_OAI_062/(SRC_OAI_064-SRC_OAI_063+1),SRC_OAI_062*(D$6-SRC_OAI_063+1)/((SRC_OAI_064-SRC_OAI_063+1)*((SRC_OAI_064-SRC_OAI_063+1)+1)/INP_261)),(D$6&gt;=SRC_OAI_063)*(D$6&lt;=SRC_OAI_064))</f>
        <v>1.35714285714286</v>
      </c>
      <c r="E19" s="9" t="n">
        <f aca="false">IF((E$6&gt;=SRC_OAI_063)*(E$6&lt;=SRC_OAI_064),IF(INP_181="even",SRC_OAI_062/(SRC_OAI_064-SRC_OAI_063+1),SRC_OAI_062*(E$6-SRC_OAI_063+1)/((SRC_OAI_064-SRC_OAI_063+1)*((SRC_OAI_064-SRC_OAI_063+1)+1)/INP_261)),(E$6&gt;=SRC_OAI_063)*(E$6&lt;=SRC_OAI_064))</f>
        <v>2.71428571428571</v>
      </c>
      <c r="F19" s="9" t="n">
        <f aca="false">IF((F$6&gt;=SRC_OAI_063)*(F$6&lt;=SRC_OAI_064),IF(INP_181="even",SRC_OAI_062/(SRC_OAI_064-SRC_OAI_063+1),SRC_OAI_062*(F$6-SRC_OAI_063+1)/((SRC_OAI_064-SRC_OAI_063+1)*((SRC_OAI_064-SRC_OAI_063+1)+1)/INP_261)),(F$6&gt;=SRC_OAI_063)*(F$6&lt;=SRC_OAI_064))</f>
        <v>4.07142857142857</v>
      </c>
      <c r="G19" s="9" t="n">
        <f aca="false">IF((G$6&gt;=SRC_OAI_063)*(G$6&lt;=SRC_OAI_064),IF(INP_181="even",SRC_OAI_062/(SRC_OAI_064-SRC_OAI_063+1),SRC_OAI_062*(G$6-SRC_OAI_063+1)/((SRC_OAI_064-SRC_OAI_063+1)*((SRC_OAI_064-SRC_OAI_063+1)+1)/INP_261)),(G$6&gt;=SRC_OAI_063)*(G$6&lt;=SRC_OAI_064))</f>
        <v>5.42857142857143</v>
      </c>
      <c r="H19" s="9" t="n">
        <f aca="false">IF((H$6&gt;=SRC_OAI_063)*(H$6&lt;=SRC_OAI_064),IF(INP_181="even",SRC_OAI_062/(SRC_OAI_064-SRC_OAI_063+1),SRC_OAI_062*(H$6-SRC_OAI_063+1)/((SRC_OAI_064-SRC_OAI_063+1)*((SRC_OAI_064-SRC_OAI_063+1)+1)/INP_261)),(H$6&gt;=SRC_OAI_063)*(H$6&lt;=SRC_OAI_064))</f>
        <v>6.78571428571429</v>
      </c>
      <c r="I19" s="9" t="n">
        <f aca="false">IF((I$6&gt;=SRC_OAI_063)*(I$6&lt;=SRC_OAI_064),IF(INP_181="even",SRC_OAI_062/(SRC_OAI_064-SRC_OAI_063+1),SRC_OAI_062*(I$6-SRC_OAI_063+1)/((SRC_OAI_064-SRC_OAI_063+1)*((SRC_OAI_064-SRC_OAI_063+1)+1)/INP_261)),(I$6&gt;=SRC_OAI_063)*(I$6&lt;=SRC_OAI_064))</f>
        <v>8.14285714285714</v>
      </c>
      <c r="K19" s="2" t="n">
        <v>1.35714285714286</v>
      </c>
      <c r="L19" s="2" t="n">
        <v>2.71428571428571</v>
      </c>
      <c r="M19" s="2" t="n">
        <v>4.07142857142857</v>
      </c>
      <c r="N19" s="2" t="n">
        <v>5.42857142857143</v>
      </c>
      <c r="O19" s="2" t="n">
        <v>6.78571428571429</v>
      </c>
      <c r="P19" s="2" t="n">
        <v>8.14285714285714</v>
      </c>
      <c r="Q19" s="2" t="s">
        <v>2567</v>
      </c>
    </row>
    <row r="20" customFormat="false" ht="15" hidden="false" customHeight="false" outlineLevel="0" collapsed="false">
      <c r="A20" s="9" t="s">
        <v>2573</v>
      </c>
      <c r="B20" s="10" t="s">
        <v>2574</v>
      </c>
      <c r="C20" s="9" t="s">
        <v>68</v>
      </c>
      <c r="D20" s="9" t="n">
        <f aca="false">IF((D$6&gt;=SRC_OAI_066)*(D$6&lt;=SRC_OAI_067),IF(INP_181="even",SRC_OAI_065/(SRC_OAI_067-SRC_OAI_066+1),SRC_OAI_065*(D$6-SRC_OAI_066+1)/((SRC_OAI_067-SRC_OAI_066+1)*((SRC_OAI_067-SRC_OAI_066+1)+1)/INP_261)),(D$6&gt;=SRC_OAI_066)*(D$6&lt;=SRC_OAI_067))</f>
        <v>0</v>
      </c>
      <c r="E20" s="9" t="n">
        <f aca="false">IF((E$6&gt;=SRC_OAI_066)*(E$6&lt;=SRC_OAI_067),IF(INP_181="even",SRC_OAI_065/(SRC_OAI_067-SRC_OAI_066+1),SRC_OAI_065*(E$6-SRC_OAI_066+1)/((SRC_OAI_067-SRC_OAI_066+1)*((SRC_OAI_067-SRC_OAI_066+1)+1)/INP_261)),(E$6&gt;=SRC_OAI_066)*(E$6&lt;=SRC_OAI_067))</f>
        <v>2.77777777777778</v>
      </c>
      <c r="F20" s="9" t="n">
        <f aca="false">IF((F$6&gt;=SRC_OAI_066)*(F$6&lt;=SRC_OAI_067),IF(INP_181="even",SRC_OAI_065/(SRC_OAI_067-SRC_OAI_066+1),SRC_OAI_065*(F$6-SRC_OAI_066+1)/((SRC_OAI_067-SRC_OAI_066+1)*((SRC_OAI_067-SRC_OAI_066+1)+1)/INP_261)),(F$6&gt;=SRC_OAI_066)*(F$6&lt;=SRC_OAI_067))</f>
        <v>5.55555555555556</v>
      </c>
      <c r="G20" s="9" t="n">
        <f aca="false">IF((G$6&gt;=SRC_OAI_066)*(G$6&lt;=SRC_OAI_067),IF(INP_181="even",SRC_OAI_065/(SRC_OAI_067-SRC_OAI_066+1),SRC_OAI_065*(G$6-SRC_OAI_066+1)/((SRC_OAI_067-SRC_OAI_066+1)*((SRC_OAI_067-SRC_OAI_066+1)+1)/INP_261)),(G$6&gt;=SRC_OAI_066)*(G$6&lt;=SRC_OAI_067))</f>
        <v>8.33333333333333</v>
      </c>
      <c r="H20" s="9" t="n">
        <f aca="false">IF((H$6&gt;=SRC_OAI_066)*(H$6&lt;=SRC_OAI_067),IF(INP_181="even",SRC_OAI_065/(SRC_OAI_067-SRC_OAI_066+1),SRC_OAI_065*(H$6-SRC_OAI_066+1)/((SRC_OAI_067-SRC_OAI_066+1)*((SRC_OAI_067-SRC_OAI_066+1)+1)/INP_261)),(H$6&gt;=SRC_OAI_066)*(H$6&lt;=SRC_OAI_067))</f>
        <v>11.1111111111111</v>
      </c>
      <c r="I20" s="9" t="n">
        <f aca="false">IF((I$6&gt;=SRC_OAI_066)*(I$6&lt;=SRC_OAI_067),IF(INP_181="even",SRC_OAI_065/(SRC_OAI_067-SRC_OAI_066+1),SRC_OAI_065*(I$6-SRC_OAI_066+1)/((SRC_OAI_067-SRC_OAI_066+1)*((SRC_OAI_067-SRC_OAI_066+1)+1)/INP_261)),(I$6&gt;=SRC_OAI_066)*(I$6&lt;=SRC_OAI_067))</f>
        <v>13.8888888888889</v>
      </c>
      <c r="K20" s="2" t="n">
        <v>0</v>
      </c>
      <c r="L20" s="2" t="n">
        <v>2.77777777777778</v>
      </c>
      <c r="M20" s="2" t="n">
        <v>5.55555555555556</v>
      </c>
      <c r="N20" s="2" t="n">
        <v>8.33333333333333</v>
      </c>
      <c r="O20" s="2" t="n">
        <v>11.1111111111111</v>
      </c>
      <c r="P20" s="2" t="n">
        <v>13.8888888888889</v>
      </c>
      <c r="Q20" s="2" t="s">
        <v>2567</v>
      </c>
    </row>
    <row r="21" customFormat="false" ht="15" hidden="false" customHeight="false" outlineLevel="0" collapsed="false">
      <c r="A21" s="9" t="s">
        <v>2575</v>
      </c>
      <c r="B21" s="10" t="s">
        <v>2576</v>
      </c>
      <c r="C21" s="9" t="s">
        <v>68</v>
      </c>
      <c r="D21" s="9" t="n">
        <f aca="false">IF((D$6&gt;=SRC_OAI_071)*(D$6&lt;=SRC_OAI_072),IF(INP_181="even",SRC_OAI_070/(SRC_OAI_072-SRC_OAI_071+1),SRC_OAI_070*(D$6-SRC_OAI_071+1)/((SRC_OAI_072-SRC_OAI_071+1)*((SRC_OAI_072-SRC_OAI_071+1)+1)/INP_261)),(D$6&gt;=SRC_OAI_071)*(D$6&lt;=SRC_OAI_072))</f>
        <v>1.49333333333333</v>
      </c>
      <c r="E21" s="9" t="n">
        <f aca="false">IF((E$6&gt;=SRC_OAI_071)*(E$6&lt;=SRC_OAI_072),IF(INP_181="even",SRC_OAI_070/(SRC_OAI_072-SRC_OAI_071+1),SRC_OAI_070*(E$6-SRC_OAI_071+1)/((SRC_OAI_072-SRC_OAI_071+1)*((SRC_OAI_072-SRC_OAI_071+1)+1)/INP_261)),(E$6&gt;=SRC_OAI_071)*(E$6&lt;=SRC_OAI_072))</f>
        <v>2.98666666666667</v>
      </c>
      <c r="F21" s="9" t="n">
        <f aca="false">IF((F$6&gt;=SRC_OAI_071)*(F$6&lt;=SRC_OAI_072),IF(INP_181="even",SRC_OAI_070/(SRC_OAI_072-SRC_OAI_071+1),SRC_OAI_070*(F$6-SRC_OAI_071+1)/((SRC_OAI_072-SRC_OAI_071+1)*((SRC_OAI_072-SRC_OAI_071+1)+1)/INP_261)),(F$6&gt;=SRC_OAI_071)*(F$6&lt;=SRC_OAI_072))</f>
        <v>4.48</v>
      </c>
      <c r="G21" s="9" t="n">
        <f aca="false">IF((G$6&gt;=SRC_OAI_071)*(G$6&lt;=SRC_OAI_072),IF(INP_181="even",SRC_OAI_070/(SRC_OAI_072-SRC_OAI_071+1),SRC_OAI_070*(G$6-SRC_OAI_071+1)/((SRC_OAI_072-SRC_OAI_071+1)*((SRC_OAI_072-SRC_OAI_071+1)+1)/INP_261)),(G$6&gt;=SRC_OAI_071)*(G$6&lt;=SRC_OAI_072))</f>
        <v>5.97333333333333</v>
      </c>
      <c r="H21" s="9" t="n">
        <f aca="false">IF((H$6&gt;=SRC_OAI_071)*(H$6&lt;=SRC_OAI_072),IF(INP_181="even",SRC_OAI_070/(SRC_OAI_072-SRC_OAI_071+1),SRC_OAI_070*(H$6-SRC_OAI_071+1)/((SRC_OAI_072-SRC_OAI_071+1)*((SRC_OAI_072-SRC_OAI_071+1)+1)/INP_261)),(H$6&gt;=SRC_OAI_071)*(H$6&lt;=SRC_OAI_072))</f>
        <v>7.46666666666667</v>
      </c>
      <c r="I21" s="9" t="n">
        <f aca="false">IF((I$6&gt;=SRC_OAI_071)*(I$6&lt;=SRC_OAI_072),IF(INP_181="even",SRC_OAI_070/(SRC_OAI_072-SRC_OAI_071+1),SRC_OAI_070*(I$6-SRC_OAI_071+1)/((SRC_OAI_072-SRC_OAI_071+1)*((SRC_OAI_072-SRC_OAI_071+1)+1)/INP_261)),(I$6&gt;=SRC_OAI_071)*(I$6&lt;=SRC_OAI_072))</f>
        <v>0</v>
      </c>
      <c r="K21" s="2" t="n">
        <v>1.49333333333333</v>
      </c>
      <c r="L21" s="2" t="n">
        <v>2.98666666666667</v>
      </c>
      <c r="M21" s="2" t="n">
        <v>4.48</v>
      </c>
      <c r="N21" s="2" t="n">
        <v>5.97333333333333</v>
      </c>
      <c r="O21" s="2" t="n">
        <v>7.46666666666667</v>
      </c>
      <c r="P21" s="2" t="n">
        <v>0</v>
      </c>
      <c r="Q21" s="2" t="s">
        <v>2567</v>
      </c>
    </row>
    <row r="22" customFormat="false" ht="15" hidden="false" customHeight="false" outlineLevel="0" collapsed="false">
      <c r="A22" s="9" t="s">
        <v>2577</v>
      </c>
      <c r="B22" s="10" t="s">
        <v>2578</v>
      </c>
      <c r="C22" s="9" t="s">
        <v>68</v>
      </c>
      <c r="D22" s="9" t="n">
        <f aca="false">IF((D$6&gt;=SRC_OAI_074)*(D$6&lt;=INP_185),IF(INP_181="even",INP_184/(INP_185-SRC_OAI_074+1),INP_184*(D$6-SRC_OAI_074+1)/((INP_185-SRC_OAI_074+1)*((INP_185-SRC_OAI_074+1)+1)/INP_261)),(D$6&gt;=SRC_OAI_074)*(D$6&lt;=INP_185))</f>
        <v>0</v>
      </c>
      <c r="E22" s="9" t="n">
        <f aca="false">IF((E$6&gt;=SRC_OAI_074)*(E$6&lt;=INP_185),IF(INP_181="even",INP_184/(INP_185-SRC_OAI_074+1),INP_184*(E$6-SRC_OAI_074+1)/((INP_185-SRC_OAI_074+1)*((INP_185-SRC_OAI_074+1)+1)/INP_261)),(E$6&gt;=SRC_OAI_074)*(E$6&lt;=INP_185))</f>
        <v>0.952380952380952</v>
      </c>
      <c r="F22" s="9" t="n">
        <f aca="false">IF((F$6&gt;=SRC_OAI_074)*(F$6&lt;=INP_185),IF(INP_181="even",INP_184/(INP_185-SRC_OAI_074+1),INP_184*(F$6-SRC_OAI_074+1)/((INP_185-SRC_OAI_074+1)*((INP_185-SRC_OAI_074+1)+1)/INP_261)),(F$6&gt;=SRC_OAI_074)*(F$6&lt;=INP_185))</f>
        <v>1.9047619047619</v>
      </c>
      <c r="G22" s="9" t="n">
        <f aca="false">IF((G$6&gt;=SRC_OAI_074)*(G$6&lt;=INP_185),IF(INP_181="even",INP_184/(INP_185-SRC_OAI_074+1),INP_184*(G$6-SRC_OAI_074+1)/((INP_185-SRC_OAI_074+1)*((INP_185-SRC_OAI_074+1)+1)/INP_261)),(G$6&gt;=SRC_OAI_074)*(G$6&lt;=INP_185))</f>
        <v>2.85714285714286</v>
      </c>
      <c r="H22" s="9" t="n">
        <f aca="false">IF((H$6&gt;=SRC_OAI_074)*(H$6&lt;=INP_185),IF(INP_181="even",INP_184/(INP_185-SRC_OAI_074+1),INP_184*(H$6-SRC_OAI_074+1)/((INP_185-SRC_OAI_074+1)*((INP_185-SRC_OAI_074+1)+1)/INP_261)),(H$6&gt;=SRC_OAI_074)*(H$6&lt;=INP_185))</f>
        <v>3.80952380952381</v>
      </c>
      <c r="I22" s="9" t="n">
        <f aca="false">IF((I$6&gt;=SRC_OAI_074)*(I$6&lt;=INP_185),IF(INP_181="even",INP_184/(INP_185-SRC_OAI_074+1),INP_184*(I$6-SRC_OAI_074+1)/((INP_185-SRC_OAI_074+1)*((INP_185-SRC_OAI_074+1)+1)/INP_261)),(I$6&gt;=SRC_OAI_074)*(I$6&lt;=INP_185))</f>
        <v>4.76190476190476</v>
      </c>
      <c r="K22" s="2" t="n">
        <v>0</v>
      </c>
      <c r="L22" s="2" t="n">
        <v>0.952380952380952</v>
      </c>
      <c r="M22" s="2" t="n">
        <v>1.9047619047619</v>
      </c>
      <c r="N22" s="2" t="n">
        <v>2.85714285714286</v>
      </c>
      <c r="O22" s="2" t="n">
        <v>3.80952380952381</v>
      </c>
      <c r="P22" s="2" t="n">
        <v>4.76190476190476</v>
      </c>
      <c r="Q22" s="2" t="s">
        <v>2567</v>
      </c>
    </row>
    <row r="23" customFormat="false" ht="15" hidden="false" customHeight="false" outlineLevel="0" collapsed="false">
      <c r="A23" s="9" t="s">
        <v>2579</v>
      </c>
      <c r="B23" s="10" t="s">
        <v>2580</v>
      </c>
      <c r="C23" s="9" t="s">
        <v>68</v>
      </c>
      <c r="D23" s="9" t="n">
        <f aca="false">D17+D18+D19+D20+D21+D22</f>
        <v>14.7552380952381</v>
      </c>
      <c r="E23" s="9" t="n">
        <f aca="false">E17+E18+E19+E20+E21+E22</f>
        <v>33.2406349206349</v>
      </c>
      <c r="F23" s="9" t="n">
        <f aca="false">F17+F18+F19+F20+F21+F22</f>
        <v>111.726031746032</v>
      </c>
      <c r="G23" s="9" t="n">
        <f aca="false">G17+G18+G19+G20+G21+G22</f>
        <v>130.211428571429</v>
      </c>
      <c r="H23" s="9" t="n">
        <f aca="false">H17+H18+H19+H20+H21+H22</f>
        <v>148.696825396825</v>
      </c>
      <c r="I23" s="9" t="n">
        <f aca="false">I17+I18+I19+I20+I21+I22</f>
        <v>158.222222222222</v>
      </c>
      <c r="K23" s="2" t="n">
        <v>14.7552380952381</v>
      </c>
      <c r="L23" s="2" t="n">
        <v>33.2406349206349</v>
      </c>
      <c r="M23" s="2" t="n">
        <v>111.726031746032</v>
      </c>
      <c r="N23" s="2" t="n">
        <v>130.211428571429</v>
      </c>
      <c r="O23" s="2" t="n">
        <v>148.696825396825</v>
      </c>
      <c r="P23" s="2" t="n">
        <v>158.222222222222</v>
      </c>
      <c r="Q23" s="2"/>
    </row>
    <row r="24" customFormat="false" ht="15" hidden="false" customHeight="false" outlineLevel="0" collapsed="false">
      <c r="A24" s="9" t="s">
        <v>2581</v>
      </c>
      <c r="B24" s="10" t="s">
        <v>2525</v>
      </c>
      <c r="C24" s="9" t="s">
        <v>68</v>
      </c>
      <c r="D24" s="13" t="n">
        <f aca="false">Compute!D153</f>
        <v>0</v>
      </c>
      <c r="E24" s="13" t="n">
        <f aca="false">Compute!E153</f>
        <v>20</v>
      </c>
      <c r="F24" s="13" t="n">
        <f aca="false">Compute!F153</f>
        <v>30</v>
      </c>
      <c r="G24" s="13" t="n">
        <f aca="false">Compute!G153</f>
        <v>45</v>
      </c>
      <c r="H24" s="13" t="n">
        <f aca="false">Compute!H153</f>
        <v>60</v>
      </c>
      <c r="I24" s="13" t="n">
        <f aca="false">Compute!I153</f>
        <v>70</v>
      </c>
      <c r="K24" s="2" t="n">
        <v>0</v>
      </c>
      <c r="L24" s="2" t="n">
        <v>20</v>
      </c>
      <c r="M24" s="2" t="n">
        <v>30</v>
      </c>
      <c r="N24" s="2" t="n">
        <v>45</v>
      </c>
      <c r="O24" s="2" t="n">
        <v>60</v>
      </c>
      <c r="P24" s="2" t="n">
        <v>70</v>
      </c>
      <c r="Q24" s="12" t="s">
        <v>2582</v>
      </c>
    </row>
    <row r="25" customFormat="false" ht="15" hidden="false" customHeight="false" outlineLevel="0" collapsed="false">
      <c r="A25" s="9" t="s">
        <v>2583</v>
      </c>
      <c r="B25" s="10" t="s">
        <v>2584</v>
      </c>
      <c r="C25" s="10" t="s">
        <v>120</v>
      </c>
      <c r="D25" s="9" t="n">
        <f aca="false">INP_194</f>
        <v>0</v>
      </c>
      <c r="E25" s="9" t="n">
        <f aca="false">INP_194</f>
        <v>0</v>
      </c>
      <c r="F25" s="9" t="n">
        <f aca="false">INP_194</f>
        <v>0</v>
      </c>
      <c r="G25" s="9" t="n">
        <f aca="false">INP_194</f>
        <v>0</v>
      </c>
      <c r="H25" s="9" t="n">
        <f aca="false">INP_194</f>
        <v>0</v>
      </c>
      <c r="I25" s="9" t="n">
        <f aca="false">INP_194</f>
        <v>0</v>
      </c>
      <c r="Q25" s="12" t="s">
        <v>2585</v>
      </c>
    </row>
    <row r="26" customFormat="false" ht="15" hidden="false" customHeight="false" outlineLevel="0" collapsed="false">
      <c r="A26" s="9" t="s">
        <v>2586</v>
      </c>
      <c r="B26" s="10" t="s">
        <v>2587</v>
      </c>
      <c r="C26" s="9" t="s">
        <v>68</v>
      </c>
      <c r="D26" s="9" t="n">
        <f aca="false">D24*(1-D25)</f>
        <v>0</v>
      </c>
      <c r="E26" s="9" t="n">
        <f aca="false">E24*(1-E25)</f>
        <v>20</v>
      </c>
      <c r="F26" s="9" t="n">
        <f aca="false">F24*(1-F25)</f>
        <v>30</v>
      </c>
      <c r="G26" s="9" t="n">
        <f aca="false">G24*(1-G25)</f>
        <v>45</v>
      </c>
      <c r="H26" s="9" t="n">
        <f aca="false">H24*(1-H25)</f>
        <v>60</v>
      </c>
      <c r="I26" s="9" t="n">
        <f aca="false">I24*(1-I25)</f>
        <v>70</v>
      </c>
      <c r="K26" s="2" t="n">
        <v>0</v>
      </c>
      <c r="L26" s="2" t="n">
        <v>20</v>
      </c>
      <c r="M26" s="2" t="n">
        <v>30</v>
      </c>
      <c r="N26" s="2" t="n">
        <v>45</v>
      </c>
      <c r="O26" s="2" t="n">
        <v>60</v>
      </c>
      <c r="P26" s="2" t="n">
        <v>70</v>
      </c>
      <c r="Q26" s="12" t="s">
        <v>2588</v>
      </c>
    </row>
    <row r="27" customFormat="false" ht="15" hidden="false" customHeight="false" outlineLevel="0" collapsed="false">
      <c r="A27" s="9" t="s">
        <v>2589</v>
      </c>
      <c r="B27" s="10" t="s">
        <v>2590</v>
      </c>
      <c r="C27" s="9" t="s">
        <v>68</v>
      </c>
      <c r="D27" s="9" t="n">
        <f aca="false">D23+D26</f>
        <v>14.7552380952381</v>
      </c>
      <c r="E27" s="9" t="n">
        <f aca="false">E23+E26</f>
        <v>53.2406349206349</v>
      </c>
      <c r="F27" s="9" t="n">
        <f aca="false">F23+F26</f>
        <v>141.726031746032</v>
      </c>
      <c r="G27" s="9" t="n">
        <f aca="false">G23+G26</f>
        <v>175.211428571429</v>
      </c>
      <c r="H27" s="9" t="n">
        <f aca="false">H23+H26</f>
        <v>208.696825396825</v>
      </c>
      <c r="I27" s="9" t="n">
        <f aca="false">I23+I26</f>
        <v>228.222222222222</v>
      </c>
      <c r="K27" s="2" t="n">
        <v>14.7552380952381</v>
      </c>
      <c r="L27" s="2" t="n">
        <v>53.2406349206349</v>
      </c>
      <c r="M27" s="2" t="n">
        <v>141.726031746032</v>
      </c>
      <c r="N27" s="2" t="n">
        <v>175.211428571429</v>
      </c>
      <c r="O27" s="2" t="n">
        <v>208.696825396825</v>
      </c>
      <c r="P27" s="2" t="n">
        <v>228.222222222222</v>
      </c>
      <c r="Q27" s="12" t="s">
        <v>2591</v>
      </c>
    </row>
    <row r="28" customFormat="false" ht="15" hidden="false" customHeight="false" outlineLevel="0" collapsed="false">
      <c r="A28" s="9" t="s">
        <v>2592</v>
      </c>
      <c r="B28" s="10" t="s">
        <v>2593</v>
      </c>
      <c r="C28" s="9" t="s">
        <v>68</v>
      </c>
      <c r="D28" s="9" t="n">
        <f aca="false">SRC_OAI_047+SRC_OAI_098+INP_230</f>
        <v>20.4</v>
      </c>
      <c r="Q28" s="12" t="s">
        <v>2594</v>
      </c>
    </row>
    <row r="29" customFormat="false" ht="15" hidden="false" customHeight="false" outlineLevel="0" collapsed="false">
      <c r="A29" s="9" t="s">
        <v>2595</v>
      </c>
      <c r="B29" s="10" t="s">
        <v>2596</v>
      </c>
      <c r="C29" s="9" t="s">
        <v>68</v>
      </c>
      <c r="D29" s="9" t="n">
        <f aca="false">D27-D28</f>
        <v>-5.64476190476191</v>
      </c>
      <c r="Q29" s="2" t="s">
        <v>2597</v>
      </c>
    </row>
    <row r="30" customFormat="false" ht="15" hidden="false" customHeight="false" outlineLevel="0" collapsed="false">
      <c r="A30" s="9" t="s">
        <v>2598</v>
      </c>
      <c r="B30" s="10" t="s">
        <v>2599</v>
      </c>
      <c r="C30" s="9" t="s">
        <v>1566</v>
      </c>
      <c r="D30" s="13" t="n">
        <f aca="false">D23/Compute!D157</f>
        <v>12</v>
      </c>
      <c r="E30" s="13" t="n">
        <f aca="false">E23/Compute!E157</f>
        <v>11.728375010501</v>
      </c>
      <c r="F30" s="13" t="n">
        <f aca="false">F23/Compute!F157</f>
        <v>12.4989833879374</v>
      </c>
      <c r="G30" s="13" t="n">
        <f aca="false">G23/Compute!G157</f>
        <v>12.3500267224702</v>
      </c>
      <c r="H30" s="13" t="n">
        <f aca="false">H23/Compute!H157</f>
        <v>12.2404207362885</v>
      </c>
      <c r="I30" s="13" t="n">
        <f aca="false">I23/Compute!I157</f>
        <v>12.1653699466056</v>
      </c>
      <c r="Q30" s="2" t="s">
        <v>2600</v>
      </c>
    </row>
    <row r="31" customFormat="false" ht="15" hidden="false" customHeight="false" outlineLevel="0" collapsed="false">
      <c r="A31" s="14" t="s">
        <v>2601</v>
      </c>
    </row>
    <row r="32" customFormat="false" ht="15" hidden="false" customHeight="false" outlineLevel="0" collapsed="false">
      <c r="A32" s="9" t="s">
        <v>2602</v>
      </c>
      <c r="B32" s="10" t="s">
        <v>2603</v>
      </c>
      <c r="C32" s="9" t="s">
        <v>1566</v>
      </c>
      <c r="D32" s="13" t="n">
        <f aca="false">Compute!D15*$D$12+Compute!D18*$E$12+Compute!D19*$F$12+Compute!D20*$G$12+Compute!D21*$H$12+Compute!D22*$I$12</f>
        <v>9.72586994445229</v>
      </c>
      <c r="E32" s="13" t="n">
        <f aca="false">Compute!E15*$D$12+Compute!E18*$E$12+Compute!E19*$F$12+Compute!E20*$G$12+Compute!E21*$H$12+Compute!E22*$I$12</f>
        <v>10.5758148908069</v>
      </c>
      <c r="F32" s="13" t="n">
        <f aca="false">Compute!F15*$D$12+Compute!F18*$E$12+Compute!F19*$F$12+Compute!F20*$G$12+Compute!F21*$H$12+Compute!F22*$I$12</f>
        <v>11.0352338353183</v>
      </c>
      <c r="G32" s="13" t="n">
        <f aca="false">Compute!G15*$D$12+Compute!G18*$E$12+Compute!G19*$F$12+Compute!G20*$G$12+Compute!G21*$H$12+Compute!G22*$I$12</f>
        <v>11.4841103587331</v>
      </c>
      <c r="H32" s="13" t="n">
        <f aca="false">Compute!H15*$D$12+Compute!H18*$E$12+Compute!H19*$F$12+Compute!H20*$G$12+Compute!H21*$H$12+Compute!H22*$I$12</f>
        <v>11.7089682761472</v>
      </c>
      <c r="I32" s="13" t="n">
        <f aca="false">Compute!I15*$D$12+Compute!I18*$E$12+Compute!I19*$F$12+Compute!I20*$G$12+Compute!I21*$H$12+Compute!I22*$I$12</f>
        <v>11.9658872144992</v>
      </c>
      <c r="Q32" s="12" t="s">
        <v>2604</v>
      </c>
    </row>
    <row r="33" customFormat="false" ht="15" hidden="false" customHeight="false" outlineLevel="0" collapsed="false">
      <c r="A33" s="9" t="s">
        <v>2605</v>
      </c>
      <c r="B33" s="10" t="s">
        <v>2606</v>
      </c>
      <c r="C33" s="9" t="s">
        <v>1566</v>
      </c>
      <c r="D33" s="13" t="n">
        <f aca="false">Compute!D15*$D$13+Compute!D18*$E$13+Compute!D19*$F$13+Compute!D20*$G$13+Compute!D21*$H$13+Compute!D22*$I$13</f>
        <v>6.92529276658865</v>
      </c>
      <c r="E33" s="13" t="n">
        <f aca="false">Compute!E15*$D$13+Compute!E18*$E$13+Compute!E19*$F$13+Compute!E20*$G$13+Compute!E21*$H$13+Compute!E22*$I$13</f>
        <v>7.50512497808534</v>
      </c>
      <c r="F33" s="13" t="n">
        <f aca="false">Compute!F15*$D$13+Compute!F18*$E$13+Compute!F19*$F$13+Compute!F20*$G$13+Compute!F21*$H$13+Compute!F22*$I$13</f>
        <v>8.08335499939591</v>
      </c>
      <c r="G33" s="13" t="n">
        <f aca="false">Compute!G15*$D$13+Compute!G18*$E$13+Compute!G19*$F$13+Compute!G20*$G$13+Compute!G21*$H$13+Compute!G22*$I$13</f>
        <v>8.5125174290106</v>
      </c>
      <c r="H33" s="13" t="n">
        <f aca="false">Compute!H15*$D$13+Compute!H18*$E$13+Compute!H19*$F$13+Compute!H20*$G$13+Compute!H21*$H$13+Compute!H22*$I$13</f>
        <v>8.69602990660103</v>
      </c>
      <c r="I33" s="13" t="n">
        <f aca="false">Compute!I15*$D$13+Compute!I18*$E$13+Compute!I19*$F$13+Compute!I20*$G$13+Compute!I21*$H$13+Compute!I22*$I$13</f>
        <v>8.76848856980844</v>
      </c>
      <c r="Q33" s="12" t="s">
        <v>2604</v>
      </c>
    </row>
    <row r="34" customFormat="false" ht="15" hidden="false" customHeight="false" outlineLevel="0" collapsed="false">
      <c r="A34" s="9" t="s">
        <v>2607</v>
      </c>
      <c r="B34" s="10" t="s">
        <v>2608</v>
      </c>
      <c r="C34" s="9" t="s">
        <v>1566</v>
      </c>
      <c r="D34" s="13" t="n">
        <f aca="false">Compute!D15*$D$14+Compute!D18*$E$14+Compute!D19*$F$14+Compute!D20*$G$14+Compute!D21*$H$14+Compute!D22*$I$14</f>
        <v>16.4115946485342</v>
      </c>
      <c r="E34" s="13" t="n">
        <f aca="false">Compute!E15*$D$14+Compute!E18*$E$14+Compute!E19*$F$14+Compute!E20*$G$14+Compute!E21*$H$14+Compute!E22*$I$14</f>
        <v>18.4141092924152</v>
      </c>
      <c r="F34" s="13" t="n">
        <f aca="false">Compute!F15*$D$14+Compute!F18*$E$14+Compute!F19*$F$14+Compute!F20*$G$14+Compute!F21*$H$14+Compute!F22*$I$14</f>
        <v>18.7831850238171</v>
      </c>
      <c r="G34" s="13" t="n">
        <f aca="false">Compute!G15*$D$14+Compute!G18*$E$14+Compute!G19*$F$14+Compute!G20*$G$14+Compute!G21*$H$14+Compute!G22*$I$14</f>
        <v>19.3279823254365</v>
      </c>
      <c r="H34" s="13" t="n">
        <f aca="false">Compute!H15*$D$14+Compute!H18*$E$14+Compute!H19*$F$14+Compute!H20*$G$14+Compute!H21*$H$14+Compute!H22*$I$14</f>
        <v>19.645066735032</v>
      </c>
      <c r="I34" s="13" t="n">
        <f aca="false">Compute!I15*$D$14+Compute!I18*$E$14+Compute!I19*$F$14+Compute!I20*$G$14+Compute!I21*$H$14+Compute!I22*$I$14</f>
        <v>20.2373715586059</v>
      </c>
      <c r="Q34" s="12" t="s">
        <v>2604</v>
      </c>
    </row>
    <row r="35" customFormat="false" ht="15" hidden="false" customHeight="false" outlineLevel="0" collapsed="false">
      <c r="A35" s="9" t="s">
        <v>2609</v>
      </c>
      <c r="B35" s="10" t="s">
        <v>2538</v>
      </c>
      <c r="C35" s="9" t="s">
        <v>375</v>
      </c>
      <c r="D35" s="13" t="n">
        <f aca="false">Compute!D157</f>
        <v>1.22960317460317</v>
      </c>
      <c r="E35" s="13" t="n">
        <f aca="false">Compute!E157</f>
        <v>2.83420634920635</v>
      </c>
      <c r="F35" s="13" t="n">
        <f aca="false">Compute!F157</f>
        <v>8.93880952380953</v>
      </c>
      <c r="G35" s="13" t="n">
        <f aca="false">Compute!G157</f>
        <v>10.5434126984127</v>
      </c>
      <c r="H35" s="13" t="n">
        <f aca="false">Compute!H157</f>
        <v>12.1480158730159</v>
      </c>
      <c r="I35" s="13" t="n">
        <f aca="false">Compute!I157</f>
        <v>13.0059523809524</v>
      </c>
      <c r="Q35" s="12" t="s">
        <v>2610</v>
      </c>
    </row>
    <row r="36" customFormat="false" ht="15" hidden="false" customHeight="false" outlineLevel="0" collapsed="false">
      <c r="A36" s="9" t="s">
        <v>2611</v>
      </c>
      <c r="B36" s="10" t="s">
        <v>2612</v>
      </c>
      <c r="C36" s="9" t="s">
        <v>68</v>
      </c>
      <c r="D36" s="9" t="n">
        <f aca="false">D35*D32</f>
        <v>11.9589605594761</v>
      </c>
      <c r="E36" s="9" t="n">
        <f aca="false">E35*E32</f>
        <v>29.9740417115561</v>
      </c>
      <c r="F36" s="9" t="n">
        <f aca="false">F35*F32</f>
        <v>98.6418533046085</v>
      </c>
      <c r="G36" s="9" t="n">
        <f aca="false">G35*G32</f>
        <v>121.08171498624</v>
      </c>
      <c r="H36" s="9" t="n">
        <f aca="false">H35*H32</f>
        <v>142.240732475275</v>
      </c>
      <c r="I36" s="9" t="n">
        <f aca="false">I35*I32</f>
        <v>155.627759307624</v>
      </c>
      <c r="Q36" s="2"/>
    </row>
    <row r="37" customFormat="false" ht="15" hidden="false" customHeight="false" outlineLevel="0" collapsed="false">
      <c r="A37" s="9" t="s">
        <v>2613</v>
      </c>
      <c r="B37" s="10" t="s">
        <v>2614</v>
      </c>
      <c r="C37" s="9" t="s">
        <v>68</v>
      </c>
      <c r="D37" s="9" t="n">
        <f aca="false">D23-D36</f>
        <v>2.79627753576196</v>
      </c>
      <c r="E37" s="9" t="n">
        <f aca="false">E23-E36</f>
        <v>3.26659320907884</v>
      </c>
      <c r="F37" s="9" t="n">
        <f aca="false">F23-F36</f>
        <v>13.0841784414233</v>
      </c>
      <c r="G37" s="9" t="n">
        <f aca="false">G23-G36</f>
        <v>9.12971358518884</v>
      </c>
      <c r="H37" s="9" t="n">
        <f aca="false">H23-H36</f>
        <v>6.45609292154995</v>
      </c>
      <c r="I37" s="9" t="n">
        <f aca="false">I23-I36</f>
        <v>2.59446291459858</v>
      </c>
      <c r="Q37" s="2" t="s">
        <v>2615</v>
      </c>
    </row>
    <row r="38" customFormat="false" ht="15" hidden="false" customHeight="false" outlineLevel="0" collapsed="false">
      <c r="A38" s="9" t="s">
        <v>2616</v>
      </c>
      <c r="B38" s="10" t="s">
        <v>2617</v>
      </c>
      <c r="C38" s="10" t="s">
        <v>120</v>
      </c>
      <c r="D38" s="9" t="n">
        <f aca="false">D37/D23</f>
        <v>0.189510837962309</v>
      </c>
      <c r="E38" s="9" t="n">
        <f aca="false">E37/E23</f>
        <v>0.0982710834759363</v>
      </c>
      <c r="F38" s="9" t="n">
        <f aca="false">F37/F23</f>
        <v>0.117109488603026</v>
      </c>
      <c r="G38" s="9" t="n">
        <f aca="false">G37/G23</f>
        <v>0.0701145336116227</v>
      </c>
      <c r="H38" s="9" t="n">
        <f aca="false">H37/H23</f>
        <v>0.0434178261998577</v>
      </c>
      <c r="I38" s="9" t="n">
        <f aca="false">I37/I23</f>
        <v>0.0163975886456371</v>
      </c>
      <c r="Q38" s="2"/>
    </row>
    <row r="39" customFormat="false" ht="15" hidden="false" customHeight="false" outlineLevel="0" collapsed="false">
      <c r="A39" s="9" t="s">
        <v>2618</v>
      </c>
      <c r="B39" s="10" t="s">
        <v>2619</v>
      </c>
      <c r="C39" s="10" t="s">
        <v>120</v>
      </c>
      <c r="D39" s="9" t="n">
        <f aca="false">(D23-D35*D33)/D23</f>
        <v>0.422892269450946</v>
      </c>
      <c r="E39" s="9" t="n">
        <f aca="false">(E23-E35*E33)/E23</f>
        <v>0.36008824996083</v>
      </c>
      <c r="F39" s="9" t="n">
        <f aca="false">(F23-F35*F33)/F23</f>
        <v>0.353279002898984</v>
      </c>
      <c r="G39" s="9" t="n">
        <f aca="false">(G23-G35*G33)/G23</f>
        <v>0.310728825102659</v>
      </c>
      <c r="H39" s="9" t="n">
        <f aca="false">(H23-H35*H33)/H23</f>
        <v>0.289564460736191</v>
      </c>
      <c r="I39" s="9" t="n">
        <f aca="false">(I23-I35*I33)/I23</f>
        <v>0.279225489377329</v>
      </c>
      <c r="Q39" s="12" t="s">
        <v>2620</v>
      </c>
    </row>
    <row r="40" customFormat="false" ht="15" hidden="false" customHeight="false" outlineLevel="0" collapsed="false">
      <c r="A40" s="9" t="s">
        <v>2621</v>
      </c>
      <c r="B40" s="10" t="s">
        <v>2622</v>
      </c>
      <c r="C40" s="10" t="s">
        <v>120</v>
      </c>
      <c r="D40" s="9" t="n">
        <f aca="false">(D23-D35*D34)/D23</f>
        <v>-0.367632887377847</v>
      </c>
      <c r="E40" s="9" t="n">
        <f aca="false">(E23-E35*E34)/E23</f>
        <v>-0.570047792292468</v>
      </c>
      <c r="F40" s="9" t="n">
        <f aca="false">(F23-F35*F34)/F23</f>
        <v>-0.502777021205141</v>
      </c>
      <c r="G40" s="9" t="n">
        <f aca="false">(G23-G35*G34)/G23</f>
        <v>-0.565015425454122</v>
      </c>
      <c r="H40" s="9" t="n">
        <f aca="false">(H23-H35*H34)/H23</f>
        <v>-0.604933944532751</v>
      </c>
      <c r="I40" s="9" t="n">
        <f aca="false">(I23-I35*I34)/I23</f>
        <v>-0.663522905380486</v>
      </c>
      <c r="Q40" s="12" t="s">
        <v>2620</v>
      </c>
    </row>
    <row r="41" customFormat="false" ht="15" hidden="false" customHeight="false" outlineLevel="0" collapsed="false">
      <c r="A41" s="14" t="s">
        <v>2623</v>
      </c>
    </row>
    <row r="42" customFormat="false" ht="15" hidden="false" customHeight="false" outlineLevel="0" collapsed="false">
      <c r="A42" s="9" t="s">
        <v>2624</v>
      </c>
      <c r="B42" s="10" t="s">
        <v>2535</v>
      </c>
      <c r="C42" s="9" t="s">
        <v>375</v>
      </c>
      <c r="D42" s="13" t="n">
        <f aca="false">Compute!D156</f>
        <v>0</v>
      </c>
      <c r="E42" s="13" t="n">
        <f aca="false">Compute!E156</f>
        <v>0</v>
      </c>
      <c r="F42" s="13" t="n">
        <f aca="false">Compute!F156</f>
        <v>0.397959644981793</v>
      </c>
      <c r="G42" s="13" t="n">
        <f aca="false">Compute!G156</f>
        <v>0.994899112454481</v>
      </c>
      <c r="H42" s="13" t="n">
        <f aca="false">Compute!H156</f>
        <v>1.89030831366351</v>
      </c>
      <c r="I42" s="13" t="n">
        <f aca="false">Compute!I156</f>
        <v>3.08418724860889</v>
      </c>
      <c r="Q42" s="12" t="s">
        <v>2625</v>
      </c>
    </row>
    <row r="43" customFormat="false" ht="15" hidden="false" customHeight="false" outlineLevel="0" collapsed="false">
      <c r="A43" s="9" t="s">
        <v>2626</v>
      </c>
      <c r="B43" s="10" t="s">
        <v>2627</v>
      </c>
      <c r="C43" s="9" t="s">
        <v>68</v>
      </c>
      <c r="D43" s="9" t="n">
        <f aca="false">D42*D32</f>
        <v>0</v>
      </c>
      <c r="E43" s="9" t="n">
        <f aca="false">E42*E32</f>
        <v>0</v>
      </c>
      <c r="F43" s="9" t="n">
        <f aca="false">F42*F32</f>
        <v>4.39157773939434</v>
      </c>
      <c r="G43" s="9" t="n">
        <f aca="false">G42*G32</f>
        <v>11.4255312032329</v>
      </c>
      <c r="H43" s="9" t="n">
        <f aca="false">H42*H32</f>
        <v>22.1335600768234</v>
      </c>
      <c r="I43" s="9" t="n">
        <f aca="false">I42*I32</f>
        <v>36.9050367652506</v>
      </c>
      <c r="Q43" s="2"/>
    </row>
    <row r="44" customFormat="false" ht="15" hidden="false" customHeight="false" outlineLevel="0" collapsed="false">
      <c r="A44" s="9" t="s">
        <v>2628</v>
      </c>
      <c r="B44" s="10" t="s">
        <v>2629</v>
      </c>
      <c r="C44" s="9" t="s">
        <v>68</v>
      </c>
      <c r="D44" s="9" t="n">
        <f aca="false">D23+D43</f>
        <v>14.7552380952381</v>
      </c>
      <c r="E44" s="9" t="n">
        <f aca="false">E23+E43</f>
        <v>33.2406349206349</v>
      </c>
      <c r="F44" s="9" t="n">
        <f aca="false">F23+F43</f>
        <v>116.117609485426</v>
      </c>
      <c r="G44" s="9" t="n">
        <f aca="false">G23+G43</f>
        <v>141.636959774661</v>
      </c>
      <c r="H44" s="9" t="n">
        <f aca="false">H23+H43</f>
        <v>170.830385473649</v>
      </c>
      <c r="I44" s="9" t="n">
        <f aca="false">I23+I43</f>
        <v>195.127258987473</v>
      </c>
      <c r="K44" s="2" t="n">
        <v>20.4</v>
      </c>
      <c r="L44" s="2" t="n">
        <v>33.2406349206349</v>
      </c>
      <c r="M44" s="2" t="n">
        <v>116.030727162698</v>
      </c>
      <c r="N44" s="2" t="n">
        <v>140.973167113095</v>
      </c>
      <c r="O44" s="2" t="n">
        <v>169.144128625992</v>
      </c>
      <c r="P44" s="2" t="n">
        <v>191.583611701389</v>
      </c>
      <c r="Q44" s="12" t="s">
        <v>2630</v>
      </c>
    </row>
    <row r="45" customFormat="false" ht="15" hidden="false" customHeight="false" outlineLevel="0" collapsed="false">
      <c r="A45" s="9" t="s">
        <v>2631</v>
      </c>
      <c r="B45" s="10" t="s">
        <v>2632</v>
      </c>
      <c r="C45" s="9" t="s">
        <v>68</v>
      </c>
      <c r="D45" s="9" t="n">
        <f aca="false">D27-D44</f>
        <v>0</v>
      </c>
      <c r="E45" s="9" t="n">
        <f aca="false">E27-E44</f>
        <v>20</v>
      </c>
      <c r="F45" s="9" t="n">
        <f aca="false">F27-F44</f>
        <v>25.6084222606057</v>
      </c>
      <c r="G45" s="9" t="n">
        <f aca="false">G27-G44</f>
        <v>33.5744687967671</v>
      </c>
      <c r="H45" s="9" t="n">
        <f aca="false">H27-H44</f>
        <v>37.8664399231766</v>
      </c>
      <c r="I45" s="9" t="n">
        <f aca="false">I27-I44</f>
        <v>33.0949632347494</v>
      </c>
      <c r="Q45" s="2"/>
    </row>
    <row r="46" customFormat="false" ht="15" hidden="false" customHeight="false" outlineLevel="0" collapsed="false">
      <c r="A46" s="14" t="s">
        <v>2633</v>
      </c>
    </row>
    <row r="47" customFormat="false" ht="15" hidden="false" customHeight="false" outlineLevel="0" collapsed="false">
      <c r="A47" s="9" t="s">
        <v>2634</v>
      </c>
      <c r="B47" s="10" t="s">
        <v>2635</v>
      </c>
      <c r="C47" s="9" t="s">
        <v>68</v>
      </c>
      <c r="D47" s="9" t="n">
        <f aca="false">SRC_OAI_087</f>
        <v>19.18</v>
      </c>
      <c r="Q47" s="2" t="s">
        <v>2636</v>
      </c>
    </row>
    <row r="48" customFormat="false" ht="15" hidden="false" customHeight="false" outlineLevel="0" collapsed="false">
      <c r="A48" s="9" t="s">
        <v>2637</v>
      </c>
      <c r="B48" s="10" t="s">
        <v>2638</v>
      </c>
      <c r="C48" s="9" t="s">
        <v>68</v>
      </c>
      <c r="D48" s="9" t="n">
        <f aca="false">SRC_OAI_098+INP_230</f>
        <v>12</v>
      </c>
      <c r="Q48" s="12" t="s">
        <v>2639</v>
      </c>
    </row>
    <row r="49" customFormat="false" ht="15" hidden="false" customHeight="false" outlineLevel="0" collapsed="false">
      <c r="A49" s="9" t="s">
        <v>2640</v>
      </c>
      <c r="B49" s="10" t="s">
        <v>2641</v>
      </c>
      <c r="C49" s="9" t="s">
        <v>68</v>
      </c>
      <c r="D49" s="9" t="n">
        <f aca="false">D47-D48</f>
        <v>7.18</v>
      </c>
      <c r="Q49" s="12" t="s">
        <v>2642</v>
      </c>
    </row>
    <row r="50" customFormat="false" ht="15" hidden="false" customHeight="false" outlineLevel="0" collapsed="false">
      <c r="A50" s="9" t="s">
        <v>2643</v>
      </c>
      <c r="B50" s="10" t="s">
        <v>2644</v>
      </c>
      <c r="C50" s="9" t="s">
        <v>68</v>
      </c>
      <c r="D50" s="9" t="n">
        <f aca="false">SRC_OAI_129</f>
        <v>5.73</v>
      </c>
      <c r="Q50" s="2" t="s">
        <v>2645</v>
      </c>
    </row>
    <row r="51" customFormat="false" ht="15" hidden="false" customHeight="false" outlineLevel="0" collapsed="false">
      <c r="A51" s="9" t="s">
        <v>2646</v>
      </c>
      <c r="B51" s="10" t="s">
        <v>2647</v>
      </c>
      <c r="C51" s="9" t="s">
        <v>68</v>
      </c>
      <c r="D51" s="9" t="n">
        <f aca="false">SRC_OAI_130</f>
        <v>1.57</v>
      </c>
      <c r="Q51" s="2" t="s">
        <v>388</v>
      </c>
    </row>
    <row r="52" customFormat="false" ht="15" hidden="false" customHeight="false" outlineLevel="0" collapsed="false">
      <c r="A52" s="9" t="s">
        <v>2648</v>
      </c>
      <c r="B52" s="10" t="s">
        <v>2649</v>
      </c>
      <c r="C52" s="9" t="s">
        <v>68</v>
      </c>
      <c r="D52" s="9" t="n">
        <f aca="false">D49+D50+D51</f>
        <v>14.48</v>
      </c>
      <c r="Q52" s="12" t="s">
        <v>2650</v>
      </c>
    </row>
    <row r="53" customFormat="false" ht="15" hidden="false" customHeight="false" outlineLevel="0" collapsed="false">
      <c r="A53" s="9" t="s">
        <v>2651</v>
      </c>
      <c r="B53" s="10" t="s">
        <v>2652</v>
      </c>
      <c r="C53" s="10" t="s">
        <v>120</v>
      </c>
      <c r="D53" s="9" t="n">
        <f aca="false">D49/D52</f>
        <v>0.49585635359116</v>
      </c>
      <c r="Q53" s="12" t="s">
        <v>2653</v>
      </c>
    </row>
    <row r="54" customFormat="false" ht="15" hidden="false" customHeight="false" outlineLevel="0" collapsed="false">
      <c r="A54" s="9" t="s">
        <v>2654</v>
      </c>
      <c r="B54" s="10" t="s">
        <v>2655</v>
      </c>
      <c r="C54" s="10" t="s">
        <v>120</v>
      </c>
      <c r="D54" s="9" t="n">
        <f aca="false">D50/D52</f>
        <v>0.395718232044199</v>
      </c>
      <c r="Q54" s="12" t="s">
        <v>2653</v>
      </c>
    </row>
    <row r="55" customFormat="false" ht="15" hidden="false" customHeight="false" outlineLevel="0" collapsed="false">
      <c r="A55" s="9" t="s">
        <v>2656</v>
      </c>
      <c r="B55" s="10" t="s">
        <v>2657</v>
      </c>
      <c r="C55" s="10" t="s">
        <v>120</v>
      </c>
      <c r="D55" s="9" t="n">
        <f aca="false">D51/D52</f>
        <v>0.108425414364641</v>
      </c>
      <c r="Q55" s="12" t="s">
        <v>2653</v>
      </c>
    </row>
    <row r="56" customFormat="false" ht="15" hidden="false" customHeight="false" outlineLevel="0" collapsed="false">
      <c r="A56" s="9" t="s">
        <v>2658</v>
      </c>
      <c r="B56" s="10" t="s">
        <v>2659</v>
      </c>
      <c r="C56" s="10" t="s">
        <v>695</v>
      </c>
      <c r="D56" s="9" t="n">
        <f aca="false">SRC_OAI_132</f>
        <v>4000</v>
      </c>
      <c r="E56" s="9" t="n">
        <f aca="false">D56*(1+INP_263)</f>
        <v>6200</v>
      </c>
      <c r="F56" s="9" t="n">
        <f aca="false">E56*(1+INP_264)</f>
        <v>8060</v>
      </c>
      <c r="G56" s="9" t="n">
        <f aca="false">F56*(1+INP_265)</f>
        <v>9672</v>
      </c>
      <c r="H56" s="9" t="n">
        <f aca="false">G56*(1+INP_266)</f>
        <v>11122.8</v>
      </c>
      <c r="I56" s="9" t="n">
        <f aca="false">H56*(1+INP_267)</f>
        <v>12235.08</v>
      </c>
      <c r="Q56" s="12" t="s">
        <v>2660</v>
      </c>
    </row>
    <row r="57" customFormat="false" ht="15" hidden="false" customHeight="false" outlineLevel="0" collapsed="false">
      <c r="A57" s="9" t="s">
        <v>2661</v>
      </c>
      <c r="B57" s="10" t="s">
        <v>2662</v>
      </c>
      <c r="C57" s="9" t="s">
        <v>704</v>
      </c>
      <c r="D57" s="9" t="n">
        <f aca="false">SRC_OAI_133</f>
        <v>1.5</v>
      </c>
      <c r="E57" s="9" t="n">
        <f aca="false">D57*(1+INP_269)</f>
        <v>1.5</v>
      </c>
      <c r="F57" s="9" t="n">
        <f aca="false">E57*(1+INP_269)</f>
        <v>1.5</v>
      </c>
      <c r="G57" s="9" t="n">
        <f aca="false">F57*(1+INP_269)</f>
        <v>1.5</v>
      </c>
      <c r="H57" s="9" t="n">
        <f aca="false">G57*(1+INP_269)</f>
        <v>1.5</v>
      </c>
      <c r="I57" s="9" t="n">
        <f aca="false">H57*(1+INP_269)</f>
        <v>1.5</v>
      </c>
      <c r="Q57" s="12" t="s">
        <v>2663</v>
      </c>
    </row>
    <row r="58" customFormat="false" ht="15" hidden="false" customHeight="false" outlineLevel="0" collapsed="false">
      <c r="A58" s="9" t="s">
        <v>2664</v>
      </c>
      <c r="B58" s="10" t="s">
        <v>2665</v>
      </c>
      <c r="C58" s="9" t="s">
        <v>68</v>
      </c>
      <c r="D58" s="9" t="n">
        <f aca="false">D56*D57/INP_253</f>
        <v>6</v>
      </c>
      <c r="E58" s="9" t="n">
        <f aca="false">E56*E57/INP_253</f>
        <v>9.3</v>
      </c>
      <c r="F58" s="9" t="n">
        <f aca="false">F56*F57/INP_253</f>
        <v>12.09</v>
      </c>
      <c r="G58" s="9" t="n">
        <f aca="false">G56*G57/INP_253</f>
        <v>14.508</v>
      </c>
      <c r="H58" s="9" t="n">
        <f aca="false">H56*H57/INP_253</f>
        <v>16.6842</v>
      </c>
      <c r="I58" s="9" t="n">
        <f aca="false">I56*I57/INP_253</f>
        <v>18.35262</v>
      </c>
      <c r="Q58" s="2" t="s">
        <v>2666</v>
      </c>
    </row>
    <row r="59" customFormat="false" ht="15" hidden="false" customHeight="false" outlineLevel="0" collapsed="false">
      <c r="A59" s="9" t="s">
        <v>2667</v>
      </c>
      <c r="B59" s="10" t="s">
        <v>2668</v>
      </c>
      <c r="C59" s="9" t="s">
        <v>68</v>
      </c>
      <c r="D59" s="9" t="n">
        <f aca="false">D52-D58</f>
        <v>8.48</v>
      </c>
      <c r="E59" s="9" t="n">
        <f aca="false">E56*E60/INP_253</f>
        <v>13.53832</v>
      </c>
      <c r="F59" s="9" t="n">
        <f aca="false">F56*F60/INP_253</f>
        <v>18.12781048</v>
      </c>
      <c r="G59" s="9" t="n">
        <f aca="false">G56*G60/INP_253</f>
        <v>22.40597375328</v>
      </c>
      <c r="H59" s="9" t="n">
        <f aca="false">H56*H60/INP_253</f>
        <v>26.5398759107602</v>
      </c>
      <c r="I59" s="9" t="n">
        <f aca="false">I56*I60/INP_253</f>
        <v>30.0696794068913</v>
      </c>
      <c r="K59" s="2" t="n">
        <v>15.89312</v>
      </c>
      <c r="L59" s="2" t="n">
        <v>10.8583302713127</v>
      </c>
      <c r="M59" s="2" t="n">
        <v>13.9309444937509</v>
      </c>
      <c r="N59" s="2" t="n">
        <v>16.4744010769611</v>
      </c>
      <c r="O59" s="2" t="n">
        <v>17.4903359267986</v>
      </c>
      <c r="P59" s="2" t="n">
        <v>16.7833818172565</v>
      </c>
      <c r="Q59" s="12" t="s">
        <v>2669</v>
      </c>
    </row>
    <row r="60" customFormat="false" ht="15" hidden="false" customHeight="false" outlineLevel="0" collapsed="false">
      <c r="A60" s="9" t="s">
        <v>2670</v>
      </c>
      <c r="B60" s="10" t="s">
        <v>2671</v>
      </c>
      <c r="C60" s="9" t="s">
        <v>704</v>
      </c>
      <c r="D60" s="9" t="n">
        <f aca="false">D59*INP_253/D56</f>
        <v>2.12</v>
      </c>
      <c r="E60" s="9" t="n">
        <f aca="false">D60*(1+INP_268)</f>
        <v>2.1836</v>
      </c>
      <c r="F60" s="9" t="n">
        <f aca="false">E60*(1+INP_268)</f>
        <v>2.249108</v>
      </c>
      <c r="G60" s="9" t="n">
        <f aca="false">F60*(1+INP_268)</f>
        <v>2.31658124</v>
      </c>
      <c r="H60" s="9" t="n">
        <f aca="false">G60*(1+INP_268)</f>
        <v>2.3860786772</v>
      </c>
      <c r="I60" s="9" t="n">
        <f aca="false">H60*(1+INP_268)</f>
        <v>2.457661037516</v>
      </c>
      <c r="Q60" s="12" t="s">
        <v>2672</v>
      </c>
    </row>
    <row r="61" customFormat="false" ht="15" hidden="false" customHeight="false" outlineLevel="0" collapsed="false">
      <c r="A61" s="9" t="s">
        <v>2673</v>
      </c>
      <c r="B61" s="10" t="s">
        <v>2674</v>
      </c>
      <c r="C61" s="9" t="s">
        <v>68</v>
      </c>
      <c r="D61" s="9" t="n">
        <f aca="false">D59*$D$53</f>
        <v>4.20486187845304</v>
      </c>
      <c r="E61" s="9" t="n">
        <f aca="false">E59*$D$53</f>
        <v>6.71306198895028</v>
      </c>
      <c r="F61" s="9" t="n">
        <f aca="false">F59*$D$53</f>
        <v>8.98879000320442</v>
      </c>
      <c r="G61" s="9" t="n">
        <f aca="false">G59*$D$53</f>
        <v>11.1101444439607</v>
      </c>
      <c r="H61" s="9" t="n">
        <f aca="false">H59*$D$53</f>
        <v>13.1599660938714</v>
      </c>
      <c r="I61" s="9" t="n">
        <f aca="false">I59*$D$53</f>
        <v>14.9102415843563</v>
      </c>
      <c r="Q61" s="2" t="s">
        <v>2675</v>
      </c>
    </row>
    <row r="62" customFormat="false" ht="15" hidden="false" customHeight="false" outlineLevel="0" collapsed="false">
      <c r="A62" s="9" t="s">
        <v>2676</v>
      </c>
      <c r="B62" s="10" t="s">
        <v>2677</v>
      </c>
      <c r="C62" s="9" t="s">
        <v>68</v>
      </c>
      <c r="D62" s="9" t="n">
        <f aca="false">D59*$D$54</f>
        <v>3.35569060773481</v>
      </c>
      <c r="E62" s="9" t="n">
        <f aca="false">E59*$D$54</f>
        <v>5.35736005524862</v>
      </c>
      <c r="F62" s="9" t="n">
        <f aca="false">F59*$D$54</f>
        <v>7.1735051139779</v>
      </c>
      <c r="G62" s="9" t="n">
        <f aca="false">G59*$D$54</f>
        <v>8.86645232087669</v>
      </c>
      <c r="H62" s="9" t="n">
        <f aca="false">H59*$D$54</f>
        <v>10.5023127740784</v>
      </c>
      <c r="I62" s="9" t="n">
        <f aca="false">I59*$D$54</f>
        <v>11.8991203730309</v>
      </c>
      <c r="Q62" s="2" t="s">
        <v>2675</v>
      </c>
    </row>
    <row r="63" customFormat="false" ht="15" hidden="false" customHeight="false" outlineLevel="0" collapsed="false">
      <c r="A63" s="9" t="s">
        <v>2678</v>
      </c>
      <c r="B63" s="10" t="s">
        <v>2679</v>
      </c>
      <c r="C63" s="9" t="s">
        <v>68</v>
      </c>
      <c r="D63" s="9" t="n">
        <f aca="false">D59*$D$55</f>
        <v>0.919447513812155</v>
      </c>
      <c r="E63" s="9" t="n">
        <f aca="false">E59*$D$55</f>
        <v>1.46789795580111</v>
      </c>
      <c r="F63" s="9" t="n">
        <f aca="false">F59*$D$55</f>
        <v>1.96551536281768</v>
      </c>
      <c r="G63" s="9" t="n">
        <f aca="false">G59*$D$55</f>
        <v>2.42937698844265</v>
      </c>
      <c r="H63" s="9" t="n">
        <f aca="false">H59*$D$55</f>
        <v>2.87759704281032</v>
      </c>
      <c r="I63" s="9" t="n">
        <f aca="false">I59*$D$55</f>
        <v>3.26031744950409</v>
      </c>
      <c r="Q63" s="2" t="s">
        <v>2675</v>
      </c>
    </row>
    <row r="64" customFormat="false" ht="15" hidden="false" customHeight="false" outlineLevel="0" collapsed="false">
      <c r="A64" s="9" t="s">
        <v>2680</v>
      </c>
      <c r="B64" s="10" t="s">
        <v>2681</v>
      </c>
      <c r="C64" s="9" t="s">
        <v>68</v>
      </c>
      <c r="D64" s="9" t="n">
        <f aca="false">D62+D63</f>
        <v>4.27513812154696</v>
      </c>
      <c r="E64" s="9" t="n">
        <f aca="false">E62+E63</f>
        <v>6.82525801104972</v>
      </c>
      <c r="F64" s="9" t="n">
        <f aca="false">F62+F63</f>
        <v>9.13902047679558</v>
      </c>
      <c r="G64" s="9" t="n">
        <f aca="false">G62+G63</f>
        <v>11.2958293093193</v>
      </c>
      <c r="H64" s="9" t="n">
        <f aca="false">H62+H63</f>
        <v>13.3799098168888</v>
      </c>
      <c r="I64" s="9" t="n">
        <f aca="false">I62+I63</f>
        <v>15.159437822535</v>
      </c>
      <c r="Q64" s="2"/>
    </row>
    <row r="65" customFormat="false" ht="15" hidden="false" customHeight="false" outlineLevel="0" collapsed="false">
      <c r="A65" s="9" t="s">
        <v>2682</v>
      </c>
      <c r="B65" s="10" t="s">
        <v>2683</v>
      </c>
      <c r="C65" s="9" t="s">
        <v>68</v>
      </c>
      <c r="D65" s="9" t="n">
        <f aca="false">D59+D58</f>
        <v>14.48</v>
      </c>
      <c r="E65" s="9" t="n">
        <f aca="false">E59+E58</f>
        <v>22.83832</v>
      </c>
      <c r="F65" s="9" t="n">
        <f aca="false">F59+F58</f>
        <v>30.21781048</v>
      </c>
      <c r="G65" s="9" t="n">
        <f aca="false">G59+G58</f>
        <v>36.91397375328</v>
      </c>
      <c r="H65" s="9" t="n">
        <f aca="false">H59+H58</f>
        <v>43.2240759107602</v>
      </c>
      <c r="I65" s="9" t="n">
        <f aca="false">I59+I58</f>
        <v>48.4222994068913</v>
      </c>
      <c r="Q65" s="2"/>
    </row>
    <row r="66" customFormat="false" ht="15" hidden="false" customHeight="false" outlineLevel="0" collapsed="false">
      <c r="A66" s="9" t="s">
        <v>2684</v>
      </c>
      <c r="B66" s="10" t="s">
        <v>2685</v>
      </c>
      <c r="C66" s="10" t="s">
        <v>120</v>
      </c>
      <c r="D66" s="9" t="n">
        <f aca="false">(SRC_OAI_087-SRC_OAI_098+SRC_OAI_129+SRC_OAI_130)/SRC_OAI_002</f>
        <v>1.21576128538638</v>
      </c>
      <c r="E66" s="9" t="n">
        <f aca="false">INP_196</f>
        <v>0.33</v>
      </c>
      <c r="F66" s="9" t="n">
        <f aca="false">INP_197</f>
        <v>0.265</v>
      </c>
      <c r="G66" s="9" t="n">
        <f aca="false">INP_198</f>
        <v>0.22</v>
      </c>
      <c r="H66" s="9" t="n">
        <f aca="false">INP_199</f>
        <v>0.18</v>
      </c>
      <c r="I66" s="9" t="n">
        <f aca="false">INP_200</f>
        <v>0.14</v>
      </c>
      <c r="K66" s="2" t="n">
        <v>1.216</v>
      </c>
      <c r="L66" s="2" t="n">
        <v>0.33</v>
      </c>
      <c r="M66" s="2" t="n">
        <v>0.265</v>
      </c>
      <c r="N66" s="2" t="n">
        <v>0.22</v>
      </c>
      <c r="O66" s="2" t="n">
        <v>0.18</v>
      </c>
      <c r="P66" s="2" t="n">
        <v>0.14</v>
      </c>
      <c r="Q66" s="12" t="s">
        <v>2686</v>
      </c>
    </row>
    <row r="67" customFormat="false" ht="15" hidden="false" customHeight="false" outlineLevel="0" collapsed="false">
      <c r="A67" s="9" t="s">
        <v>2687</v>
      </c>
      <c r="B67" s="10" t="s">
        <v>2688</v>
      </c>
      <c r="C67" s="9" t="s">
        <v>68</v>
      </c>
      <c r="D67" s="13" t="n">
        <f aca="false">D66*Revenue!D74</f>
        <v>15.89</v>
      </c>
      <c r="E67" s="13" t="n">
        <f aca="false">E66*Revenue!E74</f>
        <v>11.2872478718822</v>
      </c>
      <c r="F67" s="13" t="n">
        <f aca="false">F66*Revenue!F74</f>
        <v>14.5208481081567</v>
      </c>
      <c r="G67" s="13" t="n">
        <f aca="false">G66*Revenue!G74</f>
        <v>17.2532995805733</v>
      </c>
      <c r="H67" s="13" t="n">
        <f aca="false">H66*Revenue!H74</f>
        <v>18.3829273885236</v>
      </c>
      <c r="I67" s="13" t="n">
        <f aca="false">I66*Revenue!I74</f>
        <v>17.6936329784173</v>
      </c>
      <c r="K67" s="2" t="n">
        <v>15.89312</v>
      </c>
      <c r="L67" s="2" t="n">
        <v>10.8583302713127</v>
      </c>
      <c r="M67" s="2" t="n">
        <v>13.9309444937509</v>
      </c>
      <c r="N67" s="2" t="n">
        <v>16.4744010769611</v>
      </c>
      <c r="O67" s="2" t="n">
        <v>17.4903359267986</v>
      </c>
      <c r="P67" s="2" t="n">
        <v>16.7833818172565</v>
      </c>
      <c r="Q67" s="2"/>
    </row>
    <row r="68" customFormat="false" ht="15" hidden="false" customHeight="false" outlineLevel="0" collapsed="false">
      <c r="A68" s="9" t="s">
        <v>2689</v>
      </c>
      <c r="B68" s="10" t="s">
        <v>2690</v>
      </c>
      <c r="C68" s="9" t="s">
        <v>68</v>
      </c>
      <c r="D68" s="9" t="n">
        <f aca="false">D65-D67</f>
        <v>-1.41</v>
      </c>
      <c r="E68" s="9" t="n">
        <f aca="false">E65-E67</f>
        <v>11.5510721281178</v>
      </c>
      <c r="F68" s="9" t="n">
        <f aca="false">F65-F67</f>
        <v>15.6969623718433</v>
      </c>
      <c r="G68" s="9" t="n">
        <f aca="false">G65-G67</f>
        <v>19.6606741727067</v>
      </c>
      <c r="H68" s="9" t="n">
        <f aca="false">H65-H67</f>
        <v>24.8411485222365</v>
      </c>
      <c r="I68" s="9" t="n">
        <f aca="false">I65-I67</f>
        <v>30.728666428474</v>
      </c>
      <c r="Q68" s="12" t="s">
        <v>2691</v>
      </c>
    </row>
    <row r="69" customFormat="false" ht="15" hidden="false" customHeight="false" outlineLevel="0" collapsed="false">
      <c r="A69" s="9" t="s">
        <v>2692</v>
      </c>
      <c r="B69" s="10" t="s">
        <v>2693</v>
      </c>
      <c r="C69" s="9" t="s">
        <v>68</v>
      </c>
      <c r="D69" s="9" t="n">
        <f aca="false">SRC_OAI_134*SRC_OAI_002</f>
        <v>6.03834</v>
      </c>
      <c r="E69" s="9" t="n">
        <f aca="false">D69+SRC_OAI_135</f>
        <v>9.03834</v>
      </c>
      <c r="F69" s="9" t="n">
        <f aca="false">E69+SRC_OAI_135</f>
        <v>12.03834</v>
      </c>
      <c r="G69" s="9" t="n">
        <f aca="false">F69+SRC_OAI_135</f>
        <v>15.03834</v>
      </c>
      <c r="H69" s="9" t="n">
        <f aca="false">G69+SRC_OAI_135</f>
        <v>18.03834</v>
      </c>
      <c r="I69" s="9" t="n">
        <f aca="false">H69+SRC_OAI_135</f>
        <v>21.03834</v>
      </c>
      <c r="Q69" s="2" t="s">
        <v>2694</v>
      </c>
    </row>
    <row r="70" customFormat="false" ht="15" hidden="false" customHeight="false" outlineLevel="0" collapsed="false">
      <c r="A70" s="9" t="s">
        <v>2695</v>
      </c>
      <c r="B70" s="10" t="s">
        <v>2696</v>
      </c>
      <c r="C70" s="9" t="s">
        <v>68</v>
      </c>
      <c r="D70" s="9" t="n">
        <f aca="false">D58-D69</f>
        <v>-0.0383400000000007</v>
      </c>
      <c r="E70" s="9" t="n">
        <f aca="false">E58-E69</f>
        <v>0.261659999999999</v>
      </c>
      <c r="F70" s="9" t="n">
        <f aca="false">F58-F69</f>
        <v>0.0516599999999983</v>
      </c>
      <c r="G70" s="9" t="n">
        <f aca="false">G58-G69</f>
        <v>-0.530340000000003</v>
      </c>
      <c r="H70" s="9" t="n">
        <f aca="false">H58-H69</f>
        <v>-1.35414</v>
      </c>
      <c r="I70" s="9" t="n">
        <f aca="false">I58-I69</f>
        <v>-2.68572</v>
      </c>
      <c r="Q70" s="2"/>
    </row>
    <row r="71" customFormat="false" ht="15" hidden="false" customHeight="false" outlineLevel="0" collapsed="false">
      <c r="A71" s="9" t="s">
        <v>2697</v>
      </c>
      <c r="B71" s="10" t="s">
        <v>2698</v>
      </c>
      <c r="C71" s="10" t="s">
        <v>120</v>
      </c>
      <c r="E71" s="9" t="n">
        <f aca="false">(AVERAGE(SRC_OAI_136,SRC_OAI_137)-SRC_OAI_132)/SRC_OAI_132</f>
        <v>0.5625</v>
      </c>
      <c r="Q71" s="2" t="s">
        <v>2699</v>
      </c>
    </row>
    <row r="72" customFormat="false" ht="15" hidden="false" customHeight="false" outlineLevel="0" collapsed="false">
      <c r="A72" s="14" t="s">
        <v>2700</v>
      </c>
    </row>
    <row r="73" customFormat="false" ht="15" hidden="false" customHeight="false" outlineLevel="0" collapsed="false">
      <c r="A73" s="9" t="s">
        <v>2701</v>
      </c>
      <c r="B73" s="10" t="s">
        <v>2702</v>
      </c>
      <c r="C73" s="9" t="s">
        <v>68</v>
      </c>
      <c r="D73" s="9" t="n">
        <f aca="false">D48</f>
        <v>12</v>
      </c>
      <c r="E73" s="13" t="n">
        <f aca="false">E27*Compute!E72/Compute!E87</f>
        <v>34.8483313406875</v>
      </c>
      <c r="F73" s="13" t="n">
        <f aca="false">F27*Compute!F72/Compute!F87</f>
        <v>111.721878221999</v>
      </c>
      <c r="G73" s="13" t="n">
        <f aca="false">G27*Compute!G72/Compute!G87</f>
        <v>130.806834285166</v>
      </c>
      <c r="H73" s="13" t="n">
        <f aca="false">H27*Compute!H72/Compute!H87</f>
        <v>140.775447504037</v>
      </c>
      <c r="I73" s="13" t="n">
        <f aca="false">I27*Compute!I72/Compute!I87</f>
        <v>126.007907232123</v>
      </c>
      <c r="K73" s="2" t="n">
        <v>12</v>
      </c>
      <c r="L73" s="2" t="n">
        <v>20.5802957818453</v>
      </c>
      <c r="M73" s="2" t="n">
        <v>92.6947711635182</v>
      </c>
      <c r="N73" s="2" t="n">
        <v>111.815118230807</v>
      </c>
      <c r="O73" s="2" t="n">
        <v>130.902151082469</v>
      </c>
      <c r="P73" s="2" t="n">
        <v>141.892456953922</v>
      </c>
      <c r="Q73" s="12" t="s">
        <v>2703</v>
      </c>
    </row>
    <row r="74" customFormat="false" ht="15" hidden="false" customHeight="false" outlineLevel="0" collapsed="false">
      <c r="A74" s="9" t="s">
        <v>2704</v>
      </c>
      <c r="B74" s="10" t="s">
        <v>2705</v>
      </c>
      <c r="C74" s="9" t="s">
        <v>68</v>
      </c>
      <c r="D74" s="9" t="n">
        <f aca="false">SRC_OAI_047</f>
        <v>8.4</v>
      </c>
      <c r="E74" s="13" t="n">
        <f aca="false">E27*Compute!E92/Compute!E87</f>
        <v>13.0682400878839</v>
      </c>
      <c r="F74" s="13" t="n">
        <f aca="false">F27*Compute!F92/Compute!F87</f>
        <v>15.8315503494299</v>
      </c>
      <c r="G74" s="13" t="n">
        <f aca="false">G27*Compute!G92/Compute!G87</f>
        <v>26.8834514291195</v>
      </c>
      <c r="H74" s="13" t="n">
        <f aca="false">H27*Compute!H92/Compute!H87</f>
        <v>47.051695353106</v>
      </c>
      <c r="I74" s="13" t="n">
        <f aca="false">I27*Compute!I92/Compute!I87</f>
        <v>79.3920927678766</v>
      </c>
      <c r="K74" s="2" t="n">
        <v>8.4</v>
      </c>
      <c r="L74" s="2" t="n">
        <v>9.33627564672609</v>
      </c>
      <c r="M74" s="2" t="n">
        <v>11.7328832829104</v>
      </c>
      <c r="N74" s="2" t="n">
        <v>15.0607321709784</v>
      </c>
      <c r="O74" s="2" t="n">
        <v>21.3275646809241</v>
      </c>
      <c r="P74" s="2" t="n">
        <v>30.532793577328</v>
      </c>
      <c r="Q74" s="12" t="s">
        <v>2706</v>
      </c>
    </row>
    <row r="75" customFormat="false" ht="15" hidden="false" customHeight="false" outlineLevel="0" collapsed="false">
      <c r="A75" s="9" t="s">
        <v>2707</v>
      </c>
      <c r="B75" s="10" t="s">
        <v>2708</v>
      </c>
      <c r="C75" s="9" t="s">
        <v>68</v>
      </c>
      <c r="D75" s="9" t="n">
        <f aca="false">D76-D73-D74</f>
        <v>0</v>
      </c>
      <c r="E75" s="13" t="n">
        <f aca="false">E27*Compute!E90/Compute!E87</f>
        <v>5.32406349206349</v>
      </c>
      <c r="F75" s="13" t="n">
        <f aca="false">F27*Compute!F90/Compute!F87</f>
        <v>14.1726031746032</v>
      </c>
      <c r="G75" s="13" t="n">
        <f aca="false">G27*Compute!G90/Compute!G87</f>
        <v>17.5211428571429</v>
      </c>
      <c r="H75" s="13" t="n">
        <f aca="false">H27*Compute!H90/Compute!H87</f>
        <v>20.8696825396825</v>
      </c>
      <c r="I75" s="13" t="n">
        <f aca="false">I27*Compute!I90/Compute!I87</f>
        <v>22.8222222222222</v>
      </c>
      <c r="K75" s="2" t="n">
        <v>0</v>
      </c>
      <c r="L75" s="2" t="n">
        <v>3.32406349206349</v>
      </c>
      <c r="M75" s="2" t="n">
        <v>11.6030727162698</v>
      </c>
      <c r="N75" s="2" t="n">
        <v>14.0973167113095</v>
      </c>
      <c r="O75" s="2" t="n">
        <v>16.9144128625992</v>
      </c>
      <c r="P75" s="2" t="n">
        <v>19.1583611701389</v>
      </c>
      <c r="Q75" s="12" t="s">
        <v>2709</v>
      </c>
    </row>
    <row r="76" customFormat="false" ht="15" hidden="false" customHeight="false" outlineLevel="0" collapsed="false">
      <c r="A76" s="9" t="s">
        <v>2710</v>
      </c>
      <c r="B76" s="10" t="s">
        <v>2711</v>
      </c>
      <c r="C76" s="9" t="s">
        <v>68</v>
      </c>
      <c r="D76" s="9" t="n">
        <f aca="false">D28</f>
        <v>20.4</v>
      </c>
      <c r="E76" s="9" t="n">
        <f aca="false">E27</f>
        <v>53.2406349206349</v>
      </c>
      <c r="F76" s="9" t="n">
        <f aca="false">F27</f>
        <v>141.726031746032</v>
      </c>
      <c r="G76" s="9" t="n">
        <f aca="false">G27</f>
        <v>175.211428571429</v>
      </c>
      <c r="H76" s="9" t="n">
        <f aca="false">H27</f>
        <v>208.696825396825</v>
      </c>
      <c r="I76" s="9" t="n">
        <f aca="false">I27</f>
        <v>228.222222222222</v>
      </c>
      <c r="Q76" s="12" t="s">
        <v>2712</v>
      </c>
    </row>
    <row r="77" customFormat="false" ht="15" hidden="false" customHeight="false" outlineLevel="0" collapsed="false">
      <c r="A77" s="9" t="s">
        <v>2713</v>
      </c>
      <c r="B77" s="10" t="s">
        <v>2714</v>
      </c>
      <c r="C77" s="9" t="s">
        <v>68</v>
      </c>
      <c r="D77" s="9" t="n">
        <f aca="false">D73+D61</f>
        <v>16.204861878453</v>
      </c>
      <c r="E77" s="9" t="n">
        <f aca="false">E73+E61</f>
        <v>41.5613933296378</v>
      </c>
      <c r="F77" s="9" t="n">
        <f aca="false">F73+F61</f>
        <v>120.710668225203</v>
      </c>
      <c r="G77" s="9" t="n">
        <f aca="false">G73+G61</f>
        <v>141.916978729127</v>
      </c>
      <c r="H77" s="9" t="n">
        <f aca="false">H73+H61</f>
        <v>153.935413597908</v>
      </c>
      <c r="I77" s="9" t="n">
        <f aca="false">I73+I61</f>
        <v>140.91814881648</v>
      </c>
      <c r="Q77" s="2"/>
    </row>
    <row r="78" customFormat="false" ht="15" hidden="false" customHeight="false" outlineLevel="0" collapsed="false">
      <c r="A78" s="9" t="s">
        <v>2715</v>
      </c>
      <c r="B78" s="10" t="s">
        <v>2716</v>
      </c>
      <c r="C78" s="9" t="s">
        <v>68</v>
      </c>
      <c r="D78" s="9" t="n">
        <f aca="false">D76+D59+D58</f>
        <v>34.88</v>
      </c>
      <c r="E78" s="9" t="n">
        <f aca="false">E76+E59+E58</f>
        <v>76.0789549206349</v>
      </c>
      <c r="F78" s="9" t="n">
        <f aca="false">F76+F59+F58</f>
        <v>171.943842226032</v>
      </c>
      <c r="G78" s="9" t="n">
        <f aca="false">G76+G59+G58</f>
        <v>212.125402324709</v>
      </c>
      <c r="H78" s="9" t="n">
        <f aca="false">H76+H59+H58</f>
        <v>251.920901307586</v>
      </c>
      <c r="I78" s="9" t="n">
        <f aca="false">I76+I59+I58</f>
        <v>276.644521629114</v>
      </c>
      <c r="Q78" s="2"/>
    </row>
    <row r="79" customFormat="false" ht="15" hidden="false" customHeight="false" outlineLevel="0" collapsed="false">
      <c r="A79" s="9" t="s">
        <v>2717</v>
      </c>
      <c r="B79" s="9" t="s">
        <v>2718</v>
      </c>
      <c r="C79" s="10" t="s">
        <v>120</v>
      </c>
      <c r="D79" s="9" t="n">
        <f aca="false">D77/D78</f>
        <v>0.464588930001521</v>
      </c>
      <c r="E79" s="9" t="n">
        <f aca="false">E77/E78</f>
        <v>0.546292905482132</v>
      </c>
      <c r="F79" s="9" t="n">
        <f aca="false">F77/F78</f>
        <v>0.702035424255094</v>
      </c>
      <c r="G79" s="9" t="n">
        <f aca="false">G77/G78</f>
        <v>0.669023969660593</v>
      </c>
      <c r="H79" s="9" t="n">
        <f aca="false">H77/H78</f>
        <v>0.611046613436648</v>
      </c>
      <c r="I79" s="9" t="n">
        <f aca="false">I77/I78</f>
        <v>0.50938347879306</v>
      </c>
      <c r="Q79" s="12" t="s">
        <v>2719</v>
      </c>
    </row>
    <row r="80" customFormat="false" ht="15" hidden="false" customHeight="false" outlineLevel="0" collapsed="false">
      <c r="A80" s="9" t="s">
        <v>2720</v>
      </c>
      <c r="B80" s="10" t="s">
        <v>2721</v>
      </c>
      <c r="C80" s="10" t="s">
        <v>120</v>
      </c>
      <c r="D80" s="9" t="n">
        <f aca="false">D73/D77</f>
        <v>0.740518499324942</v>
      </c>
      <c r="E80" s="9" t="n">
        <f aca="false">E73/E77</f>
        <v>0.838478418283365</v>
      </c>
      <c r="F80" s="9" t="n">
        <f aca="false">F73/F77</f>
        <v>0.925534419323779</v>
      </c>
      <c r="G80" s="9" t="n">
        <f aca="false">G73/G77</f>
        <v>0.921713775592938</v>
      </c>
      <c r="H80" s="9" t="n">
        <f aca="false">H73/H77</f>
        <v>0.91450982079896</v>
      </c>
      <c r="I80" s="9" t="n">
        <f aca="false">I73/I77</f>
        <v>0.894192183834502</v>
      </c>
      <c r="Q80" s="2"/>
    </row>
    <row r="81" customFormat="false" ht="15" hidden="false" customHeight="false" outlineLevel="0" collapsed="false">
      <c r="A81" s="9" t="s">
        <v>2722</v>
      </c>
      <c r="B81" s="9" t="s">
        <v>2723</v>
      </c>
      <c r="C81" s="9" t="s">
        <v>713</v>
      </c>
      <c r="D81" s="9" t="n">
        <f aca="false">TK_L1_Ans3</f>
        <v>1.15731961755801</v>
      </c>
      <c r="E81" s="9" t="n">
        <f aca="false">TK_L1_Ans3</f>
        <v>1.15731961755801</v>
      </c>
      <c r="F81" s="9" t="n">
        <f aca="false">TK_L1_Ans3</f>
        <v>1.15731961755801</v>
      </c>
      <c r="G81" s="9" t="n">
        <f aca="false">TK_L1_Ans3</f>
        <v>1.15731961755801</v>
      </c>
      <c r="H81" s="9" t="n">
        <f aca="false">TK_L1_Ans3</f>
        <v>1.15731961755801</v>
      </c>
      <c r="I81" s="9" t="n">
        <f aca="false">TK_L1_Ans3</f>
        <v>1.15731961755801</v>
      </c>
      <c r="Q81" s="12" t="s">
        <v>2724</v>
      </c>
    </row>
    <row r="82" customFormat="false" ht="15" hidden="false" customHeight="false" outlineLevel="0" collapsed="false">
      <c r="A82" s="9" t="s">
        <v>2725</v>
      </c>
      <c r="B82" s="10" t="s">
        <v>2726</v>
      </c>
      <c r="C82" s="9" t="s">
        <v>713</v>
      </c>
      <c r="D82" s="9" t="n">
        <f aca="false">D73-D81</f>
        <v>10.842680382442</v>
      </c>
      <c r="E82" s="9" t="n">
        <f aca="false">E73-E81</f>
        <v>33.6910117231295</v>
      </c>
      <c r="F82" s="9" t="n">
        <f aca="false">F73-F81</f>
        <v>110.564558604441</v>
      </c>
      <c r="G82" s="9" t="n">
        <f aca="false">G73-G81</f>
        <v>129.649514667608</v>
      </c>
      <c r="H82" s="9" t="n">
        <f aca="false">H73-H81</f>
        <v>139.618127886479</v>
      </c>
      <c r="I82" s="9" t="n">
        <f aca="false">I73-I81</f>
        <v>124.850587614565</v>
      </c>
      <c r="Q82" s="12" t="s">
        <v>2727</v>
      </c>
    </row>
    <row r="83" customFormat="false" ht="15" hidden="false" customHeight="false" outlineLevel="0" collapsed="false">
      <c r="A83" s="9" t="s">
        <v>2728</v>
      </c>
      <c r="B83" s="10" t="s">
        <v>2729</v>
      </c>
      <c r="C83" s="10" t="s">
        <v>560</v>
      </c>
      <c r="D83" s="9" t="n">
        <f aca="false">D73/D81</f>
        <v>10.3687864769116</v>
      </c>
      <c r="E83" s="9" t="n">
        <f aca="false">E73/E81</f>
        <v>30.1112422290213</v>
      </c>
      <c r="F83" s="9" t="n">
        <f aca="false">F73/F81</f>
        <v>96.535025006952</v>
      </c>
      <c r="G83" s="9" t="n">
        <f aca="false">G73/G81</f>
        <v>113.025677868637</v>
      </c>
      <c r="H83" s="9" t="n">
        <f aca="false">H73/H81</f>
        <v>121.639213030086</v>
      </c>
      <c r="I83" s="9" t="n">
        <f aca="false">I73/I81</f>
        <v>108.879090374364</v>
      </c>
      <c r="Q83" s="2" t="s">
        <v>2730</v>
      </c>
    </row>
    <row r="84" customFormat="false" ht="15" hidden="false" customHeight="false" outlineLevel="0" collapsed="false">
      <c r="A84" s="14" t="s">
        <v>2731</v>
      </c>
    </row>
    <row r="85" customFormat="false" ht="15" hidden="false" customHeight="false" outlineLevel="0" collapsed="false">
      <c r="A85" s="9" t="s">
        <v>2732</v>
      </c>
      <c r="B85" s="10" t="s">
        <v>2733</v>
      </c>
      <c r="C85" s="9" t="s">
        <v>375</v>
      </c>
      <c r="D85" s="13" t="n">
        <f aca="false">Compute!D99</f>
        <v>0.282644620596551</v>
      </c>
      <c r="E85" s="13" t="n">
        <f aca="false">Compute!E99</f>
        <v>1.15652519056375</v>
      </c>
      <c r="F85" s="13" t="n">
        <f aca="false">Compute!F99</f>
        <v>5.75203207098036</v>
      </c>
      <c r="G85" s="13" t="n">
        <f aca="false">Compute!G99</f>
        <v>8.94117740372192</v>
      </c>
      <c r="H85" s="13" t="n">
        <f aca="false">Compute!H99</f>
        <v>12.1464088498934</v>
      </c>
      <c r="I85" s="13" t="n">
        <f aca="false">Compute!I99</f>
        <v>14.9447258544384</v>
      </c>
      <c r="Q85" s="12" t="s">
        <v>2734</v>
      </c>
    </row>
    <row r="86" customFormat="false" ht="15" hidden="false" customHeight="false" outlineLevel="0" collapsed="false">
      <c r="A86" s="9" t="s">
        <v>2735</v>
      </c>
      <c r="B86" s="10" t="s">
        <v>2736</v>
      </c>
      <c r="C86" s="9" t="s">
        <v>68</v>
      </c>
      <c r="D86" s="13" t="n">
        <f aca="false">Revenue!D77</f>
        <v>10.456</v>
      </c>
      <c r="E86" s="13" t="n">
        <f aca="false">Revenue!E77</f>
        <v>27.3630251439569</v>
      </c>
      <c r="F86" s="13" t="n">
        <f aca="false">Revenue!F77</f>
        <v>43.8365225906617</v>
      </c>
      <c r="G86" s="13" t="n">
        <f aca="false">Revenue!G77</f>
        <v>62.7392712020847</v>
      </c>
      <c r="H86" s="13" t="n">
        <f aca="false">Revenue!H77</f>
        <v>97.6120791148627</v>
      </c>
      <c r="I86" s="13" t="n">
        <f aca="false">Revenue!I77</f>
        <v>126.38309270298</v>
      </c>
      <c r="Q86" s="12" t="s">
        <v>2737</v>
      </c>
    </row>
    <row r="87" customFormat="false" ht="15" hidden="false" customHeight="false" outlineLevel="0" collapsed="false">
      <c r="A87" s="9" t="s">
        <v>2738</v>
      </c>
      <c r="B87" s="10" t="s">
        <v>2739</v>
      </c>
      <c r="C87" s="9" t="s">
        <v>68</v>
      </c>
      <c r="D87" s="9" t="n">
        <f aca="false">D27+D59+D58</f>
        <v>29.2352380952381</v>
      </c>
      <c r="E87" s="9" t="n">
        <f aca="false">E27+E59+E58</f>
        <v>76.0789549206349</v>
      </c>
      <c r="F87" s="9" t="n">
        <f aca="false">F27+F59+F58</f>
        <v>171.943842226032</v>
      </c>
      <c r="G87" s="9" t="n">
        <f aca="false">G27+G59+G58</f>
        <v>212.125402324709</v>
      </c>
      <c r="H87" s="9" t="n">
        <f aca="false">H27+H59+H58</f>
        <v>251.920901307586</v>
      </c>
      <c r="I87" s="9" t="n">
        <f aca="false">I27+I59+I58</f>
        <v>276.644521629114</v>
      </c>
      <c r="Q87" s="12" t="s">
        <v>2740</v>
      </c>
    </row>
    <row r="88" customFormat="false" ht="15" hidden="false" customHeight="false" outlineLevel="0" collapsed="false">
      <c r="A88" s="9" t="s">
        <v>2741</v>
      </c>
      <c r="B88" s="10" t="s">
        <v>2742</v>
      </c>
      <c r="C88" s="9" t="s">
        <v>68</v>
      </c>
      <c r="D88" s="9" t="n">
        <f aca="false">D27+D59</f>
        <v>23.2352380952381</v>
      </c>
      <c r="E88" s="9" t="n">
        <f aca="false">E27+E59</f>
        <v>66.7789549206349</v>
      </c>
      <c r="F88" s="9" t="n">
        <f aca="false">F27+F59</f>
        <v>159.853842226032</v>
      </c>
      <c r="G88" s="9" t="n">
        <f aca="false">G27+G59</f>
        <v>197.617402324709</v>
      </c>
      <c r="H88" s="9" t="n">
        <f aca="false">H27+H59</f>
        <v>235.236701307586</v>
      </c>
      <c r="I88" s="9" t="n">
        <f aca="false">I27+I59</f>
        <v>258.291901629114</v>
      </c>
      <c r="Q88" s="2"/>
    </row>
    <row r="89" customFormat="false" ht="15" hidden="false" customHeight="false" outlineLevel="0" collapsed="false">
      <c r="A89" s="9" t="s">
        <v>2743</v>
      </c>
      <c r="B89" s="10" t="s">
        <v>2744</v>
      </c>
      <c r="C89" s="9" t="s">
        <v>68</v>
      </c>
      <c r="D89" s="9" t="n">
        <f aca="false">D86-D87</f>
        <v>-18.7792380952381</v>
      </c>
      <c r="E89" s="9" t="n">
        <f aca="false">E86-E87</f>
        <v>-48.715929776678</v>
      </c>
      <c r="F89" s="9" t="n">
        <f aca="false">F86-F87</f>
        <v>-128.10731963537</v>
      </c>
      <c r="G89" s="9" t="n">
        <f aca="false">G86-G87</f>
        <v>-149.386131122624</v>
      </c>
      <c r="H89" s="9" t="n">
        <f aca="false">H86-H87</f>
        <v>-154.308822192723</v>
      </c>
      <c r="I89" s="9" t="n">
        <f aca="false">I86-I87</f>
        <v>-150.261428926133</v>
      </c>
      <c r="Q89" s="2" t="s">
        <v>2745</v>
      </c>
    </row>
    <row r="90" customFormat="false" ht="15" hidden="false" customHeight="false" outlineLevel="0" collapsed="false">
      <c r="A90" s="9" t="s">
        <v>2746</v>
      </c>
      <c r="B90" s="10" t="s">
        <v>2747</v>
      </c>
      <c r="C90" s="9" t="s">
        <v>1566</v>
      </c>
      <c r="D90" s="9" t="n">
        <f aca="false">D86/D85</f>
        <v>36.9934512743654</v>
      </c>
      <c r="E90" s="9" t="n">
        <f aca="false">E86/E85</f>
        <v>23.6596879749924</v>
      </c>
      <c r="F90" s="9" t="n">
        <f aca="false">F86/F85</f>
        <v>7.62104975245563</v>
      </c>
      <c r="G90" s="9" t="n">
        <f aca="false">G86/G85</f>
        <v>7.01689144160907</v>
      </c>
      <c r="H90" s="9" t="n">
        <f aca="false">H86/H85</f>
        <v>8.03629124633981</v>
      </c>
      <c r="I90" s="9" t="n">
        <f aca="false">I86/I85</f>
        <v>8.45670197860781</v>
      </c>
      <c r="K90" s="2" t="n">
        <v>34.7469595736879</v>
      </c>
      <c r="L90" s="2" t="n">
        <v>27.4775336971008</v>
      </c>
      <c r="M90" s="2" t="n">
        <v>9.02163263859976</v>
      </c>
      <c r="N90" s="2" t="n">
        <v>8.04317282476755</v>
      </c>
      <c r="O90" s="2" t="n">
        <v>7.47985080265663</v>
      </c>
      <c r="P90" s="2" t="n">
        <v>7.13360509196659</v>
      </c>
      <c r="Q90" s="12" t="s">
        <v>2748</v>
      </c>
    </row>
    <row r="91" customFormat="false" ht="15" hidden="false" customHeight="false" outlineLevel="0" collapsed="false">
      <c r="A91" s="9" t="s">
        <v>2749</v>
      </c>
      <c r="B91" s="10" t="s">
        <v>2750</v>
      </c>
      <c r="C91" s="9" t="s">
        <v>1566</v>
      </c>
      <c r="D91" s="9" t="n">
        <f aca="false">D27/D85</f>
        <v>52.2042063425641</v>
      </c>
      <c r="E91" s="9" t="n">
        <f aca="false">E27/E85</f>
        <v>46.0349980744326</v>
      </c>
      <c r="F91" s="9" t="n">
        <f aca="false">F27/F85</f>
        <v>24.6392979032671</v>
      </c>
      <c r="G91" s="9" t="n">
        <f aca="false">G27/G85</f>
        <v>19.5960129924828</v>
      </c>
      <c r="H91" s="9" t="n">
        <f aca="false">H27/H85</f>
        <v>17.181771828688</v>
      </c>
      <c r="I91" s="9" t="n">
        <f aca="false">I27/I85</f>
        <v>15.2710879038603</v>
      </c>
      <c r="K91" s="2" t="n">
        <v>54.2339690362076</v>
      </c>
      <c r="L91" s="2" t="n">
        <v>27.7586251565855</v>
      </c>
      <c r="M91" s="2" t="n">
        <v>19.9123934393732</v>
      </c>
      <c r="N91" s="2" t="n">
        <v>15.1417790011712</v>
      </c>
      <c r="O91" s="2" t="n">
        <v>13.0203967082915</v>
      </c>
      <c r="P91" s="2" t="n">
        <v>11.4002921460753</v>
      </c>
      <c r="Q91" s="12" t="s">
        <v>2751</v>
      </c>
    </row>
    <row r="92" customFormat="false" ht="15" hidden="false" customHeight="false" outlineLevel="0" collapsed="false">
      <c r="A92" s="9" t="s">
        <v>2752</v>
      </c>
      <c r="B92" s="10" t="s">
        <v>2753</v>
      </c>
      <c r="C92" s="9" t="s">
        <v>1566</v>
      </c>
      <c r="D92" s="9" t="n">
        <f aca="false">D59/D85</f>
        <v>30.0023399776796</v>
      </c>
      <c r="E92" s="9" t="n">
        <f aca="false">E59/E85</f>
        <v>11.7060312308466</v>
      </c>
      <c r="F92" s="9" t="n">
        <f aca="false">F59/F85</f>
        <v>3.15154892328518</v>
      </c>
      <c r="G92" s="9" t="n">
        <f aca="false">G59/G85</f>
        <v>2.50593101350982</v>
      </c>
      <c r="H92" s="9" t="n">
        <f aca="false">H59/H85</f>
        <v>2.18499774202752</v>
      </c>
      <c r="I92" s="9" t="n">
        <f aca="false">I59/I85</f>
        <v>2.01205961887624</v>
      </c>
      <c r="Q92" s="2"/>
    </row>
    <row r="93" customFormat="false" ht="15" hidden="false" customHeight="false" outlineLevel="0" collapsed="false">
      <c r="A93" s="9" t="s">
        <v>2754</v>
      </c>
      <c r="B93" s="10" t="s">
        <v>2755</v>
      </c>
      <c r="C93" s="9" t="s">
        <v>1566</v>
      </c>
      <c r="D93" s="9" t="n">
        <f aca="false">D58/D85</f>
        <v>21.2280707389243</v>
      </c>
      <c r="E93" s="9" t="n">
        <f aca="false">E58/E85</f>
        <v>8.04132938554215</v>
      </c>
      <c r="F93" s="9" t="n">
        <f aca="false">F58/F85</f>
        <v>2.10186588857795</v>
      </c>
      <c r="G93" s="9" t="n">
        <f aca="false">G58/G85</f>
        <v>1.62260509381693</v>
      </c>
      <c r="H93" s="9" t="n">
        <f aca="false">H58/H85</f>
        <v>1.37359117465788</v>
      </c>
      <c r="I93" s="9" t="n">
        <f aca="false">I58/I85</f>
        <v>1.22803323250988</v>
      </c>
      <c r="Q93" s="2"/>
    </row>
    <row r="94" customFormat="false" ht="15" hidden="false" customHeight="false" outlineLevel="0" collapsed="false">
      <c r="A94" s="9" t="s">
        <v>2756</v>
      </c>
      <c r="B94" s="10" t="s">
        <v>2757</v>
      </c>
      <c r="C94" s="9" t="s">
        <v>1566</v>
      </c>
      <c r="D94" s="9" t="n">
        <f aca="false">D91+D92+D93</f>
        <v>103.434617059168</v>
      </c>
      <c r="E94" s="9" t="n">
        <f aca="false">E91+E92+E93</f>
        <v>65.7823586908213</v>
      </c>
      <c r="F94" s="9" t="n">
        <f aca="false">F91+F92+F93</f>
        <v>29.8927127151303</v>
      </c>
      <c r="G94" s="9" t="n">
        <f aca="false">G91+G92+G93</f>
        <v>23.7245490998096</v>
      </c>
      <c r="H94" s="9" t="n">
        <f aca="false">H91+H92+H93</f>
        <v>20.7403607453734</v>
      </c>
      <c r="I94" s="9" t="n">
        <f aca="false">I91+I92+I93</f>
        <v>18.5111807552464</v>
      </c>
      <c r="Q94" s="2"/>
    </row>
    <row r="95" customFormat="false" ht="15" hidden="false" customHeight="false" outlineLevel="0" collapsed="false">
      <c r="A95" s="9" t="s">
        <v>2758</v>
      </c>
      <c r="B95" s="10" t="s">
        <v>2759</v>
      </c>
      <c r="C95" s="9" t="s">
        <v>1566</v>
      </c>
      <c r="D95" s="9" t="n">
        <f aca="false">D91+D92</f>
        <v>82.2065463202437</v>
      </c>
      <c r="E95" s="9" t="n">
        <f aca="false">E91+E92</f>
        <v>57.7410293052791</v>
      </c>
      <c r="F95" s="9" t="n">
        <f aca="false">F91+F92</f>
        <v>27.7908468265523</v>
      </c>
      <c r="G95" s="9" t="n">
        <f aca="false">G91+G92</f>
        <v>22.1019440059927</v>
      </c>
      <c r="H95" s="9" t="n">
        <f aca="false">H91+H92</f>
        <v>19.3667695707155</v>
      </c>
      <c r="I95" s="9" t="n">
        <f aca="false">I91+I92</f>
        <v>17.2831475227365</v>
      </c>
      <c r="Q95" s="2"/>
    </row>
    <row r="96" customFormat="false" ht="15" hidden="false" customHeight="false" outlineLevel="0" collapsed="false">
      <c r="A96" s="9" t="s">
        <v>2760</v>
      </c>
      <c r="B96" s="10" t="s">
        <v>2761</v>
      </c>
      <c r="C96" s="9" t="s">
        <v>1566</v>
      </c>
      <c r="D96" s="9" t="n">
        <f aca="false">D90-D94</f>
        <v>-66.4411657848026</v>
      </c>
      <c r="E96" s="9" t="n">
        <f aca="false">E90-E94</f>
        <v>-42.1226707158289</v>
      </c>
      <c r="F96" s="9" t="n">
        <f aca="false">F90-F94</f>
        <v>-22.2716629626746</v>
      </c>
      <c r="G96" s="9" t="n">
        <f aca="false">G90-G94</f>
        <v>-16.7076576582005</v>
      </c>
      <c r="H96" s="9" t="n">
        <f aca="false">H90-H94</f>
        <v>-12.7040694990336</v>
      </c>
      <c r="I96" s="9" t="n">
        <f aca="false">I90-I94</f>
        <v>-10.0544787766386</v>
      </c>
      <c r="Q96" s="2" t="s">
        <v>2762</v>
      </c>
    </row>
    <row r="97" customFormat="false" ht="15" hidden="false" customHeight="false" outlineLevel="0" collapsed="false">
      <c r="A97" s="9" t="s">
        <v>2763</v>
      </c>
      <c r="B97" s="10" t="s">
        <v>2764</v>
      </c>
      <c r="C97" s="9" t="s">
        <v>1566</v>
      </c>
      <c r="D97" s="9" t="n">
        <f aca="false">D90-D95</f>
        <v>-45.2130950458784</v>
      </c>
      <c r="E97" s="9" t="n">
        <f aca="false">E90-E95</f>
        <v>-34.0813413302868</v>
      </c>
      <c r="F97" s="9" t="n">
        <f aca="false">F90-F95</f>
        <v>-20.1697970740967</v>
      </c>
      <c r="G97" s="9" t="n">
        <f aca="false">G90-G95</f>
        <v>-15.0850525643836</v>
      </c>
      <c r="H97" s="9" t="n">
        <f aca="false">H90-H95</f>
        <v>-11.3304783243757</v>
      </c>
      <c r="I97" s="9" t="n">
        <f aca="false">I90-I95</f>
        <v>-8.82644554412873</v>
      </c>
      <c r="Q97" s="2"/>
    </row>
    <row r="98" customFormat="false" ht="15" hidden="false" customHeight="false" outlineLevel="0" collapsed="false">
      <c r="A98" s="9" t="s">
        <v>2765</v>
      </c>
      <c r="B98" s="10" t="s">
        <v>2766</v>
      </c>
      <c r="C98" s="10" t="s">
        <v>560</v>
      </c>
      <c r="D98" s="9" t="n">
        <f aca="false">D86/D87</f>
        <v>0.357650584747695</v>
      </c>
      <c r="E98" s="9" t="n">
        <f aca="false">E86/E87</f>
        <v>0.359666154359005</v>
      </c>
      <c r="F98" s="9" t="n">
        <f aca="false">F86/F87</f>
        <v>0.254946743210703</v>
      </c>
      <c r="G98" s="9" t="n">
        <f aca="false">G86/G87</f>
        <v>0.295765007465006</v>
      </c>
      <c r="H98" s="9" t="n">
        <f aca="false">H86/H87</f>
        <v>0.387471141172531</v>
      </c>
      <c r="I98" s="9" t="n">
        <f aca="false">I86/I87</f>
        <v>0.456842925927943</v>
      </c>
      <c r="Q98" s="2"/>
    </row>
    <row r="99" customFormat="false" ht="15" hidden="false" customHeight="false" outlineLevel="0" collapsed="false">
      <c r="A99" s="9" t="s">
        <v>2767</v>
      </c>
      <c r="B99" s="10" t="s">
        <v>2768</v>
      </c>
      <c r="C99" s="9" t="s">
        <v>1566</v>
      </c>
      <c r="D99" s="9" t="n">
        <f aca="false">D44/D85</f>
        <v>52.2042063425641</v>
      </c>
      <c r="E99" s="9" t="n">
        <f aca="false">E44/E85</f>
        <v>28.7418166001484</v>
      </c>
      <c r="F99" s="9" t="n">
        <f aca="false">F44/F85</f>
        <v>20.1872326253625</v>
      </c>
      <c r="G99" s="9" t="n">
        <f aca="false">G44/G85</f>
        <v>15.8409741110497</v>
      </c>
      <c r="H99" s="9" t="n">
        <f aca="false">H44/H85</f>
        <v>14.0642709779317</v>
      </c>
      <c r="I99" s="9" t="n">
        <f aca="false">I44/I85</f>
        <v>13.0565967477766</v>
      </c>
      <c r="Q99" s="2" t="s">
        <v>2769</v>
      </c>
    </row>
    <row r="100" customFormat="false" ht="15" hidden="false" customHeight="false" outlineLevel="0" collapsed="false">
      <c r="A100" s="9" t="s">
        <v>2770</v>
      </c>
      <c r="B100" s="10" t="s">
        <v>2771</v>
      </c>
      <c r="C100" s="9" t="s">
        <v>1566</v>
      </c>
      <c r="D100" s="9" t="n">
        <f aca="false">D99+D92+D93</f>
        <v>103.434617059168</v>
      </c>
      <c r="E100" s="9" t="n">
        <f aca="false">E99+E92+E93</f>
        <v>48.4891772165371</v>
      </c>
      <c r="F100" s="9" t="n">
        <f aca="false">F99+F92+F93</f>
        <v>25.4406474372256</v>
      </c>
      <c r="G100" s="9" t="n">
        <f aca="false">G99+G92+G93</f>
        <v>19.9695102183765</v>
      </c>
      <c r="H100" s="9" t="n">
        <f aca="false">H99+H92+H93</f>
        <v>17.6228598946171</v>
      </c>
      <c r="I100" s="9" t="n">
        <f aca="false">I99+I92+I93</f>
        <v>16.2966895991627</v>
      </c>
      <c r="Q100" s="2"/>
    </row>
    <row r="101" customFormat="false" ht="15" hidden="false" customHeight="false" outlineLevel="0" collapsed="false">
      <c r="A101" s="9" t="s">
        <v>2772</v>
      </c>
      <c r="B101" s="10" t="s">
        <v>2773</v>
      </c>
      <c r="C101" s="9" t="s">
        <v>1566</v>
      </c>
      <c r="D101" s="9" t="n">
        <f aca="false">D90-D100</f>
        <v>-66.4411657848026</v>
      </c>
      <c r="E101" s="9" t="n">
        <f aca="false">E90-E100</f>
        <v>-24.8294892415447</v>
      </c>
      <c r="F101" s="9" t="n">
        <f aca="false">F90-F100</f>
        <v>-17.81959768477</v>
      </c>
      <c r="G101" s="9" t="n">
        <f aca="false">G90-G100</f>
        <v>-12.9526187767674</v>
      </c>
      <c r="H101" s="9" t="n">
        <f aca="false">H90-H100</f>
        <v>-9.58656864827731</v>
      </c>
      <c r="I101" s="9" t="n">
        <f aca="false">I90-I100</f>
        <v>-7.83998762055491</v>
      </c>
      <c r="Q101" s="2"/>
    </row>
    <row r="102" customFormat="false" ht="15" hidden="false" customHeight="false" outlineLevel="0" collapsed="false">
      <c r="A102" s="9" t="s">
        <v>2774</v>
      </c>
      <c r="B102" s="10" t="s">
        <v>2775</v>
      </c>
      <c r="C102" s="9" t="s">
        <v>1566</v>
      </c>
      <c r="D102" s="9" t="n">
        <f aca="false">D90-D99-D92</f>
        <v>-45.2130950458784</v>
      </c>
      <c r="E102" s="9" t="n">
        <f aca="false">E90-E99-E92</f>
        <v>-16.7881598560026</v>
      </c>
      <c r="F102" s="9" t="n">
        <f aca="false">F90-F99-F92</f>
        <v>-15.717731796192</v>
      </c>
      <c r="G102" s="9" t="n">
        <f aca="false">G90-G99-G92</f>
        <v>-11.3300136829505</v>
      </c>
      <c r="H102" s="9" t="n">
        <f aca="false">H90-H99-H92</f>
        <v>-8.21297747361943</v>
      </c>
      <c r="I102" s="9" t="n">
        <f aca="false">I90-I99-I92</f>
        <v>-6.61195438804502</v>
      </c>
      <c r="Q102" s="2"/>
    </row>
    <row r="103" customFormat="false" ht="15" hidden="false" customHeight="false" outlineLevel="0" collapsed="false">
      <c r="A103" s="9" t="s">
        <v>2776</v>
      </c>
      <c r="B103" s="10" t="s">
        <v>2777</v>
      </c>
      <c r="C103" s="9" t="s">
        <v>68</v>
      </c>
      <c r="D103" s="9" t="n">
        <f aca="false">D86-D44-D59-D58</f>
        <v>-18.7792380952381</v>
      </c>
      <c r="E103" s="9" t="n">
        <f aca="false">E86-E44-E59-E58</f>
        <v>-28.715929776678</v>
      </c>
      <c r="F103" s="9" t="n">
        <f aca="false">F86-F44-F59-F58</f>
        <v>-102.498897374764</v>
      </c>
      <c r="G103" s="9" t="n">
        <f aca="false">G86-G44-G59-G58</f>
        <v>-115.811662325857</v>
      </c>
      <c r="H103" s="9" t="n">
        <f aca="false">H86-H44-H59-H58</f>
        <v>-116.442382269546</v>
      </c>
      <c r="I103" s="9" t="n">
        <f aca="false">I86-I44-I59-I58</f>
        <v>-117.166465691384</v>
      </c>
      <c r="Q103" s="2"/>
    </row>
    <row r="104" customFormat="false" ht="15" hidden="false" customHeight="false" outlineLevel="0" collapsed="false">
      <c r="A104" s="9" t="s">
        <v>2778</v>
      </c>
      <c r="B104" s="10" t="s">
        <v>2779</v>
      </c>
      <c r="C104" s="9" t="s">
        <v>1566</v>
      </c>
      <c r="D104" s="9" t="n">
        <f aca="false">(D86-D28-D59-D58)/D85</f>
        <v>-86.4123999545811</v>
      </c>
      <c r="Q104" s="2" t="s">
        <v>2780</v>
      </c>
    </row>
    <row r="105" customFormat="false" ht="15" hidden="false" customHeight="false" outlineLevel="0" collapsed="false">
      <c r="A105" s="9" t="s">
        <v>2781</v>
      </c>
      <c r="B105" s="9" t="s">
        <v>2782</v>
      </c>
      <c r="C105" s="9" t="s">
        <v>1566</v>
      </c>
      <c r="D105" s="13" t="n">
        <f aca="false">SUMIFS(TK_IF_FullCostDefault_Sol,TK_HdrGen,Compute!$G$8,TK_HdrCost,Compute!$G$9)*SUMIFS(TK_IF_TokGW_Sol,TK_HdrGen,Compute!$G$8,TK_HdrCost,Compute!$G$9)*TK_IF_Util/INP_270</f>
        <v>15.9450038159985</v>
      </c>
      <c r="E105" s="13" t="n">
        <f aca="false">SUMIFS(TK_IF_FullCostDefault_Sol,TK_HdrGen,Compute!$G$8,TK_HdrCost,Compute!$G$9)*SUMIFS(TK_IF_TokGW_Sol,TK_HdrGen,Compute!$G$8,TK_HdrCost,Compute!$G$9)*TK_IF_Util/INP_270</f>
        <v>15.9450038159985</v>
      </c>
      <c r="F105" s="13" t="n">
        <f aca="false">SUMIFS(TK_IF_FullCostDefault_Sol,TK_HdrGen,Compute!$G$8,TK_HdrCost,Compute!$G$9)*SUMIFS(TK_IF_TokGW_Sol,TK_HdrGen,Compute!$G$8,TK_HdrCost,Compute!$G$9)*TK_IF_Util/INP_270</f>
        <v>15.9450038159985</v>
      </c>
      <c r="G105" s="13" t="n">
        <f aca="false">SUMIFS(TK_IF_FullCostDefault_Sol,TK_HdrGen,Compute!$G$8,TK_HdrCost,Compute!$G$9)*SUMIFS(TK_IF_TokGW_Sol,TK_HdrGen,Compute!$G$8,TK_HdrCost,Compute!$G$9)*TK_IF_Util/INP_270</f>
        <v>15.9450038159985</v>
      </c>
      <c r="H105" s="13" t="n">
        <f aca="false">SUMIFS(TK_IF_FullCostDefault_Sol,TK_HdrGen,Compute!$G$8,TK_HdrCost,Compute!$G$9)*SUMIFS(TK_IF_TokGW_Sol,TK_HdrGen,Compute!$G$8,TK_HdrCost,Compute!$G$9)*TK_IF_Util/INP_270</f>
        <v>15.9450038159985</v>
      </c>
      <c r="I105" s="13" t="n">
        <f aca="false">SUMIFS(TK_IF_FullCostDefault_Sol,TK_HdrGen,Compute!$G$8,TK_HdrCost,Compute!$G$9)*SUMIFS(TK_IF_TokGW_Sol,TK_HdrGen,Compute!$G$8,TK_HdrCost,Compute!$G$9)*TK_IF_Util/INP_270</f>
        <v>15.9450038159985</v>
      </c>
      <c r="Q105" s="12" t="s">
        <v>2783</v>
      </c>
    </row>
    <row r="106" customFormat="false" ht="15" hidden="false" customHeight="false" outlineLevel="0" collapsed="false">
      <c r="A106" s="9" t="s">
        <v>2784</v>
      </c>
      <c r="B106" s="9" t="s">
        <v>2785</v>
      </c>
      <c r="C106" s="9" t="s">
        <v>1566</v>
      </c>
      <c r="D106" s="13" t="n">
        <f aca="false">SUMIFS(TK_IF_FullCost_Sol,TK_HdrGen,Compute!$G$8,TK_HdrCost,Compute!$G$9)*SUMIFS(TK_IF_TokGW_Sol,TK_HdrGen,Compute!$G$8,TK_HdrCost,Compute!$G$9)*TK_IF_Util/INP_270</f>
        <v>11.3724535187809</v>
      </c>
      <c r="E106" s="13" t="n">
        <f aca="false">SUMIFS(TK_IF_FullCost_Sol,TK_HdrGen,Compute!$G$8,TK_HdrCost,Compute!$G$9)*SUMIFS(TK_IF_TokGW_Sol,TK_HdrGen,Compute!$G$8,TK_HdrCost,Compute!$G$9)*TK_IF_Util/INP_270</f>
        <v>11.3724535187809</v>
      </c>
      <c r="F106" s="13" t="n">
        <f aca="false">SUMIFS(TK_IF_FullCost_Sol,TK_HdrGen,Compute!$G$8,TK_HdrCost,Compute!$G$9)*SUMIFS(TK_IF_TokGW_Sol,TK_HdrGen,Compute!$G$8,TK_HdrCost,Compute!$G$9)*TK_IF_Util/INP_270</f>
        <v>11.3724535187809</v>
      </c>
      <c r="G106" s="13" t="n">
        <f aca="false">SUMIFS(TK_IF_FullCost_Sol,TK_HdrGen,Compute!$G$8,TK_HdrCost,Compute!$G$9)*SUMIFS(TK_IF_TokGW_Sol,TK_HdrGen,Compute!$G$8,TK_HdrCost,Compute!$G$9)*TK_IF_Util/INP_270</f>
        <v>11.3724535187809</v>
      </c>
      <c r="H106" s="13" t="n">
        <f aca="false">SUMIFS(TK_IF_FullCost_Sol,TK_HdrGen,Compute!$G$8,TK_HdrCost,Compute!$G$9)*SUMIFS(TK_IF_TokGW_Sol,TK_HdrGen,Compute!$G$8,TK_HdrCost,Compute!$G$9)*TK_IF_Util/INP_270</f>
        <v>11.3724535187809</v>
      </c>
      <c r="I106" s="13" t="n">
        <f aca="false">SUMIFS(TK_IF_FullCost_Sol,TK_HdrGen,Compute!$G$8,TK_HdrCost,Compute!$G$9)*SUMIFS(TK_IF_TokGW_Sol,TK_HdrGen,Compute!$G$8,TK_HdrCost,Compute!$G$9)*TK_IF_Util/INP_270</f>
        <v>11.3724535187809</v>
      </c>
      <c r="Q106" s="12" t="s">
        <v>2783</v>
      </c>
    </row>
    <row r="107" customFormat="false" ht="15" hidden="false" customHeight="false" outlineLevel="0" collapsed="false">
      <c r="A107" s="9" t="s">
        <v>2786</v>
      </c>
      <c r="B107" s="10" t="s">
        <v>2787</v>
      </c>
      <c r="C107" s="9" t="s">
        <v>1566</v>
      </c>
      <c r="D107" s="9" t="n">
        <f aca="false">D91-D105</f>
        <v>36.2592025265656</v>
      </c>
      <c r="E107" s="9" t="n">
        <f aca="false">E91-E105</f>
        <v>30.0899942584341</v>
      </c>
      <c r="F107" s="9" t="n">
        <f aca="false">F91-F105</f>
        <v>8.69429408726862</v>
      </c>
      <c r="G107" s="9" t="n">
        <f aca="false">G91-G105</f>
        <v>3.65100917648432</v>
      </c>
      <c r="H107" s="9" t="n">
        <f aca="false">H91-H105</f>
        <v>1.23676801268951</v>
      </c>
      <c r="I107" s="9" t="n">
        <f aca="false">I91-I105</f>
        <v>-0.67391591213822</v>
      </c>
      <c r="Q107" s="2"/>
    </row>
    <row r="108" customFormat="false" ht="15" hidden="false" customHeight="false" outlineLevel="0" collapsed="false">
      <c r="A108" s="9" t="s">
        <v>2788</v>
      </c>
      <c r="B108" s="10" t="s">
        <v>2789</v>
      </c>
      <c r="C108" s="9" t="s">
        <v>1566</v>
      </c>
      <c r="D108" s="9" t="n">
        <f aca="false">D91-D106</f>
        <v>40.8317528237832</v>
      </c>
      <c r="E108" s="9" t="n">
        <f aca="false">E91-E106</f>
        <v>34.6625445556517</v>
      </c>
      <c r="F108" s="9" t="n">
        <f aca="false">F91-F106</f>
        <v>13.2668443844862</v>
      </c>
      <c r="G108" s="9" t="n">
        <f aca="false">G91-G106</f>
        <v>8.22355947370191</v>
      </c>
      <c r="H108" s="9" t="n">
        <f aca="false">H91-H106</f>
        <v>5.8093183099071</v>
      </c>
      <c r="I108" s="9" t="n">
        <f aca="false">I91-I106</f>
        <v>3.89863438507937</v>
      </c>
      <c r="Q108" s="2"/>
    </row>
    <row r="109" customFormat="false" ht="15" hidden="false" customHeight="false" outlineLevel="0" collapsed="false">
      <c r="A109" s="14" t="s">
        <v>2790</v>
      </c>
    </row>
    <row r="110" customFormat="false" ht="15" hidden="false" customHeight="false" outlineLevel="0" collapsed="false">
      <c r="A110" s="9" t="s">
        <v>2791</v>
      </c>
      <c r="B110" s="9" t="s">
        <v>2792</v>
      </c>
      <c r="C110" s="9" t="s">
        <v>68</v>
      </c>
      <c r="D110" s="9" t="n">
        <f aca="false">D17</f>
        <v>11.9047619047619</v>
      </c>
      <c r="Q110" s="2" t="s">
        <v>2793</v>
      </c>
    </row>
    <row r="111" customFormat="false" ht="15" hidden="false" customHeight="false" outlineLevel="0" collapsed="false">
      <c r="A111" s="9" t="s">
        <v>2794</v>
      </c>
      <c r="B111" s="9" t="s">
        <v>2795</v>
      </c>
      <c r="C111" s="9" t="s">
        <v>68</v>
      </c>
      <c r="D111" s="9" t="n">
        <f aca="false">D28</f>
        <v>20.4</v>
      </c>
      <c r="Q111" s="2"/>
    </row>
    <row r="112" customFormat="false" ht="15" hidden="false" customHeight="false" outlineLevel="0" collapsed="false">
      <c r="A112" s="9" t="s">
        <v>2796</v>
      </c>
      <c r="B112" s="10" t="s">
        <v>2797</v>
      </c>
      <c r="C112" s="9" t="s">
        <v>68</v>
      </c>
      <c r="D112" s="9" t="n">
        <f aca="false">D110-D111</f>
        <v>-8.4952380952381</v>
      </c>
      <c r="Q112" s="2"/>
    </row>
    <row r="113" customFormat="false" ht="15" hidden="false" customHeight="false" outlineLevel="0" collapsed="false">
      <c r="A113" s="9" t="s">
        <v>2798</v>
      </c>
      <c r="B113" s="10" t="s">
        <v>2799</v>
      </c>
      <c r="C113" s="10" t="s">
        <v>2172</v>
      </c>
      <c r="D113" s="9" t="n">
        <f aca="false">(D110&gt;D111)*(D$6&lt;=INP_002)</f>
        <v>0</v>
      </c>
      <c r="Q113" s="12" t="s">
        <v>2800</v>
      </c>
    </row>
    <row r="114" customFormat="false" ht="15" hidden="false" customHeight="false" outlineLevel="0" collapsed="false">
      <c r="A114" s="9" t="s">
        <v>2801</v>
      </c>
      <c r="B114" s="10" t="s">
        <v>2802</v>
      </c>
      <c r="C114" s="9" t="s">
        <v>68</v>
      </c>
      <c r="D114" s="13" t="n">
        <f aca="false">IF((D$6&gt;=Inputs!$G$176)*(D$6&lt;=INP_183),IF(INP_181="even",SRC_OAI_057/(INP_183-Inputs!$G$176+1),SRC_OAI_057*(D$6-Inputs!$G$176+1)/((INP_183-Inputs!$G$176+1)*((INP_183-Inputs!$G$176+1)+1)/INP_261)),(D$6&gt;=Inputs!$G$176)*(D$6&lt;=INP_183))</f>
        <v>0</v>
      </c>
      <c r="E114" s="13" t="n">
        <f aca="false">IF((E$6&gt;=Inputs!$G$176)*(E$6&lt;=INP_183),IF(INP_181="even",SRC_OAI_057/(INP_183-Inputs!$G$176+1),SRC_OAI_057*(E$6-Inputs!$G$176+1)/((INP_183-Inputs!$G$176+1)*((INP_183-Inputs!$G$176+1)+1)/INP_261)),(E$6&gt;=Inputs!$G$176)*(E$6&lt;=INP_183))</f>
        <v>16.6666666666667</v>
      </c>
      <c r="F114" s="13" t="n">
        <f aca="false">IF((F$6&gt;=Inputs!$G$176)*(F$6&lt;=INP_183),IF(INP_181="even",SRC_OAI_057/(INP_183-Inputs!$G$176+1),SRC_OAI_057*(F$6-Inputs!$G$176+1)/((INP_183-Inputs!$G$176+1)*((INP_183-Inputs!$G$176+1)+1)/INP_261)),(F$6&gt;=Inputs!$G$176)*(F$6&lt;=INP_183))</f>
        <v>33.3333333333333</v>
      </c>
      <c r="G114" s="13" t="n">
        <f aca="false">IF((G$6&gt;=Inputs!$G$176)*(G$6&lt;=INP_183),IF(INP_181="even",SRC_OAI_057/(INP_183-Inputs!$G$176+1),SRC_OAI_057*(G$6-Inputs!$G$176+1)/((INP_183-Inputs!$G$176+1)*((INP_183-Inputs!$G$176+1)+1)/INP_261)),(G$6&gt;=Inputs!$G$176)*(G$6&lt;=INP_183))</f>
        <v>50</v>
      </c>
      <c r="H114" s="13" t="n">
        <f aca="false">IF((H$6&gt;=Inputs!$G$176)*(H$6&lt;=INP_183),IF(INP_181="even",SRC_OAI_057/(INP_183-Inputs!$G$176+1),SRC_OAI_057*(H$6-Inputs!$G$176+1)/((INP_183-Inputs!$G$176+1)*((INP_183-Inputs!$G$176+1)+1)/INP_261)),(H$6&gt;=Inputs!$G$176)*(H$6&lt;=INP_183))</f>
        <v>66.6666666666667</v>
      </c>
      <c r="I114" s="13" t="n">
        <f aca="false">IF((I$6&gt;=Inputs!$G$176)*(I$6&lt;=INP_183),IF(INP_181="even",SRC_OAI_057/(INP_183-Inputs!$G$176+1),SRC_OAI_057*(I$6-Inputs!$G$176+1)/((INP_183-Inputs!$G$176+1)*((INP_183-Inputs!$G$176+1)+1)/INP_261)),(I$6&gt;=Inputs!$G$176)*(I$6&lt;=INP_183))</f>
        <v>83.3333333333333</v>
      </c>
      <c r="Q114" s="12" t="s">
        <v>2803</v>
      </c>
    </row>
    <row r="115" customFormat="false" ht="15" hidden="false" customHeight="false" outlineLevel="0" collapsed="false">
      <c r="A115" s="9" t="s">
        <v>2804</v>
      </c>
      <c r="B115" s="10" t="s">
        <v>2805</v>
      </c>
      <c r="C115" s="9" t="s">
        <v>68</v>
      </c>
      <c r="D115" s="9" t="n">
        <f aca="false">D114-D17</f>
        <v>-11.9047619047619</v>
      </c>
      <c r="E115" s="9" t="n">
        <f aca="false">E114-E17</f>
        <v>-7.14285714285714</v>
      </c>
      <c r="F115" s="9" t="n">
        <f aca="false">F114-F17</f>
        <v>-2.38095238095238</v>
      </c>
      <c r="G115" s="9" t="n">
        <f aca="false">G114-G17</f>
        <v>2.38095238095238</v>
      </c>
      <c r="H115" s="9" t="n">
        <f aca="false">H114-H17</f>
        <v>7.14285714285715</v>
      </c>
      <c r="I115" s="9" t="n">
        <f aca="false">I114-I17</f>
        <v>11.9047619047619</v>
      </c>
      <c r="Q115" s="2"/>
    </row>
    <row r="116" customFormat="false" ht="15" hidden="false" customHeight="false" outlineLevel="0" collapsed="false">
      <c r="A116" s="14" t="s">
        <v>2806</v>
      </c>
    </row>
    <row r="117" customFormat="false" ht="15" hidden="false" customHeight="false" outlineLevel="0" collapsed="false">
      <c r="A117" s="9" t="s">
        <v>2807</v>
      </c>
      <c r="B117" s="10" t="s">
        <v>2808</v>
      </c>
      <c r="C117" s="9" t="s">
        <v>68</v>
      </c>
      <c r="D117" s="9" t="n">
        <f aca="false">D17+D18+D19+D20+D21+D22-D23</f>
        <v>0</v>
      </c>
      <c r="E117" s="9" t="n">
        <f aca="false">E17+E18+E19+E20+E21+E22-E23</f>
        <v>0</v>
      </c>
      <c r="F117" s="9" t="n">
        <f aca="false">F17+F18+F19+F20+F21+F22-F23</f>
        <v>0</v>
      </c>
      <c r="G117" s="9" t="n">
        <f aca="false">G17+G18+G19+G20+G21+G22-G23</f>
        <v>0</v>
      </c>
      <c r="H117" s="9" t="n">
        <f aca="false">H17+H18+H19+H20+H21+H22-H23</f>
        <v>0</v>
      </c>
      <c r="I117" s="9" t="n">
        <f aca="false">I17+I18+I19+I20+I21+I22-I23</f>
        <v>0</v>
      </c>
      <c r="Q117" s="2"/>
    </row>
    <row r="118" customFormat="false" ht="15" hidden="false" customHeight="false" outlineLevel="0" collapsed="false">
      <c r="A118" s="9" t="s">
        <v>2809</v>
      </c>
      <c r="B118" s="10" t="s">
        <v>2810</v>
      </c>
      <c r="C118" s="9" t="s">
        <v>68</v>
      </c>
      <c r="D118" s="13" t="n">
        <f aca="false">ABS(D17-Compute!D79*INP_229)+ABS(D19-Compute!D81*INP_229)+ABS(D21-Compute!D83*INP_229)</f>
        <v>0</v>
      </c>
      <c r="E118" s="13" t="n">
        <f aca="false">ABS(E17-Compute!E79*INP_229)+ABS(E19-Compute!E81*INP_229)+ABS(E21-Compute!E83*INP_229)</f>
        <v>0</v>
      </c>
      <c r="F118" s="13" t="n">
        <f aca="false">ABS(F17-Compute!F79*INP_229)+ABS(F19-Compute!F81*INP_229)+ABS(F21-Compute!F83*INP_229)</f>
        <v>0</v>
      </c>
      <c r="G118" s="13" t="n">
        <f aca="false">ABS(G17-Compute!G79*INP_229)+ABS(G19-Compute!G81*INP_229)+ABS(G21-Compute!G83*INP_229)</f>
        <v>0</v>
      </c>
      <c r="H118" s="13" t="n">
        <f aca="false">ABS(H17-Compute!H79*INP_229)+ABS(H19-Compute!H81*INP_229)+ABS(H21-Compute!H83*INP_229)</f>
        <v>0</v>
      </c>
      <c r="I118" s="13" t="n">
        <f aca="false">ABS(I17-Compute!I79*INP_229)+ABS(I19-Compute!I81*INP_229)+ABS(I21-Compute!I83*INP_229)</f>
        <v>0</v>
      </c>
      <c r="Q118" s="12" t="s">
        <v>2811</v>
      </c>
    </row>
    <row r="119" customFormat="false" ht="15" hidden="false" customHeight="false" outlineLevel="0" collapsed="false">
      <c r="A119" s="9" t="s">
        <v>2812</v>
      </c>
      <c r="B119" s="10" t="s">
        <v>2813</v>
      </c>
      <c r="C119" s="9" t="s">
        <v>68</v>
      </c>
      <c r="D119" s="9" t="n">
        <f aca="false">D27-D23-D26</f>
        <v>0</v>
      </c>
      <c r="E119" s="9" t="n">
        <f aca="false">E27-E23-E26</f>
        <v>0</v>
      </c>
      <c r="F119" s="9" t="n">
        <f aca="false">F27-F23-F26</f>
        <v>0</v>
      </c>
      <c r="G119" s="9" t="n">
        <f aca="false">G27-G23-G26</f>
        <v>0</v>
      </c>
      <c r="H119" s="9" t="n">
        <f aca="false">H27-H23-H26</f>
        <v>0</v>
      </c>
      <c r="I119" s="9" t="n">
        <f aca="false">I27-I23-I26</f>
        <v>0</v>
      </c>
      <c r="Q119" s="2"/>
    </row>
    <row r="120" customFormat="false" ht="15" hidden="false" customHeight="false" outlineLevel="0" collapsed="false">
      <c r="A120" s="9" t="s">
        <v>2814</v>
      </c>
      <c r="B120" s="10" t="s">
        <v>2815</v>
      </c>
      <c r="C120" s="9" t="s">
        <v>68</v>
      </c>
      <c r="D120" s="9" t="n">
        <f aca="false">D74+D73+D75-D76</f>
        <v>0</v>
      </c>
      <c r="E120" s="9" t="n">
        <f aca="false">E74+E73+E75-E76</f>
        <v>0</v>
      </c>
      <c r="F120" s="9" t="n">
        <f aca="false">F74+F73+F75-F76</f>
        <v>0</v>
      </c>
      <c r="G120" s="9" t="n">
        <f aca="false">G74+G73+G75-G76</f>
        <v>0</v>
      </c>
      <c r="H120" s="9" t="n">
        <f aca="false">H74+H73+H75-H76</f>
        <v>0</v>
      </c>
      <c r="I120" s="9" t="n">
        <f aca="false">I74+I73+I75-I76</f>
        <v>0</v>
      </c>
      <c r="Q120" s="12" t="s">
        <v>2816</v>
      </c>
    </row>
    <row r="121" customFormat="false" ht="15" hidden="false" customHeight="false" outlineLevel="0" collapsed="false">
      <c r="A121" s="9" t="s">
        <v>2817</v>
      </c>
      <c r="B121" s="10" t="s">
        <v>2818</v>
      </c>
      <c r="C121" s="9" t="s">
        <v>68</v>
      </c>
      <c r="D121" s="9" t="n">
        <f aca="false">D61+D62+D63-D59</f>
        <v>0</v>
      </c>
      <c r="E121" s="9" t="n">
        <f aca="false">E61+E62+E63-E59</f>
        <v>0</v>
      </c>
      <c r="F121" s="9" t="n">
        <f aca="false">F61+F62+F63-F59</f>
        <v>0</v>
      </c>
      <c r="G121" s="9" t="n">
        <f aca="false">G61+G62+G63-G59</f>
        <v>0</v>
      </c>
      <c r="H121" s="9" t="n">
        <f aca="false">H61+H62+H63-H59</f>
        <v>0</v>
      </c>
      <c r="I121" s="9" t="n">
        <f aca="false">I61+I62+I63-I59</f>
        <v>0</v>
      </c>
      <c r="Q1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2819</v>
      </c>
    </row>
    <row r="2" customFormat="false" ht="15" hidden="false" customHeight="false" outlineLevel="0" collapsed="false">
      <c r="A2" s="12" t="s">
        <v>2820</v>
      </c>
    </row>
    <row r="3" customFormat="false" ht="15" hidden="false" customHeight="false" outlineLevel="0" collapsed="false">
      <c r="A3" s="12" t="s">
        <v>2821</v>
      </c>
    </row>
    <row r="5" customFormat="false" ht="15" hidden="false" customHeight="false" outlineLevel="0" collapsed="false">
      <c r="A5" s="8" t="s">
        <v>1793</v>
      </c>
      <c r="B5" s="8" t="s">
        <v>1794</v>
      </c>
      <c r="C5" s="8" t="s">
        <v>46</v>
      </c>
      <c r="D5" s="7" t="s">
        <v>411</v>
      </c>
      <c r="E5" s="7" t="s">
        <v>423</v>
      </c>
      <c r="F5" s="7" t="s">
        <v>1170</v>
      </c>
      <c r="G5" s="7" t="s">
        <v>1172</v>
      </c>
      <c r="H5" s="7" t="s">
        <v>1174</v>
      </c>
      <c r="I5" s="7" t="s">
        <v>1176</v>
      </c>
      <c r="J5" s="8"/>
      <c r="K5" s="7" t="s">
        <v>1870</v>
      </c>
      <c r="L5" s="7" t="s">
        <v>1871</v>
      </c>
      <c r="M5" s="7" t="s">
        <v>1872</v>
      </c>
      <c r="N5" s="7" t="s">
        <v>1873</v>
      </c>
      <c r="O5" s="7" t="s">
        <v>1874</v>
      </c>
      <c r="P5" s="7" t="s">
        <v>1875</v>
      </c>
      <c r="Q5" s="8" t="s">
        <v>777</v>
      </c>
    </row>
    <row r="6" customFormat="false" ht="15" hidden="false" customHeight="false" outlineLevel="0" collapsed="false">
      <c r="B6" s="3" t="s">
        <v>1876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2822</v>
      </c>
    </row>
    <row r="8" customFormat="false" ht="15" hidden="false" customHeight="false" outlineLevel="0" collapsed="false">
      <c r="A8" s="9" t="s">
        <v>2823</v>
      </c>
      <c r="B8" s="10" t="s">
        <v>2824</v>
      </c>
      <c r="C8" s="9" t="s">
        <v>68</v>
      </c>
      <c r="D8" s="13" t="n">
        <f aca="false">Revenue!D77</f>
        <v>10.456</v>
      </c>
      <c r="E8" s="13" t="n">
        <f aca="false">Revenue!E77</f>
        <v>27.3630251439569</v>
      </c>
      <c r="F8" s="13" t="n">
        <f aca="false">Revenue!F77</f>
        <v>43.8365225906617</v>
      </c>
      <c r="G8" s="13" t="n">
        <f aca="false">Revenue!G77</f>
        <v>62.7392712020847</v>
      </c>
      <c r="H8" s="13" t="n">
        <f aca="false">Revenue!H77</f>
        <v>97.6120791148627</v>
      </c>
      <c r="I8" s="13" t="n">
        <f aca="false">Revenue!I77</f>
        <v>126.38309270298</v>
      </c>
      <c r="L8" s="2" t="n">
        <v>26.323224900152</v>
      </c>
      <c r="M8" s="2" t="n">
        <v>42.0556814905687</v>
      </c>
      <c r="N8" s="2" t="n">
        <v>59.9069130071312</v>
      </c>
      <c r="O8" s="2" t="n">
        <v>91.239987776122</v>
      </c>
      <c r="P8" s="2" t="n">
        <v>119.881298694689</v>
      </c>
      <c r="Q8" s="12" t="s">
        <v>2825</v>
      </c>
    </row>
    <row r="9" customFormat="false" ht="15" hidden="false" customHeight="false" outlineLevel="0" collapsed="false">
      <c r="A9" s="9" t="s">
        <v>2826</v>
      </c>
      <c r="B9" s="10" t="s">
        <v>2590</v>
      </c>
      <c r="C9" s="9" t="s">
        <v>68</v>
      </c>
      <c r="D9" s="13" t="n">
        <f aca="false">Cost!D27</f>
        <v>14.7552380952381</v>
      </c>
      <c r="E9" s="13" t="n">
        <f aca="false">Cost!E27</f>
        <v>53.2406349206349</v>
      </c>
      <c r="F9" s="13" t="n">
        <f aca="false">Cost!F27</f>
        <v>141.726031746032</v>
      </c>
      <c r="G9" s="13" t="n">
        <f aca="false">Cost!G27</f>
        <v>175.211428571429</v>
      </c>
      <c r="H9" s="13" t="n">
        <f aca="false">Cost!H27</f>
        <v>208.696825396825</v>
      </c>
      <c r="I9" s="13" t="n">
        <f aca="false">Cost!I27</f>
        <v>228.222222222222</v>
      </c>
      <c r="Q9" s="12" t="s">
        <v>2827</v>
      </c>
    </row>
    <row r="10" customFormat="false" ht="15" hidden="false" customHeight="false" outlineLevel="0" collapsed="false">
      <c r="A10" s="9" t="s">
        <v>2828</v>
      </c>
      <c r="B10" s="10" t="s">
        <v>2829</v>
      </c>
      <c r="C10" s="9" t="s">
        <v>68</v>
      </c>
      <c r="D10" s="13" t="n">
        <f aca="false">Cost!D59</f>
        <v>8.48</v>
      </c>
      <c r="E10" s="13" t="n">
        <f aca="false">Cost!E59</f>
        <v>13.53832</v>
      </c>
      <c r="F10" s="13" t="n">
        <f aca="false">Cost!F59</f>
        <v>18.12781048</v>
      </c>
      <c r="G10" s="13" t="n">
        <f aca="false">Cost!G59</f>
        <v>22.40597375328</v>
      </c>
      <c r="H10" s="13" t="n">
        <f aca="false">Cost!H59</f>
        <v>26.5398759107602</v>
      </c>
      <c r="I10" s="13" t="n">
        <f aca="false">Cost!I59</f>
        <v>30.0696794068913</v>
      </c>
      <c r="Q10" s="12" t="s">
        <v>2830</v>
      </c>
    </row>
    <row r="11" customFormat="false" ht="15" hidden="false" customHeight="false" outlineLevel="0" collapsed="false">
      <c r="A11" s="9" t="s">
        <v>2831</v>
      </c>
      <c r="B11" s="10" t="s">
        <v>2832</v>
      </c>
      <c r="C11" s="9" t="s">
        <v>68</v>
      </c>
      <c r="D11" s="13" t="n">
        <f aca="false">Cost!D58</f>
        <v>6</v>
      </c>
      <c r="E11" s="13" t="n">
        <f aca="false">Cost!E58</f>
        <v>9.3</v>
      </c>
      <c r="F11" s="13" t="n">
        <f aca="false">Cost!F58</f>
        <v>12.09</v>
      </c>
      <c r="G11" s="13" t="n">
        <f aca="false">Cost!G58</f>
        <v>14.508</v>
      </c>
      <c r="H11" s="13" t="n">
        <f aca="false">Cost!H58</f>
        <v>16.6842</v>
      </c>
      <c r="I11" s="13" t="n">
        <f aca="false">Cost!I58</f>
        <v>18.35262</v>
      </c>
      <c r="Q11" s="12" t="s">
        <v>2833</v>
      </c>
    </row>
    <row r="12" customFormat="false" ht="15" hidden="false" customHeight="false" outlineLevel="0" collapsed="false">
      <c r="A12" s="9" t="s">
        <v>2834</v>
      </c>
      <c r="B12" s="10" t="s">
        <v>2835</v>
      </c>
      <c r="C12" s="9" t="s">
        <v>68</v>
      </c>
      <c r="D12" s="13" t="n">
        <f aca="false">Cost!D89</f>
        <v>-18.7792380952381</v>
      </c>
      <c r="E12" s="13" t="n">
        <f aca="false">Cost!E89</f>
        <v>-48.715929776678</v>
      </c>
      <c r="F12" s="13" t="n">
        <f aca="false">Cost!F89</f>
        <v>-128.10731963537</v>
      </c>
      <c r="G12" s="13" t="n">
        <f aca="false">Cost!G89</f>
        <v>-149.386131122624</v>
      </c>
      <c r="H12" s="13" t="n">
        <f aca="false">Cost!H89</f>
        <v>-154.308822192723</v>
      </c>
      <c r="I12" s="13" t="n">
        <f aca="false">Cost!I89</f>
        <v>-150.261428926133</v>
      </c>
      <c r="Q12" s="12" t="s">
        <v>2836</v>
      </c>
    </row>
    <row r="13" customFormat="false" ht="15" hidden="false" customHeight="false" outlineLevel="0" collapsed="false">
      <c r="A13" s="9" t="s">
        <v>2837</v>
      </c>
      <c r="B13" s="10" t="s">
        <v>2838</v>
      </c>
      <c r="C13" s="9" t="s">
        <v>68</v>
      </c>
      <c r="D13" s="9" t="n">
        <f aca="false">D12+D11</f>
        <v>-12.7792380952381</v>
      </c>
      <c r="E13" s="9" t="n">
        <f aca="false">E12+E11</f>
        <v>-39.415929776678</v>
      </c>
      <c r="F13" s="9" t="n">
        <f aca="false">F12+F11</f>
        <v>-116.01731963537</v>
      </c>
      <c r="G13" s="9" t="n">
        <f aca="false">G12+G11</f>
        <v>-134.878131122624</v>
      </c>
      <c r="H13" s="9" t="n">
        <f aca="false">H12+H11</f>
        <v>-137.624622192723</v>
      </c>
      <c r="I13" s="9" t="n">
        <f aca="false">I12+I11</f>
        <v>-131.908808926133</v>
      </c>
      <c r="L13" s="2" t="n">
        <v>-37.7757402917956</v>
      </c>
      <c r="M13" s="2" t="n">
        <v>-113.601294749214</v>
      </c>
      <c r="N13" s="2" t="n">
        <v>-131.778916641258</v>
      </c>
      <c r="O13" s="2" t="n">
        <v>-134.947173547502</v>
      </c>
      <c r="P13" s="2" t="n">
        <v>-125.12430534479</v>
      </c>
      <c r="Q13" s="2" t="s">
        <v>2839</v>
      </c>
    </row>
    <row r="14" customFormat="false" ht="15" hidden="false" customHeight="false" outlineLevel="0" collapsed="false">
      <c r="A14" s="9" t="s">
        <v>2840</v>
      </c>
      <c r="B14" s="10" t="s">
        <v>2841</v>
      </c>
      <c r="C14" s="9" t="s">
        <v>68</v>
      </c>
      <c r="D14" s="9" t="n">
        <f aca="false">D8-COST_Actual2025-D10</f>
        <v>-18.424</v>
      </c>
      <c r="Q14" s="12" t="s">
        <v>2842</v>
      </c>
    </row>
    <row r="15" customFormat="false" ht="15" hidden="false" customHeight="false" outlineLevel="0" collapsed="false">
      <c r="A15" s="14" t="s">
        <v>2843</v>
      </c>
    </row>
    <row r="16" customFormat="false" ht="15" hidden="false" customHeight="false" outlineLevel="0" collapsed="false">
      <c r="A16" s="9" t="s">
        <v>2844</v>
      </c>
      <c r="B16" s="9" t="s">
        <v>2845</v>
      </c>
      <c r="C16" s="10" t="s">
        <v>2172</v>
      </c>
      <c r="D16" s="9" t="n">
        <f aca="false">N(D$6=INP_273)</f>
        <v>0</v>
      </c>
      <c r="E16" s="9" t="n">
        <f aca="false">N(E$6=INP_273)</f>
        <v>1</v>
      </c>
      <c r="F16" s="9" t="n">
        <f aca="false">N(F$6=INP_273)</f>
        <v>0</v>
      </c>
      <c r="G16" s="9" t="n">
        <f aca="false">N(G$6=INP_273)</f>
        <v>0</v>
      </c>
      <c r="H16" s="9" t="n">
        <f aca="false">N(H$6=INP_273)</f>
        <v>0</v>
      </c>
      <c r="I16" s="9" t="n">
        <f aca="false">N(I$6=INP_273)</f>
        <v>0</v>
      </c>
      <c r="Q16" s="12" t="s">
        <v>2846</v>
      </c>
    </row>
    <row r="17" customFormat="false" ht="15" hidden="false" customHeight="false" outlineLevel="0" collapsed="false">
      <c r="A17" s="9" t="s">
        <v>2847</v>
      </c>
      <c r="B17" s="10" t="s">
        <v>2848</v>
      </c>
      <c r="C17" s="9" t="s">
        <v>68</v>
      </c>
      <c r="D17" s="9" t="n">
        <f aca="false">SRC_OAI_109*D16</f>
        <v>0</v>
      </c>
      <c r="E17" s="9" t="n">
        <f aca="false">SRC_OAI_109*E16</f>
        <v>15</v>
      </c>
      <c r="F17" s="9" t="n">
        <f aca="false">SRC_OAI_109*F16</f>
        <v>0</v>
      </c>
      <c r="G17" s="9" t="n">
        <f aca="false">SRC_OAI_109*G16</f>
        <v>0</v>
      </c>
      <c r="H17" s="9" t="n">
        <f aca="false">SRC_OAI_109*H16</f>
        <v>0</v>
      </c>
      <c r="I17" s="9" t="n">
        <f aca="false">SRC_OAI_109*I16</f>
        <v>0</v>
      </c>
      <c r="Q17" s="12" t="s">
        <v>6</v>
      </c>
    </row>
    <row r="18" customFormat="false" ht="15" hidden="false" customHeight="false" outlineLevel="0" collapsed="false">
      <c r="A18" s="9" t="s">
        <v>2849</v>
      </c>
      <c r="B18" s="10" t="s">
        <v>2850</v>
      </c>
      <c r="C18" s="9" t="s">
        <v>68</v>
      </c>
      <c r="D18" s="9" t="n">
        <f aca="false">SRC_OAI_110*D16</f>
        <v>0</v>
      </c>
      <c r="E18" s="9" t="n">
        <f aca="false">SRC_OAI_110*E16</f>
        <v>30</v>
      </c>
      <c r="F18" s="9" t="n">
        <f aca="false">SRC_OAI_110*F16</f>
        <v>0</v>
      </c>
      <c r="G18" s="9" t="n">
        <f aca="false">SRC_OAI_110*G16</f>
        <v>0</v>
      </c>
      <c r="H18" s="9" t="n">
        <f aca="false">SRC_OAI_110*H16</f>
        <v>0</v>
      </c>
      <c r="I18" s="9" t="n">
        <f aca="false">SRC_OAI_110*I16</f>
        <v>0</v>
      </c>
      <c r="Q18" s="12" t="s">
        <v>2851</v>
      </c>
    </row>
    <row r="19" customFormat="false" ht="15" hidden="false" customHeight="false" outlineLevel="0" collapsed="false">
      <c r="A19" s="9" t="s">
        <v>2852</v>
      </c>
      <c r="B19" s="10" t="s">
        <v>2853</v>
      </c>
      <c r="C19" s="9" t="s">
        <v>68</v>
      </c>
      <c r="D19" s="9" t="n">
        <f aca="false">SRC_OAI_111*INP_245*D16</f>
        <v>0</v>
      </c>
      <c r="E19" s="9" t="n">
        <f aca="false">SRC_OAI_111*INP_245*E16</f>
        <v>30</v>
      </c>
      <c r="F19" s="9" t="n">
        <f aca="false">SRC_OAI_111*INP_245*F16</f>
        <v>0</v>
      </c>
      <c r="G19" s="9" t="n">
        <f aca="false">SRC_OAI_111*INP_245*G16</f>
        <v>0</v>
      </c>
      <c r="H19" s="9" t="n">
        <f aca="false">SRC_OAI_111*INP_245*H16</f>
        <v>0</v>
      </c>
      <c r="I19" s="9" t="n">
        <f aca="false">SRC_OAI_111*INP_245*I16</f>
        <v>0</v>
      </c>
      <c r="Q19" s="12" t="s">
        <v>2854</v>
      </c>
    </row>
    <row r="20" customFormat="false" ht="15" hidden="false" customHeight="false" outlineLevel="0" collapsed="false">
      <c r="A20" s="9" t="s">
        <v>2855</v>
      </c>
      <c r="B20" s="10" t="s">
        <v>2856</v>
      </c>
      <c r="C20" s="9" t="s">
        <v>68</v>
      </c>
      <c r="D20" s="9" t="n">
        <f aca="false">SRC_OAI_112*D16</f>
        <v>0</v>
      </c>
      <c r="E20" s="9" t="n">
        <f aca="false">SRC_OAI_112*E16</f>
        <v>12</v>
      </c>
      <c r="F20" s="9" t="n">
        <f aca="false">SRC_OAI_112*F16</f>
        <v>0</v>
      </c>
      <c r="G20" s="9" t="n">
        <f aca="false">SRC_OAI_112*G16</f>
        <v>0</v>
      </c>
      <c r="H20" s="9" t="n">
        <f aca="false">SRC_OAI_112*H16</f>
        <v>0</v>
      </c>
      <c r="I20" s="9" t="n">
        <f aca="false">SRC_OAI_112*I16</f>
        <v>0</v>
      </c>
      <c r="Q20" s="12" t="s">
        <v>2857</v>
      </c>
    </row>
    <row r="21" customFormat="false" ht="15" hidden="false" customHeight="false" outlineLevel="0" collapsed="false">
      <c r="A21" s="9" t="s">
        <v>2858</v>
      </c>
      <c r="B21" s="10" t="s">
        <v>2859</v>
      </c>
      <c r="C21" s="9" t="s">
        <v>68</v>
      </c>
      <c r="D21" s="9" t="n">
        <f aca="false">D17+D18+D19+D20</f>
        <v>0</v>
      </c>
      <c r="E21" s="9" t="n">
        <f aca="false">E17+E18+E19+E20</f>
        <v>87</v>
      </c>
      <c r="F21" s="9" t="n">
        <f aca="false">F17+F18+F19+F20</f>
        <v>0</v>
      </c>
      <c r="G21" s="9" t="n">
        <f aca="false">G17+G18+G19+G20</f>
        <v>0</v>
      </c>
      <c r="H21" s="9" t="n">
        <f aca="false">H17+H18+H19+H20</f>
        <v>0</v>
      </c>
      <c r="I21" s="9" t="n">
        <f aca="false">I17+I18+I19+I20</f>
        <v>0</v>
      </c>
      <c r="Q21" s="12" t="s">
        <v>2860</v>
      </c>
    </row>
    <row r="22" customFormat="false" ht="15" hidden="false" customHeight="false" outlineLevel="0" collapsed="false">
      <c r="A22" s="9" t="s">
        <v>2861</v>
      </c>
      <c r="B22" s="10" t="s">
        <v>2862</v>
      </c>
      <c r="C22" s="9" t="s">
        <v>68</v>
      </c>
      <c r="D22" s="9" t="n">
        <f aca="false">SRC_OAI_111*(1-INP_245)*D16</f>
        <v>0</v>
      </c>
      <c r="E22" s="9" t="n">
        <f aca="false">SRC_OAI_111*(1-INP_245)*E16</f>
        <v>0</v>
      </c>
      <c r="F22" s="9" t="n">
        <f aca="false">SRC_OAI_111*(1-INP_245)*F16</f>
        <v>0</v>
      </c>
      <c r="G22" s="9" t="n">
        <f aca="false">SRC_OAI_111*(1-INP_245)*G16</f>
        <v>0</v>
      </c>
      <c r="H22" s="9" t="n">
        <f aca="false">SRC_OAI_111*(1-INP_245)*H16</f>
        <v>0</v>
      </c>
      <c r="I22" s="9" t="n">
        <f aca="false">SRC_OAI_111*(1-INP_245)*I16</f>
        <v>0</v>
      </c>
      <c r="Q22" s="12" t="s">
        <v>2863</v>
      </c>
    </row>
    <row r="23" customFormat="false" ht="15" hidden="false" customHeight="false" outlineLevel="0" collapsed="false">
      <c r="A23" s="9" t="s">
        <v>2864</v>
      </c>
      <c r="B23" s="9" t="s">
        <v>2865</v>
      </c>
      <c r="C23" s="9" t="s">
        <v>68</v>
      </c>
      <c r="D23" s="9" t="n">
        <f aca="false">SRC_OAI_082*INP_274*N(D$6=INP_275)</f>
        <v>0</v>
      </c>
      <c r="E23" s="9" t="n">
        <f aca="false">SRC_OAI_082*INP_274*N(E$6=INP_275)</f>
        <v>0</v>
      </c>
      <c r="F23" s="9" t="n">
        <f aca="false">SRC_OAI_082*INP_274*N(F$6=INP_275)</f>
        <v>0</v>
      </c>
      <c r="G23" s="9" t="n">
        <f aca="false">SRC_OAI_082*INP_274*N(G$6=INP_275)</f>
        <v>0</v>
      </c>
      <c r="H23" s="9" t="n">
        <f aca="false">SRC_OAI_082*INP_274*N(H$6=INP_275)</f>
        <v>0</v>
      </c>
      <c r="I23" s="9" t="n">
        <f aca="false">SRC_OAI_082*INP_274*N(I$6=INP_275)</f>
        <v>0</v>
      </c>
      <c r="Q23" s="12" t="s">
        <v>2866</v>
      </c>
    </row>
    <row r="24" customFormat="false" ht="15" hidden="false" customHeight="false" outlineLevel="0" collapsed="false">
      <c r="A24" s="9" t="s">
        <v>2867</v>
      </c>
      <c r="B24" s="10" t="s">
        <v>2868</v>
      </c>
      <c r="C24" s="9" t="s">
        <v>68</v>
      </c>
      <c r="D24" s="9" t="n">
        <f aca="false">D21+D23</f>
        <v>0</v>
      </c>
      <c r="E24" s="9" t="n">
        <f aca="false">E21+E23</f>
        <v>87</v>
      </c>
      <c r="F24" s="9" t="n">
        <f aca="false">F21+F23</f>
        <v>0</v>
      </c>
      <c r="G24" s="9" t="n">
        <f aca="false">G21+G23</f>
        <v>0</v>
      </c>
      <c r="H24" s="9" t="n">
        <f aca="false">H21+H23</f>
        <v>0</v>
      </c>
      <c r="I24" s="9" t="n">
        <f aca="false">I21+I23</f>
        <v>0</v>
      </c>
      <c r="L24" s="2" t="n">
        <v>87</v>
      </c>
      <c r="M24" s="2" t="n">
        <v>0</v>
      </c>
      <c r="N24" s="2" t="n">
        <v>0</v>
      </c>
      <c r="O24" s="2" t="n">
        <v>0</v>
      </c>
      <c r="P24" s="2" t="n">
        <v>0</v>
      </c>
      <c r="Q24" s="2"/>
    </row>
    <row r="25" customFormat="false" ht="15" hidden="false" customHeight="false" outlineLevel="0" collapsed="false">
      <c r="A25" s="14" t="s">
        <v>2869</v>
      </c>
    </row>
    <row r="26" customFormat="false" ht="15" hidden="false" customHeight="false" outlineLevel="0" collapsed="false">
      <c r="A26" s="9" t="s">
        <v>2870</v>
      </c>
      <c r="B26" s="10" t="s">
        <v>1521</v>
      </c>
      <c r="C26" s="9" t="s">
        <v>68</v>
      </c>
      <c r="D26" s="9" t="n">
        <f aca="false">INP_203</f>
        <v>10</v>
      </c>
      <c r="E26" s="9" t="n">
        <f aca="false">INP_203</f>
        <v>10</v>
      </c>
      <c r="F26" s="9" t="n">
        <f aca="false">INP_203</f>
        <v>10</v>
      </c>
      <c r="G26" s="9" t="n">
        <f aca="false">INP_203</f>
        <v>10</v>
      </c>
      <c r="H26" s="9" t="n">
        <f aca="false">INP_203</f>
        <v>10</v>
      </c>
      <c r="I26" s="9" t="n">
        <f aca="false">INP_203</f>
        <v>10</v>
      </c>
      <c r="Q26" s="12" t="s">
        <v>2871</v>
      </c>
    </row>
    <row r="27" customFormat="false" ht="15" hidden="false" customHeight="false" outlineLevel="0" collapsed="false">
      <c r="A27" s="9" t="s">
        <v>2872</v>
      </c>
      <c r="B27" s="10" t="s">
        <v>2873</v>
      </c>
      <c r="C27" s="9" t="s">
        <v>68</v>
      </c>
      <c r="E27" s="9" t="n">
        <f aca="false">SRC_OAI_079</f>
        <v>40</v>
      </c>
      <c r="F27" s="9" t="n">
        <f aca="false">E30</f>
        <v>87.584070223322</v>
      </c>
      <c r="G27" s="9" t="n">
        <f aca="false">F30</f>
        <v>10</v>
      </c>
      <c r="H27" s="9" t="n">
        <f aca="false">G30</f>
        <v>10</v>
      </c>
      <c r="I27" s="9" t="n">
        <f aca="false">H30</f>
        <v>10</v>
      </c>
      <c r="L27" s="2" t="n">
        <v>40</v>
      </c>
      <c r="M27" s="2" t="n">
        <v>89.2242597082044</v>
      </c>
      <c r="N27" s="2" t="n">
        <v>10</v>
      </c>
      <c r="O27" s="2" t="n">
        <v>10</v>
      </c>
      <c r="P27" s="2" t="n">
        <v>10</v>
      </c>
      <c r="Q27" s="12" t="s">
        <v>2874</v>
      </c>
    </row>
    <row r="28" customFormat="false" ht="15" hidden="false" customHeight="false" outlineLevel="0" collapsed="false">
      <c r="A28" s="9" t="s">
        <v>2875</v>
      </c>
      <c r="B28" s="10" t="s">
        <v>2876</v>
      </c>
      <c r="C28" s="9" t="s">
        <v>68</v>
      </c>
      <c r="E28" s="9" t="n">
        <f aca="false">E27+E13+E24</f>
        <v>87.584070223322</v>
      </c>
      <c r="F28" s="9" t="n">
        <f aca="false">F27+F13+F24</f>
        <v>-28.4332494120481</v>
      </c>
      <c r="G28" s="9" t="n">
        <f aca="false">G27+G13+G24</f>
        <v>-124.878131122624</v>
      </c>
      <c r="H28" s="9" t="n">
        <f aca="false">H27+H13+H24</f>
        <v>-127.624622192723</v>
      </c>
      <c r="I28" s="9" t="n">
        <f aca="false">I27+I13+I24</f>
        <v>-121.908808926133</v>
      </c>
      <c r="L28" s="2" t="n">
        <v>89.2242597082044</v>
      </c>
      <c r="M28" s="2" t="n">
        <v>-24.3770350410095</v>
      </c>
      <c r="N28" s="2" t="n">
        <v>-121.778916641258</v>
      </c>
      <c r="O28" s="2" t="n">
        <v>-124.947173547502</v>
      </c>
      <c r="P28" s="2" t="n">
        <v>-115.12430534479</v>
      </c>
      <c r="Q28" s="2"/>
    </row>
    <row r="29" customFormat="false" ht="15" hidden="false" customHeight="false" outlineLevel="0" collapsed="false">
      <c r="A29" s="9" t="s">
        <v>2877</v>
      </c>
      <c r="B29" s="10" t="s">
        <v>2878</v>
      </c>
      <c r="C29" s="9" t="s">
        <v>68</v>
      </c>
      <c r="E29" s="9" t="n">
        <f aca="false">(E26-E28)*(E26&gt;E28)</f>
        <v>-0</v>
      </c>
      <c r="F29" s="9" t="n">
        <f aca="false">(F26-F28)*(F26&gt;F28)</f>
        <v>38.4332494120481</v>
      </c>
      <c r="G29" s="9" t="n">
        <f aca="false">(G26-G28)*(G26&gt;G28)</f>
        <v>134.878131122624</v>
      </c>
      <c r="H29" s="9" t="n">
        <f aca="false">(H26-H28)*(H26&gt;H28)</f>
        <v>137.624622192723</v>
      </c>
      <c r="I29" s="9" t="n">
        <f aca="false">(I26-I28)*(I26&gt;I28)</f>
        <v>131.908808926133</v>
      </c>
      <c r="L29" s="2" t="n">
        <v>0</v>
      </c>
      <c r="M29" s="2" t="n">
        <v>34.3770350410095</v>
      </c>
      <c r="N29" s="2" t="n">
        <v>131.778916641258</v>
      </c>
      <c r="O29" s="2" t="n">
        <v>134.947173547502</v>
      </c>
      <c r="P29" s="2" t="n">
        <v>125.12430534479</v>
      </c>
      <c r="Q29" s="2" t="s">
        <v>2879</v>
      </c>
    </row>
    <row r="30" customFormat="false" ht="15" hidden="false" customHeight="false" outlineLevel="0" collapsed="false">
      <c r="A30" s="9" t="s">
        <v>2880</v>
      </c>
      <c r="B30" s="10" t="s">
        <v>2881</v>
      </c>
      <c r="C30" s="9" t="s">
        <v>68</v>
      </c>
      <c r="D30" s="9" t="n">
        <f aca="false">SRC_OAI_079</f>
        <v>40</v>
      </c>
      <c r="E30" s="9" t="n">
        <f aca="false">E28+E29</f>
        <v>87.584070223322</v>
      </c>
      <c r="F30" s="9" t="n">
        <f aca="false">F28+F29</f>
        <v>10</v>
      </c>
      <c r="G30" s="9" t="n">
        <f aca="false">G28+G29</f>
        <v>10</v>
      </c>
      <c r="H30" s="9" t="n">
        <f aca="false">H28+H29</f>
        <v>10</v>
      </c>
      <c r="I30" s="9" t="n">
        <f aca="false">I28+I29</f>
        <v>10</v>
      </c>
      <c r="L30" s="2" t="n">
        <v>89.2242597082044</v>
      </c>
      <c r="M30" s="2" t="n">
        <v>10</v>
      </c>
      <c r="N30" s="2" t="n">
        <v>10</v>
      </c>
      <c r="O30" s="2" t="n">
        <v>10</v>
      </c>
      <c r="P30" s="2" t="n">
        <v>10</v>
      </c>
      <c r="Q30" s="12" t="s">
        <v>2882</v>
      </c>
    </row>
    <row r="31" customFormat="false" ht="15" hidden="false" customHeight="false" outlineLevel="0" collapsed="false">
      <c r="A31" s="9" t="s">
        <v>2883</v>
      </c>
      <c r="B31" s="10" t="s">
        <v>2884</v>
      </c>
      <c r="C31" s="9" t="s">
        <v>68</v>
      </c>
      <c r="E31" s="9" t="n">
        <f aca="false">E29</f>
        <v>-0</v>
      </c>
      <c r="F31" s="9" t="n">
        <f aca="false">E31+F29</f>
        <v>38.4332494120481</v>
      </c>
      <c r="G31" s="9" t="n">
        <f aca="false">F31+G29</f>
        <v>173.311380534672</v>
      </c>
      <c r="H31" s="9" t="n">
        <f aca="false">G31+H29</f>
        <v>310.936002727395</v>
      </c>
      <c r="I31" s="9" t="n">
        <f aca="false">H31+I29</f>
        <v>442.844811653528</v>
      </c>
      <c r="L31" s="2" t="n">
        <v>0</v>
      </c>
      <c r="M31" s="2" t="n">
        <v>34.3770350410095</v>
      </c>
      <c r="N31" s="2" t="n">
        <v>166.155951682268</v>
      </c>
      <c r="O31" s="2" t="n">
        <v>301.10312522977</v>
      </c>
      <c r="P31" s="2" t="n">
        <v>426.22743057456</v>
      </c>
      <c r="Q31" s="12" t="s">
        <v>2885</v>
      </c>
    </row>
    <row r="32" customFormat="false" ht="15" hidden="false" customHeight="false" outlineLevel="0" collapsed="false">
      <c r="A32" s="9" t="s">
        <v>2886</v>
      </c>
      <c r="B32" s="10" t="s">
        <v>2887</v>
      </c>
      <c r="C32" s="10" t="s">
        <v>2172</v>
      </c>
      <c r="E32" s="9" t="n">
        <f aca="false">SIGN(E29)</f>
        <v>0</v>
      </c>
      <c r="F32" s="9" t="n">
        <f aca="false">SIGN(F29)</f>
        <v>1</v>
      </c>
      <c r="G32" s="9" t="n">
        <f aca="false">SIGN(G29)</f>
        <v>1</v>
      </c>
      <c r="H32" s="9" t="n">
        <f aca="false">SIGN(H29)</f>
        <v>1</v>
      </c>
      <c r="I32" s="9" t="n">
        <f aca="false">SIGN(I29)</f>
        <v>1</v>
      </c>
      <c r="Q32" s="12" t="s">
        <v>2888</v>
      </c>
    </row>
    <row r="33" customFormat="false" ht="15" hidden="false" customHeight="false" outlineLevel="0" collapsed="false">
      <c r="A33" s="9" t="s">
        <v>2889</v>
      </c>
      <c r="B33" s="10" t="s">
        <v>2890</v>
      </c>
      <c r="C33" s="10" t="s">
        <v>152</v>
      </c>
      <c r="E33" s="9" t="str">
        <f aca="false">IF(E32,E$6,"")</f>
        <v/>
      </c>
      <c r="F33" s="9" t="n">
        <f aca="false">IF(F32,F$6,"")</f>
        <v>2027</v>
      </c>
      <c r="G33" s="9" t="n">
        <f aca="false">IF(G32,G$6,"")</f>
        <v>2028</v>
      </c>
      <c r="H33" s="9" t="n">
        <f aca="false">IF(H32,H$6,"")</f>
        <v>2029</v>
      </c>
      <c r="I33" s="9" t="n">
        <f aca="false">IF(I32,I$6,"")</f>
        <v>2030</v>
      </c>
      <c r="Q33" s="12" t="s">
        <v>2891</v>
      </c>
    </row>
    <row r="34" customFormat="false" ht="15" hidden="false" customHeight="false" outlineLevel="0" collapsed="false">
      <c r="A34" s="9" t="s">
        <v>2892</v>
      </c>
      <c r="B34" s="10" t="s">
        <v>2893</v>
      </c>
      <c r="C34" s="9" t="s">
        <v>68</v>
      </c>
      <c r="E34" s="9" t="n">
        <f aca="false">SRC_OAI_079+E13+E24</f>
        <v>87.584070223322</v>
      </c>
      <c r="F34" s="9" t="n">
        <f aca="false">E34+F13+F24</f>
        <v>-28.4332494120481</v>
      </c>
      <c r="G34" s="9" t="n">
        <f aca="false">F34+G13+G24</f>
        <v>-163.311380534672</v>
      </c>
      <c r="H34" s="9" t="n">
        <f aca="false">G34+H13+H24</f>
        <v>-300.936002727395</v>
      </c>
      <c r="I34" s="9" t="n">
        <f aca="false">H34+I13+I24</f>
        <v>-432.844811653528</v>
      </c>
      <c r="Q34" s="2" t="s">
        <v>2894</v>
      </c>
    </row>
    <row r="35" customFormat="false" ht="15" hidden="false" customHeight="false" outlineLevel="0" collapsed="false">
      <c r="A35" s="9" t="s">
        <v>2895</v>
      </c>
      <c r="B35" s="10" t="s">
        <v>2896</v>
      </c>
      <c r="C35" s="10" t="s">
        <v>152</v>
      </c>
      <c r="E35" s="9" t="str">
        <f aca="false">IF(E34&lt;E26,E$6,"")</f>
        <v/>
      </c>
      <c r="F35" s="9" t="n">
        <f aca="false">IF(F34&lt;F26,F$6,"")</f>
        <v>2027</v>
      </c>
      <c r="G35" s="9" t="n">
        <f aca="false">IF(G34&lt;G26,G$6,"")</f>
        <v>2028</v>
      </c>
      <c r="H35" s="9" t="n">
        <f aca="false">IF(H34&lt;H26,H$6,"")</f>
        <v>2029</v>
      </c>
      <c r="I35" s="9" t="n">
        <f aca="false">IF(I34&lt;I26,I$6,"")</f>
        <v>2030</v>
      </c>
      <c r="Q35" s="12" t="s">
        <v>2897</v>
      </c>
    </row>
    <row r="36" customFormat="false" ht="15" hidden="false" customHeight="false" outlineLevel="0" collapsed="false">
      <c r="A36" s="9" t="s">
        <v>2898</v>
      </c>
      <c r="B36" s="10" t="s">
        <v>2899</v>
      </c>
      <c r="C36" s="10" t="s">
        <v>152</v>
      </c>
      <c r="E36" s="9" t="str">
        <f aca="false">IF(AND(E32,E29=MAX($E$29:$I$29)),E$6,"")</f>
        <v/>
      </c>
      <c r="F36" s="9" t="str">
        <f aca="false">IF(AND(F32,F29=MAX($E$29:$I$29)),F$6,"")</f>
        <v/>
      </c>
      <c r="G36" s="9" t="str">
        <f aca="false">IF(AND(G32,G29=MAX($E$29:$I$29)),G$6,"")</f>
        <v/>
      </c>
      <c r="H36" s="9" t="n">
        <f aca="false">IF(AND(H32,H29=MAX($E$29:$I$29)),H$6,"")</f>
        <v>2029</v>
      </c>
      <c r="I36" s="9" t="str">
        <f aca="false">IF(AND(I32,I29=MAX($E$29:$I$29)),I$6,"")</f>
        <v/>
      </c>
      <c r="Q36" s="2"/>
    </row>
    <row r="37" customFormat="false" ht="15" hidden="false" customHeight="false" outlineLevel="0" collapsed="false">
      <c r="A37" s="14" t="s">
        <v>2900</v>
      </c>
    </row>
    <row r="38" customFormat="false" ht="15" hidden="false" customHeight="false" outlineLevel="0" collapsed="false">
      <c r="A38" s="9" t="s">
        <v>2901</v>
      </c>
      <c r="B38" s="9" t="s">
        <v>2902</v>
      </c>
      <c r="C38" s="9" t="s">
        <v>68</v>
      </c>
      <c r="D38" s="9" t="n">
        <f aca="false">SRC_OAI_082*N(D$6=INP_275)</f>
        <v>0</v>
      </c>
      <c r="E38" s="9" t="n">
        <f aca="false">SRC_OAI_082*N(E$6=INP_275)</f>
        <v>35</v>
      </c>
      <c r="F38" s="9" t="n">
        <f aca="false">SRC_OAI_082*N(F$6=INP_275)</f>
        <v>0</v>
      </c>
      <c r="G38" s="9" t="n">
        <f aca="false">SRC_OAI_082*N(G$6=INP_275)</f>
        <v>0</v>
      </c>
      <c r="H38" s="9" t="n">
        <f aca="false">SRC_OAI_082*N(H$6=INP_275)</f>
        <v>0</v>
      </c>
      <c r="I38" s="9" t="n">
        <f aca="false">SRC_OAI_082*N(I$6=INP_275)</f>
        <v>0</v>
      </c>
      <c r="Q38" s="12" t="s">
        <v>2903</v>
      </c>
    </row>
    <row r="39" customFormat="false" ht="15" hidden="false" customHeight="false" outlineLevel="0" collapsed="false">
      <c r="A39" s="9" t="s">
        <v>2904</v>
      </c>
      <c r="B39" s="10" t="s">
        <v>2905</v>
      </c>
      <c r="C39" s="9" t="s">
        <v>68</v>
      </c>
      <c r="D39" s="9" t="n">
        <f aca="false">D21+D38</f>
        <v>0</v>
      </c>
      <c r="E39" s="9" t="n">
        <f aca="false">E21+E38</f>
        <v>122</v>
      </c>
      <c r="F39" s="9" t="n">
        <f aca="false">F21+F38</f>
        <v>0</v>
      </c>
      <c r="G39" s="9" t="n">
        <f aca="false">G21+G38</f>
        <v>0</v>
      </c>
      <c r="H39" s="9" t="n">
        <f aca="false">H21+H38</f>
        <v>0</v>
      </c>
      <c r="I39" s="9" t="n">
        <f aca="false">I21+I38</f>
        <v>0</v>
      </c>
      <c r="Q39" s="2"/>
    </row>
    <row r="40" customFormat="false" ht="15" hidden="false" customHeight="false" outlineLevel="0" collapsed="false">
      <c r="A40" s="9" t="s">
        <v>2906</v>
      </c>
      <c r="B40" s="10" t="s">
        <v>2907</v>
      </c>
      <c r="C40" s="9" t="s">
        <v>68</v>
      </c>
      <c r="E40" s="9" t="n">
        <f aca="false">SRC_OAI_079+E13+E39</f>
        <v>122.584070223322</v>
      </c>
      <c r="F40" s="9" t="n">
        <f aca="false">E42+F13+F39</f>
        <v>6.56675058795192</v>
      </c>
      <c r="G40" s="9" t="n">
        <f aca="false">F42+G13+G39</f>
        <v>-124.878131122624</v>
      </c>
      <c r="H40" s="9" t="n">
        <f aca="false">G42+H13+H39</f>
        <v>-127.624622192723</v>
      </c>
      <c r="I40" s="9" t="n">
        <f aca="false">H42+I13+I39</f>
        <v>-121.908808926133</v>
      </c>
      <c r="Q40" s="2"/>
    </row>
    <row r="41" customFormat="false" ht="15" hidden="false" customHeight="false" outlineLevel="0" collapsed="false">
      <c r="A41" s="9" t="s">
        <v>2908</v>
      </c>
      <c r="B41" s="10" t="s">
        <v>2909</v>
      </c>
      <c r="C41" s="9" t="s">
        <v>68</v>
      </c>
      <c r="E41" s="9" t="n">
        <f aca="false">(E26-E40)*(E26&gt;E40)</f>
        <v>-0</v>
      </c>
      <c r="F41" s="9" t="n">
        <f aca="false">(F26-F40)*(F26&gt;F40)</f>
        <v>3.43324941204808</v>
      </c>
      <c r="G41" s="9" t="n">
        <f aca="false">(G26-G40)*(G26&gt;G40)</f>
        <v>134.878131122624</v>
      </c>
      <c r="H41" s="9" t="n">
        <f aca="false">(H26-H40)*(H26&gt;H40)</f>
        <v>137.624622192723</v>
      </c>
      <c r="I41" s="9" t="n">
        <f aca="false">(I26-I40)*(I26&gt;I40)</f>
        <v>131.908808926133</v>
      </c>
      <c r="Q41" s="2"/>
    </row>
    <row r="42" customFormat="false" ht="15" hidden="false" customHeight="false" outlineLevel="0" collapsed="false">
      <c r="A42" s="9" t="s">
        <v>2910</v>
      </c>
      <c r="B42" s="10" t="s">
        <v>2911</v>
      </c>
      <c r="C42" s="9" t="s">
        <v>68</v>
      </c>
      <c r="D42" s="9" t="n">
        <f aca="false">SRC_OAI_079</f>
        <v>40</v>
      </c>
      <c r="E42" s="9" t="n">
        <f aca="false">E40+E41</f>
        <v>122.584070223322</v>
      </c>
      <c r="F42" s="9" t="n">
        <f aca="false">F40+F41</f>
        <v>10</v>
      </c>
      <c r="G42" s="9" t="n">
        <f aca="false">G40+G41</f>
        <v>10</v>
      </c>
      <c r="H42" s="9" t="n">
        <f aca="false">H40+H41</f>
        <v>10</v>
      </c>
      <c r="I42" s="9" t="n">
        <f aca="false">I40+I41</f>
        <v>10</v>
      </c>
      <c r="Q42" s="2"/>
    </row>
    <row r="43" customFormat="false" ht="15" hidden="false" customHeight="false" outlineLevel="0" collapsed="false">
      <c r="A43" s="9" t="s">
        <v>2912</v>
      </c>
      <c r="B43" s="10" t="s">
        <v>2913</v>
      </c>
      <c r="C43" s="9" t="s">
        <v>68</v>
      </c>
      <c r="E43" s="9" t="n">
        <f aca="false">E41</f>
        <v>-0</v>
      </c>
      <c r="F43" s="9" t="n">
        <f aca="false">E43+F41</f>
        <v>3.43324941204808</v>
      </c>
      <c r="G43" s="9" t="n">
        <f aca="false">F43+G41</f>
        <v>138.311380534672</v>
      </c>
      <c r="H43" s="9" t="n">
        <f aca="false">G43+H41</f>
        <v>275.936002727395</v>
      </c>
      <c r="I43" s="9" t="n">
        <f aca="false">H43+I41</f>
        <v>407.844811653528</v>
      </c>
      <c r="Q43" s="2"/>
    </row>
    <row r="44" customFormat="false" ht="15" hidden="false" customHeight="false" outlineLevel="0" collapsed="false">
      <c r="A44" s="14" t="s">
        <v>2914</v>
      </c>
    </row>
    <row r="45" customFormat="false" ht="15" hidden="false" customHeight="false" outlineLevel="0" collapsed="false">
      <c r="A45" s="9" t="s">
        <v>2915</v>
      </c>
      <c r="B45" s="10" t="s">
        <v>466</v>
      </c>
      <c r="C45" s="9" t="s">
        <v>68</v>
      </c>
      <c r="D45" s="9" t="n">
        <f aca="false">SRC_OAI_083</f>
        <v>250</v>
      </c>
      <c r="K45" s="2" t="n">
        <v>250</v>
      </c>
      <c r="Q45" s="12" t="s">
        <v>2916</v>
      </c>
    </row>
    <row r="46" customFormat="false" ht="15" hidden="false" customHeight="false" outlineLevel="0" collapsed="false">
      <c r="A46" s="9" t="s">
        <v>2917</v>
      </c>
      <c r="B46" s="10" t="s">
        <v>2918</v>
      </c>
      <c r="C46" s="9" t="s">
        <v>68</v>
      </c>
      <c r="D46" s="9" t="n">
        <f aca="false">SRC_OAI_084</f>
        <v>350</v>
      </c>
      <c r="K46" s="2" t="n">
        <v>350</v>
      </c>
      <c r="Q46" s="12" t="s">
        <v>2919</v>
      </c>
    </row>
    <row r="47" customFormat="false" ht="15" hidden="false" customHeight="false" outlineLevel="0" collapsed="false">
      <c r="A47" s="9" t="s">
        <v>2920</v>
      </c>
      <c r="B47" s="10" t="s">
        <v>2921</v>
      </c>
      <c r="C47" s="9" t="s">
        <v>68</v>
      </c>
      <c r="D47" s="9" t="n">
        <f aca="false">D45+D46</f>
        <v>600</v>
      </c>
      <c r="Q47" s="2" t="s">
        <v>2922</v>
      </c>
    </row>
    <row r="48" customFormat="false" ht="15" hidden="false" customHeight="false" outlineLevel="0" collapsed="false">
      <c r="A48" s="9" t="s">
        <v>2923</v>
      </c>
      <c r="B48" s="10" t="s">
        <v>2924</v>
      </c>
      <c r="C48" s="9" t="s">
        <v>68</v>
      </c>
      <c r="D48" s="9" t="n">
        <f aca="false">SRC_OAI_077</f>
        <v>665</v>
      </c>
      <c r="Q48" s="12" t="s">
        <v>2925</v>
      </c>
    </row>
    <row r="49" customFormat="false" ht="15" hidden="false" customHeight="false" outlineLevel="0" collapsed="false">
      <c r="A49" s="9" t="s">
        <v>2926</v>
      </c>
      <c r="B49" s="10" t="s">
        <v>2927</v>
      </c>
      <c r="C49" s="9" t="s">
        <v>68</v>
      </c>
      <c r="D49" s="13" t="n">
        <f aca="false">(SRC_OAI_057+SRC_OAI_058+SRC_OAI_062+SRC_OAI_065+SRC_OAI_070+INP_184)-SUM(Cost!D23:I23)</f>
        <v>133.547619047619</v>
      </c>
      <c r="K49" s="2" t="n">
        <v>133.547619047619</v>
      </c>
      <c r="Q49" s="12" t="s">
        <v>2928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2929</v>
      </c>
    </row>
    <row r="2" customFormat="false" ht="15" hidden="false" customHeight="false" outlineLevel="0" collapsed="false">
      <c r="A2" s="12" t="s">
        <v>2930</v>
      </c>
    </row>
    <row r="3" customFormat="false" ht="15" hidden="false" customHeight="false" outlineLevel="0" collapsed="false">
      <c r="A3" s="2" t="s">
        <v>2931</v>
      </c>
    </row>
    <row r="5" customFormat="false" ht="15" hidden="false" customHeight="false" outlineLevel="0" collapsed="false">
      <c r="A5" s="8" t="s">
        <v>1793</v>
      </c>
      <c r="B5" s="8" t="s">
        <v>1794</v>
      </c>
      <c r="C5" s="8" t="s">
        <v>46</v>
      </c>
      <c r="D5" s="7" t="s">
        <v>411</v>
      </c>
      <c r="E5" s="7" t="s">
        <v>423</v>
      </c>
      <c r="F5" s="7" t="s">
        <v>1170</v>
      </c>
      <c r="G5" s="7" t="s">
        <v>1172</v>
      </c>
      <c r="H5" s="7" t="s">
        <v>1174</v>
      </c>
      <c r="I5" s="7" t="s">
        <v>1176</v>
      </c>
      <c r="J5" s="8"/>
      <c r="K5" s="7" t="s">
        <v>1870</v>
      </c>
      <c r="L5" s="7" t="s">
        <v>1871</v>
      </c>
      <c r="M5" s="7" t="s">
        <v>1872</v>
      </c>
      <c r="N5" s="7" t="s">
        <v>1873</v>
      </c>
      <c r="O5" s="7" t="s">
        <v>1874</v>
      </c>
      <c r="P5" s="7" t="s">
        <v>1875</v>
      </c>
      <c r="Q5" s="8" t="s">
        <v>777</v>
      </c>
    </row>
    <row r="6" customFormat="false" ht="15" hidden="false" customHeight="false" outlineLevel="0" collapsed="false">
      <c r="B6" s="3" t="s">
        <v>1876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2932</v>
      </c>
    </row>
    <row r="8" customFormat="false" ht="15" hidden="false" customHeight="false" outlineLevel="0" collapsed="false">
      <c r="A8" s="9" t="s">
        <v>2933</v>
      </c>
      <c r="B8" s="10" t="s">
        <v>2934</v>
      </c>
      <c r="C8" s="9" t="s">
        <v>68</v>
      </c>
      <c r="D8" s="9" t="n">
        <f aca="false">SRC_OAI_002</f>
        <v>13.07</v>
      </c>
      <c r="E8" s="9" t="n">
        <f aca="false">SRC_OAI_043</f>
        <v>36</v>
      </c>
      <c r="F8" s="9" t="n">
        <f aca="false">INP_271</f>
        <v>75.1</v>
      </c>
      <c r="G8" s="9" t="n">
        <f aca="false">INP_272</f>
        <v>141.5</v>
      </c>
      <c r="H8" s="9" t="n">
        <f aca="false">SRC_OAI_045-E8-F8-G8-I8</f>
        <v>237.4</v>
      </c>
      <c r="I8" s="9" t="n">
        <f aca="false">SRC_OAI_044</f>
        <v>350</v>
      </c>
      <c r="K8" s="2" t="n">
        <v>13.07</v>
      </c>
      <c r="L8" s="2" t="n">
        <v>36</v>
      </c>
      <c r="M8" s="2" t="n">
        <v>75.1</v>
      </c>
      <c r="N8" s="2" t="n">
        <v>141.5</v>
      </c>
      <c r="O8" s="2" t="n">
        <v>237.4</v>
      </c>
      <c r="P8" s="2" t="n">
        <v>350</v>
      </c>
      <c r="Q8" s="12" t="s">
        <v>2935</v>
      </c>
    </row>
    <row r="9" customFormat="false" ht="15" hidden="false" customHeight="false" outlineLevel="0" collapsed="false">
      <c r="A9" s="9" t="s">
        <v>2936</v>
      </c>
      <c r="B9" s="10" t="s">
        <v>2937</v>
      </c>
      <c r="C9" s="9" t="s">
        <v>68</v>
      </c>
      <c r="D9" s="9" t="n">
        <f aca="false">SUM(E8:I8)-SRC_OAI_045</f>
        <v>0</v>
      </c>
      <c r="Q9" s="2" t="s">
        <v>2938</v>
      </c>
    </row>
    <row r="10" customFormat="false" ht="15" hidden="false" customHeight="false" outlineLevel="0" collapsed="false">
      <c r="A10" s="9" t="s">
        <v>2939</v>
      </c>
      <c r="B10" s="10" t="s">
        <v>2940</v>
      </c>
      <c r="C10" s="10" t="s">
        <v>120</v>
      </c>
      <c r="E10" s="9" t="n">
        <f aca="false">(E8-D8)/D8</f>
        <v>1.75439938791125</v>
      </c>
      <c r="F10" s="9" t="n">
        <f aca="false">(F8-E8)/E8</f>
        <v>1.08611111111111</v>
      </c>
      <c r="G10" s="9" t="n">
        <f aca="false">(G8-F8)/F8</f>
        <v>0.884154460719042</v>
      </c>
      <c r="H10" s="9" t="n">
        <f aca="false">(H8-G8)/G8</f>
        <v>0.67773851590106</v>
      </c>
      <c r="I10" s="9" t="n">
        <f aca="false">(I8-H8)/H8</f>
        <v>0.474304970513901</v>
      </c>
      <c r="Q10" s="12" t="s">
        <v>2941</v>
      </c>
    </row>
    <row r="11" customFormat="false" ht="15" hidden="false" customHeight="false" outlineLevel="0" collapsed="false">
      <c r="A11" s="9" t="s">
        <v>2942</v>
      </c>
      <c r="B11" s="10" t="s">
        <v>2943</v>
      </c>
      <c r="C11" s="9" t="s">
        <v>68</v>
      </c>
      <c r="I11" s="9" t="n">
        <f aca="false">SRC_OAI_056</f>
        <v>280</v>
      </c>
      <c r="Q11" s="12" t="s">
        <v>2925</v>
      </c>
    </row>
    <row r="12" customFormat="false" ht="15" hidden="false" customHeight="false" outlineLevel="0" collapsed="false">
      <c r="A12" s="14" t="s">
        <v>2944</v>
      </c>
    </row>
    <row r="13" customFormat="false" ht="15" hidden="false" customHeight="false" outlineLevel="0" collapsed="false">
      <c r="A13" s="9" t="s">
        <v>2945</v>
      </c>
      <c r="B13" s="10" t="s">
        <v>2946</v>
      </c>
      <c r="C13" s="9" t="s">
        <v>68</v>
      </c>
      <c r="D13" s="13" t="n">
        <f aca="false">Revenue!D74</f>
        <v>13.07</v>
      </c>
      <c r="E13" s="13" t="n">
        <f aca="false">Revenue!E74</f>
        <v>34.2037814299461</v>
      </c>
      <c r="F13" s="13" t="n">
        <f aca="false">Revenue!F74</f>
        <v>54.7956532383272</v>
      </c>
      <c r="G13" s="13" t="n">
        <f aca="false">Revenue!G74</f>
        <v>78.4240890026059</v>
      </c>
      <c r="H13" s="13" t="n">
        <f aca="false">Revenue!H74</f>
        <v>102.127374380687</v>
      </c>
      <c r="I13" s="13" t="n">
        <f aca="false">Revenue!I74</f>
        <v>126.38309270298</v>
      </c>
      <c r="K13" s="2" t="n">
        <v>13.07</v>
      </c>
      <c r="L13" s="2" t="n">
        <v>32.9040311251901</v>
      </c>
      <c r="M13" s="2" t="n">
        <v>52.5696018632109</v>
      </c>
      <c r="N13" s="2" t="n">
        <v>74.8836412589141</v>
      </c>
      <c r="O13" s="2" t="n">
        <v>97.168532926659</v>
      </c>
      <c r="P13" s="2" t="n">
        <v>119.881298694689</v>
      </c>
      <c r="Q13" s="12" t="s">
        <v>2947</v>
      </c>
    </row>
    <row r="14" customFormat="false" ht="15" hidden="false" customHeight="false" outlineLevel="0" collapsed="false">
      <c r="A14" s="9" t="s">
        <v>2948</v>
      </c>
      <c r="B14" s="10" t="s">
        <v>2949</v>
      </c>
      <c r="C14" s="9" t="s">
        <v>68</v>
      </c>
      <c r="D14" s="13" t="n">
        <f aca="false">Revenue!D27*Revenue!D73</f>
        <v>8.92141935483871</v>
      </c>
      <c r="E14" s="13" t="n">
        <f aca="false">Revenue!E27*Revenue!E73</f>
        <v>16.9365290322581</v>
      </c>
      <c r="F14" s="13" t="n">
        <f aca="false">Revenue!F27*Revenue!F73</f>
        <v>25.3829520336606</v>
      </c>
      <c r="G14" s="13" t="n">
        <f aca="false">Revenue!G27*Revenue!G73</f>
        <v>33.851418513324</v>
      </c>
      <c r="H14" s="13" t="n">
        <f aca="false">Revenue!H27*Revenue!H73</f>
        <v>40.6852316970547</v>
      </c>
      <c r="I14" s="13" t="n">
        <f aca="false">Revenue!I27*Revenue!I73</f>
        <v>46.5651399719495</v>
      </c>
      <c r="Q14" s="2" t="s">
        <v>2159</v>
      </c>
    </row>
    <row r="15" customFormat="false" ht="15" hidden="false" customHeight="false" outlineLevel="0" collapsed="false">
      <c r="A15" s="9" t="s">
        <v>2950</v>
      </c>
      <c r="B15" s="10" t="s">
        <v>2951</v>
      </c>
      <c r="C15" s="9" t="s">
        <v>68</v>
      </c>
      <c r="D15" s="13" t="n">
        <f aca="false">Revenue!D34*Revenue!D73</f>
        <v>4.14858064516129</v>
      </c>
      <c r="E15" s="13" t="n">
        <f aca="false">Revenue!E34*Revenue!E73</f>
        <v>16.5243023976881</v>
      </c>
      <c r="F15" s="13" t="n">
        <f aca="false">Revenue!F34*Revenue!F73</f>
        <v>27.5542742481448</v>
      </c>
      <c r="G15" s="13" t="n">
        <f aca="false">Revenue!G34*Revenue!G73</f>
        <v>41.662062663195</v>
      </c>
      <c r="H15" s="13" t="n">
        <f aca="false">Revenue!H34*Revenue!H73</f>
        <v>57.2853361618931</v>
      </c>
      <c r="I15" s="13" t="n">
        <f aca="false">Revenue!I34*Revenue!I73</f>
        <v>74.2417956658134</v>
      </c>
      <c r="Q15" s="2" t="s">
        <v>2159</v>
      </c>
    </row>
    <row r="16" customFormat="false" ht="15" hidden="false" customHeight="false" outlineLevel="0" collapsed="false">
      <c r="A16" s="9" t="s">
        <v>2952</v>
      </c>
      <c r="B16" s="10" t="s">
        <v>2953</v>
      </c>
      <c r="C16" s="9" t="s">
        <v>68</v>
      </c>
      <c r="D16" s="13" t="n">
        <f aca="false">Revenue!D30*Revenue!D73</f>
        <v>0</v>
      </c>
      <c r="E16" s="13" t="n">
        <f aca="false">Revenue!E30*Revenue!E73</f>
        <v>0.74295</v>
      </c>
      <c r="F16" s="13" t="n">
        <f aca="false">Revenue!F30*Revenue!F73</f>
        <v>1.85842695652174</v>
      </c>
      <c r="G16" s="13" t="n">
        <f aca="false">Revenue!G30*Revenue!G73</f>
        <v>2.91060782608696</v>
      </c>
      <c r="H16" s="13" t="n">
        <f aca="false">Revenue!H30*Revenue!H73</f>
        <v>4.15680652173913</v>
      </c>
      <c r="I16" s="13" t="n">
        <f aca="false">Revenue!I30*Revenue!I73</f>
        <v>5.57615706521739</v>
      </c>
      <c r="Q16" s="2" t="s">
        <v>2159</v>
      </c>
    </row>
    <row r="17" customFormat="false" ht="15" hidden="false" customHeight="false" outlineLevel="0" collapsed="false">
      <c r="A17" s="9" t="s">
        <v>2954</v>
      </c>
      <c r="B17" s="10" t="s">
        <v>2955</v>
      </c>
      <c r="C17" s="9" t="s">
        <v>68</v>
      </c>
      <c r="D17" s="13" t="n">
        <f aca="false">Revenue!D31*Revenue!D73</f>
        <v>0</v>
      </c>
      <c r="E17" s="13" t="n">
        <f aca="false">Revenue!E31*Revenue!E73</f>
        <v>0</v>
      </c>
      <c r="F17" s="13" t="n">
        <f aca="false">Revenue!F31*Revenue!F73</f>
        <v>0</v>
      </c>
      <c r="G17" s="13" t="n">
        <f aca="false">Revenue!G31*Revenue!G73</f>
        <v>0</v>
      </c>
      <c r="H17" s="13" t="n">
        <f aca="false">Revenue!H31*Revenue!H73</f>
        <v>0</v>
      </c>
      <c r="I17" s="13" t="n">
        <f aca="false">Revenue!I31*Revenue!I73</f>
        <v>0</v>
      </c>
      <c r="Q17" s="2" t="s">
        <v>2159</v>
      </c>
    </row>
    <row r="18" customFormat="false" ht="15" hidden="false" customHeight="false" outlineLevel="0" collapsed="false">
      <c r="A18" s="9" t="s">
        <v>2956</v>
      </c>
      <c r="B18" s="10" t="s">
        <v>2957</v>
      </c>
      <c r="C18" s="9" t="s">
        <v>68</v>
      </c>
      <c r="D18" s="9" t="n">
        <f aca="false">D8-D13</f>
        <v>0</v>
      </c>
      <c r="E18" s="9" t="n">
        <f aca="false">E8-E13</f>
        <v>1.79621857005389</v>
      </c>
      <c r="F18" s="9" t="n">
        <f aca="false">F8-F13</f>
        <v>20.3043467616728</v>
      </c>
      <c r="G18" s="9" t="n">
        <f aca="false">G8-G13</f>
        <v>63.0759109973941</v>
      </c>
      <c r="H18" s="9" t="n">
        <f aca="false">H8-H13</f>
        <v>135.272625619313</v>
      </c>
      <c r="I18" s="9" t="n">
        <f aca="false">I8-I13</f>
        <v>223.61690729702</v>
      </c>
      <c r="K18" s="2" t="n">
        <v>0</v>
      </c>
      <c r="L18" s="2" t="n">
        <v>3.09596887480995</v>
      </c>
      <c r="M18" s="2" t="n">
        <v>22.5303981367891</v>
      </c>
      <c r="N18" s="2" t="n">
        <v>66.616358741086</v>
      </c>
      <c r="O18" s="2" t="n">
        <v>140.231467073341</v>
      </c>
      <c r="P18" s="2" t="n">
        <v>230.118701305311</v>
      </c>
      <c r="Q18" s="2"/>
    </row>
    <row r="19" customFormat="false" ht="15" hidden="false" customHeight="false" outlineLevel="0" collapsed="false">
      <c r="A19" s="9" t="s">
        <v>2958</v>
      </c>
      <c r="B19" s="10" t="s">
        <v>2959</v>
      </c>
      <c r="C19" s="9" t="s">
        <v>68</v>
      </c>
      <c r="D19" s="9" t="n">
        <f aca="false">D8-D16-D17</f>
        <v>13.07</v>
      </c>
      <c r="E19" s="9" t="n">
        <f aca="false">E8-E16-E17</f>
        <v>35.25705</v>
      </c>
      <c r="F19" s="9" t="n">
        <f aca="false">F8-F16-F17</f>
        <v>73.2415730434783</v>
      </c>
      <c r="G19" s="9" t="n">
        <f aca="false">G8-G16-G17</f>
        <v>138.589392173913</v>
      </c>
      <c r="H19" s="9" t="n">
        <f aca="false">H8-H16-H17</f>
        <v>233.243193478261</v>
      </c>
      <c r="I19" s="9" t="n">
        <f aca="false">I8-I16-I17</f>
        <v>344.423842934783</v>
      </c>
      <c r="K19" s="2" t="n">
        <v>13.07</v>
      </c>
      <c r="L19" s="2" t="n">
        <v>35.25705</v>
      </c>
      <c r="M19" s="2" t="n">
        <v>73.2415730434783</v>
      </c>
      <c r="N19" s="2" t="n">
        <v>138.589392173913</v>
      </c>
      <c r="O19" s="2" t="n">
        <v>233.243193478261</v>
      </c>
      <c r="P19" s="2" t="n">
        <v>344.423842934783</v>
      </c>
      <c r="Q19" s="12" t="s">
        <v>2960</v>
      </c>
    </row>
    <row r="20" customFormat="false" ht="15" hidden="false" customHeight="false" outlineLevel="0" collapsed="false">
      <c r="A20" s="14" t="s">
        <v>2961</v>
      </c>
    </row>
    <row r="21" customFormat="false" ht="15" hidden="false" customHeight="false" outlineLevel="0" collapsed="false">
      <c r="A21" s="9" t="s">
        <v>2962</v>
      </c>
      <c r="B21" s="10" t="s">
        <v>2963</v>
      </c>
      <c r="C21" s="10" t="s">
        <v>560</v>
      </c>
      <c r="D21" s="9" t="n">
        <f aca="false">(D19-D14)/D15</f>
        <v>1</v>
      </c>
      <c r="E21" s="9" t="n">
        <f aca="false">(E19-E14)/E15</f>
        <v>1.10870162787055</v>
      </c>
      <c r="F21" s="9" t="n">
        <f aca="false">(F19-F14)/F15</f>
        <v>1.73688555825563</v>
      </c>
      <c r="G21" s="9" t="n">
        <f aca="false">(G19-G14)/G15</f>
        <v>2.51398915380914</v>
      </c>
      <c r="H21" s="9" t="n">
        <f aca="false">(H19-H14)/H15</f>
        <v>3.36138311621357</v>
      </c>
      <c r="I21" s="9" t="n">
        <f aca="false">(I19-I14)/I15</f>
        <v>4.01200833427565</v>
      </c>
      <c r="K21" s="2" t="n">
        <v>1</v>
      </c>
      <c r="L21" s="2" t="n">
        <v>1.2143921639132</v>
      </c>
      <c r="M21" s="2" t="n">
        <v>1.9356541442449</v>
      </c>
      <c r="N21" s="2" t="n">
        <v>2.829681843772</v>
      </c>
      <c r="O21" s="2" t="n">
        <v>3.80115710673556</v>
      </c>
      <c r="P21" s="2" t="n">
        <v>4.54681799154662</v>
      </c>
      <c r="Q21" s="2"/>
    </row>
    <row r="22" customFormat="false" ht="15" hidden="false" customHeight="false" outlineLevel="0" collapsed="false">
      <c r="A22" s="9" t="s">
        <v>2964</v>
      </c>
      <c r="B22" s="10" t="s">
        <v>2965</v>
      </c>
      <c r="C22" s="10" t="s">
        <v>560</v>
      </c>
      <c r="D22" s="9" t="n">
        <f aca="false">(D19-D15)/D14</f>
        <v>1</v>
      </c>
      <c r="E22" s="9" t="n">
        <f aca="false">(E19-E15)/E14</f>
        <v>1.10605588468763</v>
      </c>
      <c r="F22" s="9" t="n">
        <f aca="false">(F19-F15)/F14</f>
        <v>1.79992062131887</v>
      </c>
      <c r="G22" s="9" t="n">
        <f aca="false">(G19-G15)/G14</f>
        <v>2.86331662800385</v>
      </c>
      <c r="H22" s="9" t="n">
        <f aca="false">(H19-H15)/H14</f>
        <v>4.32485818506733</v>
      </c>
      <c r="I22" s="9" t="n">
        <f aca="false">(I19-I15)/I14</f>
        <v>5.80223848638112</v>
      </c>
      <c r="K22" s="2" t="n">
        <v>1</v>
      </c>
      <c r="L22" s="2" t="n">
        <v>1.17471213261608</v>
      </c>
      <c r="M22" s="2" t="n">
        <v>1.84601071040551</v>
      </c>
      <c r="N22" s="2" t="n">
        <v>2.87312327308607</v>
      </c>
      <c r="O22" s="2" t="n">
        <v>4.26501258263889</v>
      </c>
      <c r="P22" s="2" t="n">
        <v>5.65593427454518</v>
      </c>
      <c r="Q22" s="2"/>
    </row>
    <row r="23" customFormat="false" ht="15" hidden="false" customHeight="false" outlineLevel="0" collapsed="false">
      <c r="A23" s="9" t="s">
        <v>2966</v>
      </c>
      <c r="B23" s="10" t="s">
        <v>2967</v>
      </c>
      <c r="C23" s="10" t="s">
        <v>560</v>
      </c>
      <c r="D23" s="9" t="n">
        <f aca="false">D19/(D14+D15)</f>
        <v>1</v>
      </c>
      <c r="E23" s="9" t="n">
        <f aca="false">E19/(E14+E15)</f>
        <v>1.0536812294642</v>
      </c>
      <c r="F23" s="9" t="n">
        <f aca="false">F19/(F14+F15)</f>
        <v>1.38355516878774</v>
      </c>
      <c r="G23" s="9" t="n">
        <f aca="false">G19/(G14+G15)</f>
        <v>1.83529338092557</v>
      </c>
      <c r="H23" s="9" t="n">
        <f aca="false">H19/(H14+H15)</f>
        <v>2.38074759160395</v>
      </c>
      <c r="I23" s="9" t="n">
        <f aca="false">I19/(I14+I15)</f>
        <v>2.85102706327665</v>
      </c>
      <c r="K23" s="2" t="n">
        <v>1</v>
      </c>
      <c r="L23" s="2" t="n">
        <v>1.09626445276384</v>
      </c>
      <c r="M23" s="2" t="n">
        <v>1.44428862431695</v>
      </c>
      <c r="N23" s="2" t="n">
        <v>1.92557386515131</v>
      </c>
      <c r="O23" s="2" t="n">
        <v>2.507675134024</v>
      </c>
      <c r="P23" s="2" t="n">
        <v>3.01319641465698</v>
      </c>
      <c r="Q23" s="2"/>
    </row>
    <row r="24" customFormat="false" ht="15" hidden="false" customHeight="false" outlineLevel="0" collapsed="false">
      <c r="A24" s="9" t="s">
        <v>2968</v>
      </c>
      <c r="B24" s="10" t="s">
        <v>2969</v>
      </c>
      <c r="C24" s="10" t="s">
        <v>560</v>
      </c>
      <c r="E24" s="9" t="n">
        <f aca="false">(E8-SRC_OAI_038-E17)/(E14+E15)</f>
        <v>1.0011705797011</v>
      </c>
      <c r="F24" s="9" t="n">
        <f aca="false">(F8-SRC_OAI_039-F17)/(F14+F15)</f>
        <v>1.21086812631192</v>
      </c>
      <c r="G24" s="9" t="n">
        <f aca="false">(G8-SRC_OAI_040-G17)/(G14+G15)</f>
        <v>1.54277088256164</v>
      </c>
      <c r="H24" s="9" t="n">
        <f aca="false">(H8-SRC_OAI_041-H17)/(H14+H15)</f>
        <v>1.88219792974445</v>
      </c>
      <c r="I24" s="9" t="n">
        <f aca="false">(I8-SRC_OAI_042-I17)/(I14+I15)</f>
        <v>2.06941760984336</v>
      </c>
      <c r="K24" s="2" t="n">
        <v>1</v>
      </c>
      <c r="L24" s="2" t="n">
        <v>1.04163165005548</v>
      </c>
      <c r="M24" s="2" t="n">
        <v>1.26402119686532</v>
      </c>
      <c r="N24" s="2" t="n">
        <v>1.61866180211412</v>
      </c>
      <c r="O24" s="2" t="n">
        <v>1.98254571899061</v>
      </c>
      <c r="P24" s="2" t="n">
        <v>2.18712821169841</v>
      </c>
      <c r="Q24" s="12" t="s">
        <v>2970</v>
      </c>
    </row>
    <row r="25" customFormat="false" ht="15" hidden="false" customHeight="false" outlineLevel="0" collapsed="false">
      <c r="A25" s="14" t="s">
        <v>2971</v>
      </c>
    </row>
    <row r="26" customFormat="false" ht="15" hidden="false" customHeight="false" outlineLevel="0" collapsed="false">
      <c r="A26" s="9" t="s">
        <v>2972</v>
      </c>
      <c r="B26" s="10" t="s">
        <v>2973</v>
      </c>
      <c r="C26" s="9" t="s">
        <v>258</v>
      </c>
      <c r="I26" s="13" t="n">
        <f aca="false">Demand!I15</f>
        <v>283.661290322581</v>
      </c>
      <c r="P26" s="2" t="n">
        <v>285.25</v>
      </c>
      <c r="Q26" s="12" t="s">
        <v>2974</v>
      </c>
    </row>
    <row r="27" customFormat="false" ht="15" hidden="false" customHeight="false" outlineLevel="0" collapsed="false">
      <c r="A27" s="9" t="s">
        <v>2975</v>
      </c>
      <c r="B27" s="10" t="s">
        <v>2976</v>
      </c>
      <c r="C27" s="9" t="s">
        <v>240</v>
      </c>
      <c r="I27" s="9" t="n">
        <f aca="false">I14*INP_253/INP_252/I26</f>
        <v>13.6797951055745</v>
      </c>
      <c r="P27" s="2" t="n">
        <v>14.4390351712838</v>
      </c>
      <c r="Q27" s="2"/>
    </row>
    <row r="28" customFormat="false" ht="15" hidden="false" customHeight="false" outlineLevel="0" collapsed="false">
      <c r="A28" s="9" t="s">
        <v>2977</v>
      </c>
      <c r="B28" s="10" t="s">
        <v>2978</v>
      </c>
      <c r="C28" s="9" t="s">
        <v>258</v>
      </c>
      <c r="I28" s="9" t="n">
        <f aca="false">(I19-I15)*INP_253/INP_252/I27</f>
        <v>1645.87045580621</v>
      </c>
      <c r="P28" s="2" t="n">
        <v>1613.35525181401</v>
      </c>
      <c r="Q28" s="2"/>
    </row>
    <row r="29" customFormat="false" ht="15" hidden="false" customHeight="false" outlineLevel="0" collapsed="false">
      <c r="A29" s="9" t="s">
        <v>2979</v>
      </c>
      <c r="B29" s="10" t="s">
        <v>2980</v>
      </c>
      <c r="C29" s="9" t="s">
        <v>258</v>
      </c>
      <c r="I29" s="9" t="n">
        <f aca="false">SRC_OAI_046</f>
        <v>2750</v>
      </c>
      <c r="Q29" s="12" t="s">
        <v>2981</v>
      </c>
    </row>
    <row r="30" customFormat="false" ht="15" hidden="false" customHeight="false" outlineLevel="0" collapsed="false">
      <c r="A30" s="9" t="s">
        <v>2982</v>
      </c>
      <c r="B30" s="10" t="s">
        <v>2983</v>
      </c>
      <c r="C30" s="9" t="s">
        <v>1850</v>
      </c>
      <c r="I30" s="13" t="n">
        <f aca="false">Demand!I38</f>
        <v>150376.040226363</v>
      </c>
      <c r="P30" s="2" t="n">
        <v>131760.387985667</v>
      </c>
      <c r="Q30" s="12" t="s">
        <v>2984</v>
      </c>
    </row>
    <row r="31" customFormat="false" ht="15" hidden="false" customHeight="false" outlineLevel="0" collapsed="false">
      <c r="A31" s="9" t="s">
        <v>2985</v>
      </c>
      <c r="B31" s="10" t="s">
        <v>2986</v>
      </c>
      <c r="C31" s="9" t="s">
        <v>1850</v>
      </c>
      <c r="I31" s="13" t="n">
        <f aca="false">(I19-I14)/Revenue!I21*INP_253</f>
        <v>603309.926663538</v>
      </c>
      <c r="P31" s="2" t="n">
        <v>599090.502666396</v>
      </c>
      <c r="Q31" s="12" t="s">
        <v>2987</v>
      </c>
    </row>
    <row r="32" customFormat="false" ht="15" hidden="false" customHeight="false" outlineLevel="0" collapsed="false">
      <c r="A32" s="14" t="s">
        <v>2988</v>
      </c>
    </row>
    <row r="33" customFormat="false" ht="15" hidden="false" customHeight="false" outlineLevel="0" collapsed="false">
      <c r="A33" s="9" t="s">
        <v>2989</v>
      </c>
      <c r="B33" s="10" t="s">
        <v>2990</v>
      </c>
      <c r="C33" s="9" t="s">
        <v>68</v>
      </c>
      <c r="I33" s="9" t="n">
        <f aca="false">I13</f>
        <v>126.38309270298</v>
      </c>
      <c r="P33" s="2" t="n">
        <v>119.881298694689</v>
      </c>
      <c r="Q33" s="2"/>
    </row>
    <row r="34" customFormat="false" ht="15" hidden="false" customHeight="false" outlineLevel="0" collapsed="false">
      <c r="A34" s="9" t="s">
        <v>2991</v>
      </c>
      <c r="B34" s="10" t="s">
        <v>2992</v>
      </c>
      <c r="C34" s="9" t="s">
        <v>68</v>
      </c>
      <c r="I34" s="9" t="n">
        <f aca="false">SRC_OAI_042-I16</f>
        <v>94.4238429347826</v>
      </c>
      <c r="P34" s="2" t="n">
        <v>94.4238429347826</v>
      </c>
      <c r="Q34" s="2"/>
    </row>
    <row r="35" customFormat="false" ht="15" hidden="false" customHeight="false" outlineLevel="0" collapsed="false">
      <c r="A35" s="9" t="s">
        <v>2993</v>
      </c>
      <c r="B35" s="10" t="s">
        <v>2994</v>
      </c>
      <c r="C35" s="9" t="s">
        <v>68</v>
      </c>
      <c r="I35" s="13" t="n">
        <f aca="false">I14*(SRC_OAI_046-(Demand!I10+I26))/(Demand!I10+I26)</f>
        <v>13.4510095001633</v>
      </c>
      <c r="P35" s="2" t="n">
        <v>14.2296716971335</v>
      </c>
      <c r="Q35" s="2" t="s">
        <v>2995</v>
      </c>
    </row>
    <row r="36" customFormat="false" ht="15" hidden="false" customHeight="false" outlineLevel="0" collapsed="false">
      <c r="A36" s="9" t="s">
        <v>2996</v>
      </c>
      <c r="B36" s="10" t="s">
        <v>2997</v>
      </c>
      <c r="C36" s="9" t="s">
        <v>68</v>
      </c>
      <c r="I36" s="9" t="n">
        <f aca="false">I8-I33-I34-I35</f>
        <v>115.742054862074</v>
      </c>
      <c r="P36" s="2" t="n">
        <v>121.465186673395</v>
      </c>
      <c r="Q36" s="2"/>
    </row>
    <row r="37" customFormat="false" ht="15" hidden="false" customHeight="false" outlineLevel="0" collapsed="false">
      <c r="A37" s="9" t="s">
        <v>2998</v>
      </c>
      <c r="B37" s="10" t="s">
        <v>2999</v>
      </c>
      <c r="C37" s="9" t="s">
        <v>68</v>
      </c>
      <c r="I37" s="9" t="n">
        <f aca="false">I33+I34+I35+I36</f>
        <v>350</v>
      </c>
      <c r="P37" s="2" t="n">
        <v>350</v>
      </c>
      <c r="Q37" s="2"/>
    </row>
    <row r="38" customFormat="false" ht="15" hidden="false" customHeight="false" outlineLevel="0" collapsed="false">
      <c r="A38" s="9" t="s">
        <v>3000</v>
      </c>
      <c r="B38" s="10" t="s">
        <v>3001</v>
      </c>
      <c r="C38" s="10" t="s">
        <v>560</v>
      </c>
      <c r="I38" s="9" t="n">
        <f aca="false">(I15+I36)/I15</f>
        <v>2.55898781574555</v>
      </c>
      <c r="P38" s="2" t="n">
        <v>2.87214210316692</v>
      </c>
      <c r="Q38" s="2"/>
    </row>
    <row r="39" customFormat="false" ht="15" hidden="false" customHeight="false" outlineLevel="0" collapsed="false">
      <c r="A39" s="9" t="s">
        <v>3002</v>
      </c>
      <c r="B39" s="10" t="s">
        <v>3003</v>
      </c>
      <c r="C39" s="10" t="s">
        <v>120</v>
      </c>
      <c r="I39" s="9" t="n">
        <f aca="false">I34/(I8-I33)</f>
        <v>0.422257172215355</v>
      </c>
      <c r="P39" s="2" t="n">
        <v>0.410326680965861</v>
      </c>
      <c r="Q39" s="2"/>
    </row>
    <row r="40" customFormat="false" ht="15" hidden="false" customHeight="false" outlineLevel="0" collapsed="false">
      <c r="A40" s="9" t="s">
        <v>3004</v>
      </c>
      <c r="B40" s="10" t="s">
        <v>3005</v>
      </c>
      <c r="C40" s="10" t="s">
        <v>120</v>
      </c>
      <c r="I40" s="9" t="n">
        <f aca="false">SRC_OAI_042/I8</f>
        <v>0.285714285714286</v>
      </c>
      <c r="P40" s="2" t="n">
        <v>0.285714285714286</v>
      </c>
      <c r="Q40" s="2"/>
    </row>
    <row r="41" customFormat="false" ht="15" hidden="false" customHeight="false" outlineLevel="0" collapsed="false">
      <c r="A41" s="14" t="s">
        <v>3006</v>
      </c>
    </row>
    <row r="42" customFormat="false" ht="15" hidden="false" customHeight="false" outlineLevel="0" collapsed="false">
      <c r="A42" s="9" t="s">
        <v>3007</v>
      </c>
      <c r="B42" s="9" t="s">
        <v>3008</v>
      </c>
      <c r="C42" s="9" t="s">
        <v>68</v>
      </c>
      <c r="D42" s="9" t="n">
        <f aca="false">SRC_OAI_009*D8*(D$6&lt;INP_011)+(D$6&gt;=INP_011)*(D$6&lt;=SRC_OAI_011)*MIN(SRC_OAI_009*D8,SRC_OAI_010)</f>
        <v>2.614</v>
      </c>
      <c r="E42" s="9" t="n">
        <f aca="false">SRC_OAI_009*E8*(E$6&lt;INP_011)+(E$6&gt;=INP_011)*(E$6&lt;=SRC_OAI_011)*MIN(SRC_OAI_009*E8,SRC_OAI_010-D43)</f>
        <v>7.2</v>
      </c>
      <c r="F42" s="9" t="n">
        <f aca="false">SRC_OAI_009*F8*(F$6&lt;INP_011)+(F$6&gt;=INP_011)*(F$6&lt;=SRC_OAI_011)*MIN(SRC_OAI_009*F8,SRC_OAI_010-E43)</f>
        <v>15.02</v>
      </c>
      <c r="G42" s="9" t="n">
        <f aca="false">SRC_OAI_009*G8*(G$6&lt;INP_011)+(G$6&gt;=INP_011)*(G$6&lt;=SRC_OAI_011)*MIN(SRC_OAI_009*G8,SRC_OAI_010-F43)</f>
        <v>15.78</v>
      </c>
      <c r="H42" s="9" t="n">
        <f aca="false">SRC_OAI_009*H8*(H$6&lt;INP_011)+(H$6&gt;=INP_011)*(H$6&lt;=SRC_OAI_011)*MIN(SRC_OAI_009*H8,SRC_OAI_010-G43)</f>
        <v>0</v>
      </c>
      <c r="I42" s="9" t="n">
        <f aca="false">SRC_OAI_009*I8*(I$6&lt;INP_011)+(I$6&gt;=INP_011)*(I$6&lt;=SRC_OAI_011)*MIN(SRC_OAI_009*I8,SRC_OAI_010-H43)</f>
        <v>0</v>
      </c>
      <c r="K42" s="2" t="n">
        <v>2.614</v>
      </c>
      <c r="L42" s="2" t="n">
        <v>7.2</v>
      </c>
      <c r="M42" s="2" t="n">
        <v>15.02</v>
      </c>
      <c r="N42" s="2" t="n">
        <v>15.78</v>
      </c>
      <c r="O42" s="2" t="n">
        <v>0</v>
      </c>
      <c r="P42" s="2" t="n">
        <v>0</v>
      </c>
      <c r="Q42" s="2" t="s">
        <v>3009</v>
      </c>
    </row>
    <row r="43" customFormat="false" ht="15" hidden="false" customHeight="false" outlineLevel="0" collapsed="false">
      <c r="A43" s="9" t="s">
        <v>3010</v>
      </c>
      <c r="B43" s="9" t="s">
        <v>2080</v>
      </c>
      <c r="C43" s="9" t="s">
        <v>68</v>
      </c>
      <c r="D43" s="9" t="n">
        <f aca="false">D42*(D$6&gt;=INP_011)</f>
        <v>0</v>
      </c>
      <c r="E43" s="9" t="n">
        <f aca="false">D43+E42*(E$6&gt;=INP_011)</f>
        <v>7.2</v>
      </c>
      <c r="F43" s="9" t="n">
        <f aca="false">E43+F42*(F$6&gt;=INP_011)</f>
        <v>22.22</v>
      </c>
      <c r="G43" s="9" t="n">
        <f aca="false">F43+G42*(G$6&gt;=INP_011)</f>
        <v>38</v>
      </c>
      <c r="H43" s="9" t="n">
        <f aca="false">G43+H42*(H$6&gt;=INP_011)</f>
        <v>38</v>
      </c>
      <c r="I43" s="9" t="n">
        <f aca="false">H43+I42*(I$6&gt;=INP_011)</f>
        <v>38</v>
      </c>
      <c r="K43" s="2" t="n">
        <v>0</v>
      </c>
      <c r="L43" s="2" t="n">
        <v>7.2</v>
      </c>
      <c r="M43" s="2" t="n">
        <v>22.22</v>
      </c>
      <c r="N43" s="2" t="n">
        <v>38</v>
      </c>
      <c r="O43" s="2" t="n">
        <v>38</v>
      </c>
      <c r="P43" s="2" t="n">
        <v>38</v>
      </c>
      <c r="Q43" s="2"/>
    </row>
    <row r="44" customFormat="false" ht="15" hidden="false" customHeight="false" outlineLevel="0" collapsed="false">
      <c r="A44" s="9" t="s">
        <v>3011</v>
      </c>
      <c r="B44" s="10" t="s">
        <v>3012</v>
      </c>
      <c r="C44" s="9" t="s">
        <v>68</v>
      </c>
      <c r="D44" s="9" t="n">
        <f aca="false">D8-D42</f>
        <v>10.456</v>
      </c>
      <c r="E44" s="9" t="n">
        <f aca="false">E8-E42</f>
        <v>28.8</v>
      </c>
      <c r="F44" s="9" t="n">
        <f aca="false">F8-F42</f>
        <v>60.08</v>
      </c>
      <c r="G44" s="9" t="n">
        <f aca="false">G8-G42</f>
        <v>125.72</v>
      </c>
      <c r="H44" s="9" t="n">
        <f aca="false">H8-H42</f>
        <v>237.4</v>
      </c>
      <c r="I44" s="9" t="n">
        <f aca="false">I8-I42</f>
        <v>350</v>
      </c>
      <c r="L44" s="2" t="n">
        <v>28.8</v>
      </c>
      <c r="M44" s="2" t="n">
        <v>60.08</v>
      </c>
      <c r="N44" s="2" t="n">
        <v>125.72</v>
      </c>
      <c r="O44" s="2" t="n">
        <v>237.4</v>
      </c>
      <c r="P44" s="2" t="n">
        <v>350</v>
      </c>
      <c r="Q44" s="2"/>
    </row>
    <row r="45" customFormat="false" ht="15" hidden="false" customHeight="false" outlineLevel="0" collapsed="false">
      <c r="A45" s="9" t="s">
        <v>3013</v>
      </c>
      <c r="B45" s="10" t="s">
        <v>3014</v>
      </c>
      <c r="C45" s="9" t="s">
        <v>68</v>
      </c>
      <c r="D45" s="13" t="n">
        <f aca="false">Cost!D27</f>
        <v>14.7552380952381</v>
      </c>
      <c r="E45" s="13" t="n">
        <f aca="false">Cost!E27</f>
        <v>53.2406349206349</v>
      </c>
      <c r="F45" s="13" t="n">
        <f aca="false">Cost!F27</f>
        <v>141.726031746032</v>
      </c>
      <c r="G45" s="13" t="n">
        <f aca="false">Cost!G27</f>
        <v>175.211428571429</v>
      </c>
      <c r="H45" s="13" t="n">
        <f aca="false">Cost!H27</f>
        <v>208.696825396825</v>
      </c>
      <c r="I45" s="13" t="n">
        <f aca="false">Cost!I27</f>
        <v>228.222222222222</v>
      </c>
      <c r="Q45" s="12" t="s">
        <v>3015</v>
      </c>
    </row>
    <row r="46" customFormat="false" ht="15" hidden="false" customHeight="false" outlineLevel="0" collapsed="false">
      <c r="A46" s="9" t="s">
        <v>3016</v>
      </c>
      <c r="B46" s="10" t="s">
        <v>3017</v>
      </c>
      <c r="C46" s="9" t="s">
        <v>68</v>
      </c>
      <c r="D46" s="13" t="n">
        <f aca="false">Cost!D59</f>
        <v>8.48</v>
      </c>
      <c r="E46" s="13" t="n">
        <f aca="false">Cost!E59</f>
        <v>13.53832</v>
      </c>
      <c r="F46" s="13" t="n">
        <f aca="false">Cost!F59</f>
        <v>18.12781048</v>
      </c>
      <c r="G46" s="13" t="n">
        <f aca="false">Cost!G59</f>
        <v>22.40597375328</v>
      </c>
      <c r="H46" s="13" t="n">
        <f aca="false">Cost!H59</f>
        <v>26.5398759107602</v>
      </c>
      <c r="I46" s="13" t="n">
        <f aca="false">Cost!I59</f>
        <v>30.0696794068913</v>
      </c>
      <c r="Q46" s="12" t="s">
        <v>3018</v>
      </c>
    </row>
    <row r="47" customFormat="false" ht="15" hidden="false" customHeight="false" outlineLevel="0" collapsed="false">
      <c r="A47" s="9" t="s">
        <v>3019</v>
      </c>
      <c r="B47" s="10" t="s">
        <v>3020</v>
      </c>
      <c r="C47" s="9" t="s">
        <v>68</v>
      </c>
      <c r="D47" s="9" t="n">
        <f aca="false">D44-D45-D46</f>
        <v>-12.7792380952381</v>
      </c>
      <c r="E47" s="9" t="n">
        <f aca="false">E44-E45-E46</f>
        <v>-37.9789549206349</v>
      </c>
      <c r="F47" s="9" t="n">
        <f aca="false">F44-F45-F46</f>
        <v>-99.7738422260318</v>
      </c>
      <c r="G47" s="9" t="n">
        <f aca="false">G44-G45-G46</f>
        <v>-71.8974023247086</v>
      </c>
      <c r="H47" s="9" t="n">
        <f aca="false">H44-H45-H46</f>
        <v>2.16329869241444</v>
      </c>
      <c r="I47" s="9" t="n">
        <f aca="false">I44-I45-I46</f>
        <v>91.7080983708865</v>
      </c>
      <c r="L47" s="2" t="n">
        <v>-36.3206349206349</v>
      </c>
      <c r="M47" s="2" t="n">
        <v>-101.547531746032</v>
      </c>
      <c r="N47" s="2" t="n">
        <v>-80.6214285714286</v>
      </c>
      <c r="O47" s="2" t="n">
        <v>-14.0288253968254</v>
      </c>
      <c r="P47" s="2" t="n">
        <v>72.7777777777778</v>
      </c>
      <c r="Q47" s="2"/>
    </row>
    <row r="48" customFormat="false" ht="15" hidden="false" customHeight="false" outlineLevel="0" collapsed="false">
      <c r="A48" s="9" t="s">
        <v>3021</v>
      </c>
      <c r="B48" s="10" t="s">
        <v>3022</v>
      </c>
      <c r="C48" s="9" t="s">
        <v>68</v>
      </c>
      <c r="D48" s="13" t="n">
        <f aca="false">Funding!D24</f>
        <v>0</v>
      </c>
      <c r="E48" s="13" t="n">
        <f aca="false">Funding!E24</f>
        <v>87</v>
      </c>
      <c r="F48" s="13" t="n">
        <f aca="false">Funding!F24</f>
        <v>0</v>
      </c>
      <c r="G48" s="13" t="n">
        <f aca="false">Funding!G24</f>
        <v>0</v>
      </c>
      <c r="H48" s="13" t="n">
        <f aca="false">Funding!H24</f>
        <v>0</v>
      </c>
      <c r="I48" s="13" t="n">
        <f aca="false">Funding!I24</f>
        <v>0</v>
      </c>
      <c r="L48" s="2" t="n">
        <v>87</v>
      </c>
      <c r="M48" s="2" t="n">
        <v>0</v>
      </c>
      <c r="N48" s="2" t="n">
        <v>0</v>
      </c>
      <c r="O48" s="2" t="n">
        <v>0</v>
      </c>
      <c r="P48" s="2" t="n">
        <v>0</v>
      </c>
      <c r="Q48" s="12" t="s">
        <v>3023</v>
      </c>
    </row>
    <row r="49" customFormat="false" ht="15" hidden="false" customHeight="false" outlineLevel="0" collapsed="false">
      <c r="A49" s="9" t="s">
        <v>3024</v>
      </c>
      <c r="B49" s="10" t="s">
        <v>3025</v>
      </c>
      <c r="C49" s="9" t="s">
        <v>68</v>
      </c>
      <c r="E49" s="9" t="n">
        <f aca="false">SRC_OAI_079</f>
        <v>40</v>
      </c>
      <c r="F49" s="9" t="n">
        <f aca="false">E52</f>
        <v>89.0210450793651</v>
      </c>
      <c r="G49" s="9" t="n">
        <f aca="false">F52</f>
        <v>10</v>
      </c>
      <c r="H49" s="9" t="n">
        <f aca="false">G52</f>
        <v>10</v>
      </c>
      <c r="I49" s="9" t="n">
        <f aca="false">H52</f>
        <v>12.1632986924144</v>
      </c>
      <c r="L49" s="2" t="n">
        <v>40</v>
      </c>
      <c r="M49" s="2" t="n">
        <v>90.6793650793651</v>
      </c>
      <c r="N49" s="2" t="n">
        <v>10</v>
      </c>
      <c r="O49" s="2" t="n">
        <v>10</v>
      </c>
      <c r="P49" s="2" t="n">
        <v>10</v>
      </c>
      <c r="Q49" s="2"/>
    </row>
    <row r="50" customFormat="false" ht="15" hidden="false" customHeight="false" outlineLevel="0" collapsed="false">
      <c r="A50" s="9" t="s">
        <v>3026</v>
      </c>
      <c r="B50" s="10" t="s">
        <v>3027</v>
      </c>
      <c r="C50" s="9" t="s">
        <v>68</v>
      </c>
      <c r="E50" s="9" t="n">
        <f aca="false">E49+E47+E48</f>
        <v>89.0210450793651</v>
      </c>
      <c r="F50" s="9" t="n">
        <f aca="false">F49+F47+F48</f>
        <v>-10.7527971466667</v>
      </c>
      <c r="G50" s="9" t="n">
        <f aca="false">G49+G47+G48</f>
        <v>-61.8974023247086</v>
      </c>
      <c r="H50" s="9" t="n">
        <f aca="false">H49+H47+H48</f>
        <v>12.1632986924144</v>
      </c>
      <c r="I50" s="9" t="n">
        <f aca="false">I49+I47+I48</f>
        <v>103.871397063301</v>
      </c>
      <c r="L50" s="2" t="n">
        <v>90.6793650793651</v>
      </c>
      <c r="M50" s="2" t="n">
        <v>-10.8681666666667</v>
      </c>
      <c r="N50" s="2" t="n">
        <v>-70.6214285714286</v>
      </c>
      <c r="O50" s="2" t="n">
        <v>-4.02882539682537</v>
      </c>
      <c r="P50" s="2" t="n">
        <v>82.7777777777778</v>
      </c>
      <c r="Q50" s="2"/>
    </row>
    <row r="51" customFormat="false" ht="15" hidden="false" customHeight="false" outlineLevel="0" collapsed="false">
      <c r="A51" s="9" t="s">
        <v>3028</v>
      </c>
      <c r="B51" s="10" t="s">
        <v>3029</v>
      </c>
      <c r="C51" s="9" t="s">
        <v>68</v>
      </c>
      <c r="E51" s="13" t="n">
        <f aca="false">(Funding!E26-E50)*(Funding!E26&gt;E50)</f>
        <v>-0</v>
      </c>
      <c r="F51" s="13" t="n">
        <f aca="false">(Funding!F26-F50)*(Funding!F26&gt;F50)</f>
        <v>20.7527971466667</v>
      </c>
      <c r="G51" s="13" t="n">
        <f aca="false">(Funding!G26-G50)*(Funding!G26&gt;G50)</f>
        <v>71.8974023247086</v>
      </c>
      <c r="H51" s="13" t="n">
        <f aca="false">(Funding!H26-H50)*(Funding!H26&gt;H50)</f>
        <v>-0</v>
      </c>
      <c r="I51" s="13" t="n">
        <f aca="false">(Funding!I26-I50)*(Funding!I26&gt;I50)</f>
        <v>-0</v>
      </c>
      <c r="L51" s="2" t="n">
        <v>0</v>
      </c>
      <c r="M51" s="2" t="n">
        <v>20.8681666666667</v>
      </c>
      <c r="N51" s="2" t="n">
        <v>80.6214285714286</v>
      </c>
      <c r="O51" s="2" t="n">
        <v>14.0288253968254</v>
      </c>
      <c r="P51" s="2" t="n">
        <v>0</v>
      </c>
      <c r="Q51" s="2"/>
    </row>
    <row r="52" customFormat="false" ht="15" hidden="false" customHeight="false" outlineLevel="0" collapsed="false">
      <c r="A52" s="9" t="s">
        <v>3030</v>
      </c>
      <c r="B52" s="10" t="s">
        <v>2881</v>
      </c>
      <c r="C52" s="9" t="s">
        <v>68</v>
      </c>
      <c r="D52" s="9" t="n">
        <f aca="false">SRC_OAI_079</f>
        <v>40</v>
      </c>
      <c r="E52" s="9" t="n">
        <f aca="false">E50+E51</f>
        <v>89.0210450793651</v>
      </c>
      <c r="F52" s="9" t="n">
        <f aca="false">F50+F51</f>
        <v>10</v>
      </c>
      <c r="G52" s="9" t="n">
        <f aca="false">G50+G51</f>
        <v>10</v>
      </c>
      <c r="H52" s="9" t="n">
        <f aca="false">H50+H51</f>
        <v>12.1632986924144</v>
      </c>
      <c r="I52" s="9" t="n">
        <f aca="false">I50+I51</f>
        <v>103.871397063301</v>
      </c>
      <c r="L52" s="2" t="n">
        <v>90.6793650793651</v>
      </c>
      <c r="M52" s="2" t="n">
        <v>10</v>
      </c>
      <c r="N52" s="2" t="n">
        <v>10</v>
      </c>
      <c r="O52" s="2" t="n">
        <v>10</v>
      </c>
      <c r="P52" s="2" t="n">
        <v>82.7777777777778</v>
      </c>
      <c r="Q52" s="2"/>
    </row>
    <row r="53" customFormat="false" ht="15" hidden="false" customHeight="false" outlineLevel="0" collapsed="false">
      <c r="A53" s="9" t="s">
        <v>3031</v>
      </c>
      <c r="B53" s="10" t="s">
        <v>3032</v>
      </c>
      <c r="C53" s="9" t="s">
        <v>68</v>
      </c>
      <c r="E53" s="9" t="n">
        <f aca="false">E51</f>
        <v>-0</v>
      </c>
      <c r="F53" s="9" t="n">
        <f aca="false">E53+F51</f>
        <v>20.7527971466667</v>
      </c>
      <c r="G53" s="9" t="n">
        <f aca="false">F53+G51</f>
        <v>92.6501994713753</v>
      </c>
      <c r="H53" s="9" t="n">
        <f aca="false">G53+H51</f>
        <v>92.6501994713753</v>
      </c>
      <c r="I53" s="9" t="n">
        <f aca="false">H53+I51</f>
        <v>92.6501994713753</v>
      </c>
      <c r="L53" s="2" t="n">
        <v>0</v>
      </c>
      <c r="M53" s="2" t="n">
        <v>20.8681666666667</v>
      </c>
      <c r="N53" s="2" t="n">
        <v>101.489595238095</v>
      </c>
      <c r="O53" s="2" t="n">
        <v>115.518420634921</v>
      </c>
      <c r="P53" s="2" t="n">
        <v>115.518420634921</v>
      </c>
      <c r="Q53" s="2"/>
    </row>
    <row r="54" customFormat="false" ht="15" hidden="false" customHeight="false" outlineLevel="0" collapsed="false">
      <c r="A54" s="9" t="s">
        <v>3033</v>
      </c>
      <c r="B54" s="10" t="s">
        <v>3034</v>
      </c>
      <c r="C54" s="9" t="s">
        <v>68</v>
      </c>
      <c r="D54" s="9" t="n">
        <f aca="false">D46*D8/D13</f>
        <v>8.48</v>
      </c>
      <c r="E54" s="9" t="n">
        <f aca="false">E46*E8/E13</f>
        <v>14.2492876408481</v>
      </c>
      <c r="F54" s="9" t="n">
        <f aca="false">F46*F8/F13</f>
        <v>24.845010262525</v>
      </c>
      <c r="G54" s="9" t="n">
        <f aca="false">G46*G8/G13</f>
        <v>40.4269316534078</v>
      </c>
      <c r="H54" s="9" t="n">
        <f aca="false">H46*H8/H13</f>
        <v>61.6932196624253</v>
      </c>
      <c r="I54" s="9" t="n">
        <f aca="false">I46*I8/I13</f>
        <v>83.2737003607426</v>
      </c>
      <c r="K54" s="2" t="n">
        <v>15.89312</v>
      </c>
      <c r="L54" s="2" t="n">
        <v>11.88</v>
      </c>
      <c r="M54" s="2" t="n">
        <v>19.9015</v>
      </c>
      <c r="N54" s="2" t="n">
        <v>31.13</v>
      </c>
      <c r="O54" s="2" t="n">
        <v>42.732</v>
      </c>
      <c r="P54" s="2" t="n">
        <v>49</v>
      </c>
      <c r="Q54" s="12" t="s">
        <v>3035</v>
      </c>
    </row>
    <row r="55" customFormat="false" ht="15" hidden="false" customHeight="false" outlineLevel="0" collapsed="false">
      <c r="A55" s="9" t="s">
        <v>3036</v>
      </c>
      <c r="B55" s="10" t="s">
        <v>3037</v>
      </c>
      <c r="C55" s="9" t="s">
        <v>68</v>
      </c>
      <c r="D55" s="9" t="n">
        <f aca="false">D46-D54</f>
        <v>0</v>
      </c>
      <c r="E55" s="9" t="n">
        <f aca="false">E46-E54</f>
        <v>-0.710967640848073</v>
      </c>
      <c r="F55" s="9" t="n">
        <f aca="false">F46-F54</f>
        <v>-6.71719978252501</v>
      </c>
      <c r="G55" s="9" t="n">
        <f aca="false">G46-G54</f>
        <v>-18.0209579001278</v>
      </c>
      <c r="H55" s="9" t="n">
        <f aca="false">H46-H54</f>
        <v>-35.1533437516651</v>
      </c>
      <c r="I55" s="9" t="n">
        <f aca="false">I46-I54</f>
        <v>-53.2040209538514</v>
      </c>
      <c r="Q55" s="2" t="s">
        <v>3038</v>
      </c>
    </row>
    <row r="56" customFormat="false" ht="15" hidden="false" customHeight="false" outlineLevel="0" collapsed="false">
      <c r="A56" s="14" t="s">
        <v>3039</v>
      </c>
    </row>
    <row r="57" customFormat="false" ht="15" hidden="false" customHeight="false" outlineLevel="0" collapsed="false">
      <c r="A57" s="9" t="s">
        <v>3040</v>
      </c>
      <c r="B57" s="10" t="s">
        <v>3041</v>
      </c>
      <c r="C57" s="9" t="s">
        <v>68</v>
      </c>
      <c r="D57" s="9" t="n">
        <f aca="false">SUM(E47:I47)</f>
        <v>-115.778802408074</v>
      </c>
      <c r="K57" s="2" t="n">
        <v>-159.740642857143</v>
      </c>
      <c r="Q57" s="12" t="s">
        <v>3042</v>
      </c>
    </row>
    <row r="58" customFormat="false" ht="15" hidden="false" customHeight="false" outlineLevel="0" collapsed="false">
      <c r="A58" s="9" t="s">
        <v>3043</v>
      </c>
      <c r="B58" s="10" t="s">
        <v>3044</v>
      </c>
      <c r="C58" s="9" t="s">
        <v>68</v>
      </c>
      <c r="D58" s="9" t="n">
        <f aca="false">SRC_OAI_054</f>
        <v>-278</v>
      </c>
      <c r="K58" s="2" t="n">
        <v>-278</v>
      </c>
      <c r="Q58" s="12" t="s">
        <v>3045</v>
      </c>
    </row>
    <row r="59" customFormat="false" ht="15" hidden="false" customHeight="false" outlineLevel="0" collapsed="false">
      <c r="A59" s="9" t="s">
        <v>3046</v>
      </c>
      <c r="B59" s="10" t="s">
        <v>3047</v>
      </c>
      <c r="C59" s="9" t="s">
        <v>68</v>
      </c>
      <c r="D59" s="9" t="n">
        <f aca="false">D57-D58</f>
        <v>162.221197591926</v>
      </c>
      <c r="K59" s="2" t="n">
        <v>118.259357142857</v>
      </c>
      <c r="Q59" s="2"/>
    </row>
    <row r="60" customFormat="false" ht="15" hidden="false" customHeight="false" outlineLevel="0" collapsed="false">
      <c r="A60" s="9" t="s">
        <v>3048</v>
      </c>
      <c r="B60" s="10" t="s">
        <v>3049</v>
      </c>
      <c r="C60" s="9" t="s">
        <v>68</v>
      </c>
      <c r="D60" s="13" t="n">
        <f aca="false">SRC_OAI_055-SUM(Cost!E27:I27)</f>
        <v>48.9028571428571</v>
      </c>
      <c r="K60" s="2" t="n">
        <v>48.9028571428571</v>
      </c>
      <c r="Q60" s="12" t="s">
        <v>3050</v>
      </c>
    </row>
    <row r="61" customFormat="false" ht="15" hidden="false" customHeight="false" outlineLevel="0" collapsed="false">
      <c r="A61" s="9" t="s">
        <v>3051</v>
      </c>
      <c r="B61" s="10" t="s">
        <v>3052</v>
      </c>
      <c r="C61" s="9" t="s">
        <v>68</v>
      </c>
      <c r="D61" s="9" t="n">
        <f aca="false">D59-D60</f>
        <v>113.318340449069</v>
      </c>
      <c r="K61" s="2" t="n">
        <v>69.3565000000001</v>
      </c>
      <c r="Q61" s="2"/>
    </row>
    <row r="62" customFormat="false" ht="15" hidden="false" customHeight="false" outlineLevel="0" collapsed="false">
      <c r="A62" s="9" t="s">
        <v>3053</v>
      </c>
      <c r="B62" s="10" t="s">
        <v>3054</v>
      </c>
      <c r="C62" s="9" t="s">
        <v>68</v>
      </c>
      <c r="D62" s="13" t="n">
        <f aca="false">SUM(Funding!E13:I13)</f>
        <v>-559.844811653528</v>
      </c>
      <c r="K62" s="2" t="n">
        <v>-543.227430574559</v>
      </c>
      <c r="Q62" s="12" t="s">
        <v>3055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8" min="4" style="0" width="15"/>
    <col collapsed="false" customWidth="true" hidden="false" outlineLevel="0" max="9" min="9" style="0" width="12"/>
    <col collapsed="false" customWidth="true" hidden="false" outlineLevel="0" max="10" min="10" style="0" width="90"/>
  </cols>
  <sheetData>
    <row r="1" customFormat="false" ht="20.1" hidden="false" customHeight="false" outlineLevel="0" collapsed="false">
      <c r="A1" s="1" t="s">
        <v>3056</v>
      </c>
    </row>
    <row r="2" customFormat="false" ht="15" hidden="false" customHeight="false" outlineLevel="0" collapsed="false">
      <c r="A2" s="2" t="s">
        <v>3057</v>
      </c>
    </row>
    <row r="3" customFormat="false" ht="15" hidden="false" customHeight="false" outlineLevel="0" collapsed="false">
      <c r="A3" s="12" t="s">
        <v>3058</v>
      </c>
    </row>
    <row r="5" customFormat="false" ht="15" hidden="false" customHeight="false" outlineLevel="0" collapsed="false">
      <c r="A5" s="8" t="s">
        <v>1793</v>
      </c>
      <c r="B5" s="8" t="s">
        <v>1794</v>
      </c>
      <c r="C5" s="8" t="s">
        <v>46</v>
      </c>
      <c r="D5" s="7" t="s">
        <v>3059</v>
      </c>
      <c r="E5" s="7" t="s">
        <v>3060</v>
      </c>
      <c r="F5" s="7" t="s">
        <v>3061</v>
      </c>
      <c r="G5" s="7" t="s">
        <v>3062</v>
      </c>
      <c r="H5" s="7" t="s">
        <v>3063</v>
      </c>
      <c r="I5" s="8"/>
      <c r="J5" s="8" t="s">
        <v>777</v>
      </c>
    </row>
    <row r="7" customFormat="false" ht="15" hidden="false" customHeight="false" outlineLevel="0" collapsed="false">
      <c r="A7" s="14" t="s">
        <v>3064</v>
      </c>
    </row>
    <row r="8" customFormat="false" ht="15" hidden="false" customHeight="false" outlineLevel="0" collapsed="false">
      <c r="B8" s="15" t="s">
        <v>3065</v>
      </c>
      <c r="D8" s="16" t="s">
        <v>3059</v>
      </c>
      <c r="E8" s="16" t="s">
        <v>3060</v>
      </c>
      <c r="F8" s="16" t="s">
        <v>3061</v>
      </c>
      <c r="G8" s="16" t="s">
        <v>3062</v>
      </c>
      <c r="H8" s="16" t="s">
        <v>3063</v>
      </c>
    </row>
    <row r="9" customFormat="false" ht="15" hidden="false" customHeight="false" outlineLevel="0" collapsed="false">
      <c r="B9" s="10" t="s">
        <v>1876</v>
      </c>
      <c r="D9" s="17" t="n">
        <f aca="false">D17</f>
        <v>2025</v>
      </c>
      <c r="E9" s="17" t="n">
        <f aca="false">E17</f>
        <v>2025</v>
      </c>
      <c r="F9" s="17" t="n">
        <f aca="false">F17</f>
        <v>2026</v>
      </c>
      <c r="G9" s="17" t="n">
        <f aca="false">G17</f>
        <v>2026</v>
      </c>
      <c r="H9" s="17" t="n">
        <f aca="false">H17</f>
        <v>2026</v>
      </c>
    </row>
    <row r="10" customFormat="false" ht="15" hidden="false" customHeight="false" outlineLevel="0" collapsed="false">
      <c r="B10" s="10" t="s">
        <v>3066</v>
      </c>
      <c r="D10" s="18" t="n">
        <f aca="false">D31</f>
        <v>1.12780698259266</v>
      </c>
      <c r="E10" s="18" t="n">
        <f aca="false">E31</f>
        <v>1.25</v>
      </c>
      <c r="F10" s="18" t="n">
        <f aca="false">F31</f>
        <v>2.5</v>
      </c>
      <c r="G10" s="18" t="n">
        <f aca="false">G31</f>
        <v>3</v>
      </c>
      <c r="H10" s="18" t="n">
        <f aca="false">H31</f>
        <v>3.5</v>
      </c>
    </row>
    <row r="11" customFormat="false" ht="15" hidden="false" customHeight="false" outlineLevel="0" collapsed="false">
      <c r="B11" s="3" t="s">
        <v>3067</v>
      </c>
      <c r="D11" s="19" t="n">
        <f aca="false">D49</f>
        <v>1.2390372618626</v>
      </c>
      <c r="E11" s="19" t="n">
        <f aca="false">E49</f>
        <v>1.11791590049691</v>
      </c>
      <c r="F11" s="19" t="n">
        <f aca="false">F49</f>
        <v>1.47004375661903</v>
      </c>
      <c r="G11" s="19" t="n">
        <f aca="false">G49</f>
        <v>1.22503646384919</v>
      </c>
      <c r="H11" s="19" t="n">
        <f aca="false">H49</f>
        <v>1.05003125472788</v>
      </c>
      <c r="J11" s="2" t="s">
        <v>3068</v>
      </c>
    </row>
    <row r="12" customFormat="false" ht="15" hidden="false" customHeight="false" outlineLevel="0" collapsed="false">
      <c r="B12" s="10" t="s">
        <v>3069</v>
      </c>
      <c r="D12" s="18" t="n">
        <f aca="false">D47</f>
        <v>1.67664594601773</v>
      </c>
      <c r="E12" s="18" t="n">
        <f aca="false">E47</f>
        <v>1.51274640420359</v>
      </c>
      <c r="F12" s="18" t="n">
        <f aca="false">F47</f>
        <v>0.900909280566142</v>
      </c>
      <c r="G12" s="18" t="n">
        <f aca="false">G47</f>
        <v>0.750757733805118</v>
      </c>
      <c r="H12" s="18" t="n">
        <f aca="false">H47</f>
        <v>0.643506628975816</v>
      </c>
    </row>
    <row r="13" customFormat="false" ht="15" hidden="false" customHeight="false" outlineLevel="0" collapsed="false">
      <c r="B13" s="10" t="s">
        <v>3070</v>
      </c>
      <c r="D13" s="18" t="n">
        <f aca="false">D48</f>
        <v>1.35318444216705</v>
      </c>
      <c r="E13" s="18" t="n">
        <f aca="false">E48</f>
        <v>1.35318444216705</v>
      </c>
      <c r="F13" s="18" t="n">
        <f aca="false">F48</f>
        <v>0.612845213967067</v>
      </c>
      <c r="G13" s="18" t="n">
        <f aca="false">G48</f>
        <v>0.612845213967067</v>
      </c>
      <c r="H13" s="18" t="n">
        <f aca="false">H48</f>
        <v>0.612845213967067</v>
      </c>
    </row>
    <row r="14" customFormat="false" ht="15" hidden="false" customHeight="false" outlineLevel="0" collapsed="false">
      <c r="B14" s="9" t="s">
        <v>3071</v>
      </c>
      <c r="D14" s="20" t="n">
        <f aca="false">(1-INP_276)*D11+INP_276*E11</f>
        <v>1.2390372618626</v>
      </c>
    </row>
    <row r="15" customFormat="false" ht="15" hidden="false" customHeight="false" outlineLevel="0" collapsed="false">
      <c r="B15" s="3" t="s">
        <v>3072</v>
      </c>
      <c r="D15" s="9" t="str">
        <f aca="false">"2026 年平均上線 "&amp;TEXT(G10,"0.0")&amp;" GW 時，營收 ÷ 算力成本為 "&amp;TEXT(G11,"0.00")&amp;"，"&amp;IF(G11&gt;=D14,"不低於 ","低於 ")&amp;"2025 年主值（"&amp;TEXT(D14,"0.00")&amp;"）；2026 平均上線 GW 低於約 "&amp;TEXT(G55,"0.00")&amp;" GW 時比值才高於 2025。"</f>
        <v>2026 年平均上線 3.0 GW 時，營收 ÷ 算力成本為 1.23，低於 2025 年主值（1.24）；2026 平均上線 GW 低於約 2.97 GW 時比值才高於 2025。</v>
      </c>
      <c r="J15" s="2" t="s">
        <v>3073</v>
      </c>
    </row>
    <row r="16" customFormat="false" ht="15" hidden="false" customHeight="false" outlineLevel="0" collapsed="false">
      <c r="A16" s="14" t="s">
        <v>3074</v>
      </c>
    </row>
    <row r="17" customFormat="false" ht="15" hidden="false" customHeight="false" outlineLevel="0" collapsed="false">
      <c r="A17" s="9" t="s">
        <v>2933</v>
      </c>
      <c r="B17" s="10" t="s">
        <v>1876</v>
      </c>
      <c r="C17" s="10" t="s">
        <v>152</v>
      </c>
      <c r="D17" s="9" t="n">
        <f aca="false">INP_005</f>
        <v>2025</v>
      </c>
      <c r="E17" s="9" t="n">
        <f aca="false">INP_005</f>
        <v>2025</v>
      </c>
      <c r="F17" s="9" t="n">
        <f aca="false">INP_006</f>
        <v>2026</v>
      </c>
      <c r="G17" s="9" t="n">
        <f aca="false">INP_006</f>
        <v>2026</v>
      </c>
      <c r="H17" s="9" t="n">
        <f aca="false">INP_006</f>
        <v>2026</v>
      </c>
      <c r="J17" s="12" t="s">
        <v>3075</v>
      </c>
    </row>
    <row r="18" customFormat="false" ht="15" hidden="false" customHeight="false" outlineLevel="0" collapsed="false">
      <c r="A18" s="9" t="s">
        <v>2936</v>
      </c>
      <c r="B18" s="10" t="s">
        <v>3076</v>
      </c>
      <c r="C18" s="10" t="s">
        <v>3077</v>
      </c>
      <c r="D18" s="9" t="n">
        <f aca="false">D17-INP_005+1</f>
        <v>1</v>
      </c>
      <c r="E18" s="9" t="n">
        <f aca="false">E17-INP_005+1</f>
        <v>1</v>
      </c>
      <c r="F18" s="9" t="n">
        <f aca="false">F17-INP_005+1</f>
        <v>2</v>
      </c>
      <c r="G18" s="9" t="n">
        <f aca="false">G17-INP_005+1</f>
        <v>2</v>
      </c>
      <c r="H18" s="9" t="n">
        <f aca="false">H17-INP_005+1</f>
        <v>2</v>
      </c>
      <c r="J18" s="2" t="s">
        <v>3078</v>
      </c>
    </row>
    <row r="19" customFormat="false" ht="15" hidden="false" customHeight="false" outlineLevel="0" collapsed="false">
      <c r="A19" s="9" t="s">
        <v>2939</v>
      </c>
      <c r="B19" s="10" t="s">
        <v>3066</v>
      </c>
      <c r="C19" s="9" t="s">
        <v>375</v>
      </c>
      <c r="D19" s="18" t="n">
        <f aca="false">(TKQ_SRC_DEM_009-TKQ_SRC_DEM_008)/LN(TKQ_SRC_DEM_009/TKQ_SRC_DEM_008)</f>
        <v>1.12780698259266</v>
      </c>
      <c r="E19" s="18" t="n">
        <f aca="false">AVERAGE(TKQ_SRC_DEM_008,TKQ_SRC_DEM_009)</f>
        <v>1.25</v>
      </c>
      <c r="F19" s="18" t="n">
        <f aca="false">INP_278</f>
        <v>2.5</v>
      </c>
      <c r="G19" s="18" t="n">
        <f aca="false">INP_277</f>
        <v>3</v>
      </c>
      <c r="H19" s="18" t="n">
        <f aca="false">INP_279</f>
        <v>3.5</v>
      </c>
      <c r="J19" s="12" t="s">
        <v>3079</v>
      </c>
    </row>
    <row r="20" customFormat="false" ht="15" hidden="false" customHeight="false" outlineLevel="0" collapsed="false">
      <c r="A20" s="9" t="s">
        <v>2942</v>
      </c>
      <c r="B20" s="10" t="s">
        <v>3080</v>
      </c>
      <c r="C20" s="9" t="s">
        <v>68</v>
      </c>
      <c r="D20" s="20" t="n">
        <f aca="false">SRC_OAI_002</f>
        <v>13.07</v>
      </c>
      <c r="E20" s="20" t="n">
        <f aca="false">SRC_OAI_002</f>
        <v>13.07</v>
      </c>
      <c r="F20" s="20" t="n">
        <f aca="false">SRC_OAI_043</f>
        <v>36</v>
      </c>
      <c r="G20" s="20" t="n">
        <f aca="false">SRC_OAI_043</f>
        <v>36</v>
      </c>
      <c r="H20" s="20" t="n">
        <f aca="false">SRC_OAI_043</f>
        <v>36</v>
      </c>
      <c r="J20" s="12" t="s">
        <v>3081</v>
      </c>
    </row>
    <row r="21" customFormat="false" ht="15" hidden="false" customHeight="false" outlineLevel="0" collapsed="false">
      <c r="A21" s="14" t="s">
        <v>3082</v>
      </c>
    </row>
    <row r="22" customFormat="false" ht="29.85" hidden="false" customHeight="false" outlineLevel="0" collapsed="false">
      <c r="B22" s="8" t="s">
        <v>765</v>
      </c>
      <c r="C22" s="7" t="s">
        <v>3083</v>
      </c>
      <c r="D22" s="8" t="s">
        <v>3084</v>
      </c>
      <c r="E22" s="8" t="s">
        <v>3085</v>
      </c>
      <c r="F22" s="8" t="s">
        <v>3086</v>
      </c>
      <c r="G22" s="8" t="s">
        <v>3087</v>
      </c>
      <c r="H22" s="8" t="s">
        <v>3088</v>
      </c>
    </row>
    <row r="23" customFormat="false" ht="15" hidden="false" customHeight="false" outlineLevel="0" collapsed="false">
      <c r="B23" s="10" t="s">
        <v>3089</v>
      </c>
      <c r="D23" s="10" t="s">
        <v>773</v>
      </c>
    </row>
    <row r="24" customFormat="false" ht="15" hidden="false" customHeight="false" outlineLevel="0" collapsed="false">
      <c r="A24" s="9" t="s">
        <v>2945</v>
      </c>
      <c r="B24" s="9" t="s">
        <v>2199</v>
      </c>
      <c r="C24" s="9" t="s">
        <v>766</v>
      </c>
      <c r="D24" s="18" t="n">
        <f aca="false">SUMIFS(TKQ_IF_HoldEcon,TKQ_HdrGen,$C24,TKQ_HdrCost,$D$23)</f>
        <v>9.70308728611469</v>
      </c>
      <c r="E24" s="21" t="n">
        <f aca="false">SUMIFS(TKQ_IF_TokGWPaidMix,TKQ_HdrGen,$C24,TKQ_HdrCost,$D$23)</f>
        <v>25658985091.4957</v>
      </c>
      <c r="F24" s="18" t="n">
        <f aca="false">TKQ_IF_ProdDerate</f>
        <v>0.85</v>
      </c>
      <c r="G24" s="18" t="n">
        <f aca="false">TKQ_IF_ProdDerate</f>
        <v>0.85</v>
      </c>
      <c r="H24" s="18" t="n">
        <f aca="false">(1-INP_287)*F24+INP_287*G24</f>
        <v>0.85</v>
      </c>
      <c r="J24" s="2"/>
    </row>
    <row r="25" customFormat="false" ht="15" hidden="false" customHeight="false" outlineLevel="0" collapsed="false">
      <c r="A25" s="9" t="s">
        <v>2948</v>
      </c>
      <c r="B25" s="9" t="s">
        <v>2206</v>
      </c>
      <c r="C25" s="9" t="s">
        <v>767</v>
      </c>
      <c r="D25" s="18" t="n">
        <f aca="false">SUMIFS(TKQ_IF_HoldEcon,TKQ_HdrGen,$C25,TKQ_HdrCost,$D$23)</f>
        <v>8.82816556596761</v>
      </c>
      <c r="E25" s="21" t="n">
        <f aca="false">SUMIFS(TKQ_IF_TokGWPaidMix,TKQ_HdrGen,$C25,TKQ_HdrCost,$D$23)</f>
        <v>126261198139.531</v>
      </c>
      <c r="F25" s="18" t="n">
        <f aca="false">TKQ_IF_ProdDerate</f>
        <v>0.85</v>
      </c>
      <c r="G25" s="18" t="n">
        <f aca="false">TKQ_IF_ProdDerate</f>
        <v>0.85</v>
      </c>
      <c r="H25" s="18" t="n">
        <f aca="false">(1-INP_287)*F25+INP_287*G25</f>
        <v>0.85</v>
      </c>
      <c r="J25" s="2"/>
    </row>
    <row r="26" customFormat="false" ht="15" hidden="false" customHeight="false" outlineLevel="0" collapsed="false">
      <c r="A26" s="9" t="s">
        <v>2950</v>
      </c>
      <c r="B26" s="9" t="s">
        <v>2209</v>
      </c>
      <c r="C26" s="9" t="s">
        <v>768</v>
      </c>
      <c r="D26" s="18" t="n">
        <f aca="false">SUMIFS(TKQ_IF_HoldEcon,TKQ_HdrGen,$C26,TKQ_HdrCost,$D$23)</f>
        <v>10.8864110021101</v>
      </c>
      <c r="E26" s="21" t="n">
        <f aca="false">SUMIFS(TKQ_IF_TokGWPaidMix,TKQ_HdrGen,$C26,TKQ_HdrCost,$D$23)</f>
        <v>154004682276.217</v>
      </c>
      <c r="F26" s="18" t="n">
        <f aca="false">TKQ_IF_ProdDerate</f>
        <v>0.85</v>
      </c>
      <c r="G26" s="18" t="n">
        <f aca="false">TKQ_IF_ProdDerate</f>
        <v>0.85</v>
      </c>
      <c r="H26" s="18" t="n">
        <f aca="false">(1-INP_287)*F26+INP_287*G26</f>
        <v>0.85</v>
      </c>
      <c r="J26" s="2"/>
    </row>
    <row r="27" customFormat="false" ht="15" hidden="false" customHeight="false" outlineLevel="0" collapsed="false">
      <c r="A27" s="9" t="s">
        <v>2952</v>
      </c>
      <c r="B27" s="9" t="s">
        <v>3090</v>
      </c>
      <c r="C27" s="9" t="s">
        <v>769</v>
      </c>
      <c r="D27" s="18" t="n">
        <f aca="false">SUMIFS(TKQ_IF_HoldEcon,TKQ_HdrGen,$C27,TKQ_HdrCost,$D$23)</f>
        <v>12.2254710045841</v>
      </c>
      <c r="E27" s="21" t="n">
        <f aca="false">SUMIFS(TKQ_IF_TokGWPaidMix,TKQ_HdrGen,$C27,TKQ_HdrCost,$D$23)</f>
        <v>253258912515.866</v>
      </c>
      <c r="F27" s="18" t="n">
        <f aca="false">TKQ_IF_FleetProdRatio_VR200</f>
        <v>0.805818389154781</v>
      </c>
      <c r="G27" s="18" t="n">
        <f aca="false">TKQ_IF_ProdDerate</f>
        <v>0.85</v>
      </c>
      <c r="H27" s="18" t="n">
        <f aca="false">(1-INP_287)*F27+INP_287*G27</f>
        <v>0.805818389154781</v>
      </c>
      <c r="J27" s="12" t="s">
        <v>3091</v>
      </c>
    </row>
    <row r="28" customFormat="false" ht="15" hidden="false" customHeight="false" outlineLevel="0" collapsed="false">
      <c r="A28" s="9" t="s">
        <v>2954</v>
      </c>
      <c r="B28" s="9" t="s">
        <v>3092</v>
      </c>
      <c r="C28" s="9" t="s">
        <v>770</v>
      </c>
      <c r="D28" s="18" t="n">
        <f aca="false">SUMIFS(TKQ_IF_HoldEcon,TKQ_HdrGen,$C28,TKQ_HdrCost,$D$23)</f>
        <v>15.3544827030524</v>
      </c>
      <c r="E28" s="21" t="n">
        <f aca="false">SUMIFS(TKQ_IF_TokGWPaidMix,TKQ_HdrGen,$C28,TKQ_HdrCost,$D$23)</f>
        <v>351710375477.503</v>
      </c>
      <c r="F28" s="18" t="n">
        <f aca="false">TKQ_IF_ProdDerate</f>
        <v>0.85</v>
      </c>
      <c r="G28" s="18" t="n">
        <f aca="false">TKQ_IF_ProdDerate</f>
        <v>0.85</v>
      </c>
      <c r="H28" s="18" t="n">
        <f aca="false">(1-INP_287)*F28+INP_287*G28</f>
        <v>0.85</v>
      </c>
      <c r="J28" s="2" t="s">
        <v>3093</v>
      </c>
    </row>
    <row r="29" customFormat="false" ht="15" hidden="false" customHeight="false" outlineLevel="0" collapsed="false">
      <c r="A29" s="9" t="s">
        <v>2956</v>
      </c>
      <c r="B29" s="10" t="s">
        <v>2217</v>
      </c>
      <c r="C29" s="10" t="s">
        <v>3094</v>
      </c>
      <c r="D29" s="18" t="n">
        <f aca="false">D27*INP_204</f>
        <v>7.33528260275046</v>
      </c>
      <c r="E29" s="21" t="n">
        <f aca="false">E27*INP_204</f>
        <v>151955347509.52</v>
      </c>
      <c r="F29" s="18" t="n">
        <f aca="false">TKQ_IF_ProdDerate</f>
        <v>0.85</v>
      </c>
      <c r="G29" s="18" t="n">
        <f aca="false">TKQ_IF_ProdDerate</f>
        <v>0.85</v>
      </c>
      <c r="H29" s="18" t="n">
        <f aca="false">(1-INP_287)*F29+INP_287*G29</f>
        <v>0.85</v>
      </c>
      <c r="J29" s="2" t="s">
        <v>3095</v>
      </c>
    </row>
    <row r="30" customFormat="false" ht="15" hidden="false" customHeight="false" outlineLevel="0" collapsed="false">
      <c r="A30" s="14" t="s">
        <v>3096</v>
      </c>
    </row>
    <row r="31" customFormat="false" ht="15" hidden="false" customHeight="false" outlineLevel="0" collapsed="false">
      <c r="A31" s="9" t="s">
        <v>2958</v>
      </c>
      <c r="B31" s="10" t="s">
        <v>3066</v>
      </c>
      <c r="C31" s="9" t="s">
        <v>375</v>
      </c>
      <c r="D31" s="18" t="n">
        <f aca="false">D19</f>
        <v>1.12780698259266</v>
      </c>
      <c r="E31" s="18" t="n">
        <f aca="false">E19</f>
        <v>1.25</v>
      </c>
      <c r="F31" s="18" t="n">
        <f aca="false">F19</f>
        <v>2.5</v>
      </c>
      <c r="G31" s="18" t="n">
        <f aca="false">G19</f>
        <v>3</v>
      </c>
      <c r="H31" s="18" t="n">
        <f aca="false">H19</f>
        <v>3.5</v>
      </c>
      <c r="J31" s="2"/>
    </row>
    <row r="32" customFormat="false" ht="15" hidden="false" customHeight="false" outlineLevel="0" collapsed="false">
      <c r="A32" s="9" t="s">
        <v>2962</v>
      </c>
      <c r="B32" s="10" t="s">
        <v>3097</v>
      </c>
      <c r="C32" s="10" t="s">
        <v>120</v>
      </c>
      <c r="D32" s="22" t="n">
        <f aca="false">INDEX(CMP_Share_Hopper,D$18)</f>
        <v>0.6</v>
      </c>
      <c r="E32" s="22" t="n">
        <f aca="false">INDEX(CMP_Share_Hopper,E$18)</f>
        <v>0.6</v>
      </c>
      <c r="F32" s="22" t="n">
        <f aca="false">(1-INP_280)*INDEX(CMP_Share_Hopper,F$18)+INP_280*INP_281</f>
        <v>0.35</v>
      </c>
      <c r="G32" s="22" t="n">
        <f aca="false">(1-INP_280)*INDEX(CMP_Share_Hopper,G$18)+INP_280*INP_281</f>
        <v>0.35</v>
      </c>
      <c r="H32" s="22" t="n">
        <f aca="false">(1-INP_280)*INDEX(CMP_Share_Hopper,H$18)+INP_280*INP_281</f>
        <v>0.35</v>
      </c>
      <c r="J32" s="2"/>
    </row>
    <row r="33" customFormat="false" ht="15" hidden="false" customHeight="false" outlineLevel="0" collapsed="false">
      <c r="A33" s="9" t="s">
        <v>2964</v>
      </c>
      <c r="B33" s="10" t="s">
        <v>3098</v>
      </c>
      <c r="C33" s="10" t="s">
        <v>120</v>
      </c>
      <c r="D33" s="22" t="n">
        <f aca="false">INDEX(CMP_Share_GB200,D$18)</f>
        <v>0.4</v>
      </c>
      <c r="E33" s="22" t="n">
        <f aca="false">INDEX(CMP_Share_GB200,E$18)</f>
        <v>0.4</v>
      </c>
      <c r="F33" s="22" t="n">
        <f aca="false">(1-INP_280)*INDEX(CMP_Share_GB200,F$18)+INP_280*INP_282</f>
        <v>0.275</v>
      </c>
      <c r="G33" s="22" t="n">
        <f aca="false">(1-INP_280)*INDEX(CMP_Share_GB200,G$18)+INP_280*INP_282</f>
        <v>0.275</v>
      </c>
      <c r="H33" s="22" t="n">
        <f aca="false">(1-INP_280)*INDEX(CMP_Share_GB200,H$18)+INP_280*INP_282</f>
        <v>0.275</v>
      </c>
      <c r="J33" s="2"/>
    </row>
    <row r="34" customFormat="false" ht="15" hidden="false" customHeight="false" outlineLevel="0" collapsed="false">
      <c r="A34" s="9" t="s">
        <v>2966</v>
      </c>
      <c r="B34" s="10" t="s">
        <v>3099</v>
      </c>
      <c r="C34" s="10" t="s">
        <v>120</v>
      </c>
      <c r="D34" s="22" t="n">
        <f aca="false">INDEX(CMP_Share_GB300,D$18)</f>
        <v>0</v>
      </c>
      <c r="E34" s="22" t="n">
        <f aca="false">INDEX(CMP_Share_GB300,E$18)</f>
        <v>0</v>
      </c>
      <c r="F34" s="22" t="n">
        <f aca="false">(1-INP_280)*INDEX(CMP_Share_GB300,F$18)+INP_280*INP_283</f>
        <v>0.275</v>
      </c>
      <c r="G34" s="22" t="n">
        <f aca="false">(1-INP_280)*INDEX(CMP_Share_GB300,G$18)+INP_280*INP_283</f>
        <v>0.275</v>
      </c>
      <c r="H34" s="22" t="n">
        <f aca="false">(1-INP_280)*INDEX(CMP_Share_GB300,H$18)+INP_280*INP_283</f>
        <v>0.275</v>
      </c>
      <c r="J34" s="2"/>
    </row>
    <row r="35" customFormat="false" ht="15" hidden="false" customHeight="false" outlineLevel="0" collapsed="false">
      <c r="A35" s="9" t="s">
        <v>2968</v>
      </c>
      <c r="B35" s="10" t="s">
        <v>3100</v>
      </c>
      <c r="C35" s="10" t="s">
        <v>120</v>
      </c>
      <c r="D35" s="22" t="n">
        <f aca="false">INDEX(CMP_Share_VR200,D$18)</f>
        <v>0</v>
      </c>
      <c r="E35" s="22" t="n">
        <f aca="false">INDEX(CMP_Share_VR200,E$18)</f>
        <v>0</v>
      </c>
      <c r="F35" s="22" t="n">
        <f aca="false">(1-INP_280)*INDEX(CMP_Share_VR200,F$18)+INP_280*INP_284</f>
        <v>0.05</v>
      </c>
      <c r="G35" s="22" t="n">
        <f aca="false">(1-INP_280)*INDEX(CMP_Share_VR200,G$18)+INP_280*INP_284</f>
        <v>0.05</v>
      </c>
      <c r="H35" s="22" t="n">
        <f aca="false">(1-INP_280)*INDEX(CMP_Share_VR200,H$18)+INP_280*INP_284</f>
        <v>0.05</v>
      </c>
      <c r="J35" s="2"/>
    </row>
    <row r="36" customFormat="false" ht="15" hidden="false" customHeight="false" outlineLevel="0" collapsed="false">
      <c r="A36" s="9" t="s">
        <v>2972</v>
      </c>
      <c r="B36" s="10" t="s">
        <v>3101</v>
      </c>
      <c r="C36" s="10" t="s">
        <v>120</v>
      </c>
      <c r="D36" s="22" t="n">
        <f aca="false">INDEX(CMP_Share_RubinUltra,D$18)</f>
        <v>0</v>
      </c>
      <c r="E36" s="22" t="n">
        <f aca="false">INDEX(CMP_Share_RubinUltra,E$18)</f>
        <v>0</v>
      </c>
      <c r="F36" s="22" t="n">
        <f aca="false">(1-INP_280)*INDEX(CMP_Share_RubinUltra,F$18)+INP_280*INP_285</f>
        <v>0</v>
      </c>
      <c r="G36" s="22" t="n">
        <f aca="false">(1-INP_280)*INDEX(CMP_Share_RubinUltra,G$18)+INP_280*INP_285</f>
        <v>0</v>
      </c>
      <c r="H36" s="22" t="n">
        <f aca="false">(1-INP_280)*INDEX(CMP_Share_RubinUltra,H$18)+INP_280*INP_285</f>
        <v>0</v>
      </c>
      <c r="J36" s="2"/>
    </row>
    <row r="37" customFormat="false" ht="15" hidden="false" customHeight="false" outlineLevel="0" collapsed="false">
      <c r="A37" s="9" t="s">
        <v>2975</v>
      </c>
      <c r="B37" s="10" t="s">
        <v>3102</v>
      </c>
      <c r="C37" s="10" t="s">
        <v>120</v>
      </c>
      <c r="D37" s="22" t="n">
        <f aca="false">INDEX(CMP_Share_Custom,D$18)</f>
        <v>0</v>
      </c>
      <c r="E37" s="22" t="n">
        <f aca="false">INDEX(CMP_Share_Custom,E$18)</f>
        <v>0</v>
      </c>
      <c r="F37" s="22" t="n">
        <f aca="false">(1-INP_280)*INDEX(CMP_Share_Custom,F$18)+INP_280*INP_286</f>
        <v>0.05</v>
      </c>
      <c r="G37" s="22" t="n">
        <f aca="false">(1-INP_280)*INDEX(CMP_Share_Custom,G$18)+INP_280*INP_286</f>
        <v>0.05</v>
      </c>
      <c r="H37" s="22" t="n">
        <f aca="false">(1-INP_280)*INDEX(CMP_Share_Custom,H$18)+INP_280*INP_286</f>
        <v>0.05</v>
      </c>
      <c r="J37" s="2"/>
    </row>
    <row r="38" customFormat="false" ht="15" hidden="false" customHeight="false" outlineLevel="0" collapsed="false">
      <c r="A38" s="9" t="s">
        <v>2977</v>
      </c>
      <c r="B38" s="10" t="s">
        <v>3103</v>
      </c>
      <c r="C38" s="10" t="s">
        <v>120</v>
      </c>
      <c r="D38" s="22" t="n">
        <f aca="false">SUM(D32:D37)</f>
        <v>1</v>
      </c>
      <c r="E38" s="22" t="n">
        <f aca="false">SUM(E32:E37)</f>
        <v>1</v>
      </c>
      <c r="F38" s="22" t="n">
        <f aca="false">SUM(F32:F37)</f>
        <v>1</v>
      </c>
      <c r="G38" s="22" t="n">
        <f aca="false">SUM(G32:G37)</f>
        <v>1</v>
      </c>
      <c r="H38" s="22" t="n">
        <f aca="false">SUM(H32:H37)</f>
        <v>1</v>
      </c>
      <c r="J38" s="12" t="s">
        <v>3104</v>
      </c>
    </row>
    <row r="39" customFormat="false" ht="15" hidden="false" customHeight="false" outlineLevel="0" collapsed="false">
      <c r="A39" s="9" t="s">
        <v>2979</v>
      </c>
      <c r="B39" s="10" t="s">
        <v>3105</v>
      </c>
      <c r="C39" s="9" t="s">
        <v>1566</v>
      </c>
      <c r="D39" s="18" t="n">
        <f aca="false">SUMPRODUCT(D32:D37,$D$24:$D$29)</f>
        <v>9.35311859805586</v>
      </c>
      <c r="E39" s="18" t="n">
        <f aca="false">SUMPRODUCT(E32:E37,$D$24:$D$29)</f>
        <v>9.35311859805586</v>
      </c>
      <c r="F39" s="18" t="n">
        <f aca="false">SUMPRODUCT(F32:F37,$D$24:$D$29)</f>
        <v>9.79562678672824</v>
      </c>
      <c r="G39" s="18" t="n">
        <f aca="false">SUMPRODUCT(G32:G37,$D$24:$D$29)</f>
        <v>9.79562678672824</v>
      </c>
      <c r="H39" s="18" t="n">
        <f aca="false">SUMPRODUCT(H32:H37,$D$24:$D$29)</f>
        <v>9.79562678672824</v>
      </c>
      <c r="J39" s="12" t="s">
        <v>3106</v>
      </c>
    </row>
    <row r="40" customFormat="false" ht="15" hidden="false" customHeight="false" outlineLevel="0" collapsed="false">
      <c r="A40" s="9" t="s">
        <v>2982</v>
      </c>
      <c r="B40" s="10" t="s">
        <v>3107</v>
      </c>
      <c r="C40" s="9" t="s">
        <v>68</v>
      </c>
      <c r="D40" s="20" t="n">
        <f aca="false">D31*D39</f>
        <v>10.5485124639047</v>
      </c>
      <c r="E40" s="20" t="n">
        <f aca="false">E31*E39</f>
        <v>11.6913982475698</v>
      </c>
      <c r="F40" s="20" t="n">
        <f aca="false">F31*F39</f>
        <v>24.4890669668206</v>
      </c>
      <c r="G40" s="20" t="n">
        <f aca="false">G31*G39</f>
        <v>29.3868803601847</v>
      </c>
      <c r="H40" s="20" t="n">
        <f aca="false">H31*H39</f>
        <v>34.2846937535488</v>
      </c>
      <c r="J40" s="2" t="s">
        <v>3108</v>
      </c>
    </row>
    <row r="41" customFormat="false" ht="15" hidden="false" customHeight="false" outlineLevel="0" collapsed="false">
      <c r="A41" s="9" t="s">
        <v>2985</v>
      </c>
      <c r="B41" s="10" t="s">
        <v>3109</v>
      </c>
      <c r="C41" s="9" t="s">
        <v>981</v>
      </c>
      <c r="D41" s="21" t="n">
        <f aca="false">SUMPRODUCT(D32:D37,$E$24:$E$29,$H$24:$H$29)</f>
        <v>56014889764.1034</v>
      </c>
      <c r="E41" s="21" t="n">
        <f aca="false">SUMPRODUCT(E32:E37,$E$24:$E$29,$H$24:$H$29)</f>
        <v>56014889764.1034</v>
      </c>
      <c r="F41" s="21" t="n">
        <f aca="false">SUMPRODUCT(F32:F37,$E$24:$E$29,$H$24:$H$29)</f>
        <v>89807834327.187</v>
      </c>
      <c r="G41" s="21" t="n">
        <f aca="false">SUMPRODUCT(G32:G37,$E$24:$E$29,$H$24:$H$29)</f>
        <v>89807834327.187</v>
      </c>
      <c r="H41" s="21" t="n">
        <f aca="false">SUMPRODUCT(H32:H37,$E$24:$E$29,$H$24:$H$29)</f>
        <v>89807834327.187</v>
      </c>
      <c r="J41" s="12" t="s">
        <v>3110</v>
      </c>
    </row>
    <row r="42" customFormat="false" ht="15" hidden="false" customHeight="false" outlineLevel="0" collapsed="false">
      <c r="A42" s="9" t="s">
        <v>2989</v>
      </c>
      <c r="B42" s="9" t="s">
        <v>3111</v>
      </c>
      <c r="C42" s="9" t="s">
        <v>798</v>
      </c>
      <c r="D42" s="21" t="n">
        <f aca="false">D31*TKQ_IF_ServeShare*(1-TKQ_IF_FreeShare)*D41*TKQ_IF_UtilActual</f>
        <v>5734555205.92542</v>
      </c>
      <c r="E42" s="21" t="n">
        <f aca="false">E31*TKQ_IF_ServeShare*(1-TKQ_IF_FreeShare)*E41*TKQ_IF_UtilActual</f>
        <v>6355869504.3084</v>
      </c>
      <c r="F42" s="21" t="n">
        <f aca="false">F31*TKQ_IF_ServeShare*(1-TKQ_IF_FreeShare)*F41*TKQ_IF_UtilActual</f>
        <v>20380540883.0402</v>
      </c>
      <c r="G42" s="21" t="n">
        <f aca="false">G31*TKQ_IF_ServeShare*(1-TKQ_IF_FreeShare)*G41*TKQ_IF_UtilActual</f>
        <v>24456649059.6482</v>
      </c>
      <c r="H42" s="21" t="n">
        <f aca="false">H31*TKQ_IF_ServeShare*(1-TKQ_IF_FreeShare)*H41*TKQ_IF_UtilActual</f>
        <v>28532757236.2563</v>
      </c>
      <c r="J42" s="12" t="s">
        <v>3112</v>
      </c>
    </row>
    <row r="43" customFormat="false" ht="15" hidden="false" customHeight="false" outlineLevel="0" collapsed="false">
      <c r="A43" s="9" t="s">
        <v>2991</v>
      </c>
      <c r="B43" s="9" t="s">
        <v>3113</v>
      </c>
      <c r="C43" s="9" t="s">
        <v>3114</v>
      </c>
      <c r="D43" s="23" t="n">
        <f aca="false">D42/INP_254</f>
        <v>5734.55520592542</v>
      </c>
      <c r="E43" s="23" t="n">
        <f aca="false">E42/INP_254</f>
        <v>6355.8695043084</v>
      </c>
      <c r="F43" s="23" t="n">
        <f aca="false">F42/INP_254</f>
        <v>20380.5408830402</v>
      </c>
      <c r="G43" s="23" t="n">
        <f aca="false">G42/INP_254</f>
        <v>24456.6490596482</v>
      </c>
      <c r="H43" s="23" t="n">
        <f aca="false">H42/INP_254</f>
        <v>28532.7572362563</v>
      </c>
      <c r="J43" s="2" t="s">
        <v>3115</v>
      </c>
    </row>
    <row r="44" customFormat="false" ht="15" hidden="false" customHeight="false" outlineLevel="0" collapsed="false">
      <c r="A44" s="9" t="s">
        <v>2993</v>
      </c>
      <c r="B44" s="10" t="s">
        <v>3116</v>
      </c>
      <c r="C44" s="9" t="s">
        <v>3117</v>
      </c>
      <c r="D44" s="18" t="n">
        <f aca="false">TKQ_IF_PxEffMix25</f>
        <v>1.35936</v>
      </c>
      <c r="E44" s="18" t="n">
        <f aca="false">TKQ_IF_PxEffMix25</f>
        <v>1.35936</v>
      </c>
      <c r="F44" s="18" t="n">
        <f aca="false">TKQ_IF_PxEffMix</f>
        <v>1.96067555555556</v>
      </c>
      <c r="G44" s="18" t="n">
        <f aca="false">TKQ_IF_PxEffMix</f>
        <v>1.96067555555556</v>
      </c>
      <c r="H44" s="18" t="n">
        <f aca="false">TKQ_IF_PxEffMix</f>
        <v>1.96067555555556</v>
      </c>
      <c r="J44" s="12" t="s">
        <v>3118</v>
      </c>
    </row>
    <row r="45" customFormat="false" ht="15" hidden="false" customHeight="false" outlineLevel="0" collapsed="false">
      <c r="A45" s="9" t="s">
        <v>2996</v>
      </c>
      <c r="B45" s="10" t="s">
        <v>3119</v>
      </c>
      <c r="C45" s="9" t="s">
        <v>3117</v>
      </c>
      <c r="D45" s="18" t="n">
        <f aca="false">D44/(1-TKQ_IF_Disc)</f>
        <v>1.6992</v>
      </c>
      <c r="E45" s="18" t="n">
        <f aca="false">E44/(1-TKQ_IF_Disc)</f>
        <v>1.6992</v>
      </c>
      <c r="F45" s="18" t="n">
        <f aca="false">F44/(1-TKQ_IF_Disc)</f>
        <v>2.45084444444445</v>
      </c>
      <c r="G45" s="18" t="n">
        <f aca="false">G44/(1-TKQ_IF_Disc)</f>
        <v>2.45084444444445</v>
      </c>
      <c r="H45" s="18" t="n">
        <f aca="false">H44/(1-TKQ_IF_Disc)</f>
        <v>2.45084444444445</v>
      </c>
      <c r="J45" s="12" t="s">
        <v>3120</v>
      </c>
    </row>
    <row r="46" customFormat="false" ht="15" hidden="false" customHeight="false" outlineLevel="0" collapsed="false">
      <c r="A46" s="9" t="s">
        <v>2998</v>
      </c>
      <c r="B46" s="10" t="s">
        <v>3121</v>
      </c>
      <c r="C46" s="9" t="s">
        <v>68</v>
      </c>
      <c r="D46" s="20" t="n">
        <f aca="false">D20</f>
        <v>13.07</v>
      </c>
      <c r="E46" s="20" t="n">
        <f aca="false">E20</f>
        <v>13.07</v>
      </c>
      <c r="F46" s="20" t="n">
        <f aca="false">F20</f>
        <v>36</v>
      </c>
      <c r="G46" s="20" t="n">
        <f aca="false">G20</f>
        <v>36</v>
      </c>
      <c r="H46" s="20" t="n">
        <f aca="false">H20</f>
        <v>36</v>
      </c>
      <c r="J46" s="2"/>
    </row>
    <row r="47" customFormat="false" ht="15" hidden="false" customHeight="false" outlineLevel="0" collapsed="false">
      <c r="A47" s="9" t="s">
        <v>3000</v>
      </c>
      <c r="B47" s="10" t="s">
        <v>3122</v>
      </c>
      <c r="C47" s="10" t="s">
        <v>560</v>
      </c>
      <c r="D47" s="18" t="n">
        <f aca="false">D46*INP_270/(D42*D44)</f>
        <v>1.67664594601773</v>
      </c>
      <c r="E47" s="18" t="n">
        <f aca="false">E46*INP_270/(E42*E44)</f>
        <v>1.51274640420359</v>
      </c>
      <c r="F47" s="18" t="n">
        <f aca="false">F46*INP_270/(F42*F44)</f>
        <v>0.900909280566142</v>
      </c>
      <c r="G47" s="18" t="n">
        <f aca="false">G46*INP_270/(G42*G44)</f>
        <v>0.750757733805118</v>
      </c>
      <c r="H47" s="18" t="n">
        <f aca="false">H46*INP_270/(H42*H44)</f>
        <v>0.643506628975816</v>
      </c>
      <c r="J47" s="12" t="s">
        <v>3123</v>
      </c>
    </row>
    <row r="48" customFormat="false" ht="15" hidden="false" customHeight="false" outlineLevel="0" collapsed="false">
      <c r="A48" s="9" t="s">
        <v>3002</v>
      </c>
      <c r="B48" s="10" t="s">
        <v>3124</v>
      </c>
      <c r="C48" s="10" t="s">
        <v>560</v>
      </c>
      <c r="D48" s="18" t="n">
        <f aca="false">D40*INP_270/(D42*D44)</f>
        <v>1.35318444216705</v>
      </c>
      <c r="E48" s="18" t="n">
        <f aca="false">E40*INP_270/(E42*E44)</f>
        <v>1.35318444216705</v>
      </c>
      <c r="F48" s="18" t="n">
        <f aca="false">F40*INP_270/(F42*F44)</f>
        <v>0.612845213967067</v>
      </c>
      <c r="G48" s="18" t="n">
        <f aca="false">G40*INP_270/(G42*G44)</f>
        <v>0.612845213967067</v>
      </c>
      <c r="H48" s="18" t="n">
        <f aca="false">H40*INP_270/(H42*H44)</f>
        <v>0.612845213967067</v>
      </c>
      <c r="J48" s="2" t="s">
        <v>3125</v>
      </c>
    </row>
    <row r="49" customFormat="false" ht="15" hidden="false" customHeight="false" outlineLevel="0" collapsed="false">
      <c r="A49" s="9" t="s">
        <v>3004</v>
      </c>
      <c r="B49" s="10" t="s">
        <v>3126</v>
      </c>
      <c r="C49" s="10" t="s">
        <v>560</v>
      </c>
      <c r="D49" s="18" t="n">
        <f aca="false">D47/D48</f>
        <v>1.2390372618626</v>
      </c>
      <c r="E49" s="18" t="n">
        <f aca="false">E47/E48</f>
        <v>1.11791590049691</v>
      </c>
      <c r="F49" s="18" t="n">
        <f aca="false">F47/F48</f>
        <v>1.47004375661903</v>
      </c>
      <c r="G49" s="18" t="n">
        <f aca="false">G47/G48</f>
        <v>1.22503646384919</v>
      </c>
      <c r="H49" s="18" t="n">
        <f aca="false">H47/H48</f>
        <v>1.05003125472788</v>
      </c>
      <c r="J49" s="2" t="s">
        <v>3127</v>
      </c>
    </row>
    <row r="50" customFormat="false" ht="15" hidden="false" customHeight="false" outlineLevel="0" collapsed="false">
      <c r="A50" s="9" t="s">
        <v>3007</v>
      </c>
      <c r="B50" s="10" t="s">
        <v>3128</v>
      </c>
      <c r="C50" s="10" t="s">
        <v>560</v>
      </c>
      <c r="D50" s="24" t="n">
        <f aca="false">D49-D46/D40</f>
        <v>0</v>
      </c>
      <c r="E50" s="24" t="n">
        <f aca="false">E49-E46/E40</f>
        <v>0</v>
      </c>
      <c r="F50" s="24" t="n">
        <f aca="false">F49-F46/F40</f>
        <v>0</v>
      </c>
      <c r="G50" s="24" t="n">
        <f aca="false">G49-G46/G40</f>
        <v>0</v>
      </c>
      <c r="H50" s="24" t="n">
        <f aca="false">H49-H46/H40</f>
        <v>0</v>
      </c>
      <c r="J50" s="12" t="s">
        <v>3104</v>
      </c>
    </row>
    <row r="51" customFormat="false" ht="15" hidden="false" customHeight="false" outlineLevel="0" collapsed="false">
      <c r="A51" s="9" t="s">
        <v>3010</v>
      </c>
      <c r="B51" s="10" t="s">
        <v>3129</v>
      </c>
      <c r="C51" s="10" t="s">
        <v>560</v>
      </c>
      <c r="D51" s="18" t="n">
        <f aca="false">D47/TKQ_IF_LTotalFleetVDisc</f>
        <v>2.2101971347372</v>
      </c>
      <c r="E51" s="18" t="n">
        <f aca="false">E47/TKQ_IF_LTotalFleetVDisc</f>
        <v>1.99414060917033</v>
      </c>
      <c r="F51" s="18" t="n">
        <f aca="false">F47/TKQ_IF_LTotalFleetVDisc</f>
        <v>1.18760142252739</v>
      </c>
      <c r="G51" s="18" t="n">
        <f aca="false">G47/TKQ_IF_LTotalFleetVDisc</f>
        <v>0.989667852106154</v>
      </c>
      <c r="H51" s="18" t="n">
        <f aca="false">H47/TKQ_IF_LTotalFleetVDisc</f>
        <v>0.848286730376704</v>
      </c>
      <c r="J51" s="2" t="s">
        <v>3130</v>
      </c>
    </row>
    <row r="52" customFormat="false" ht="15" hidden="false" customHeight="false" outlineLevel="0" collapsed="false">
      <c r="A52" s="9" t="s">
        <v>3011</v>
      </c>
      <c r="B52" s="10" t="s">
        <v>3131</v>
      </c>
      <c r="C52" s="10" t="s">
        <v>560</v>
      </c>
      <c r="D52" s="18" t="n">
        <f aca="false">D47/TKQ_IF_LTotalDisc</f>
        <v>2.39916874522815</v>
      </c>
      <c r="E52" s="18" t="n">
        <f aca="false">E47/TKQ_IF_LTotalDisc</f>
        <v>2.16463941062911</v>
      </c>
      <c r="F52" s="18" t="n">
        <f aca="false">F47/TKQ_IF_LTotalDisc</f>
        <v>1.28914121276109</v>
      </c>
      <c r="G52" s="18" t="n">
        <f aca="false">G47/TKQ_IF_LTotalDisc</f>
        <v>1.07428434396758</v>
      </c>
      <c r="H52" s="18" t="n">
        <f aca="false">H47/TKQ_IF_LTotalDisc</f>
        <v>0.920815151972208</v>
      </c>
      <c r="J52" s="2" t="s">
        <v>3132</v>
      </c>
    </row>
    <row r="53" customFormat="false" ht="15" hidden="false" customHeight="false" outlineLevel="0" collapsed="false">
      <c r="A53" s="9" t="s">
        <v>3013</v>
      </c>
      <c r="B53" s="10" t="s">
        <v>3133</v>
      </c>
      <c r="C53" s="9" t="s">
        <v>375</v>
      </c>
      <c r="F53" s="18" t="n">
        <f aca="false">F46/(F39*$D49)</f>
        <v>2.96610078216931</v>
      </c>
      <c r="G53" s="18" t="n">
        <f aca="false">G46/(G39*$D49)</f>
        <v>2.96610078216931</v>
      </c>
      <c r="H53" s="18" t="n">
        <f aca="false">H46/(H39*$D49)</f>
        <v>2.96610078216931</v>
      </c>
      <c r="J53" s="2"/>
    </row>
    <row r="54" customFormat="false" ht="15" hidden="false" customHeight="false" outlineLevel="0" collapsed="false">
      <c r="A54" s="9" t="s">
        <v>3016</v>
      </c>
      <c r="B54" s="10" t="s">
        <v>3134</v>
      </c>
      <c r="C54" s="9" t="s">
        <v>375</v>
      </c>
      <c r="F54" s="18" t="n">
        <f aca="false">F46/(F39*$E49)</f>
        <v>3.2874649961719</v>
      </c>
      <c r="G54" s="18" t="n">
        <f aca="false">G46/(G39*$E49)</f>
        <v>3.2874649961719</v>
      </c>
      <c r="H54" s="18" t="n">
        <f aca="false">H46/(H39*$E49)</f>
        <v>3.2874649961719</v>
      </c>
      <c r="J54" s="2"/>
    </row>
    <row r="55" customFormat="false" ht="15" hidden="false" customHeight="false" outlineLevel="0" collapsed="false">
      <c r="A55" s="9" t="s">
        <v>3019</v>
      </c>
      <c r="B55" s="10" t="s">
        <v>3135</v>
      </c>
      <c r="C55" s="9" t="s">
        <v>375</v>
      </c>
      <c r="F55" s="18" t="n">
        <f aca="false">F46/(F39*((1-INP_276)*$D49+INP_276*$E49))</f>
        <v>2.96610078216931</v>
      </c>
      <c r="G55" s="18" t="n">
        <f aca="false">G46/(G39*((1-INP_276)*$D49+INP_276*$E49))</f>
        <v>2.96610078216931</v>
      </c>
      <c r="H55" s="18" t="n">
        <f aca="false">H46/(H39*((1-INP_276)*$D49+INP_276*$E49))</f>
        <v>2.96610078216931</v>
      </c>
      <c r="J55" s="12" t="s">
        <v>3136</v>
      </c>
    </row>
    <row r="56" customFormat="false" ht="15" hidden="false" customHeight="false" outlineLevel="0" collapsed="false">
      <c r="A56" s="14" t="s">
        <v>3137</v>
      </c>
    </row>
    <row r="57" customFormat="false" ht="15" hidden="false" customHeight="false" outlineLevel="0" collapsed="false">
      <c r="A57" s="25" t="s">
        <v>3138</v>
      </c>
    </row>
    <row r="58" customFormat="false" ht="15" hidden="false" customHeight="false" outlineLevel="0" collapsed="false">
      <c r="A58" s="9" t="s">
        <v>3021</v>
      </c>
      <c r="B58" s="10" t="s">
        <v>3066</v>
      </c>
      <c r="C58" s="9" t="s">
        <v>375</v>
      </c>
      <c r="D58" s="18" t="n">
        <f aca="false">D19</f>
        <v>1.12780698259266</v>
      </c>
      <c r="E58" s="18" t="n">
        <f aca="false">E19</f>
        <v>1.25</v>
      </c>
      <c r="F58" s="18" t="n">
        <f aca="false">F19</f>
        <v>2.5</v>
      </c>
      <c r="G58" s="18" t="n">
        <f aca="false">G19</f>
        <v>3</v>
      </c>
      <c r="H58" s="18" t="n">
        <f aca="false">H19</f>
        <v>3.5</v>
      </c>
      <c r="J58" s="2"/>
    </row>
    <row r="59" customFormat="false" ht="15" hidden="false" customHeight="false" outlineLevel="0" collapsed="false">
      <c r="A59" s="9" t="s">
        <v>3024</v>
      </c>
      <c r="B59" s="10" t="s">
        <v>3097</v>
      </c>
      <c r="C59" s="10" t="s">
        <v>120</v>
      </c>
      <c r="D59" s="22" t="n">
        <f aca="false">INDEX(CMP_Share_Hopper,D$18)</f>
        <v>0.6</v>
      </c>
      <c r="E59" s="22" t="n">
        <f aca="false">INDEX(CMP_Share_Hopper,E$18)</f>
        <v>0.6</v>
      </c>
      <c r="F59" s="22" t="n">
        <f aca="false">INP_281</f>
        <v>0.25</v>
      </c>
      <c r="G59" s="22" t="n">
        <f aca="false">INP_281</f>
        <v>0.25</v>
      </c>
      <c r="H59" s="22" t="n">
        <f aca="false">INP_281</f>
        <v>0.25</v>
      </c>
      <c r="J59" s="2"/>
    </row>
    <row r="60" customFormat="false" ht="15" hidden="false" customHeight="false" outlineLevel="0" collapsed="false">
      <c r="A60" s="9" t="s">
        <v>3026</v>
      </c>
      <c r="B60" s="10" t="s">
        <v>3098</v>
      </c>
      <c r="C60" s="10" t="s">
        <v>120</v>
      </c>
      <c r="D60" s="22" t="n">
        <f aca="false">INDEX(CMP_Share_GB200,D$18)</f>
        <v>0.4</v>
      </c>
      <c r="E60" s="22" t="n">
        <f aca="false">INDEX(CMP_Share_GB200,E$18)</f>
        <v>0.4</v>
      </c>
      <c r="F60" s="22" t="n">
        <f aca="false">INP_282</f>
        <v>0.45</v>
      </c>
      <c r="G60" s="22" t="n">
        <f aca="false">INP_282</f>
        <v>0.45</v>
      </c>
      <c r="H60" s="22" t="n">
        <f aca="false">INP_282</f>
        <v>0.45</v>
      </c>
      <c r="J60" s="2"/>
    </row>
    <row r="61" customFormat="false" ht="15" hidden="false" customHeight="false" outlineLevel="0" collapsed="false">
      <c r="A61" s="9" t="s">
        <v>3028</v>
      </c>
      <c r="B61" s="10" t="s">
        <v>3099</v>
      </c>
      <c r="C61" s="10" t="s">
        <v>120</v>
      </c>
      <c r="D61" s="22" t="n">
        <f aca="false">INDEX(CMP_Share_GB300,D$18)</f>
        <v>0</v>
      </c>
      <c r="E61" s="22" t="n">
        <f aca="false">INDEX(CMP_Share_GB300,E$18)</f>
        <v>0</v>
      </c>
      <c r="F61" s="22" t="n">
        <f aca="false">INP_283</f>
        <v>0.25</v>
      </c>
      <c r="G61" s="22" t="n">
        <f aca="false">INP_283</f>
        <v>0.25</v>
      </c>
      <c r="H61" s="22" t="n">
        <f aca="false">INP_283</f>
        <v>0.25</v>
      </c>
      <c r="J61" s="2"/>
    </row>
    <row r="62" customFormat="false" ht="15" hidden="false" customHeight="false" outlineLevel="0" collapsed="false">
      <c r="A62" s="9" t="s">
        <v>3030</v>
      </c>
      <c r="B62" s="10" t="s">
        <v>3100</v>
      </c>
      <c r="C62" s="10" t="s">
        <v>120</v>
      </c>
      <c r="D62" s="22" t="n">
        <f aca="false">INDEX(CMP_Share_VR200,D$18)</f>
        <v>0</v>
      </c>
      <c r="E62" s="22" t="n">
        <f aca="false">INDEX(CMP_Share_VR200,E$18)</f>
        <v>0</v>
      </c>
      <c r="F62" s="22" t="n">
        <f aca="false">INP_284</f>
        <v>0.05</v>
      </c>
      <c r="G62" s="22" t="n">
        <f aca="false">INP_284</f>
        <v>0.05</v>
      </c>
      <c r="H62" s="22" t="n">
        <f aca="false">INP_284</f>
        <v>0.05</v>
      </c>
      <c r="J62" s="2"/>
    </row>
    <row r="63" customFormat="false" ht="15" hidden="false" customHeight="false" outlineLevel="0" collapsed="false">
      <c r="A63" s="9" t="s">
        <v>3031</v>
      </c>
      <c r="B63" s="10" t="s">
        <v>3101</v>
      </c>
      <c r="C63" s="10" t="s">
        <v>120</v>
      </c>
      <c r="D63" s="22" t="n">
        <f aca="false">INDEX(CMP_Share_RubinUltra,D$18)</f>
        <v>0</v>
      </c>
      <c r="E63" s="22" t="n">
        <f aca="false">INDEX(CMP_Share_RubinUltra,E$18)</f>
        <v>0</v>
      </c>
      <c r="F63" s="22" t="n">
        <f aca="false">INP_285</f>
        <v>0</v>
      </c>
      <c r="G63" s="22" t="n">
        <f aca="false">INP_285</f>
        <v>0</v>
      </c>
      <c r="H63" s="22" t="n">
        <f aca="false">INP_285</f>
        <v>0</v>
      </c>
      <c r="J63" s="2"/>
    </row>
    <row r="64" customFormat="false" ht="15" hidden="false" customHeight="false" outlineLevel="0" collapsed="false">
      <c r="A64" s="9" t="s">
        <v>3033</v>
      </c>
      <c r="B64" s="10" t="s">
        <v>3102</v>
      </c>
      <c r="C64" s="10" t="s">
        <v>120</v>
      </c>
      <c r="D64" s="22" t="n">
        <f aca="false">INDEX(CMP_Share_Custom,D$18)</f>
        <v>0</v>
      </c>
      <c r="E64" s="22" t="n">
        <f aca="false">INDEX(CMP_Share_Custom,E$18)</f>
        <v>0</v>
      </c>
      <c r="F64" s="22" t="n">
        <f aca="false">INP_286</f>
        <v>0</v>
      </c>
      <c r="G64" s="22" t="n">
        <f aca="false">INP_286</f>
        <v>0</v>
      </c>
      <c r="H64" s="22" t="n">
        <f aca="false">INP_286</f>
        <v>0</v>
      </c>
      <c r="J64" s="2"/>
    </row>
    <row r="65" customFormat="false" ht="15" hidden="false" customHeight="false" outlineLevel="0" collapsed="false">
      <c r="A65" s="9" t="s">
        <v>3036</v>
      </c>
      <c r="B65" s="10" t="s">
        <v>3103</v>
      </c>
      <c r="C65" s="10" t="s">
        <v>120</v>
      </c>
      <c r="D65" s="22" t="n">
        <f aca="false">SUM(D59:D64)</f>
        <v>1</v>
      </c>
      <c r="E65" s="22" t="n">
        <f aca="false">SUM(E59:E64)</f>
        <v>1</v>
      </c>
      <c r="F65" s="22" t="n">
        <f aca="false">SUM(F59:F64)</f>
        <v>1</v>
      </c>
      <c r="G65" s="22" t="n">
        <f aca="false">SUM(G59:G64)</f>
        <v>1</v>
      </c>
      <c r="H65" s="22" t="n">
        <f aca="false">SUM(H59:H64)</f>
        <v>1</v>
      </c>
      <c r="J65" s="12" t="s">
        <v>3104</v>
      </c>
    </row>
    <row r="66" customFormat="false" ht="15" hidden="false" customHeight="false" outlineLevel="0" collapsed="false">
      <c r="A66" s="9" t="s">
        <v>3040</v>
      </c>
      <c r="B66" s="10" t="s">
        <v>3105</v>
      </c>
      <c r="C66" s="9" t="s">
        <v>1566</v>
      </c>
      <c r="D66" s="18" t="n">
        <f aca="false">SUMPRODUCT(D59:D64,$D$24:$D$29)</f>
        <v>9.35311859805586</v>
      </c>
      <c r="E66" s="18" t="n">
        <f aca="false">SUMPRODUCT(E59:E64,$D$24:$D$29)</f>
        <v>9.35311859805586</v>
      </c>
      <c r="F66" s="18" t="n">
        <f aca="false">SUMPRODUCT(F59:F64,$D$24:$D$29)</f>
        <v>9.73132262697083</v>
      </c>
      <c r="G66" s="18" t="n">
        <f aca="false">SUMPRODUCT(G59:G64,$D$24:$D$29)</f>
        <v>9.73132262697083</v>
      </c>
      <c r="H66" s="18" t="n">
        <f aca="false">SUMPRODUCT(H59:H64,$D$24:$D$29)</f>
        <v>9.73132262697083</v>
      </c>
      <c r="J66" s="12" t="s">
        <v>3106</v>
      </c>
    </row>
    <row r="67" customFormat="false" ht="15" hidden="false" customHeight="false" outlineLevel="0" collapsed="false">
      <c r="A67" s="9" t="s">
        <v>3043</v>
      </c>
      <c r="B67" s="10" t="s">
        <v>3107</v>
      </c>
      <c r="C67" s="9" t="s">
        <v>68</v>
      </c>
      <c r="D67" s="20" t="n">
        <f aca="false">D58*D66</f>
        <v>10.5485124639047</v>
      </c>
      <c r="E67" s="20" t="n">
        <f aca="false">E58*E66</f>
        <v>11.6913982475698</v>
      </c>
      <c r="F67" s="20" t="n">
        <f aca="false">F58*F66</f>
        <v>24.3283065674271</v>
      </c>
      <c r="G67" s="20" t="n">
        <f aca="false">G58*G66</f>
        <v>29.1939678809125</v>
      </c>
      <c r="H67" s="20" t="n">
        <f aca="false">H58*H66</f>
        <v>34.0596291943979</v>
      </c>
      <c r="J67" s="2" t="s">
        <v>3108</v>
      </c>
    </row>
    <row r="68" customFormat="false" ht="15" hidden="false" customHeight="false" outlineLevel="0" collapsed="false">
      <c r="A68" s="9" t="s">
        <v>3046</v>
      </c>
      <c r="B68" s="10" t="s">
        <v>3109</v>
      </c>
      <c r="C68" s="9" t="s">
        <v>981</v>
      </c>
      <c r="D68" s="21" t="n">
        <f aca="false">SUMPRODUCT(D59:D64,$E$24:$E$29,$G$24:$G$29)</f>
        <v>56014889764.1034</v>
      </c>
      <c r="E68" s="21" t="n">
        <f aca="false">SUMPRODUCT(E59:E64,$E$24:$E$29,$G$24:$G$29)</f>
        <v>56014889764.1034</v>
      </c>
      <c r="F68" s="21" t="n">
        <f aca="false">SUMPRODUCT(F59:F64,$E$24:$E$29,$G$24:$G$29)</f>
        <v>97236941385.9339</v>
      </c>
      <c r="G68" s="21" t="n">
        <f aca="false">SUMPRODUCT(G59:G64,$E$24:$E$29,$G$24:$G$29)</f>
        <v>97236941385.9339</v>
      </c>
      <c r="H68" s="21" t="n">
        <f aca="false">SUMPRODUCT(H59:H64,$E$24:$E$29,$G$24:$G$29)</f>
        <v>97236941385.9339</v>
      </c>
      <c r="J68" s="12" t="s">
        <v>3110</v>
      </c>
    </row>
    <row r="69" customFormat="false" ht="15" hidden="false" customHeight="false" outlineLevel="0" collapsed="false">
      <c r="A69" s="9" t="s">
        <v>3048</v>
      </c>
      <c r="B69" s="9" t="s">
        <v>3111</v>
      </c>
      <c r="C69" s="9" t="s">
        <v>798</v>
      </c>
      <c r="D69" s="21" t="n">
        <f aca="false">D58*TKQ_IF_ServeShare*(1-TKQ_IF_FreeShare)*D68*TKQ_IF_UtilActual</f>
        <v>5734555205.92542</v>
      </c>
      <c r="E69" s="21" t="n">
        <f aca="false">E58*TKQ_IF_ServeShare*(1-TKQ_IF_FreeShare)*E68*TKQ_IF_UtilActual</f>
        <v>6355869504.3084</v>
      </c>
      <c r="F69" s="21" t="n">
        <f aca="false">F58*TKQ_IF_ServeShare*(1-TKQ_IF_FreeShare)*F68*TKQ_IF_UtilActual</f>
        <v>22066465293.4169</v>
      </c>
      <c r="G69" s="21" t="n">
        <f aca="false">G58*TKQ_IF_ServeShare*(1-TKQ_IF_FreeShare)*G68*TKQ_IF_UtilActual</f>
        <v>26479758352.1003</v>
      </c>
      <c r="H69" s="21" t="n">
        <f aca="false">H58*TKQ_IF_ServeShare*(1-TKQ_IF_FreeShare)*H68*TKQ_IF_UtilActual</f>
        <v>30893051410.7837</v>
      </c>
      <c r="J69" s="12" t="s">
        <v>3112</v>
      </c>
    </row>
    <row r="70" customFormat="false" ht="15" hidden="false" customHeight="false" outlineLevel="0" collapsed="false">
      <c r="A70" s="9" t="s">
        <v>3051</v>
      </c>
      <c r="B70" s="9" t="s">
        <v>3113</v>
      </c>
      <c r="C70" s="9" t="s">
        <v>3114</v>
      </c>
      <c r="D70" s="23" t="n">
        <f aca="false">D69/INP_254</f>
        <v>5734.55520592542</v>
      </c>
      <c r="E70" s="23" t="n">
        <f aca="false">E69/INP_254</f>
        <v>6355.8695043084</v>
      </c>
      <c r="F70" s="23" t="n">
        <f aca="false">F69/INP_254</f>
        <v>22066.4652934169</v>
      </c>
      <c r="G70" s="23" t="n">
        <f aca="false">G69/INP_254</f>
        <v>26479.7583521003</v>
      </c>
      <c r="H70" s="23" t="n">
        <f aca="false">H69/INP_254</f>
        <v>30893.0514107837</v>
      </c>
      <c r="J70" s="2" t="s">
        <v>3115</v>
      </c>
    </row>
    <row r="71" customFormat="false" ht="15" hidden="false" customHeight="false" outlineLevel="0" collapsed="false">
      <c r="A71" s="9" t="s">
        <v>3053</v>
      </c>
      <c r="B71" s="10" t="s">
        <v>3116</v>
      </c>
      <c r="C71" s="9" t="s">
        <v>3117</v>
      </c>
      <c r="D71" s="18" t="n">
        <f aca="false">TKQ_IF_PxEffMix25</f>
        <v>1.35936</v>
      </c>
      <c r="E71" s="18" t="n">
        <f aca="false">TKQ_IF_PxEffMix25</f>
        <v>1.35936</v>
      </c>
      <c r="F71" s="18" t="n">
        <f aca="false">TKQ_IF_PxEffMix</f>
        <v>1.96067555555556</v>
      </c>
      <c r="G71" s="18" t="n">
        <f aca="false">TKQ_IF_PxEffMix</f>
        <v>1.96067555555556</v>
      </c>
      <c r="H71" s="18" t="n">
        <f aca="false">TKQ_IF_PxEffMix</f>
        <v>1.96067555555556</v>
      </c>
      <c r="J71" s="12" t="s">
        <v>3118</v>
      </c>
    </row>
    <row r="72" customFormat="false" ht="15" hidden="false" customHeight="false" outlineLevel="0" collapsed="false">
      <c r="A72" s="9" t="s">
        <v>3139</v>
      </c>
      <c r="B72" s="10" t="s">
        <v>3119</v>
      </c>
      <c r="C72" s="9" t="s">
        <v>3117</v>
      </c>
      <c r="D72" s="18" t="n">
        <f aca="false">D71/(1-TKQ_IF_Disc)</f>
        <v>1.6992</v>
      </c>
      <c r="E72" s="18" t="n">
        <f aca="false">E71/(1-TKQ_IF_Disc)</f>
        <v>1.6992</v>
      </c>
      <c r="F72" s="18" t="n">
        <f aca="false">F71/(1-TKQ_IF_Disc)</f>
        <v>2.45084444444445</v>
      </c>
      <c r="G72" s="18" t="n">
        <f aca="false">G71/(1-TKQ_IF_Disc)</f>
        <v>2.45084444444445</v>
      </c>
      <c r="H72" s="18" t="n">
        <f aca="false">H71/(1-TKQ_IF_Disc)</f>
        <v>2.45084444444445</v>
      </c>
      <c r="J72" s="12" t="s">
        <v>3120</v>
      </c>
    </row>
    <row r="73" customFormat="false" ht="15" hidden="false" customHeight="false" outlineLevel="0" collapsed="false">
      <c r="A73" s="9" t="s">
        <v>3140</v>
      </c>
      <c r="B73" s="10" t="s">
        <v>3121</v>
      </c>
      <c r="C73" s="9" t="s">
        <v>68</v>
      </c>
      <c r="D73" s="20" t="n">
        <f aca="false">D20</f>
        <v>13.07</v>
      </c>
      <c r="E73" s="20" t="n">
        <f aca="false">E20</f>
        <v>13.07</v>
      </c>
      <c r="F73" s="20" t="n">
        <f aca="false">F20</f>
        <v>36</v>
      </c>
      <c r="G73" s="20" t="n">
        <f aca="false">G20</f>
        <v>36</v>
      </c>
      <c r="H73" s="20" t="n">
        <f aca="false">H20</f>
        <v>36</v>
      </c>
      <c r="J73" s="2"/>
    </row>
    <row r="74" customFormat="false" ht="15" hidden="false" customHeight="false" outlineLevel="0" collapsed="false">
      <c r="A74" s="9" t="s">
        <v>3141</v>
      </c>
      <c r="B74" s="10" t="s">
        <v>3122</v>
      </c>
      <c r="C74" s="10" t="s">
        <v>560</v>
      </c>
      <c r="D74" s="18" t="n">
        <f aca="false">D73*INP_270/(D69*D71)</f>
        <v>1.67664594601773</v>
      </c>
      <c r="E74" s="18" t="n">
        <f aca="false">E73*INP_270/(E69*E71)</f>
        <v>1.51274640420359</v>
      </c>
      <c r="F74" s="18" t="n">
        <f aca="false">F73*INP_270/(F69*F71)</f>
        <v>0.832077914624878</v>
      </c>
      <c r="G74" s="18" t="n">
        <f aca="false">G73*INP_270/(G69*G71)</f>
        <v>0.693398262187398</v>
      </c>
      <c r="H74" s="18" t="n">
        <f aca="false">H73*INP_270/(H69*H71)</f>
        <v>0.594341367589198</v>
      </c>
      <c r="J74" s="12" t="s">
        <v>3123</v>
      </c>
    </row>
    <row r="75" customFormat="false" ht="15" hidden="false" customHeight="false" outlineLevel="0" collapsed="false">
      <c r="A75" s="9" t="s">
        <v>3142</v>
      </c>
      <c r="B75" s="10" t="s">
        <v>3124</v>
      </c>
      <c r="C75" s="10" t="s">
        <v>560</v>
      </c>
      <c r="D75" s="18" t="n">
        <f aca="false">D67*INP_270/(D69*D71)</f>
        <v>1.35318444216705</v>
      </c>
      <c r="E75" s="18" t="n">
        <f aca="false">E67*INP_270/(E69*E71)</f>
        <v>1.35318444216705</v>
      </c>
      <c r="F75" s="18" t="n">
        <f aca="false">F67*INP_270/(F69*F71)</f>
        <v>0.56230684986054</v>
      </c>
      <c r="G75" s="18" t="n">
        <f aca="false">G67*INP_270/(G69*G71)</f>
        <v>0.56230684986054</v>
      </c>
      <c r="H75" s="18" t="n">
        <f aca="false">H67*INP_270/(H69*H71)</f>
        <v>0.56230684986054</v>
      </c>
      <c r="J75" s="2" t="s">
        <v>3125</v>
      </c>
    </row>
    <row r="76" customFormat="false" ht="15" hidden="false" customHeight="false" outlineLevel="0" collapsed="false">
      <c r="A76" s="9" t="s">
        <v>3143</v>
      </c>
      <c r="B76" s="10" t="s">
        <v>3126</v>
      </c>
      <c r="C76" s="10" t="s">
        <v>560</v>
      </c>
      <c r="D76" s="18" t="n">
        <f aca="false">D74/D75</f>
        <v>1.2390372618626</v>
      </c>
      <c r="E76" s="18" t="n">
        <f aca="false">E74/E75</f>
        <v>1.11791590049691</v>
      </c>
      <c r="F76" s="18" t="n">
        <f aca="false">F74/F75</f>
        <v>1.47975774229186</v>
      </c>
      <c r="G76" s="18" t="n">
        <f aca="false">G74/G75</f>
        <v>1.23313145190988</v>
      </c>
      <c r="H76" s="18" t="n">
        <f aca="false">H74/H75</f>
        <v>1.05696981592275</v>
      </c>
      <c r="J76" s="2" t="s">
        <v>3127</v>
      </c>
    </row>
    <row r="77" customFormat="false" ht="15" hidden="false" customHeight="false" outlineLevel="0" collapsed="false">
      <c r="A77" s="9" t="s">
        <v>3144</v>
      </c>
      <c r="B77" s="10" t="s">
        <v>3128</v>
      </c>
      <c r="C77" s="10" t="s">
        <v>560</v>
      </c>
      <c r="D77" s="24" t="n">
        <f aca="false">D76-D73/D67</f>
        <v>0</v>
      </c>
      <c r="E77" s="24" t="n">
        <f aca="false">E76-E73/E67</f>
        <v>0</v>
      </c>
      <c r="F77" s="24" t="n">
        <f aca="false">F76-F73/F67</f>
        <v>0</v>
      </c>
      <c r="G77" s="24" t="n">
        <f aca="false">G76-G73/G67</f>
        <v>0</v>
      </c>
      <c r="H77" s="24" t="n">
        <f aca="false">H76-H73/H67</f>
        <v>0</v>
      </c>
      <c r="J77" s="12" t="s">
        <v>3104</v>
      </c>
    </row>
    <row r="78" customFormat="false" ht="15" hidden="false" customHeight="false" outlineLevel="0" collapsed="false">
      <c r="A78" s="9" t="s">
        <v>3145</v>
      </c>
      <c r="B78" s="10" t="s">
        <v>3129</v>
      </c>
      <c r="C78" s="10" t="s">
        <v>560</v>
      </c>
      <c r="D78" s="18" t="n">
        <f aca="false">D74/TKQ_IF_LTotalFleetVDisc</f>
        <v>2.2101971347372</v>
      </c>
      <c r="E78" s="18" t="n">
        <f aca="false">E74/TKQ_IF_LTotalFleetVDisc</f>
        <v>1.99414060917033</v>
      </c>
      <c r="F78" s="18" t="n">
        <f aca="false">F74/TKQ_IF_LTotalFleetVDisc</f>
        <v>1.09686617329676</v>
      </c>
      <c r="G78" s="18" t="n">
        <f aca="false">G74/TKQ_IF_LTotalFleetVDisc</f>
        <v>0.91405514441397</v>
      </c>
      <c r="H78" s="18" t="n">
        <f aca="false">H74/TKQ_IF_LTotalFleetVDisc</f>
        <v>0.783475838069117</v>
      </c>
      <c r="J78" s="2" t="s">
        <v>3130</v>
      </c>
    </row>
    <row r="79" customFormat="false" ht="15" hidden="false" customHeight="false" outlineLevel="0" collapsed="false">
      <c r="A79" s="9" t="s">
        <v>3146</v>
      </c>
      <c r="B79" s="10" t="s">
        <v>3131</v>
      </c>
      <c r="C79" s="10" t="s">
        <v>560</v>
      </c>
      <c r="D79" s="18" t="n">
        <f aca="false">D74/TKQ_IF_LTotalDisc</f>
        <v>2.39916874522815</v>
      </c>
      <c r="E79" s="18" t="n">
        <f aca="false">E74/TKQ_IF_LTotalDisc</f>
        <v>2.16463941062911</v>
      </c>
      <c r="F79" s="18" t="n">
        <f aca="false">F74/TKQ_IF_LTotalDisc</f>
        <v>1.19064810975991</v>
      </c>
      <c r="G79" s="18" t="n">
        <f aca="false">G74/TKQ_IF_LTotalDisc</f>
        <v>0.992206758133256</v>
      </c>
      <c r="H79" s="18" t="n">
        <f aca="false">H74/TKQ_IF_LTotalDisc</f>
        <v>0.850462935542791</v>
      </c>
      <c r="J79" s="2" t="s">
        <v>3132</v>
      </c>
    </row>
    <row r="80" customFormat="false" ht="15" hidden="false" customHeight="false" outlineLevel="0" collapsed="false">
      <c r="A80" s="9" t="s">
        <v>3147</v>
      </c>
      <c r="B80" s="10" t="s">
        <v>3133</v>
      </c>
      <c r="C80" s="9" t="s">
        <v>375</v>
      </c>
      <c r="F80" s="18" t="n">
        <f aca="false">F73/(F66*$D76)</f>
        <v>2.9857006480729</v>
      </c>
      <c r="G80" s="18" t="n">
        <f aca="false">G73/(G66*$D76)</f>
        <v>2.9857006480729</v>
      </c>
      <c r="H80" s="18" t="n">
        <f aca="false">H73/(H66*$D76)</f>
        <v>2.9857006480729</v>
      </c>
      <c r="J80" s="2"/>
    </row>
    <row r="81" customFormat="false" ht="15" hidden="false" customHeight="false" outlineLevel="0" collapsed="false">
      <c r="A81" s="9" t="s">
        <v>3148</v>
      </c>
      <c r="B81" s="10" t="s">
        <v>3134</v>
      </c>
      <c r="C81" s="9" t="s">
        <v>375</v>
      </c>
      <c r="F81" s="18" t="n">
        <f aca="false">F73/(F66*$E76)</f>
        <v>3.30918842292633</v>
      </c>
      <c r="G81" s="18" t="n">
        <f aca="false">G73/(G66*$E76)</f>
        <v>3.30918842292633</v>
      </c>
      <c r="H81" s="18" t="n">
        <f aca="false">H73/(H66*$E76)</f>
        <v>3.30918842292633</v>
      </c>
      <c r="J81" s="2"/>
    </row>
    <row r="82" customFormat="false" ht="15" hidden="false" customHeight="false" outlineLevel="0" collapsed="false">
      <c r="A82" s="9" t="s">
        <v>3149</v>
      </c>
      <c r="B82" s="10" t="s">
        <v>3135</v>
      </c>
      <c r="C82" s="9" t="s">
        <v>375</v>
      </c>
      <c r="F82" s="18" t="n">
        <f aca="false">F73/(F66*((1-INP_276)*$D76+INP_276*$E76))</f>
        <v>2.9857006480729</v>
      </c>
      <c r="G82" s="18" t="n">
        <f aca="false">G73/(G66*((1-INP_276)*$D76+INP_276*$E76))</f>
        <v>2.9857006480729</v>
      </c>
      <c r="H82" s="18" t="n">
        <f aca="false">H73/(H66*((1-INP_276)*$D76+INP_276*$E76))</f>
        <v>2.9857006480729</v>
      </c>
      <c r="J82" s="12" t="s">
        <v>3136</v>
      </c>
    </row>
    <row r="83" customFormat="false" ht="15" hidden="false" customHeight="false" outlineLevel="0" collapsed="false">
      <c r="A83" s="25" t="s">
        <v>3150</v>
      </c>
    </row>
    <row r="84" customFormat="false" ht="15" hidden="false" customHeight="false" outlineLevel="0" collapsed="false">
      <c r="A84" s="9" t="s">
        <v>3151</v>
      </c>
      <c r="B84" s="10" t="s">
        <v>3066</v>
      </c>
      <c r="C84" s="9" t="s">
        <v>375</v>
      </c>
      <c r="D84" s="18" t="n">
        <f aca="false">D19</f>
        <v>1.12780698259266</v>
      </c>
      <c r="E84" s="18" t="n">
        <f aca="false">E19</f>
        <v>1.25</v>
      </c>
      <c r="F84" s="18" t="n">
        <f aca="false">F19</f>
        <v>2.5</v>
      </c>
      <c r="G84" s="18" t="n">
        <f aca="false">G19</f>
        <v>3</v>
      </c>
      <c r="H84" s="18" t="n">
        <f aca="false">H19</f>
        <v>3.5</v>
      </c>
      <c r="J84" s="2"/>
    </row>
    <row r="85" customFormat="false" ht="15" hidden="false" customHeight="false" outlineLevel="0" collapsed="false">
      <c r="A85" s="9" t="s">
        <v>3152</v>
      </c>
      <c r="B85" s="10" t="s">
        <v>3097</v>
      </c>
      <c r="C85" s="10" t="s">
        <v>120</v>
      </c>
      <c r="D85" s="22" t="n">
        <f aca="false">INDEX(CMP_Share_Hopper,D$18)</f>
        <v>0.6</v>
      </c>
      <c r="E85" s="22" t="n">
        <f aca="false">INDEX(CMP_Share_Hopper,E$18)</f>
        <v>0.6</v>
      </c>
      <c r="F85" s="22" t="n">
        <f aca="false">(1-INP_280)*INDEX(CMP_Share_Hopper,F$18)+INP_280*INP_281</f>
        <v>0.35</v>
      </c>
      <c r="G85" s="22" t="n">
        <f aca="false">(1-INP_280)*INDEX(CMP_Share_Hopper,G$18)+INP_280*INP_281</f>
        <v>0.35</v>
      </c>
      <c r="H85" s="22" t="n">
        <f aca="false">(1-INP_280)*INDEX(CMP_Share_Hopper,H$18)+INP_280*INP_281</f>
        <v>0.35</v>
      </c>
      <c r="J85" s="2"/>
    </row>
    <row r="86" customFormat="false" ht="15" hidden="false" customHeight="false" outlineLevel="0" collapsed="false">
      <c r="A86" s="9" t="s">
        <v>3153</v>
      </c>
      <c r="B86" s="10" t="s">
        <v>3098</v>
      </c>
      <c r="C86" s="10" t="s">
        <v>120</v>
      </c>
      <c r="D86" s="22" t="n">
        <f aca="false">INDEX(CMP_Share_GB200,D$18)</f>
        <v>0.4</v>
      </c>
      <c r="E86" s="22" t="n">
        <f aca="false">INDEX(CMP_Share_GB200,E$18)</f>
        <v>0.4</v>
      </c>
      <c r="F86" s="22" t="n">
        <f aca="false">(1-INP_280)*INDEX(CMP_Share_GB200,F$18)+INP_280*INP_282</f>
        <v>0.275</v>
      </c>
      <c r="G86" s="22" t="n">
        <f aca="false">(1-INP_280)*INDEX(CMP_Share_GB200,G$18)+INP_280*INP_282</f>
        <v>0.275</v>
      </c>
      <c r="H86" s="22" t="n">
        <f aca="false">(1-INP_280)*INDEX(CMP_Share_GB200,H$18)+INP_280*INP_282</f>
        <v>0.275</v>
      </c>
      <c r="J86" s="2"/>
    </row>
    <row r="87" customFormat="false" ht="15" hidden="false" customHeight="false" outlineLevel="0" collapsed="false">
      <c r="A87" s="9" t="s">
        <v>3154</v>
      </c>
      <c r="B87" s="10" t="s">
        <v>3099</v>
      </c>
      <c r="C87" s="10" t="s">
        <v>120</v>
      </c>
      <c r="D87" s="22" t="n">
        <f aca="false">INDEX(CMP_Share_GB300,D$18)</f>
        <v>0</v>
      </c>
      <c r="E87" s="22" t="n">
        <f aca="false">INDEX(CMP_Share_GB300,E$18)</f>
        <v>0</v>
      </c>
      <c r="F87" s="22" t="n">
        <f aca="false">(1-INP_280)*INDEX(CMP_Share_GB300,F$18)+INP_280*INP_283</f>
        <v>0.275</v>
      </c>
      <c r="G87" s="22" t="n">
        <f aca="false">(1-INP_280)*INDEX(CMP_Share_GB300,G$18)+INP_280*INP_283</f>
        <v>0.275</v>
      </c>
      <c r="H87" s="22" t="n">
        <f aca="false">(1-INP_280)*INDEX(CMP_Share_GB300,H$18)+INP_280*INP_283</f>
        <v>0.275</v>
      </c>
      <c r="J87" s="2"/>
    </row>
    <row r="88" customFormat="false" ht="15" hidden="false" customHeight="false" outlineLevel="0" collapsed="false">
      <c r="A88" s="9" t="s">
        <v>3155</v>
      </c>
      <c r="B88" s="10" t="s">
        <v>3100</v>
      </c>
      <c r="C88" s="10" t="s">
        <v>120</v>
      </c>
      <c r="D88" s="22" t="n">
        <f aca="false">INDEX(CMP_Share_VR200,D$18)</f>
        <v>0</v>
      </c>
      <c r="E88" s="22" t="n">
        <f aca="false">INDEX(CMP_Share_VR200,E$18)</f>
        <v>0</v>
      </c>
      <c r="F88" s="22" t="n">
        <f aca="false">(1-INP_280)*INDEX(CMP_Share_VR200,F$18)+INP_280*INP_284</f>
        <v>0.05</v>
      </c>
      <c r="G88" s="22" t="n">
        <f aca="false">(1-INP_280)*INDEX(CMP_Share_VR200,G$18)+INP_280*INP_284</f>
        <v>0.05</v>
      </c>
      <c r="H88" s="22" t="n">
        <f aca="false">(1-INP_280)*INDEX(CMP_Share_VR200,H$18)+INP_280*INP_284</f>
        <v>0.05</v>
      </c>
      <c r="J88" s="2"/>
    </row>
    <row r="89" customFormat="false" ht="15" hidden="false" customHeight="false" outlineLevel="0" collapsed="false">
      <c r="A89" s="9" t="s">
        <v>3156</v>
      </c>
      <c r="B89" s="10" t="s">
        <v>3101</v>
      </c>
      <c r="C89" s="10" t="s">
        <v>120</v>
      </c>
      <c r="D89" s="22" t="n">
        <f aca="false">INDEX(CMP_Share_RubinUltra,D$18)</f>
        <v>0</v>
      </c>
      <c r="E89" s="22" t="n">
        <f aca="false">INDEX(CMP_Share_RubinUltra,E$18)</f>
        <v>0</v>
      </c>
      <c r="F89" s="22" t="n">
        <f aca="false">(1-INP_280)*INDEX(CMP_Share_RubinUltra,F$18)+INP_280*INP_285</f>
        <v>0</v>
      </c>
      <c r="G89" s="22" t="n">
        <f aca="false">(1-INP_280)*INDEX(CMP_Share_RubinUltra,G$18)+INP_280*INP_285</f>
        <v>0</v>
      </c>
      <c r="H89" s="22" t="n">
        <f aca="false">(1-INP_280)*INDEX(CMP_Share_RubinUltra,H$18)+INP_280*INP_285</f>
        <v>0</v>
      </c>
      <c r="J89" s="2"/>
    </row>
    <row r="90" customFormat="false" ht="15" hidden="false" customHeight="false" outlineLevel="0" collapsed="false">
      <c r="A90" s="9" t="s">
        <v>3157</v>
      </c>
      <c r="B90" s="10" t="s">
        <v>3102</v>
      </c>
      <c r="C90" s="10" t="s">
        <v>120</v>
      </c>
      <c r="D90" s="22" t="n">
        <f aca="false">INDEX(CMP_Share_Custom,D$18)</f>
        <v>0</v>
      </c>
      <c r="E90" s="22" t="n">
        <f aca="false">INDEX(CMP_Share_Custom,E$18)</f>
        <v>0</v>
      </c>
      <c r="F90" s="22" t="n">
        <f aca="false">(1-INP_280)*INDEX(CMP_Share_Custom,F$18)+INP_280*INP_286</f>
        <v>0.05</v>
      </c>
      <c r="G90" s="22" t="n">
        <f aca="false">(1-INP_280)*INDEX(CMP_Share_Custom,G$18)+INP_280*INP_286</f>
        <v>0.05</v>
      </c>
      <c r="H90" s="22" t="n">
        <f aca="false">(1-INP_280)*INDEX(CMP_Share_Custom,H$18)+INP_280*INP_286</f>
        <v>0.05</v>
      </c>
      <c r="J90" s="2"/>
    </row>
    <row r="91" customFormat="false" ht="15" hidden="false" customHeight="false" outlineLevel="0" collapsed="false">
      <c r="A91" s="9" t="s">
        <v>3158</v>
      </c>
      <c r="B91" s="10" t="s">
        <v>3103</v>
      </c>
      <c r="C91" s="10" t="s">
        <v>120</v>
      </c>
      <c r="D91" s="22" t="n">
        <f aca="false">SUM(D85:D90)</f>
        <v>1</v>
      </c>
      <c r="E91" s="22" t="n">
        <f aca="false">SUM(E85:E90)</f>
        <v>1</v>
      </c>
      <c r="F91" s="22" t="n">
        <f aca="false">SUM(F85:F90)</f>
        <v>1</v>
      </c>
      <c r="G91" s="22" t="n">
        <f aca="false">SUM(G85:G90)</f>
        <v>1</v>
      </c>
      <c r="H91" s="22" t="n">
        <f aca="false">SUM(H85:H90)</f>
        <v>1</v>
      </c>
      <c r="J91" s="12" t="s">
        <v>3104</v>
      </c>
    </row>
    <row r="92" customFormat="false" ht="15" hidden="false" customHeight="false" outlineLevel="0" collapsed="false">
      <c r="A92" s="9" t="s">
        <v>3159</v>
      </c>
      <c r="B92" s="10" t="s">
        <v>3105</v>
      </c>
      <c r="C92" s="9" t="s">
        <v>1566</v>
      </c>
      <c r="D92" s="18" t="n">
        <f aca="false">SUMPRODUCT(D85:D90,$D$24:$D$29)</f>
        <v>9.35311859805586</v>
      </c>
      <c r="E92" s="18" t="n">
        <f aca="false">SUMPRODUCT(E85:E90,$D$24:$D$29)</f>
        <v>9.35311859805586</v>
      </c>
      <c r="F92" s="18" t="n">
        <f aca="false">SUMPRODUCT(F85:F90,$D$24:$D$29)</f>
        <v>9.79562678672824</v>
      </c>
      <c r="G92" s="18" t="n">
        <f aca="false">SUMPRODUCT(G85:G90,$D$24:$D$29)</f>
        <v>9.79562678672824</v>
      </c>
      <c r="H92" s="18" t="n">
        <f aca="false">SUMPRODUCT(H85:H90,$D$24:$D$29)</f>
        <v>9.79562678672824</v>
      </c>
      <c r="J92" s="12" t="s">
        <v>3106</v>
      </c>
    </row>
    <row r="93" customFormat="false" ht="15" hidden="false" customHeight="false" outlineLevel="0" collapsed="false">
      <c r="A93" s="9" t="s">
        <v>3160</v>
      </c>
      <c r="B93" s="10" t="s">
        <v>3107</v>
      </c>
      <c r="C93" s="9" t="s">
        <v>68</v>
      </c>
      <c r="D93" s="20" t="n">
        <f aca="false">D84*D92</f>
        <v>10.5485124639047</v>
      </c>
      <c r="E93" s="20" t="n">
        <f aca="false">E84*E92</f>
        <v>11.6913982475698</v>
      </c>
      <c r="F93" s="20" t="n">
        <f aca="false">F84*F92</f>
        <v>24.4890669668206</v>
      </c>
      <c r="G93" s="20" t="n">
        <f aca="false">G84*G92</f>
        <v>29.3868803601847</v>
      </c>
      <c r="H93" s="20" t="n">
        <f aca="false">H84*H92</f>
        <v>34.2846937535488</v>
      </c>
      <c r="J93" s="2" t="s">
        <v>3108</v>
      </c>
    </row>
    <row r="94" customFormat="false" ht="15" hidden="false" customHeight="false" outlineLevel="0" collapsed="false">
      <c r="A94" s="9" t="s">
        <v>3161</v>
      </c>
      <c r="B94" s="10" t="s">
        <v>3109</v>
      </c>
      <c r="C94" s="9" t="s">
        <v>981</v>
      </c>
      <c r="D94" s="21" t="n">
        <f aca="false">SUMPRODUCT(D85:D90,$E$24:$E$29,$H$24:$H$29)</f>
        <v>56014889764.1034</v>
      </c>
      <c r="E94" s="21" t="n">
        <f aca="false">SUMPRODUCT(E85:E90,$E$24:$E$29,$H$24:$H$29)</f>
        <v>56014889764.1034</v>
      </c>
      <c r="F94" s="21" t="n">
        <f aca="false">SUMPRODUCT(F85:F90,$E$24:$E$29,$H$24:$H$29)</f>
        <v>89807834327.187</v>
      </c>
      <c r="G94" s="21" t="n">
        <f aca="false">SUMPRODUCT(G85:G90,$E$24:$E$29,$H$24:$H$29)</f>
        <v>89807834327.187</v>
      </c>
      <c r="H94" s="21" t="n">
        <f aca="false">SUMPRODUCT(H85:H90,$E$24:$E$29,$H$24:$H$29)</f>
        <v>89807834327.187</v>
      </c>
      <c r="J94" s="12" t="s">
        <v>3110</v>
      </c>
    </row>
    <row r="95" customFormat="false" ht="15" hidden="false" customHeight="false" outlineLevel="0" collapsed="false">
      <c r="A95" s="9" t="s">
        <v>3162</v>
      </c>
      <c r="B95" s="9" t="s">
        <v>3111</v>
      </c>
      <c r="C95" s="9" t="s">
        <v>798</v>
      </c>
      <c r="D95" s="21" t="n">
        <f aca="false">D84*SRC_OAI_140*(1-TKQ_IF_FreeShare)*D94*TKQ_IF_UtilActual</f>
        <v>6993360007.22613</v>
      </c>
      <c r="E95" s="21" t="n">
        <f aca="false">E84*SRC_OAI_140*(1-TKQ_IF_FreeShare)*E94*TKQ_IF_UtilActual</f>
        <v>7751060371.1078</v>
      </c>
      <c r="F95" s="21" t="n">
        <f aca="false">F84*SRC_OAI_140*(1-TKQ_IF_FreeShare)*F94*TKQ_IF_UtilActual</f>
        <v>24854318150.049</v>
      </c>
      <c r="G95" s="21" t="n">
        <f aca="false">G84*SRC_OAI_140*(1-TKQ_IF_FreeShare)*G94*TKQ_IF_UtilActual</f>
        <v>29825181780.0588</v>
      </c>
      <c r="H95" s="21" t="n">
        <f aca="false">H84*SRC_OAI_140*(1-TKQ_IF_FreeShare)*H94*TKQ_IF_UtilActual</f>
        <v>34796045410.0686</v>
      </c>
      <c r="J95" s="12" t="s">
        <v>3112</v>
      </c>
    </row>
    <row r="96" customFormat="false" ht="15" hidden="false" customHeight="false" outlineLevel="0" collapsed="false">
      <c r="A96" s="9" t="s">
        <v>3163</v>
      </c>
      <c r="B96" s="9" t="s">
        <v>3113</v>
      </c>
      <c r="C96" s="9" t="s">
        <v>3114</v>
      </c>
      <c r="D96" s="23" t="n">
        <f aca="false">D95/INP_254</f>
        <v>6993.36000722613</v>
      </c>
      <c r="E96" s="23" t="n">
        <f aca="false">E95/INP_254</f>
        <v>7751.0603711078</v>
      </c>
      <c r="F96" s="23" t="n">
        <f aca="false">F95/INP_254</f>
        <v>24854.318150049</v>
      </c>
      <c r="G96" s="23" t="n">
        <f aca="false">G95/INP_254</f>
        <v>29825.1817800588</v>
      </c>
      <c r="H96" s="23" t="n">
        <f aca="false">H95/INP_254</f>
        <v>34796.0454100686</v>
      </c>
      <c r="J96" s="2" t="s">
        <v>3115</v>
      </c>
    </row>
    <row r="97" customFormat="false" ht="15" hidden="false" customHeight="false" outlineLevel="0" collapsed="false">
      <c r="A97" s="9" t="s">
        <v>3164</v>
      </c>
      <c r="B97" s="10" t="s">
        <v>3116</v>
      </c>
      <c r="C97" s="9" t="s">
        <v>3117</v>
      </c>
      <c r="D97" s="18" t="n">
        <f aca="false">TKQ_IF_PxEffMix25</f>
        <v>1.35936</v>
      </c>
      <c r="E97" s="18" t="n">
        <f aca="false">TKQ_IF_PxEffMix25</f>
        <v>1.35936</v>
      </c>
      <c r="F97" s="18" t="n">
        <f aca="false">TKQ_IF_PxEffMix</f>
        <v>1.96067555555556</v>
      </c>
      <c r="G97" s="18" t="n">
        <f aca="false">TKQ_IF_PxEffMix</f>
        <v>1.96067555555556</v>
      </c>
      <c r="H97" s="18" t="n">
        <f aca="false">TKQ_IF_PxEffMix</f>
        <v>1.96067555555556</v>
      </c>
      <c r="J97" s="12" t="s">
        <v>3118</v>
      </c>
    </row>
    <row r="98" customFormat="false" ht="15" hidden="false" customHeight="false" outlineLevel="0" collapsed="false">
      <c r="A98" s="9" t="s">
        <v>3165</v>
      </c>
      <c r="B98" s="10" t="s">
        <v>3121</v>
      </c>
      <c r="C98" s="9" t="s">
        <v>68</v>
      </c>
      <c r="D98" s="20" t="n">
        <f aca="false">D20</f>
        <v>13.07</v>
      </c>
      <c r="E98" s="20" t="n">
        <f aca="false">E20</f>
        <v>13.07</v>
      </c>
      <c r="F98" s="20" t="n">
        <f aca="false">F20</f>
        <v>36</v>
      </c>
      <c r="G98" s="20" t="n">
        <f aca="false">G20</f>
        <v>36</v>
      </c>
      <c r="H98" s="20" t="n">
        <f aca="false">H20</f>
        <v>36</v>
      </c>
      <c r="J98" s="2"/>
    </row>
    <row r="99" customFormat="false" ht="15" hidden="false" customHeight="false" outlineLevel="0" collapsed="false">
      <c r="A99" s="9" t="s">
        <v>3166</v>
      </c>
      <c r="B99" s="10" t="s">
        <v>3122</v>
      </c>
      <c r="C99" s="10" t="s">
        <v>560</v>
      </c>
      <c r="D99" s="18" t="n">
        <f aca="false">D98*INP_270/(D95*D97)</f>
        <v>1.37484967573454</v>
      </c>
      <c r="E99" s="18" t="n">
        <f aca="false">E98*INP_270/(E95*E97)</f>
        <v>1.24045205144694</v>
      </c>
      <c r="F99" s="18" t="n">
        <f aca="false">F98*INP_270/(F95*F97)</f>
        <v>0.738745610064236</v>
      </c>
      <c r="G99" s="18" t="n">
        <f aca="false">G98*INP_270/(G95*G97)</f>
        <v>0.615621341720197</v>
      </c>
      <c r="H99" s="18" t="n">
        <f aca="false">H98*INP_270/(H95*H97)</f>
        <v>0.527675435760169</v>
      </c>
      <c r="J99" s="12" t="s">
        <v>3123</v>
      </c>
    </row>
    <row r="100" customFormat="false" ht="15" hidden="false" customHeight="false" outlineLevel="0" collapsed="false">
      <c r="A100" s="9" t="s">
        <v>3167</v>
      </c>
      <c r="B100" s="10" t="s">
        <v>3124</v>
      </c>
      <c r="C100" s="10" t="s">
        <v>560</v>
      </c>
      <c r="D100" s="18" t="n">
        <f aca="false">D93*INP_270/(D95*D97)</f>
        <v>1.10961124257698</v>
      </c>
      <c r="E100" s="18" t="n">
        <f aca="false">E93*INP_270/(E95*E97)</f>
        <v>1.10961124257698</v>
      </c>
      <c r="F100" s="18" t="n">
        <f aca="false">F93*INP_270/(F95*F97)</f>
        <v>0.502533075452995</v>
      </c>
      <c r="G100" s="18" t="n">
        <f aca="false">G93*INP_270/(G95*G97)</f>
        <v>0.502533075452995</v>
      </c>
      <c r="H100" s="18" t="n">
        <f aca="false">H93*INP_270/(H95*H97)</f>
        <v>0.502533075452995</v>
      </c>
      <c r="J100" s="2" t="s">
        <v>3125</v>
      </c>
    </row>
    <row r="101" customFormat="false" ht="15" hidden="false" customHeight="false" outlineLevel="0" collapsed="false">
      <c r="A101" s="9" t="s">
        <v>3168</v>
      </c>
      <c r="B101" s="10" t="s">
        <v>3126</v>
      </c>
      <c r="C101" s="10" t="s">
        <v>560</v>
      </c>
      <c r="D101" s="18" t="n">
        <f aca="false">D99/D100</f>
        <v>1.2390372618626</v>
      </c>
      <c r="E101" s="18" t="n">
        <f aca="false">E99/E100</f>
        <v>1.11791590049691</v>
      </c>
      <c r="F101" s="18" t="n">
        <f aca="false">F99/F100</f>
        <v>1.47004375661903</v>
      </c>
      <c r="G101" s="18" t="n">
        <f aca="false">G99/G100</f>
        <v>1.22503646384919</v>
      </c>
      <c r="H101" s="18" t="n">
        <f aca="false">H99/H100</f>
        <v>1.05003125472788</v>
      </c>
      <c r="J101" s="2" t="s">
        <v>3127</v>
      </c>
    </row>
    <row r="102" customFormat="false" ht="15" hidden="false" customHeight="false" outlineLevel="0" collapsed="false">
      <c r="A102" s="9" t="s">
        <v>3169</v>
      </c>
      <c r="B102" s="10" t="s">
        <v>3135</v>
      </c>
      <c r="C102" s="9" t="s">
        <v>375</v>
      </c>
      <c r="F102" s="18" t="n">
        <f aca="false">F98/(F92*((1-INP_276)*$D101+INP_276*$E101))</f>
        <v>2.96610078216931</v>
      </c>
      <c r="G102" s="18" t="n">
        <f aca="false">G98/(G92*((1-INP_276)*$D101+INP_276*$E101))</f>
        <v>2.96610078216931</v>
      </c>
      <c r="H102" s="18" t="n">
        <f aca="false">H98/(H92*((1-INP_276)*$D101+INP_276*$E101))</f>
        <v>2.96610078216931</v>
      </c>
      <c r="J102" s="12" t="s">
        <v>3136</v>
      </c>
    </row>
    <row r="103" customFormat="false" ht="15" hidden="false" customHeight="false" outlineLevel="0" collapsed="false">
      <c r="A103" s="25" t="s">
        <v>3170</v>
      </c>
    </row>
    <row r="104" customFormat="false" ht="15" hidden="false" customHeight="false" outlineLevel="0" collapsed="false">
      <c r="A104" s="9" t="s">
        <v>3171</v>
      </c>
      <c r="B104" s="10" t="s">
        <v>3066</v>
      </c>
      <c r="C104" s="9" t="s">
        <v>375</v>
      </c>
      <c r="D104" s="18" t="n">
        <f aca="false">D19</f>
        <v>1.12780698259266</v>
      </c>
      <c r="E104" s="18" t="n">
        <f aca="false">E19</f>
        <v>1.25</v>
      </c>
      <c r="F104" s="18" t="n">
        <f aca="false">F19</f>
        <v>2.5</v>
      </c>
      <c r="G104" s="18" t="n">
        <f aca="false">G19</f>
        <v>3</v>
      </c>
      <c r="H104" s="18" t="n">
        <f aca="false">H19</f>
        <v>3.5</v>
      </c>
      <c r="J104" s="2"/>
    </row>
    <row r="105" customFormat="false" ht="15" hidden="false" customHeight="false" outlineLevel="0" collapsed="false">
      <c r="A105" s="9" t="s">
        <v>3172</v>
      </c>
      <c r="B105" s="10" t="s">
        <v>3097</v>
      </c>
      <c r="C105" s="10" t="s">
        <v>120</v>
      </c>
      <c r="D105" s="22" t="n">
        <f aca="false">INDEX(CMP_Share_Hopper,D$18)</f>
        <v>0.6</v>
      </c>
      <c r="E105" s="22" t="n">
        <f aca="false">INDEX(CMP_Share_Hopper,E$18)</f>
        <v>0.6</v>
      </c>
      <c r="F105" s="22" t="n">
        <f aca="false">(1-INP_280)*INDEX(CMP_Share_Hopper,F$18)+INP_280*INP_281</f>
        <v>0.35</v>
      </c>
      <c r="G105" s="22" t="n">
        <f aca="false">(1-INP_280)*INDEX(CMP_Share_Hopper,G$18)+INP_280*INP_281</f>
        <v>0.35</v>
      </c>
      <c r="H105" s="22" t="n">
        <f aca="false">(1-INP_280)*INDEX(CMP_Share_Hopper,H$18)+INP_280*INP_281</f>
        <v>0.35</v>
      </c>
      <c r="J105" s="2"/>
    </row>
    <row r="106" customFormat="false" ht="15" hidden="false" customHeight="false" outlineLevel="0" collapsed="false">
      <c r="A106" s="9" t="s">
        <v>3173</v>
      </c>
      <c r="B106" s="10" t="s">
        <v>3098</v>
      </c>
      <c r="C106" s="10" t="s">
        <v>120</v>
      </c>
      <c r="D106" s="22" t="n">
        <f aca="false">INDEX(CMP_Share_GB200,D$18)</f>
        <v>0.4</v>
      </c>
      <c r="E106" s="22" t="n">
        <f aca="false">INDEX(CMP_Share_GB200,E$18)</f>
        <v>0.4</v>
      </c>
      <c r="F106" s="22" t="n">
        <f aca="false">(1-INP_280)*INDEX(CMP_Share_GB200,F$18)+INP_280*INP_282</f>
        <v>0.275</v>
      </c>
      <c r="G106" s="22" t="n">
        <f aca="false">(1-INP_280)*INDEX(CMP_Share_GB200,G$18)+INP_280*INP_282</f>
        <v>0.275</v>
      </c>
      <c r="H106" s="22" t="n">
        <f aca="false">(1-INP_280)*INDEX(CMP_Share_GB200,H$18)+INP_280*INP_282</f>
        <v>0.275</v>
      </c>
      <c r="J106" s="2"/>
    </row>
    <row r="107" customFormat="false" ht="15" hidden="false" customHeight="false" outlineLevel="0" collapsed="false">
      <c r="A107" s="9" t="s">
        <v>3174</v>
      </c>
      <c r="B107" s="10" t="s">
        <v>3099</v>
      </c>
      <c r="C107" s="10" t="s">
        <v>120</v>
      </c>
      <c r="D107" s="22" t="n">
        <f aca="false">INDEX(CMP_Share_GB300,D$18)</f>
        <v>0</v>
      </c>
      <c r="E107" s="22" t="n">
        <f aca="false">INDEX(CMP_Share_GB300,E$18)</f>
        <v>0</v>
      </c>
      <c r="F107" s="22" t="n">
        <f aca="false">(1-INP_280)*INDEX(CMP_Share_GB300,F$18)+INP_280*INP_283</f>
        <v>0.275</v>
      </c>
      <c r="G107" s="22" t="n">
        <f aca="false">(1-INP_280)*INDEX(CMP_Share_GB300,G$18)+INP_280*INP_283</f>
        <v>0.275</v>
      </c>
      <c r="H107" s="22" t="n">
        <f aca="false">(1-INP_280)*INDEX(CMP_Share_GB300,H$18)+INP_280*INP_283</f>
        <v>0.275</v>
      </c>
      <c r="J107" s="2"/>
    </row>
    <row r="108" customFormat="false" ht="15" hidden="false" customHeight="false" outlineLevel="0" collapsed="false">
      <c r="A108" s="9" t="s">
        <v>3175</v>
      </c>
      <c r="B108" s="10" t="s">
        <v>3100</v>
      </c>
      <c r="C108" s="10" t="s">
        <v>120</v>
      </c>
      <c r="D108" s="22" t="n">
        <f aca="false">INDEX(CMP_Share_VR200,D$18)</f>
        <v>0</v>
      </c>
      <c r="E108" s="22" t="n">
        <f aca="false">INDEX(CMP_Share_VR200,E$18)</f>
        <v>0</v>
      </c>
      <c r="F108" s="22" t="n">
        <f aca="false">(1-INP_280)*INDEX(CMP_Share_VR200,F$18)+INP_280*INP_284</f>
        <v>0.05</v>
      </c>
      <c r="G108" s="22" t="n">
        <f aca="false">(1-INP_280)*INDEX(CMP_Share_VR200,G$18)+INP_280*INP_284</f>
        <v>0.05</v>
      </c>
      <c r="H108" s="22" t="n">
        <f aca="false">(1-INP_280)*INDEX(CMP_Share_VR200,H$18)+INP_280*INP_284</f>
        <v>0.05</v>
      </c>
      <c r="J108" s="2"/>
    </row>
    <row r="109" customFormat="false" ht="15" hidden="false" customHeight="false" outlineLevel="0" collapsed="false">
      <c r="A109" s="9" t="s">
        <v>3176</v>
      </c>
      <c r="B109" s="10" t="s">
        <v>3101</v>
      </c>
      <c r="C109" s="10" t="s">
        <v>120</v>
      </c>
      <c r="D109" s="22" t="n">
        <f aca="false">INDEX(CMP_Share_RubinUltra,D$18)</f>
        <v>0</v>
      </c>
      <c r="E109" s="22" t="n">
        <f aca="false">INDEX(CMP_Share_RubinUltra,E$18)</f>
        <v>0</v>
      </c>
      <c r="F109" s="22" t="n">
        <f aca="false">(1-INP_280)*INDEX(CMP_Share_RubinUltra,F$18)+INP_280*INP_285</f>
        <v>0</v>
      </c>
      <c r="G109" s="22" t="n">
        <f aca="false">(1-INP_280)*INDEX(CMP_Share_RubinUltra,G$18)+INP_280*INP_285</f>
        <v>0</v>
      </c>
      <c r="H109" s="22" t="n">
        <f aca="false">(1-INP_280)*INDEX(CMP_Share_RubinUltra,H$18)+INP_280*INP_285</f>
        <v>0</v>
      </c>
      <c r="J109" s="2"/>
    </row>
    <row r="110" customFormat="false" ht="15" hidden="false" customHeight="false" outlineLevel="0" collapsed="false">
      <c r="A110" s="9" t="s">
        <v>3177</v>
      </c>
      <c r="B110" s="10" t="s">
        <v>3102</v>
      </c>
      <c r="C110" s="10" t="s">
        <v>120</v>
      </c>
      <c r="D110" s="22" t="n">
        <f aca="false">INDEX(CMP_Share_Custom,D$18)</f>
        <v>0</v>
      </c>
      <c r="E110" s="22" t="n">
        <f aca="false">INDEX(CMP_Share_Custom,E$18)</f>
        <v>0</v>
      </c>
      <c r="F110" s="22" t="n">
        <f aca="false">(1-INP_280)*INDEX(CMP_Share_Custom,F$18)+INP_280*INP_286</f>
        <v>0.05</v>
      </c>
      <c r="G110" s="22" t="n">
        <f aca="false">(1-INP_280)*INDEX(CMP_Share_Custom,G$18)+INP_280*INP_286</f>
        <v>0.05</v>
      </c>
      <c r="H110" s="22" t="n">
        <f aca="false">(1-INP_280)*INDEX(CMP_Share_Custom,H$18)+INP_280*INP_286</f>
        <v>0.05</v>
      </c>
      <c r="J110" s="2"/>
    </row>
    <row r="111" customFormat="false" ht="15" hidden="false" customHeight="false" outlineLevel="0" collapsed="false">
      <c r="A111" s="9" t="s">
        <v>3178</v>
      </c>
      <c r="B111" s="10" t="s">
        <v>3103</v>
      </c>
      <c r="C111" s="10" t="s">
        <v>120</v>
      </c>
      <c r="D111" s="22" t="n">
        <f aca="false">SUM(D105:D110)</f>
        <v>1</v>
      </c>
      <c r="E111" s="22" t="n">
        <f aca="false">SUM(E105:E110)</f>
        <v>1</v>
      </c>
      <c r="F111" s="22" t="n">
        <f aca="false">SUM(F105:F110)</f>
        <v>1</v>
      </c>
      <c r="G111" s="22" t="n">
        <f aca="false">SUM(G105:G110)</f>
        <v>1</v>
      </c>
      <c r="H111" s="22" t="n">
        <f aca="false">SUM(H105:H110)</f>
        <v>1</v>
      </c>
      <c r="J111" s="12" t="s">
        <v>3104</v>
      </c>
    </row>
    <row r="112" customFormat="false" ht="15" hidden="false" customHeight="false" outlineLevel="0" collapsed="false">
      <c r="A112" s="9" t="s">
        <v>3179</v>
      </c>
      <c r="B112" s="10" t="s">
        <v>3105</v>
      </c>
      <c r="C112" s="9" t="s">
        <v>1566</v>
      </c>
      <c r="D112" s="18" t="n">
        <f aca="false">SUMPRODUCT(D105:D110,$D$24:$D$29)</f>
        <v>9.35311859805586</v>
      </c>
      <c r="E112" s="18" t="n">
        <f aca="false">SUMPRODUCT(E105:E110,$D$24:$D$29)</f>
        <v>9.35311859805586</v>
      </c>
      <c r="F112" s="18" t="n">
        <f aca="false">SUMPRODUCT(F105:F110,$D$24:$D$29)</f>
        <v>9.79562678672824</v>
      </c>
      <c r="G112" s="18" t="n">
        <f aca="false">SUMPRODUCT(G105:G110,$D$24:$D$29)</f>
        <v>9.79562678672824</v>
      </c>
      <c r="H112" s="18" t="n">
        <f aca="false">SUMPRODUCT(H105:H110,$D$24:$D$29)</f>
        <v>9.79562678672824</v>
      </c>
      <c r="J112" s="12" t="s">
        <v>3106</v>
      </c>
    </row>
    <row r="113" customFormat="false" ht="15" hidden="false" customHeight="false" outlineLevel="0" collapsed="false">
      <c r="A113" s="9" t="s">
        <v>3180</v>
      </c>
      <c r="B113" s="10" t="s">
        <v>3107</v>
      </c>
      <c r="C113" s="9" t="s">
        <v>68</v>
      </c>
      <c r="D113" s="20" t="n">
        <f aca="false">D104*D112</f>
        <v>10.5485124639047</v>
      </c>
      <c r="E113" s="20" t="n">
        <f aca="false">E104*E112</f>
        <v>11.6913982475698</v>
      </c>
      <c r="F113" s="20" t="n">
        <f aca="false">F104*F112</f>
        <v>24.4890669668206</v>
      </c>
      <c r="G113" s="20" t="n">
        <f aca="false">G104*G112</f>
        <v>29.3868803601847</v>
      </c>
      <c r="H113" s="20" t="n">
        <f aca="false">H104*H112</f>
        <v>34.2846937535488</v>
      </c>
      <c r="J113" s="2" t="s">
        <v>3108</v>
      </c>
    </row>
    <row r="114" customFormat="false" ht="15" hidden="false" customHeight="false" outlineLevel="0" collapsed="false">
      <c r="A114" s="9" t="s">
        <v>3181</v>
      </c>
      <c r="B114" s="10" t="s">
        <v>3109</v>
      </c>
      <c r="C114" s="9" t="s">
        <v>981</v>
      </c>
      <c r="D114" s="21" t="n">
        <f aca="false">SUMPRODUCT(D105:D110,$E$24:$E$29,$H$24:$H$29)</f>
        <v>56014889764.1034</v>
      </c>
      <c r="E114" s="21" t="n">
        <f aca="false">SUMPRODUCT(E105:E110,$E$24:$E$29,$H$24:$H$29)</f>
        <v>56014889764.1034</v>
      </c>
      <c r="F114" s="21" t="n">
        <f aca="false">SUMPRODUCT(F105:F110,$E$24:$E$29,$H$24:$H$29)</f>
        <v>89807834327.187</v>
      </c>
      <c r="G114" s="21" t="n">
        <f aca="false">SUMPRODUCT(G105:G110,$E$24:$E$29,$H$24:$H$29)</f>
        <v>89807834327.187</v>
      </c>
      <c r="H114" s="21" t="n">
        <f aca="false">SUMPRODUCT(H105:H110,$E$24:$E$29,$H$24:$H$29)</f>
        <v>89807834327.187</v>
      </c>
      <c r="J114" s="12" t="s">
        <v>3110</v>
      </c>
    </row>
    <row r="115" customFormat="false" ht="15" hidden="false" customHeight="false" outlineLevel="0" collapsed="false">
      <c r="A115" s="9" t="s">
        <v>3182</v>
      </c>
      <c r="B115" s="9" t="s">
        <v>3111</v>
      </c>
      <c r="C115" s="9" t="s">
        <v>798</v>
      </c>
      <c r="D115" s="21" t="n">
        <f aca="false">D104*TKQ_IF_ServeShare*(1-TKQ_IF_FreeShare)*D114*TKQ_IF_UtilActual</f>
        <v>5734555205.92542</v>
      </c>
      <c r="E115" s="21" t="n">
        <f aca="false">E104*TKQ_IF_ServeShare*(1-TKQ_IF_FreeShare)*E114*TKQ_IF_UtilActual</f>
        <v>6355869504.3084</v>
      </c>
      <c r="F115" s="21" t="n">
        <f aca="false">F104*TKQ_IF_ServeShare*(1-TKQ_IF_FreeShare)*F114*TKQ_IF_UtilActual</f>
        <v>20380540883.0402</v>
      </c>
      <c r="G115" s="21" t="n">
        <f aca="false">G104*TKQ_IF_ServeShare*(1-TKQ_IF_FreeShare)*G114*TKQ_IF_UtilActual</f>
        <v>24456649059.6482</v>
      </c>
      <c r="H115" s="21" t="n">
        <f aca="false">H104*TKQ_IF_ServeShare*(1-TKQ_IF_FreeShare)*H114*TKQ_IF_UtilActual</f>
        <v>28532757236.2563</v>
      </c>
      <c r="J115" s="12" t="s">
        <v>3112</v>
      </c>
    </row>
    <row r="116" customFormat="false" ht="15" hidden="false" customHeight="false" outlineLevel="0" collapsed="false">
      <c r="A116" s="9" t="s">
        <v>3183</v>
      </c>
      <c r="B116" s="9" t="s">
        <v>3113</v>
      </c>
      <c r="C116" s="9" t="s">
        <v>3114</v>
      </c>
      <c r="D116" s="23" t="n">
        <f aca="false">D115/INP_254</f>
        <v>5734.55520592542</v>
      </c>
      <c r="E116" s="23" t="n">
        <f aca="false">E115/INP_254</f>
        <v>6355.8695043084</v>
      </c>
      <c r="F116" s="23" t="n">
        <f aca="false">F115/INP_254</f>
        <v>20380.5408830402</v>
      </c>
      <c r="G116" s="23" t="n">
        <f aca="false">G115/INP_254</f>
        <v>24456.6490596482</v>
      </c>
      <c r="H116" s="23" t="n">
        <f aca="false">H115/INP_254</f>
        <v>28532.7572362563</v>
      </c>
      <c r="J116" s="2" t="s">
        <v>3115</v>
      </c>
    </row>
    <row r="117" customFormat="false" ht="15" hidden="false" customHeight="false" outlineLevel="0" collapsed="false">
      <c r="A117" s="9" t="s">
        <v>3184</v>
      </c>
      <c r="B117" s="10" t="s">
        <v>3116</v>
      </c>
      <c r="C117" s="9" t="s">
        <v>3117</v>
      </c>
      <c r="D117" s="18" t="n">
        <f aca="false">TKQ_IF_PxEffMix25</f>
        <v>1.35936</v>
      </c>
      <c r="E117" s="18" t="n">
        <f aca="false">TKQ_IF_PxEffMix25</f>
        <v>1.35936</v>
      </c>
      <c r="F117" s="18" t="n">
        <f aca="false">TKQ_IF_PxEffMix</f>
        <v>1.96067555555556</v>
      </c>
      <c r="G117" s="18" t="n">
        <f aca="false">TKQ_IF_PxEffMix</f>
        <v>1.96067555555556</v>
      </c>
      <c r="H117" s="18" t="n">
        <f aca="false">TKQ_IF_PxEffMix</f>
        <v>1.96067555555556</v>
      </c>
      <c r="J117" s="12" t="s">
        <v>3118</v>
      </c>
    </row>
    <row r="118" customFormat="false" ht="15" hidden="false" customHeight="false" outlineLevel="0" collapsed="false">
      <c r="A118" s="9" t="s">
        <v>3185</v>
      </c>
      <c r="B118" s="10" t="s">
        <v>3121</v>
      </c>
      <c r="C118" s="9" t="s">
        <v>68</v>
      </c>
      <c r="D118" s="20" t="n">
        <f aca="false">SRC_OAI_002</f>
        <v>13.07</v>
      </c>
      <c r="E118" s="20" t="n">
        <f aca="false">SRC_OAI_002</f>
        <v>13.07</v>
      </c>
      <c r="F118" s="20" t="n">
        <f aca="false">INDEX(REV_GrossCapped,F$18)</f>
        <v>34.2037814299461</v>
      </c>
      <c r="G118" s="20" t="n">
        <f aca="false">INDEX(REV_GrossCapped,G$18)</f>
        <v>34.2037814299461</v>
      </c>
      <c r="H118" s="20" t="n">
        <f aca="false">INDEX(REV_GrossCapped,H$18)</f>
        <v>34.2037814299461</v>
      </c>
      <c r="J118" s="2"/>
    </row>
    <row r="119" customFormat="false" ht="15" hidden="false" customHeight="false" outlineLevel="0" collapsed="false">
      <c r="A119" s="9" t="s">
        <v>3186</v>
      </c>
      <c r="B119" s="10" t="s">
        <v>3122</v>
      </c>
      <c r="C119" s="10" t="s">
        <v>560</v>
      </c>
      <c r="D119" s="18" t="n">
        <f aca="false">D118*INP_270/(D115*D117)</f>
        <v>1.67664594601773</v>
      </c>
      <c r="E119" s="18" t="n">
        <f aca="false">E118*INP_270/(E115*E117)</f>
        <v>1.51274640420359</v>
      </c>
      <c r="F119" s="18" t="n">
        <f aca="false">F118*INP_270/(F115*F117)</f>
        <v>0.855958447797064</v>
      </c>
      <c r="G119" s="18" t="n">
        <f aca="false">G118*INP_270/(G115*G117)</f>
        <v>0.713298706497554</v>
      </c>
      <c r="H119" s="18" t="n">
        <f aca="false">H118*INP_270/(H115*H117)</f>
        <v>0.611398891283618</v>
      </c>
      <c r="J119" s="12" t="s">
        <v>3123</v>
      </c>
    </row>
    <row r="120" customFormat="false" ht="15" hidden="false" customHeight="false" outlineLevel="0" collapsed="false">
      <c r="A120" s="9" t="s">
        <v>3187</v>
      </c>
      <c r="B120" s="10" t="s">
        <v>3124</v>
      </c>
      <c r="C120" s="10" t="s">
        <v>560</v>
      </c>
      <c r="D120" s="18" t="n">
        <f aca="false">D113*INP_270/(D115*D117)</f>
        <v>1.35318444216705</v>
      </c>
      <c r="E120" s="18" t="n">
        <f aca="false">E113*INP_270/(E115*E117)</f>
        <v>1.35318444216705</v>
      </c>
      <c r="F120" s="18" t="n">
        <f aca="false">F113*INP_270/(F115*F117)</f>
        <v>0.612845213967067</v>
      </c>
      <c r="G120" s="18" t="n">
        <f aca="false">G113*INP_270/(G115*G117)</f>
        <v>0.612845213967067</v>
      </c>
      <c r="H120" s="18" t="n">
        <f aca="false">H113*INP_270/(H115*H117)</f>
        <v>0.612845213967067</v>
      </c>
      <c r="J120" s="2" t="s">
        <v>3125</v>
      </c>
    </row>
    <row r="121" customFormat="false" ht="15" hidden="false" customHeight="false" outlineLevel="0" collapsed="false">
      <c r="A121" s="9" t="s">
        <v>3188</v>
      </c>
      <c r="B121" s="10" t="s">
        <v>3126</v>
      </c>
      <c r="C121" s="10" t="s">
        <v>560</v>
      </c>
      <c r="D121" s="18" t="n">
        <f aca="false">D119/D120</f>
        <v>1.2390372618626</v>
      </c>
      <c r="E121" s="18" t="n">
        <f aca="false">E119/E120</f>
        <v>1.11791590049691</v>
      </c>
      <c r="F121" s="18" t="n">
        <f aca="false">F119/F120</f>
        <v>1.39669598177373</v>
      </c>
      <c r="G121" s="18" t="n">
        <f aca="false">G119/G120</f>
        <v>1.16391331814478</v>
      </c>
      <c r="H121" s="18" t="n">
        <f aca="false">H119/H120</f>
        <v>0.997639986981236</v>
      </c>
      <c r="J121" s="2" t="s">
        <v>3127</v>
      </c>
    </row>
    <row r="122" customFormat="false" ht="15" hidden="false" customHeight="false" outlineLevel="0" collapsed="false">
      <c r="A122" s="9" t="s">
        <v>3189</v>
      </c>
      <c r="B122" s="10" t="s">
        <v>3135</v>
      </c>
      <c r="C122" s="9" t="s">
        <v>375</v>
      </c>
      <c r="F122" s="18" t="n">
        <f aca="false">F118/(F112*((1-INP_276)*$D121+INP_276*$E121))</f>
        <v>2.81810730145865</v>
      </c>
      <c r="G122" s="18" t="n">
        <f aca="false">G118/(G112*((1-INP_276)*$D121+INP_276*$E121))</f>
        <v>2.81810730145865</v>
      </c>
      <c r="H122" s="18" t="n">
        <f aca="false">H118/(H112*((1-INP_276)*$D121+INP_276*$E121))</f>
        <v>2.81810730145865</v>
      </c>
      <c r="J122" s="12" t="s">
        <v>3136</v>
      </c>
    </row>
    <row r="123" customFormat="false" ht="15" hidden="false" customHeight="false" outlineLevel="0" collapsed="false">
      <c r="A123" s="25" t="s">
        <v>3190</v>
      </c>
    </row>
    <row r="124" customFormat="false" ht="15" hidden="false" customHeight="false" outlineLevel="0" collapsed="false">
      <c r="A124" s="9" t="s">
        <v>3191</v>
      </c>
      <c r="B124" s="10" t="s">
        <v>3066</v>
      </c>
      <c r="C124" s="9" t="s">
        <v>375</v>
      </c>
      <c r="D124" s="18" t="n">
        <f aca="false">D19</f>
        <v>1.12780698259266</v>
      </c>
      <c r="E124" s="18" t="n">
        <f aca="false">E19</f>
        <v>1.25</v>
      </c>
      <c r="F124" s="18" t="n">
        <f aca="false">F19</f>
        <v>2.5</v>
      </c>
      <c r="G124" s="18" t="n">
        <f aca="false">G19</f>
        <v>3</v>
      </c>
      <c r="H124" s="18" t="n">
        <f aca="false">H19</f>
        <v>3.5</v>
      </c>
      <c r="J124" s="2"/>
    </row>
    <row r="125" customFormat="false" ht="15" hidden="false" customHeight="false" outlineLevel="0" collapsed="false">
      <c r="A125" s="9" t="s">
        <v>3192</v>
      </c>
      <c r="B125" s="10" t="s">
        <v>3097</v>
      </c>
      <c r="C125" s="10" t="s">
        <v>120</v>
      </c>
      <c r="D125" s="22" t="n">
        <f aca="false">INDEX(CMP_Share_Hopper,D$18)</f>
        <v>0.6</v>
      </c>
      <c r="E125" s="22" t="n">
        <f aca="false">INDEX(CMP_Share_Hopper,E$18)</f>
        <v>0.6</v>
      </c>
      <c r="F125" s="22" t="n">
        <f aca="false">INP_281</f>
        <v>0.25</v>
      </c>
      <c r="G125" s="22" t="n">
        <f aca="false">INP_281</f>
        <v>0.25</v>
      </c>
      <c r="H125" s="22" t="n">
        <f aca="false">INP_281</f>
        <v>0.25</v>
      </c>
      <c r="J125" s="2"/>
    </row>
    <row r="126" customFormat="false" ht="15" hidden="false" customHeight="false" outlineLevel="0" collapsed="false">
      <c r="A126" s="9" t="s">
        <v>3193</v>
      </c>
      <c r="B126" s="10" t="s">
        <v>3098</v>
      </c>
      <c r="C126" s="10" t="s">
        <v>120</v>
      </c>
      <c r="D126" s="22" t="n">
        <f aca="false">INDEX(CMP_Share_GB200,D$18)</f>
        <v>0.4</v>
      </c>
      <c r="E126" s="22" t="n">
        <f aca="false">INDEX(CMP_Share_GB200,E$18)</f>
        <v>0.4</v>
      </c>
      <c r="F126" s="22" t="n">
        <f aca="false">INP_282</f>
        <v>0.45</v>
      </c>
      <c r="G126" s="22" t="n">
        <f aca="false">INP_282</f>
        <v>0.45</v>
      </c>
      <c r="H126" s="22" t="n">
        <f aca="false">INP_282</f>
        <v>0.45</v>
      </c>
      <c r="J126" s="2"/>
    </row>
    <row r="127" customFormat="false" ht="15" hidden="false" customHeight="false" outlineLevel="0" collapsed="false">
      <c r="A127" s="9" t="s">
        <v>3194</v>
      </c>
      <c r="B127" s="10" t="s">
        <v>3099</v>
      </c>
      <c r="C127" s="10" t="s">
        <v>120</v>
      </c>
      <c r="D127" s="22" t="n">
        <f aca="false">INDEX(CMP_Share_GB300,D$18)</f>
        <v>0</v>
      </c>
      <c r="E127" s="22" t="n">
        <f aca="false">INDEX(CMP_Share_GB300,E$18)</f>
        <v>0</v>
      </c>
      <c r="F127" s="22" t="n">
        <f aca="false">INP_283</f>
        <v>0.25</v>
      </c>
      <c r="G127" s="22" t="n">
        <f aca="false">INP_283</f>
        <v>0.25</v>
      </c>
      <c r="H127" s="22" t="n">
        <f aca="false">INP_283</f>
        <v>0.25</v>
      </c>
      <c r="J127" s="2"/>
    </row>
    <row r="128" customFormat="false" ht="15" hidden="false" customHeight="false" outlineLevel="0" collapsed="false">
      <c r="A128" s="9" t="s">
        <v>3195</v>
      </c>
      <c r="B128" s="10" t="s">
        <v>3100</v>
      </c>
      <c r="C128" s="10" t="s">
        <v>120</v>
      </c>
      <c r="D128" s="22" t="n">
        <f aca="false">INDEX(CMP_Share_VR200,D$18)</f>
        <v>0</v>
      </c>
      <c r="E128" s="22" t="n">
        <f aca="false">INDEX(CMP_Share_VR200,E$18)</f>
        <v>0</v>
      </c>
      <c r="F128" s="22" t="n">
        <f aca="false">INP_284</f>
        <v>0.05</v>
      </c>
      <c r="G128" s="22" t="n">
        <f aca="false">INP_284</f>
        <v>0.05</v>
      </c>
      <c r="H128" s="22" t="n">
        <f aca="false">INP_284</f>
        <v>0.05</v>
      </c>
      <c r="J128" s="2"/>
    </row>
    <row r="129" customFormat="false" ht="15" hidden="false" customHeight="false" outlineLevel="0" collapsed="false">
      <c r="A129" s="9" t="s">
        <v>3196</v>
      </c>
      <c r="B129" s="10" t="s">
        <v>3101</v>
      </c>
      <c r="C129" s="10" t="s">
        <v>120</v>
      </c>
      <c r="D129" s="22" t="n">
        <f aca="false">INDEX(CMP_Share_RubinUltra,D$18)</f>
        <v>0</v>
      </c>
      <c r="E129" s="22" t="n">
        <f aca="false">INDEX(CMP_Share_RubinUltra,E$18)</f>
        <v>0</v>
      </c>
      <c r="F129" s="22" t="n">
        <f aca="false">INP_285</f>
        <v>0</v>
      </c>
      <c r="G129" s="22" t="n">
        <f aca="false">INP_285</f>
        <v>0</v>
      </c>
      <c r="H129" s="22" t="n">
        <f aca="false">INP_285</f>
        <v>0</v>
      </c>
      <c r="J129" s="2"/>
    </row>
    <row r="130" customFormat="false" ht="15" hidden="false" customHeight="false" outlineLevel="0" collapsed="false">
      <c r="A130" s="9" t="s">
        <v>3197</v>
      </c>
      <c r="B130" s="10" t="s">
        <v>3102</v>
      </c>
      <c r="C130" s="10" t="s">
        <v>120</v>
      </c>
      <c r="D130" s="22" t="n">
        <f aca="false">INDEX(CMP_Share_Custom,D$18)</f>
        <v>0</v>
      </c>
      <c r="E130" s="22" t="n">
        <f aca="false">INDEX(CMP_Share_Custom,E$18)</f>
        <v>0</v>
      </c>
      <c r="F130" s="22" t="n">
        <f aca="false">INP_286</f>
        <v>0</v>
      </c>
      <c r="G130" s="22" t="n">
        <f aca="false">INP_286</f>
        <v>0</v>
      </c>
      <c r="H130" s="22" t="n">
        <f aca="false">INP_286</f>
        <v>0</v>
      </c>
      <c r="J130" s="2"/>
    </row>
    <row r="131" customFormat="false" ht="15" hidden="false" customHeight="false" outlineLevel="0" collapsed="false">
      <c r="A131" s="9" t="s">
        <v>3198</v>
      </c>
      <c r="B131" s="10" t="s">
        <v>3103</v>
      </c>
      <c r="C131" s="10" t="s">
        <v>120</v>
      </c>
      <c r="D131" s="22" t="n">
        <f aca="false">SUM(D125:D130)</f>
        <v>1</v>
      </c>
      <c r="E131" s="22" t="n">
        <f aca="false">SUM(E125:E130)</f>
        <v>1</v>
      </c>
      <c r="F131" s="22" t="n">
        <f aca="false">SUM(F125:F130)</f>
        <v>1</v>
      </c>
      <c r="G131" s="22" t="n">
        <f aca="false">SUM(G125:G130)</f>
        <v>1</v>
      </c>
      <c r="H131" s="22" t="n">
        <f aca="false">SUM(H125:H130)</f>
        <v>1</v>
      </c>
      <c r="J131" s="12" t="s">
        <v>3104</v>
      </c>
    </row>
    <row r="132" customFormat="false" ht="15" hidden="false" customHeight="false" outlineLevel="0" collapsed="false">
      <c r="A132" s="9" t="s">
        <v>3199</v>
      </c>
      <c r="B132" s="10" t="s">
        <v>3105</v>
      </c>
      <c r="C132" s="9" t="s">
        <v>1566</v>
      </c>
      <c r="D132" s="18" t="n">
        <f aca="false">SUMPRODUCT(D125:D130,$D$24:$D$29)</f>
        <v>9.35311859805586</v>
      </c>
      <c r="E132" s="18" t="n">
        <f aca="false">SUMPRODUCT(E125:E130,$D$24:$D$29)</f>
        <v>9.35311859805586</v>
      </c>
      <c r="F132" s="18" t="n">
        <f aca="false">SUMPRODUCT(F125:F130,$D$24:$D$29)</f>
        <v>9.73132262697083</v>
      </c>
      <c r="G132" s="18" t="n">
        <f aca="false">SUMPRODUCT(G125:G130,$D$24:$D$29)</f>
        <v>9.73132262697083</v>
      </c>
      <c r="H132" s="18" t="n">
        <f aca="false">SUMPRODUCT(H125:H130,$D$24:$D$29)</f>
        <v>9.73132262697083</v>
      </c>
      <c r="J132" s="12" t="s">
        <v>3106</v>
      </c>
    </row>
    <row r="133" customFormat="false" ht="15" hidden="false" customHeight="false" outlineLevel="0" collapsed="false">
      <c r="A133" s="9" t="s">
        <v>3200</v>
      </c>
      <c r="B133" s="10" t="s">
        <v>3107</v>
      </c>
      <c r="C133" s="9" t="s">
        <v>68</v>
      </c>
      <c r="D133" s="20" t="n">
        <f aca="false">D124*D132</f>
        <v>10.5485124639047</v>
      </c>
      <c r="E133" s="20" t="n">
        <f aca="false">E124*E132</f>
        <v>11.6913982475698</v>
      </c>
      <c r="F133" s="20" t="n">
        <f aca="false">F124*F132</f>
        <v>24.3283065674271</v>
      </c>
      <c r="G133" s="20" t="n">
        <f aca="false">G124*G132</f>
        <v>29.1939678809125</v>
      </c>
      <c r="H133" s="20" t="n">
        <f aca="false">H124*H132</f>
        <v>34.0596291943979</v>
      </c>
      <c r="J133" s="2" t="s">
        <v>3108</v>
      </c>
    </row>
    <row r="134" customFormat="false" ht="15" hidden="false" customHeight="false" outlineLevel="0" collapsed="false">
      <c r="A134" s="9" t="s">
        <v>3201</v>
      </c>
      <c r="B134" s="10" t="s">
        <v>3109</v>
      </c>
      <c r="C134" s="9" t="s">
        <v>981</v>
      </c>
      <c r="D134" s="21" t="n">
        <f aca="false">SUMPRODUCT(D125:D130,$E$24:$E$29,$H$24:$H$29)</f>
        <v>56014889764.1034</v>
      </c>
      <c r="E134" s="21" t="n">
        <f aca="false">SUMPRODUCT(E125:E130,$E$24:$E$29,$H$24:$H$29)</f>
        <v>56014889764.1034</v>
      </c>
      <c r="F134" s="21" t="n">
        <f aca="false">SUMPRODUCT(F125:F130,$E$24:$E$29,$H$24:$H$29)</f>
        <v>96677472050.1409</v>
      </c>
      <c r="G134" s="21" t="n">
        <f aca="false">SUMPRODUCT(G125:G130,$E$24:$E$29,$H$24:$H$29)</f>
        <v>96677472050.1409</v>
      </c>
      <c r="H134" s="21" t="n">
        <f aca="false">SUMPRODUCT(H125:H130,$E$24:$E$29,$H$24:$H$29)</f>
        <v>96677472050.1409</v>
      </c>
      <c r="J134" s="12" t="s">
        <v>3110</v>
      </c>
    </row>
    <row r="135" customFormat="false" ht="15" hidden="false" customHeight="false" outlineLevel="0" collapsed="false">
      <c r="A135" s="9" t="s">
        <v>3202</v>
      </c>
      <c r="B135" s="9" t="s">
        <v>3111</v>
      </c>
      <c r="C135" s="9" t="s">
        <v>798</v>
      </c>
      <c r="D135" s="21" t="n">
        <f aca="false">D124*TKQ_IF_ServeShare*(1-TKQ_IF_FreeShare)*D134*TKQ_IF_UtilActual</f>
        <v>5734555205.92542</v>
      </c>
      <c r="E135" s="21" t="n">
        <f aca="false">E124*TKQ_IF_ServeShare*(1-TKQ_IF_FreeShare)*E134*TKQ_IF_UtilActual</f>
        <v>6355869504.3084</v>
      </c>
      <c r="F135" s="21" t="n">
        <f aca="false">F124*TKQ_IF_ServeShare*(1-TKQ_IF_FreeShare)*F134*TKQ_IF_UtilActual</f>
        <v>21939502119.6987</v>
      </c>
      <c r="G135" s="21" t="n">
        <f aca="false">G124*TKQ_IF_ServeShare*(1-TKQ_IF_FreeShare)*G134*TKQ_IF_UtilActual</f>
        <v>26327402543.6385</v>
      </c>
      <c r="H135" s="21" t="n">
        <f aca="false">H124*TKQ_IF_ServeShare*(1-TKQ_IF_FreeShare)*H134*TKQ_IF_UtilActual</f>
        <v>30715302967.5782</v>
      </c>
      <c r="J135" s="12" t="s">
        <v>3112</v>
      </c>
    </row>
    <row r="136" customFormat="false" ht="15" hidden="false" customHeight="false" outlineLevel="0" collapsed="false">
      <c r="A136" s="9" t="s">
        <v>3203</v>
      </c>
      <c r="B136" s="9" t="s">
        <v>3113</v>
      </c>
      <c r="C136" s="9" t="s">
        <v>3114</v>
      </c>
      <c r="D136" s="23" t="n">
        <f aca="false">D135/INP_254</f>
        <v>5734.55520592542</v>
      </c>
      <c r="E136" s="23" t="n">
        <f aca="false">E135/INP_254</f>
        <v>6355.8695043084</v>
      </c>
      <c r="F136" s="23" t="n">
        <f aca="false">F135/INP_254</f>
        <v>21939.5021196987</v>
      </c>
      <c r="G136" s="23" t="n">
        <f aca="false">G135/INP_254</f>
        <v>26327.4025436385</v>
      </c>
      <c r="H136" s="23" t="n">
        <f aca="false">H135/INP_254</f>
        <v>30715.3029675782</v>
      </c>
      <c r="J136" s="2" t="s">
        <v>3115</v>
      </c>
    </row>
    <row r="137" customFormat="false" ht="15" hidden="false" customHeight="false" outlineLevel="0" collapsed="false">
      <c r="A137" s="9" t="s">
        <v>3204</v>
      </c>
      <c r="B137" s="10" t="s">
        <v>3116</v>
      </c>
      <c r="C137" s="9" t="s">
        <v>3117</v>
      </c>
      <c r="D137" s="18" t="n">
        <f aca="false">TKQ_IF_PxEffMix25</f>
        <v>1.35936</v>
      </c>
      <c r="E137" s="18" t="n">
        <f aca="false">TKQ_IF_PxEffMix25</f>
        <v>1.35936</v>
      </c>
      <c r="F137" s="18" t="n">
        <f aca="false">TKQ_IF_PxEffMix</f>
        <v>1.96067555555556</v>
      </c>
      <c r="G137" s="18" t="n">
        <f aca="false">TKQ_IF_PxEffMix</f>
        <v>1.96067555555556</v>
      </c>
      <c r="H137" s="18" t="n">
        <f aca="false">TKQ_IF_PxEffMix</f>
        <v>1.96067555555556</v>
      </c>
      <c r="J137" s="12" t="s">
        <v>3118</v>
      </c>
    </row>
    <row r="138" customFormat="false" ht="15" hidden="false" customHeight="false" outlineLevel="0" collapsed="false">
      <c r="A138" s="9" t="s">
        <v>3205</v>
      </c>
      <c r="B138" s="10" t="s">
        <v>3121</v>
      </c>
      <c r="C138" s="9" t="s">
        <v>68</v>
      </c>
      <c r="D138" s="20" t="n">
        <f aca="false">D20</f>
        <v>13.07</v>
      </c>
      <c r="E138" s="20" t="n">
        <f aca="false">E20</f>
        <v>13.07</v>
      </c>
      <c r="F138" s="20" t="n">
        <f aca="false">F20</f>
        <v>36</v>
      </c>
      <c r="G138" s="20" t="n">
        <f aca="false">G20</f>
        <v>36</v>
      </c>
      <c r="H138" s="20" t="n">
        <f aca="false">H20</f>
        <v>36</v>
      </c>
      <c r="J138" s="2"/>
    </row>
    <row r="139" customFormat="false" ht="15" hidden="false" customHeight="false" outlineLevel="0" collapsed="false">
      <c r="A139" s="9" t="s">
        <v>3206</v>
      </c>
      <c r="B139" s="10" t="s">
        <v>3122</v>
      </c>
      <c r="C139" s="10" t="s">
        <v>560</v>
      </c>
      <c r="D139" s="18" t="n">
        <f aca="false">D138*INP_270/(D135*D137)</f>
        <v>1.67664594601773</v>
      </c>
      <c r="E139" s="18" t="n">
        <f aca="false">E138*INP_270/(E135*E137)</f>
        <v>1.51274640420359</v>
      </c>
      <c r="F139" s="18" t="n">
        <f aca="false">F138*INP_270/(F135*F137)</f>
        <v>0.83689312201861</v>
      </c>
      <c r="G139" s="18" t="n">
        <f aca="false">G138*INP_270/(G135*G137)</f>
        <v>0.697410935015508</v>
      </c>
      <c r="H139" s="18" t="n">
        <f aca="false">H138*INP_270/(H135*H137)</f>
        <v>0.597780801441864</v>
      </c>
      <c r="J139" s="12" t="s">
        <v>3123</v>
      </c>
    </row>
    <row r="140" customFormat="false" ht="15" hidden="false" customHeight="false" outlineLevel="0" collapsed="false">
      <c r="A140" s="9" t="s">
        <v>3207</v>
      </c>
      <c r="B140" s="10" t="s">
        <v>3124</v>
      </c>
      <c r="C140" s="10" t="s">
        <v>560</v>
      </c>
      <c r="D140" s="18" t="n">
        <f aca="false">D133*INP_270/(D135*D137)</f>
        <v>1.35318444216705</v>
      </c>
      <c r="E140" s="18" t="n">
        <f aca="false">E133*INP_270/(E135*E137)</f>
        <v>1.35318444216705</v>
      </c>
      <c r="F140" s="18" t="n">
        <f aca="false">F133*INP_270/(F135*F137)</f>
        <v>0.565560901017775</v>
      </c>
      <c r="G140" s="18" t="n">
        <f aca="false">G133*INP_270/(G135*G137)</f>
        <v>0.565560901017775</v>
      </c>
      <c r="H140" s="18" t="n">
        <f aca="false">H133*INP_270/(H135*H137)</f>
        <v>0.565560901017775</v>
      </c>
      <c r="J140" s="2" t="s">
        <v>3125</v>
      </c>
    </row>
    <row r="141" customFormat="false" ht="15" hidden="false" customHeight="false" outlineLevel="0" collapsed="false">
      <c r="A141" s="9" t="s">
        <v>3208</v>
      </c>
      <c r="B141" s="10" t="s">
        <v>3126</v>
      </c>
      <c r="C141" s="10" t="s">
        <v>560</v>
      </c>
      <c r="D141" s="18" t="n">
        <f aca="false">D139/D140</f>
        <v>1.2390372618626</v>
      </c>
      <c r="E141" s="18" t="n">
        <f aca="false">E139/E140</f>
        <v>1.11791590049691</v>
      </c>
      <c r="F141" s="18" t="n">
        <f aca="false">F139/F140</f>
        <v>1.47975774229186</v>
      </c>
      <c r="G141" s="18" t="n">
        <f aca="false">G139/G140</f>
        <v>1.23313145190988</v>
      </c>
      <c r="H141" s="18" t="n">
        <f aca="false">H139/H140</f>
        <v>1.05696981592275</v>
      </c>
      <c r="J141" s="2" t="s">
        <v>3127</v>
      </c>
    </row>
    <row r="142" customFormat="false" ht="15" hidden="false" customHeight="false" outlineLevel="0" collapsed="false">
      <c r="A142" s="9" t="s">
        <v>3209</v>
      </c>
      <c r="B142" s="10" t="s">
        <v>3135</v>
      </c>
      <c r="C142" s="9" t="s">
        <v>375</v>
      </c>
      <c r="F142" s="18" t="n">
        <f aca="false">F138/(F132*((1-INP_276)*$D141+INP_276*$E141))</f>
        <v>2.9857006480729</v>
      </c>
      <c r="G142" s="18" t="n">
        <f aca="false">G138/(G132*((1-INP_276)*$D141+INP_276*$E141))</f>
        <v>2.9857006480729</v>
      </c>
      <c r="H142" s="18" t="n">
        <f aca="false">H138/(H132*((1-INP_276)*$D141+INP_276*$E141))</f>
        <v>2.9857006480729</v>
      </c>
      <c r="J142" s="12" t="s">
        <v>3136</v>
      </c>
    </row>
    <row r="143" customFormat="false" ht="15" hidden="false" customHeight="false" outlineLevel="0" collapsed="false">
      <c r="A143" s="25" t="s">
        <v>3210</v>
      </c>
    </row>
    <row r="144" customFormat="false" ht="15" hidden="false" customHeight="false" outlineLevel="0" collapsed="false">
      <c r="A144" s="9" t="s">
        <v>3211</v>
      </c>
      <c r="B144" s="10" t="s">
        <v>3066</v>
      </c>
      <c r="C144" s="9" t="s">
        <v>375</v>
      </c>
      <c r="D144" s="18" t="n">
        <f aca="false">D19</f>
        <v>1.12780698259266</v>
      </c>
      <c r="E144" s="18" t="n">
        <f aca="false">E19</f>
        <v>1.25</v>
      </c>
      <c r="F144" s="18" t="n">
        <f aca="false">INDEX(CMP_SupplyGW,F$18)</f>
        <v>2.83420634920635</v>
      </c>
      <c r="G144" s="18" t="n">
        <f aca="false">INDEX(CMP_SupplyGW,G$18)</f>
        <v>2.83420634920635</v>
      </c>
      <c r="H144" s="18" t="n">
        <f aca="false">INDEX(CMP_SupplyGW,H$18)</f>
        <v>2.83420634920635</v>
      </c>
      <c r="J144" s="2"/>
    </row>
    <row r="145" customFormat="false" ht="15" hidden="false" customHeight="false" outlineLevel="0" collapsed="false">
      <c r="A145" s="9" t="s">
        <v>3212</v>
      </c>
      <c r="B145" s="10" t="s">
        <v>3097</v>
      </c>
      <c r="C145" s="10" t="s">
        <v>120</v>
      </c>
      <c r="D145" s="22" t="n">
        <f aca="false">INDEX(CMP_Share_Hopper,D$18)</f>
        <v>0.6</v>
      </c>
      <c r="E145" s="22" t="n">
        <f aca="false">INDEX(CMP_Share_Hopper,E$18)</f>
        <v>0.6</v>
      </c>
      <c r="F145" s="22" t="n">
        <f aca="false">(1-INP_280)*INDEX(CMP_Share_Hopper,F$18)+INP_280*INP_281</f>
        <v>0.35</v>
      </c>
      <c r="G145" s="22" t="n">
        <f aca="false">(1-INP_280)*INDEX(CMP_Share_Hopper,G$18)+INP_280*INP_281</f>
        <v>0.35</v>
      </c>
      <c r="H145" s="22" t="n">
        <f aca="false">(1-INP_280)*INDEX(CMP_Share_Hopper,H$18)+INP_280*INP_281</f>
        <v>0.35</v>
      </c>
      <c r="J145" s="2"/>
    </row>
    <row r="146" customFormat="false" ht="15" hidden="false" customHeight="false" outlineLevel="0" collapsed="false">
      <c r="A146" s="9" t="s">
        <v>3213</v>
      </c>
      <c r="B146" s="10" t="s">
        <v>3098</v>
      </c>
      <c r="C146" s="10" t="s">
        <v>120</v>
      </c>
      <c r="D146" s="22" t="n">
        <f aca="false">INDEX(CMP_Share_GB200,D$18)</f>
        <v>0.4</v>
      </c>
      <c r="E146" s="22" t="n">
        <f aca="false">INDEX(CMP_Share_GB200,E$18)</f>
        <v>0.4</v>
      </c>
      <c r="F146" s="22" t="n">
        <f aca="false">(1-INP_280)*INDEX(CMP_Share_GB200,F$18)+INP_280*INP_282</f>
        <v>0.275</v>
      </c>
      <c r="G146" s="22" t="n">
        <f aca="false">(1-INP_280)*INDEX(CMP_Share_GB200,G$18)+INP_280*INP_282</f>
        <v>0.275</v>
      </c>
      <c r="H146" s="22" t="n">
        <f aca="false">(1-INP_280)*INDEX(CMP_Share_GB200,H$18)+INP_280*INP_282</f>
        <v>0.275</v>
      </c>
      <c r="J146" s="2"/>
    </row>
    <row r="147" customFormat="false" ht="15" hidden="false" customHeight="false" outlineLevel="0" collapsed="false">
      <c r="A147" s="9" t="s">
        <v>3214</v>
      </c>
      <c r="B147" s="10" t="s">
        <v>3099</v>
      </c>
      <c r="C147" s="10" t="s">
        <v>120</v>
      </c>
      <c r="D147" s="22" t="n">
        <f aca="false">INDEX(CMP_Share_GB300,D$18)</f>
        <v>0</v>
      </c>
      <c r="E147" s="22" t="n">
        <f aca="false">INDEX(CMP_Share_GB300,E$18)</f>
        <v>0</v>
      </c>
      <c r="F147" s="22" t="n">
        <f aca="false">(1-INP_280)*INDEX(CMP_Share_GB300,F$18)+INP_280*INP_283</f>
        <v>0.275</v>
      </c>
      <c r="G147" s="22" t="n">
        <f aca="false">(1-INP_280)*INDEX(CMP_Share_GB300,G$18)+INP_280*INP_283</f>
        <v>0.275</v>
      </c>
      <c r="H147" s="22" t="n">
        <f aca="false">(1-INP_280)*INDEX(CMP_Share_GB300,H$18)+INP_280*INP_283</f>
        <v>0.275</v>
      </c>
      <c r="J147" s="2"/>
    </row>
    <row r="148" customFormat="false" ht="15" hidden="false" customHeight="false" outlineLevel="0" collapsed="false">
      <c r="A148" s="9" t="s">
        <v>3215</v>
      </c>
      <c r="B148" s="10" t="s">
        <v>3100</v>
      </c>
      <c r="C148" s="10" t="s">
        <v>120</v>
      </c>
      <c r="D148" s="22" t="n">
        <f aca="false">INDEX(CMP_Share_VR200,D$18)</f>
        <v>0</v>
      </c>
      <c r="E148" s="22" t="n">
        <f aca="false">INDEX(CMP_Share_VR200,E$18)</f>
        <v>0</v>
      </c>
      <c r="F148" s="22" t="n">
        <f aca="false">(1-INP_280)*INDEX(CMP_Share_VR200,F$18)+INP_280*INP_284</f>
        <v>0.05</v>
      </c>
      <c r="G148" s="22" t="n">
        <f aca="false">(1-INP_280)*INDEX(CMP_Share_VR200,G$18)+INP_280*INP_284</f>
        <v>0.05</v>
      </c>
      <c r="H148" s="22" t="n">
        <f aca="false">(1-INP_280)*INDEX(CMP_Share_VR200,H$18)+INP_280*INP_284</f>
        <v>0.05</v>
      </c>
      <c r="J148" s="2"/>
    </row>
    <row r="149" customFormat="false" ht="15" hidden="false" customHeight="false" outlineLevel="0" collapsed="false">
      <c r="A149" s="9" t="s">
        <v>3216</v>
      </c>
      <c r="B149" s="10" t="s">
        <v>3101</v>
      </c>
      <c r="C149" s="10" t="s">
        <v>120</v>
      </c>
      <c r="D149" s="22" t="n">
        <f aca="false">INDEX(CMP_Share_RubinUltra,D$18)</f>
        <v>0</v>
      </c>
      <c r="E149" s="22" t="n">
        <f aca="false">INDEX(CMP_Share_RubinUltra,E$18)</f>
        <v>0</v>
      </c>
      <c r="F149" s="22" t="n">
        <f aca="false">(1-INP_280)*INDEX(CMP_Share_RubinUltra,F$18)+INP_280*INP_285</f>
        <v>0</v>
      </c>
      <c r="G149" s="22" t="n">
        <f aca="false">(1-INP_280)*INDEX(CMP_Share_RubinUltra,G$18)+INP_280*INP_285</f>
        <v>0</v>
      </c>
      <c r="H149" s="22" t="n">
        <f aca="false">(1-INP_280)*INDEX(CMP_Share_RubinUltra,H$18)+INP_280*INP_285</f>
        <v>0</v>
      </c>
      <c r="J149" s="2"/>
    </row>
    <row r="150" customFormat="false" ht="15" hidden="false" customHeight="false" outlineLevel="0" collapsed="false">
      <c r="A150" s="9" t="s">
        <v>3217</v>
      </c>
      <c r="B150" s="10" t="s">
        <v>3102</v>
      </c>
      <c r="C150" s="10" t="s">
        <v>120</v>
      </c>
      <c r="D150" s="22" t="n">
        <f aca="false">INDEX(CMP_Share_Custom,D$18)</f>
        <v>0</v>
      </c>
      <c r="E150" s="22" t="n">
        <f aca="false">INDEX(CMP_Share_Custom,E$18)</f>
        <v>0</v>
      </c>
      <c r="F150" s="22" t="n">
        <f aca="false">(1-INP_280)*INDEX(CMP_Share_Custom,F$18)+INP_280*INP_286</f>
        <v>0.05</v>
      </c>
      <c r="G150" s="22" t="n">
        <f aca="false">(1-INP_280)*INDEX(CMP_Share_Custom,G$18)+INP_280*INP_286</f>
        <v>0.05</v>
      </c>
      <c r="H150" s="22" t="n">
        <f aca="false">(1-INP_280)*INDEX(CMP_Share_Custom,H$18)+INP_280*INP_286</f>
        <v>0.05</v>
      </c>
      <c r="J150" s="2"/>
    </row>
    <row r="151" customFormat="false" ht="15" hidden="false" customHeight="false" outlineLevel="0" collapsed="false">
      <c r="A151" s="9" t="s">
        <v>3218</v>
      </c>
      <c r="B151" s="10" t="s">
        <v>3103</v>
      </c>
      <c r="C151" s="10" t="s">
        <v>120</v>
      </c>
      <c r="D151" s="22" t="n">
        <f aca="false">SUM(D145:D150)</f>
        <v>1</v>
      </c>
      <c r="E151" s="22" t="n">
        <f aca="false">SUM(E145:E150)</f>
        <v>1</v>
      </c>
      <c r="F151" s="22" t="n">
        <f aca="false">SUM(F145:F150)</f>
        <v>1</v>
      </c>
      <c r="G151" s="22" t="n">
        <f aca="false">SUM(G145:G150)</f>
        <v>1</v>
      </c>
      <c r="H151" s="22" t="n">
        <f aca="false">SUM(H145:H150)</f>
        <v>1</v>
      </c>
      <c r="J151" s="12" t="s">
        <v>3104</v>
      </c>
    </row>
    <row r="152" customFormat="false" ht="15" hidden="false" customHeight="false" outlineLevel="0" collapsed="false">
      <c r="A152" s="9" t="s">
        <v>3219</v>
      </c>
      <c r="B152" s="10" t="s">
        <v>3105</v>
      </c>
      <c r="C152" s="9" t="s">
        <v>1566</v>
      </c>
      <c r="D152" s="18" t="n">
        <f aca="false">SUMPRODUCT(D145:D150,$D$24:$D$29)</f>
        <v>9.35311859805586</v>
      </c>
      <c r="E152" s="18" t="n">
        <f aca="false">SUMPRODUCT(E145:E150,$D$24:$D$29)</f>
        <v>9.35311859805586</v>
      </c>
      <c r="F152" s="18" t="n">
        <f aca="false">SUMPRODUCT(F145:F150,$D$24:$D$29)</f>
        <v>9.79562678672824</v>
      </c>
      <c r="G152" s="18" t="n">
        <f aca="false">SUMPRODUCT(G145:G150,$D$24:$D$29)</f>
        <v>9.79562678672824</v>
      </c>
      <c r="H152" s="18" t="n">
        <f aca="false">SUMPRODUCT(H145:H150,$D$24:$D$29)</f>
        <v>9.79562678672824</v>
      </c>
      <c r="J152" s="12" t="s">
        <v>3106</v>
      </c>
    </row>
    <row r="153" customFormat="false" ht="15" hidden="false" customHeight="false" outlineLevel="0" collapsed="false">
      <c r="A153" s="9" t="s">
        <v>3220</v>
      </c>
      <c r="B153" s="10" t="s">
        <v>3107</v>
      </c>
      <c r="C153" s="9" t="s">
        <v>68</v>
      </c>
      <c r="D153" s="20" t="n">
        <f aca="false">D144*D152</f>
        <v>10.5485124639047</v>
      </c>
      <c r="E153" s="20" t="n">
        <f aca="false">E144*E152</f>
        <v>11.6913982475698</v>
      </c>
      <c r="F153" s="20" t="n">
        <f aca="false">F144*F152</f>
        <v>27.762827633401</v>
      </c>
      <c r="G153" s="20" t="n">
        <f aca="false">G144*G152</f>
        <v>27.762827633401</v>
      </c>
      <c r="H153" s="20" t="n">
        <f aca="false">H144*H152</f>
        <v>27.762827633401</v>
      </c>
      <c r="J153" s="2" t="s">
        <v>3108</v>
      </c>
    </row>
    <row r="154" customFormat="false" ht="15" hidden="false" customHeight="false" outlineLevel="0" collapsed="false">
      <c r="A154" s="9" t="s">
        <v>3221</v>
      </c>
      <c r="B154" s="10" t="s">
        <v>3109</v>
      </c>
      <c r="C154" s="9" t="s">
        <v>981</v>
      </c>
      <c r="D154" s="21" t="n">
        <f aca="false">SUMPRODUCT(D145:D150,$E$24:$E$29,$H$24:$H$29)</f>
        <v>56014889764.1034</v>
      </c>
      <c r="E154" s="21" t="n">
        <f aca="false">SUMPRODUCT(E145:E150,$E$24:$E$29,$H$24:$H$29)</f>
        <v>56014889764.1034</v>
      </c>
      <c r="F154" s="21" t="n">
        <f aca="false">SUMPRODUCT(F145:F150,$E$24:$E$29,$H$24:$H$29)</f>
        <v>89807834327.187</v>
      </c>
      <c r="G154" s="21" t="n">
        <f aca="false">SUMPRODUCT(G145:G150,$E$24:$E$29,$H$24:$H$29)</f>
        <v>89807834327.187</v>
      </c>
      <c r="H154" s="21" t="n">
        <f aca="false">SUMPRODUCT(H145:H150,$E$24:$E$29,$H$24:$H$29)</f>
        <v>89807834327.187</v>
      </c>
      <c r="J154" s="12" t="s">
        <v>3110</v>
      </c>
    </row>
    <row r="155" customFormat="false" ht="15" hidden="false" customHeight="false" outlineLevel="0" collapsed="false">
      <c r="A155" s="9" t="s">
        <v>3222</v>
      </c>
      <c r="B155" s="9" t="s">
        <v>3111</v>
      </c>
      <c r="C155" s="9" t="s">
        <v>798</v>
      </c>
      <c r="D155" s="21" t="n">
        <f aca="false">D144*TKQ_IF_ServeShare*(1-TKQ_IF_FreeShare)*D154*TKQ_IF_UtilActual</f>
        <v>5734555205.92542</v>
      </c>
      <c r="E155" s="21" t="n">
        <f aca="false">E144*TKQ_IF_ServeShare*(1-TKQ_IF_FreeShare)*E154*TKQ_IF_UtilActual</f>
        <v>6355869504.3084</v>
      </c>
      <c r="F155" s="21" t="n">
        <f aca="false">F144*TKQ_IF_ServeShare*(1-TKQ_IF_FreeShare)*F154*TKQ_IF_UtilActual</f>
        <v>23105063348.3888</v>
      </c>
      <c r="G155" s="21" t="n">
        <f aca="false">G144*TKQ_IF_ServeShare*(1-TKQ_IF_FreeShare)*G154*TKQ_IF_UtilActual</f>
        <v>23105063348.3888</v>
      </c>
      <c r="H155" s="21" t="n">
        <f aca="false">H144*TKQ_IF_ServeShare*(1-TKQ_IF_FreeShare)*H154*TKQ_IF_UtilActual</f>
        <v>23105063348.3888</v>
      </c>
      <c r="J155" s="12" t="s">
        <v>3112</v>
      </c>
    </row>
    <row r="156" customFormat="false" ht="15" hidden="false" customHeight="false" outlineLevel="0" collapsed="false">
      <c r="A156" s="9" t="s">
        <v>3223</v>
      </c>
      <c r="B156" s="9" t="s">
        <v>3113</v>
      </c>
      <c r="C156" s="9" t="s">
        <v>3114</v>
      </c>
      <c r="D156" s="23" t="n">
        <f aca="false">D155/INP_254</f>
        <v>5734.55520592542</v>
      </c>
      <c r="E156" s="23" t="n">
        <f aca="false">E155/INP_254</f>
        <v>6355.8695043084</v>
      </c>
      <c r="F156" s="23" t="n">
        <f aca="false">F155/INP_254</f>
        <v>23105.0633483888</v>
      </c>
      <c r="G156" s="23" t="n">
        <f aca="false">G155/INP_254</f>
        <v>23105.0633483888</v>
      </c>
      <c r="H156" s="23" t="n">
        <f aca="false">H155/INP_254</f>
        <v>23105.0633483888</v>
      </c>
      <c r="J156" s="2" t="s">
        <v>3115</v>
      </c>
    </row>
    <row r="157" customFormat="false" ht="15" hidden="false" customHeight="false" outlineLevel="0" collapsed="false">
      <c r="A157" s="9" t="s">
        <v>3224</v>
      </c>
      <c r="B157" s="10" t="s">
        <v>3116</v>
      </c>
      <c r="C157" s="9" t="s">
        <v>3117</v>
      </c>
      <c r="D157" s="18" t="n">
        <f aca="false">TKQ_IF_PxEffMix25</f>
        <v>1.35936</v>
      </c>
      <c r="E157" s="18" t="n">
        <f aca="false">TKQ_IF_PxEffMix25</f>
        <v>1.35936</v>
      </c>
      <c r="F157" s="18" t="n">
        <f aca="false">TKQ_IF_PxEffMix</f>
        <v>1.96067555555556</v>
      </c>
      <c r="G157" s="18" t="n">
        <f aca="false">TKQ_IF_PxEffMix</f>
        <v>1.96067555555556</v>
      </c>
      <c r="H157" s="18" t="n">
        <f aca="false">TKQ_IF_PxEffMix</f>
        <v>1.96067555555556</v>
      </c>
      <c r="J157" s="12" t="s">
        <v>3118</v>
      </c>
    </row>
    <row r="158" customFormat="false" ht="15" hidden="false" customHeight="false" outlineLevel="0" collapsed="false">
      <c r="A158" s="9" t="s">
        <v>3225</v>
      </c>
      <c r="B158" s="10" t="s">
        <v>3121</v>
      </c>
      <c r="C158" s="9" t="s">
        <v>68</v>
      </c>
      <c r="D158" s="20" t="n">
        <f aca="false">D20</f>
        <v>13.07</v>
      </c>
      <c r="E158" s="20" t="n">
        <f aca="false">E20</f>
        <v>13.07</v>
      </c>
      <c r="F158" s="20" t="n">
        <f aca="false">F20</f>
        <v>36</v>
      </c>
      <c r="G158" s="20" t="n">
        <f aca="false">G20</f>
        <v>36</v>
      </c>
      <c r="H158" s="20" t="n">
        <f aca="false">H20</f>
        <v>36</v>
      </c>
      <c r="J158" s="2"/>
    </row>
    <row r="159" customFormat="false" ht="15" hidden="false" customHeight="false" outlineLevel="0" collapsed="false">
      <c r="A159" s="9" t="s">
        <v>3226</v>
      </c>
      <c r="B159" s="10" t="s">
        <v>3122</v>
      </c>
      <c r="C159" s="10" t="s">
        <v>560</v>
      </c>
      <c r="D159" s="18" t="n">
        <f aca="false">D158*INP_270/(D155*D157)</f>
        <v>1.67664594601773</v>
      </c>
      <c r="E159" s="18" t="n">
        <f aca="false">E158*INP_270/(E155*E157)</f>
        <v>1.51274640420359</v>
      </c>
      <c r="F159" s="18" t="n">
        <f aca="false">F158*INP_270/(F155*F157)</f>
        <v>0.79467509556813</v>
      </c>
      <c r="G159" s="18" t="n">
        <f aca="false">G158*INP_270/(G155*G157)</f>
        <v>0.79467509556813</v>
      </c>
      <c r="H159" s="18" t="n">
        <f aca="false">H158*INP_270/(H155*H157)</f>
        <v>0.79467509556813</v>
      </c>
      <c r="J159" s="12" t="s">
        <v>3123</v>
      </c>
    </row>
    <row r="160" customFormat="false" ht="15" hidden="false" customHeight="false" outlineLevel="0" collapsed="false">
      <c r="A160" s="9" t="s">
        <v>3227</v>
      </c>
      <c r="B160" s="10" t="s">
        <v>3124</v>
      </c>
      <c r="C160" s="10" t="s">
        <v>560</v>
      </c>
      <c r="D160" s="18" t="n">
        <f aca="false">D153*INP_270/(D155*D157)</f>
        <v>1.35318444216705</v>
      </c>
      <c r="E160" s="18" t="n">
        <f aca="false">E153*INP_270/(E155*E157)</f>
        <v>1.35318444216705</v>
      </c>
      <c r="F160" s="18" t="n">
        <f aca="false">F153*INP_270/(F155*F157)</f>
        <v>0.612845213967067</v>
      </c>
      <c r="G160" s="18" t="n">
        <f aca="false">G153*INP_270/(G155*G157)</f>
        <v>0.612845213967067</v>
      </c>
      <c r="H160" s="18" t="n">
        <f aca="false">H153*INP_270/(H155*H157)</f>
        <v>0.612845213967067</v>
      </c>
      <c r="J160" s="2" t="s">
        <v>3125</v>
      </c>
    </row>
    <row r="161" customFormat="false" ht="15" hidden="false" customHeight="false" outlineLevel="0" collapsed="false">
      <c r="A161" s="9" t="s">
        <v>3228</v>
      </c>
      <c r="B161" s="10" t="s">
        <v>3126</v>
      </c>
      <c r="C161" s="10" t="s">
        <v>560</v>
      </c>
      <c r="D161" s="18" t="n">
        <f aca="false">D159/D160</f>
        <v>1.2390372618626</v>
      </c>
      <c r="E161" s="18" t="n">
        <f aca="false">E159/E160</f>
        <v>1.11791590049691</v>
      </c>
      <c r="F161" s="18" t="n">
        <f aca="false">F159/F160</f>
        <v>1.29669788954382</v>
      </c>
      <c r="G161" s="18" t="n">
        <f aca="false">G159/G160</f>
        <v>1.29669788954382</v>
      </c>
      <c r="H161" s="18" t="n">
        <f aca="false">H159/H160</f>
        <v>1.29669788954382</v>
      </c>
      <c r="J161" s="2" t="s">
        <v>3127</v>
      </c>
    </row>
    <row r="162" customFormat="false" ht="15" hidden="false" customHeight="false" outlineLevel="0" collapsed="false">
      <c r="A162" s="9" t="s">
        <v>3229</v>
      </c>
      <c r="B162" s="10" t="s">
        <v>3135</v>
      </c>
      <c r="C162" s="9" t="s">
        <v>375</v>
      </c>
      <c r="F162" s="18" t="n">
        <f aca="false">F158/(F152*((1-INP_276)*$D161+INP_276*$E161))</f>
        <v>2.96610078216931</v>
      </c>
      <c r="G162" s="18" t="n">
        <f aca="false">G158/(G152*((1-INP_276)*$D161+INP_276*$E161))</f>
        <v>2.96610078216931</v>
      </c>
      <c r="H162" s="18" t="n">
        <f aca="false">H158/(H152*((1-INP_276)*$D161+INP_276*$E161))</f>
        <v>2.96610078216931</v>
      </c>
      <c r="J162" s="12" t="s">
        <v>3136</v>
      </c>
    </row>
    <row r="163" customFormat="false" ht="15" hidden="false" customHeight="false" outlineLevel="0" collapsed="false">
      <c r="A163" s="14" t="s">
        <v>3230</v>
      </c>
    </row>
    <row r="164" customFormat="false" ht="15" hidden="false" customHeight="false" outlineLevel="0" collapsed="false">
      <c r="A164" s="9" t="s">
        <v>3231</v>
      </c>
      <c r="B164" s="10" t="s">
        <v>3232</v>
      </c>
      <c r="C164" s="9" t="s">
        <v>68</v>
      </c>
      <c r="D164" s="20" t="n">
        <f aca="false">SRC_OAI_138</f>
        <v>16</v>
      </c>
      <c r="E164" s="20" t="n">
        <f aca="false">SRC_OAI_138</f>
        <v>16</v>
      </c>
      <c r="F164" s="20" t="n">
        <f aca="false">SRC_OAI_139</f>
        <v>50</v>
      </c>
      <c r="G164" s="20" t="n">
        <f aca="false">SRC_OAI_139</f>
        <v>50</v>
      </c>
      <c r="H164" s="20" t="n">
        <f aca="false">SRC_OAI_139</f>
        <v>50</v>
      </c>
      <c r="J164" s="12" t="s">
        <v>3233</v>
      </c>
    </row>
    <row r="165" customFormat="false" ht="15" hidden="false" customHeight="false" outlineLevel="0" collapsed="false">
      <c r="A165" s="9" t="s">
        <v>3234</v>
      </c>
      <c r="B165" s="10" t="s">
        <v>3235</v>
      </c>
      <c r="C165" s="10" t="s">
        <v>560</v>
      </c>
      <c r="D165" s="20" t="n">
        <f aca="false">D164/D40</f>
        <v>1.51680154474381</v>
      </c>
      <c r="E165" s="20" t="n">
        <f aca="false">E164/E40</f>
        <v>1.36852749869553</v>
      </c>
      <c r="F165" s="20" t="n">
        <f aca="false">F164/F40</f>
        <v>2.04172743974866</v>
      </c>
      <c r="G165" s="20" t="n">
        <f aca="false">G164/G40</f>
        <v>1.70143953312388</v>
      </c>
      <c r="H165" s="20" t="n">
        <f aca="false">H164/H40</f>
        <v>1.45837674267761</v>
      </c>
      <c r="J165" s="2" t="s">
        <v>3236</v>
      </c>
    </row>
    <row r="166" customFormat="false" ht="15" hidden="false" customHeight="false" outlineLevel="0" collapsed="false">
      <c r="A166" s="9" t="s">
        <v>3237</v>
      </c>
      <c r="B166" s="9" t="s">
        <v>3238</v>
      </c>
      <c r="C166" s="9" t="s">
        <v>68</v>
      </c>
      <c r="D166" s="20" t="n">
        <f aca="false">TKQ_SRC_DEM_004+TKQ_SRC_DEM_006</f>
        <v>20.4</v>
      </c>
      <c r="E166" s="20" t="n">
        <f aca="false">TKQ_SRC_DEM_004+TKQ_SRC_DEM_006</f>
        <v>20.4</v>
      </c>
      <c r="J166" s="12" t="s">
        <v>3239</v>
      </c>
    </row>
    <row r="167" customFormat="false" ht="15" hidden="false" customHeight="false" outlineLevel="0" collapsed="false">
      <c r="A167" s="9" t="s">
        <v>3240</v>
      </c>
      <c r="B167" s="10" t="s">
        <v>3241</v>
      </c>
      <c r="C167" s="10" t="s">
        <v>560</v>
      </c>
      <c r="D167" s="20" t="n">
        <f aca="false">D166/D40</f>
        <v>1.93392196954836</v>
      </c>
      <c r="E167" s="20" t="n">
        <f aca="false">E166/E40</f>
        <v>1.7448725608368</v>
      </c>
      <c r="J167" s="2"/>
    </row>
    <row r="168" customFormat="false" ht="15" hidden="false" customHeight="false" outlineLevel="0" collapsed="false">
      <c r="A168" s="14" t="s">
        <v>3242</v>
      </c>
    </row>
    <row r="169" customFormat="false" ht="29.85" hidden="false" customHeight="false" outlineLevel="0" collapsed="false">
      <c r="B169" s="8" t="s">
        <v>1794</v>
      </c>
      <c r="C169" s="8" t="s">
        <v>46</v>
      </c>
      <c r="D169" s="8" t="s">
        <v>3243</v>
      </c>
      <c r="E169" s="8" t="s">
        <v>3244</v>
      </c>
      <c r="F169" s="8" t="s">
        <v>3245</v>
      </c>
      <c r="G169" s="8" t="s">
        <v>3246</v>
      </c>
      <c r="H169" s="8" t="s">
        <v>3247</v>
      </c>
      <c r="I169" s="8" t="s">
        <v>3248</v>
      </c>
    </row>
    <row r="170" customFormat="false" ht="15" hidden="false" customHeight="false" outlineLevel="0" collapsed="false">
      <c r="A170" s="9" t="s">
        <v>3249</v>
      </c>
      <c r="B170" s="10" t="s">
        <v>3250</v>
      </c>
      <c r="C170" s="9" t="s">
        <v>68</v>
      </c>
      <c r="D170" s="2" t="n">
        <v>9.35</v>
      </c>
      <c r="E170" s="18" t="n">
        <f aca="false">D66</f>
        <v>9.35311859805586</v>
      </c>
      <c r="F170" s="26" t="n">
        <f aca="false">(E170-D170)/D170</f>
        <v>0.000333539899022236</v>
      </c>
      <c r="G170" s="9" t="str">
        <f aca="false">IF(ABS(F170)&lt;=INP_288,"OK","差異")</f>
        <v>OK</v>
      </c>
      <c r="H170" s="18" t="n">
        <f aca="false">D39</f>
        <v>9.35311859805586</v>
      </c>
      <c r="I170" s="26" t="n">
        <f aca="false">(H170-D170)/D170</f>
        <v>0.000333539899022236</v>
      </c>
    </row>
    <row r="171" customFormat="false" ht="15" hidden="false" customHeight="false" outlineLevel="0" collapsed="false">
      <c r="A171" s="9" t="s">
        <v>3251</v>
      </c>
      <c r="B171" s="10" t="s">
        <v>3252</v>
      </c>
      <c r="C171" s="9" t="s">
        <v>68</v>
      </c>
      <c r="D171" s="2" t="n">
        <v>9.73</v>
      </c>
      <c r="E171" s="18" t="n">
        <f aca="false">G66</f>
        <v>9.73132262697083</v>
      </c>
      <c r="F171" s="26" t="n">
        <f aca="false">(E171-D171)/D171</f>
        <v>0.000135932884977112</v>
      </c>
      <c r="G171" s="9" t="str">
        <f aca="false">IF(ABS(F171)&lt;=INP_288,"OK","差異")</f>
        <v>OK</v>
      </c>
      <c r="H171" s="18" t="n">
        <f aca="false">G39</f>
        <v>9.79562678672824</v>
      </c>
      <c r="I171" s="26" t="n">
        <f aca="false">(H171-D171)/D171</f>
        <v>0.00674478794740371</v>
      </c>
    </row>
    <row r="172" customFormat="false" ht="15" hidden="false" customHeight="false" outlineLevel="0" collapsed="false">
      <c r="A172" s="9" t="s">
        <v>3253</v>
      </c>
      <c r="B172" s="10" t="s">
        <v>3254</v>
      </c>
      <c r="C172" s="9" t="s">
        <v>68</v>
      </c>
      <c r="D172" s="2" t="n">
        <v>10.6</v>
      </c>
      <c r="E172" s="18" t="n">
        <f aca="false">D67</f>
        <v>10.5485124639047</v>
      </c>
      <c r="F172" s="26" t="n">
        <f aca="false">(E172-D172)/D172</f>
        <v>-0.00485731472597199</v>
      </c>
      <c r="G172" s="9" t="str">
        <f aca="false">IF(ABS(F172)&lt;=INP_288,"OK","差異")</f>
        <v>OK</v>
      </c>
      <c r="H172" s="18" t="n">
        <f aca="false">D40</f>
        <v>10.5485124639047</v>
      </c>
      <c r="I172" s="26" t="n">
        <f aca="false">(H172-D172)/D172</f>
        <v>-0.00485731472597199</v>
      </c>
    </row>
    <row r="173" customFormat="false" ht="15" hidden="false" customHeight="false" outlineLevel="0" collapsed="false">
      <c r="A173" s="9" t="s">
        <v>3255</v>
      </c>
      <c r="B173" s="10" t="s">
        <v>3256</v>
      </c>
      <c r="C173" s="9" t="s">
        <v>68</v>
      </c>
      <c r="D173" s="2" t="n">
        <v>11.7</v>
      </c>
      <c r="E173" s="18" t="n">
        <f aca="false">E67</f>
        <v>11.6913982475698</v>
      </c>
      <c r="F173" s="26" t="n">
        <f aca="false">(E173-D173)/D173</f>
        <v>-0.000735192515399774</v>
      </c>
      <c r="G173" s="9" t="str">
        <f aca="false">IF(ABS(F173)&lt;=INP_288,"OK","差異")</f>
        <v>OK</v>
      </c>
      <c r="H173" s="18" t="n">
        <f aca="false">E40</f>
        <v>11.6913982475698</v>
      </c>
      <c r="I173" s="26" t="n">
        <f aca="false">(H173-D173)/D173</f>
        <v>-0.000735192515399774</v>
      </c>
    </row>
    <row r="174" customFormat="false" ht="15" hidden="false" customHeight="false" outlineLevel="0" collapsed="false">
      <c r="A174" s="9" t="s">
        <v>3257</v>
      </c>
      <c r="B174" s="10" t="s">
        <v>3258</v>
      </c>
      <c r="C174" s="9" t="s">
        <v>68</v>
      </c>
      <c r="D174" s="2" t="n">
        <v>24.3</v>
      </c>
      <c r="E174" s="18" t="n">
        <f aca="false">F67</f>
        <v>24.3283065674271</v>
      </c>
      <c r="F174" s="26" t="n">
        <f aca="false">(E174-D174)/D174</f>
        <v>0.0011648793179864</v>
      </c>
      <c r="G174" s="9" t="str">
        <f aca="false">IF(ABS(F174)&lt;=INP_288,"OK","差異")</f>
        <v>OK</v>
      </c>
      <c r="H174" s="18" t="n">
        <f aca="false">F40</f>
        <v>24.4890669668206</v>
      </c>
      <c r="I174" s="26" t="n">
        <f aca="false">(H174-D174)/D174</f>
        <v>0.0077805336140162</v>
      </c>
    </row>
    <row r="175" customFormat="false" ht="15" hidden="false" customHeight="false" outlineLevel="0" collapsed="false">
      <c r="A175" s="9" t="s">
        <v>3259</v>
      </c>
      <c r="B175" s="10" t="s">
        <v>3260</v>
      </c>
      <c r="C175" s="9" t="s">
        <v>68</v>
      </c>
      <c r="D175" s="2" t="n">
        <v>29.2</v>
      </c>
      <c r="E175" s="18" t="n">
        <f aca="false">G67</f>
        <v>29.1939678809125</v>
      </c>
      <c r="F175" s="26" t="n">
        <f aca="false">(E175-D175)/D175</f>
        <v>-0.000206579420805407</v>
      </c>
      <c r="G175" s="9" t="str">
        <f aca="false">IF(ABS(F175)&lt;=INP_288,"OK","差異")</f>
        <v>OK</v>
      </c>
      <c r="H175" s="18" t="n">
        <f aca="false">G40</f>
        <v>29.3868803601847</v>
      </c>
      <c r="I175" s="26" t="n">
        <f aca="false">(H175-D175)/D175</f>
        <v>0.00640001233509302</v>
      </c>
    </row>
    <row r="176" customFormat="false" ht="15" hidden="false" customHeight="false" outlineLevel="0" collapsed="false">
      <c r="A176" s="9" t="s">
        <v>3261</v>
      </c>
      <c r="B176" s="10" t="s">
        <v>3262</v>
      </c>
      <c r="C176" s="9" t="s">
        <v>68</v>
      </c>
      <c r="D176" s="2" t="n">
        <v>34.1</v>
      </c>
      <c r="E176" s="18" t="n">
        <f aca="false">H67</f>
        <v>34.0596291943979</v>
      </c>
      <c r="F176" s="26" t="n">
        <f aca="false">(E176-D176)/D176</f>
        <v>-0.001183894592437</v>
      </c>
      <c r="G176" s="9" t="str">
        <f aca="false">IF(ABS(F176)&lt;=INP_288,"OK","差異")</f>
        <v>OK</v>
      </c>
      <c r="H176" s="18" t="n">
        <f aca="false">H40</f>
        <v>34.2846937535488</v>
      </c>
      <c r="I176" s="26" t="n">
        <f aca="false">(H176-D176)/D176</f>
        <v>0.00541623910700396</v>
      </c>
    </row>
    <row r="177" customFormat="false" ht="15" hidden="false" customHeight="false" outlineLevel="0" collapsed="false">
      <c r="A177" s="9" t="s">
        <v>3263</v>
      </c>
      <c r="B177" s="10" t="s">
        <v>3264</v>
      </c>
      <c r="C177" s="10" t="s">
        <v>560</v>
      </c>
      <c r="D177" s="2" t="n">
        <v>1.24</v>
      </c>
      <c r="E177" s="18" t="n">
        <f aca="false">D76</f>
        <v>1.2390372618626</v>
      </c>
      <c r="F177" s="26" t="n">
        <f aca="false">(E177-D177)/D177</f>
        <v>-0.000776401723708602</v>
      </c>
      <c r="G177" s="9" t="str">
        <f aca="false">IF(ABS(F177)&lt;=INP_288,"OK","差異")</f>
        <v>OK</v>
      </c>
      <c r="H177" s="18" t="n">
        <f aca="false">D49</f>
        <v>1.2390372618626</v>
      </c>
      <c r="I177" s="26" t="n">
        <f aca="false">(H177-D177)/D177</f>
        <v>-0.000776401723708602</v>
      </c>
    </row>
    <row r="178" customFormat="false" ht="15" hidden="false" customHeight="false" outlineLevel="0" collapsed="false">
      <c r="A178" s="9" t="s">
        <v>3265</v>
      </c>
      <c r="B178" s="10" t="s">
        <v>3266</v>
      </c>
      <c r="C178" s="10" t="s">
        <v>560</v>
      </c>
      <c r="D178" s="2" t="n">
        <v>1.12</v>
      </c>
      <c r="E178" s="18" t="n">
        <f aca="false">E76</f>
        <v>1.11791590049691</v>
      </c>
      <c r="F178" s="26" t="n">
        <f aca="false">(E178-D178)/D178</f>
        <v>-0.00186080312776009</v>
      </c>
      <c r="G178" s="9" t="str">
        <f aca="false">IF(ABS(F178)&lt;=INP_288,"OK","差異")</f>
        <v>OK</v>
      </c>
      <c r="H178" s="18" t="n">
        <f aca="false">E49</f>
        <v>1.11791590049691</v>
      </c>
      <c r="I178" s="26" t="n">
        <f aca="false">(H178-D178)/D178</f>
        <v>-0.00186080312776009</v>
      </c>
    </row>
    <row r="179" customFormat="false" ht="15" hidden="false" customHeight="false" outlineLevel="0" collapsed="false">
      <c r="A179" s="9" t="s">
        <v>3267</v>
      </c>
      <c r="B179" s="10" t="s">
        <v>3268</v>
      </c>
      <c r="C179" s="10" t="s">
        <v>560</v>
      </c>
      <c r="D179" s="2" t="n">
        <v>1.48</v>
      </c>
      <c r="E179" s="18" t="n">
        <f aca="false">F76</f>
        <v>1.47975774229186</v>
      </c>
      <c r="F179" s="26" t="n">
        <f aca="false">(E179-D179)/D179</f>
        <v>-0.000163687640638296</v>
      </c>
      <c r="G179" s="9" t="str">
        <f aca="false">IF(ABS(F179)&lt;=INP_288,"OK","差異")</f>
        <v>OK</v>
      </c>
      <c r="H179" s="18" t="n">
        <f aca="false">F49</f>
        <v>1.47004375661903</v>
      </c>
      <c r="I179" s="26" t="n">
        <f aca="false">(H179-D179)/D179</f>
        <v>-0.00672719147362681</v>
      </c>
    </row>
    <row r="180" customFormat="false" ht="15" hidden="false" customHeight="false" outlineLevel="0" collapsed="false">
      <c r="A180" s="9" t="s">
        <v>3269</v>
      </c>
      <c r="B180" s="10" t="s">
        <v>3270</v>
      </c>
      <c r="C180" s="10" t="s">
        <v>560</v>
      </c>
      <c r="D180" s="2" t="n">
        <v>1.23</v>
      </c>
      <c r="E180" s="18" t="n">
        <f aca="false">G76</f>
        <v>1.23313145190988</v>
      </c>
      <c r="F180" s="26" t="n">
        <f aca="false">(E180-D180)/D180</f>
        <v>0.00254589586169066</v>
      </c>
      <c r="G180" s="9" t="str">
        <f aca="false">IF(ABS(F180)&lt;=INP_288,"OK","差異")</f>
        <v>OK</v>
      </c>
      <c r="H180" s="18" t="n">
        <f aca="false">G49</f>
        <v>1.22503646384919</v>
      </c>
      <c r="I180" s="26" t="n">
        <f aca="false">(H180-D180)/D180</f>
        <v>-0.00403539524455811</v>
      </c>
    </row>
    <row r="181" customFormat="false" ht="15" hidden="false" customHeight="false" outlineLevel="0" collapsed="false">
      <c r="A181" s="9" t="s">
        <v>3271</v>
      </c>
      <c r="B181" s="10" t="s">
        <v>3272</v>
      </c>
      <c r="C181" s="10" t="s">
        <v>560</v>
      </c>
      <c r="D181" s="2" t="n">
        <v>1.06</v>
      </c>
      <c r="E181" s="18" t="n">
        <f aca="false">H76</f>
        <v>1.05696981592275</v>
      </c>
      <c r="F181" s="26" t="n">
        <f aca="false">(E181-D181)/D181</f>
        <v>-0.00285866422381717</v>
      </c>
      <c r="G181" s="9" t="str">
        <f aca="false">IF(ABS(F181)&lt;=INP_288,"OK","差異")</f>
        <v>OK</v>
      </c>
      <c r="H181" s="18" t="n">
        <f aca="false">H49</f>
        <v>1.05003125472788</v>
      </c>
      <c r="I181" s="26" t="n">
        <f aca="false">(H181-D181)/D181</f>
        <v>-0.00940447667181132</v>
      </c>
    </row>
    <row r="182" customFormat="false" ht="15" hidden="false" customHeight="false" outlineLevel="0" collapsed="false">
      <c r="A182" s="9" t="s">
        <v>3273</v>
      </c>
      <c r="B182" s="10" t="s">
        <v>3274</v>
      </c>
      <c r="C182" s="9" t="s">
        <v>375</v>
      </c>
      <c r="D182" s="2" t="n">
        <v>2.99</v>
      </c>
      <c r="E182" s="18" t="n">
        <f aca="false">G80</f>
        <v>2.9857006480729</v>
      </c>
      <c r="F182" s="26" t="n">
        <f aca="false">(E182-D182)/D182</f>
        <v>-0.00143791034351229</v>
      </c>
      <c r="G182" s="9" t="str">
        <f aca="false">IF(ABS(F182)&lt;=INP_288,"OK","差異")</f>
        <v>OK</v>
      </c>
      <c r="H182" s="18" t="n">
        <f aca="false">G53</f>
        <v>2.96610078216931</v>
      </c>
      <c r="I182" s="26" t="n">
        <f aca="false">(H182-D182)/D182</f>
        <v>-0.0079930494417028</v>
      </c>
    </row>
    <row r="183" customFormat="false" ht="15" hidden="false" customHeight="false" outlineLevel="0" collapsed="false">
      <c r="A183" s="9" t="s">
        <v>3275</v>
      </c>
      <c r="B183" s="10" t="s">
        <v>3276</v>
      </c>
      <c r="C183" s="9" t="s">
        <v>375</v>
      </c>
      <c r="D183" s="2" t="n">
        <v>3.31</v>
      </c>
      <c r="E183" s="18" t="n">
        <f aca="false">G81</f>
        <v>3.30918842292633</v>
      </c>
      <c r="F183" s="26" t="n">
        <f aca="false">(E183-D183)/D183</f>
        <v>-0.000245189448237285</v>
      </c>
      <c r="G183" s="9" t="str">
        <f aca="false">IF(ABS(F183)&lt;=INP_288,"OK","差異")</f>
        <v>OK</v>
      </c>
      <c r="H183" s="18" t="n">
        <f aca="false">G54</f>
        <v>3.2874649961719</v>
      </c>
      <c r="I183" s="26" t="n">
        <f aca="false">(H183-D183)/D183</f>
        <v>-0.00680815825622237</v>
      </c>
    </row>
    <row r="184" customFormat="false" ht="15" hidden="false" customHeight="false" outlineLevel="0" collapsed="false">
      <c r="A184" s="9" t="s">
        <v>3277</v>
      </c>
      <c r="B184" s="9" t="s">
        <v>3278</v>
      </c>
      <c r="C184" s="9" t="s">
        <v>3279</v>
      </c>
      <c r="D184" s="2" t="n">
        <v>6400</v>
      </c>
      <c r="E184" s="23" t="n">
        <f aca="false">E70</f>
        <v>6355.8695043084</v>
      </c>
      <c r="F184" s="26" t="n">
        <f aca="false">(E184-D184)/D184</f>
        <v>-0.00689538995181309</v>
      </c>
      <c r="G184" s="9" t="str">
        <f aca="false">IF(ABS(F184)&lt;=INP_288,"OK","差異")</f>
        <v>差異</v>
      </c>
      <c r="H184" s="23" t="n">
        <f aca="false">E43</f>
        <v>6355.8695043084</v>
      </c>
      <c r="I184" s="26" t="n">
        <f aca="false">(H184-D184)/D184</f>
        <v>-0.00689538995181309</v>
      </c>
    </row>
    <row r="185" customFormat="false" ht="15" hidden="false" customHeight="false" outlineLevel="0" collapsed="false">
      <c r="B185" s="3" t="s">
        <v>3280</v>
      </c>
      <c r="E185" s="9" t="n">
        <f aca="false">COUNTIF(G170:G184,"差異")</f>
        <v>1</v>
      </c>
      <c r="J185" s="2" t="s">
        <v>3281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3282</v>
      </c>
    </row>
    <row r="2" customFormat="false" ht="15" hidden="false" customHeight="false" outlineLevel="0" collapsed="false">
      <c r="A2" s="12" t="s">
        <v>3283</v>
      </c>
    </row>
    <row r="4" customFormat="false" ht="29.85" hidden="false" customHeight="false" outlineLevel="0" collapsed="false">
      <c r="A4" s="8" t="s">
        <v>1793</v>
      </c>
      <c r="B4" s="8" t="s">
        <v>3284</v>
      </c>
      <c r="C4" s="8" t="s">
        <v>1795</v>
      </c>
      <c r="D4" s="8" t="s">
        <v>3285</v>
      </c>
      <c r="E4" s="8" t="s">
        <v>3286</v>
      </c>
      <c r="F4" s="8" t="s">
        <v>777</v>
      </c>
    </row>
    <row r="5" customFormat="false" ht="15" hidden="false" customHeight="false" outlineLevel="0" collapsed="false">
      <c r="A5" s="9" t="s">
        <v>3287</v>
      </c>
      <c r="B5" s="9" t="s">
        <v>3288</v>
      </c>
      <c r="C5" s="9" t="n">
        <f aca="false">SUMPRODUCT(--(LEN(SRC_OAI!$A$5:$A$400)&gt;0))</f>
        <v>134</v>
      </c>
      <c r="D5" s="9" t="n">
        <v>134</v>
      </c>
      <c r="E5" s="9" t="str">
        <f aca="false">IF(C5=D5,"OK","ERR")</f>
        <v>OK</v>
      </c>
      <c r="F5" s="2" t="s">
        <v>3289</v>
      </c>
    </row>
    <row r="6" customFormat="false" ht="15" hidden="false" customHeight="false" outlineLevel="0" collapsed="false">
      <c r="A6" s="9" t="s">
        <v>3290</v>
      </c>
      <c r="B6" s="9" t="s">
        <v>3291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3292</v>
      </c>
    </row>
    <row r="7" customFormat="false" ht="15" hidden="false" customHeight="false" outlineLevel="0" collapsed="false">
      <c r="A7" s="9" t="s">
        <v>3293</v>
      </c>
      <c r="B7" s="9" t="s">
        <v>3294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3295</v>
      </c>
      <c r="B8" s="9" t="s">
        <v>3296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3297</v>
      </c>
    </row>
    <row r="9" customFormat="false" ht="15" hidden="false" customHeight="false" outlineLevel="0" collapsed="false">
      <c r="A9" s="9" t="s">
        <v>3298</v>
      </c>
      <c r="B9" s="9" t="s">
        <v>3299</v>
      </c>
      <c r="C9" s="9" t="n">
        <f aca="false">SUMPRODUCT(--(LEN(Inputs!$A$5:$A$600)&gt;0))</f>
        <v>276</v>
      </c>
      <c r="D9" s="9" t="n">
        <v>276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3300</v>
      </c>
      <c r="B10" s="9" t="s">
        <v>3301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3302</v>
      </c>
    </row>
    <row r="11" customFormat="false" ht="15" hidden="false" customHeight="false" outlineLevel="0" collapsed="false">
      <c r="A11" s="9" t="s">
        <v>3303</v>
      </c>
      <c r="B11" s="9" t="s">
        <v>3304</v>
      </c>
      <c r="C11" s="9" t="n">
        <f aca="false">COUNTIF(TK_Link!$F$10:$F$200,"OK")</f>
        <v>63</v>
      </c>
      <c r="E11" s="9" t="s">
        <v>3305</v>
      </c>
      <c r="F11" s="2" t="s">
        <v>3306</v>
      </c>
    </row>
    <row r="12" customFormat="false" ht="15" hidden="false" customHeight="false" outlineLevel="0" collapsed="false">
      <c r="A12" s="9" t="s">
        <v>3307</v>
      </c>
      <c r="B12" s="9" t="s">
        <v>3308</v>
      </c>
      <c r="C12" s="9" t="n">
        <f aca="false">COUNTIF(TK_Link!$F$10:$F$200,"待 Tokenomics 提供")</f>
        <v>0</v>
      </c>
      <c r="D12" s="9" t="n">
        <v>0</v>
      </c>
      <c r="E12" s="9" t="str">
        <f aca="false">IF(C12=D12,"OK","ERR")</f>
        <v>OK</v>
      </c>
      <c r="F12" s="2" t="s">
        <v>3309</v>
      </c>
    </row>
    <row r="13" customFormat="false" ht="15" hidden="false" customHeight="false" outlineLevel="0" collapsed="false">
      <c r="A13" s="9" t="s">
        <v>3310</v>
      </c>
      <c r="B13" s="9" t="s">
        <v>3311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3312</v>
      </c>
      <c r="B14" s="9" t="s">
        <v>3313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3314</v>
      </c>
    </row>
    <row r="15" customFormat="false" ht="15" hidden="false" customHeight="false" outlineLevel="0" collapsed="false">
      <c r="A15" s="9" t="s">
        <v>3315</v>
      </c>
      <c r="B15" s="9" t="s">
        <v>3316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3317</v>
      </c>
    </row>
    <row r="16" customFormat="false" ht="15" hidden="false" customHeight="false" outlineLevel="0" collapsed="false">
      <c r="A16" s="9" t="s">
        <v>3318</v>
      </c>
      <c r="B16" s="9" t="s">
        <v>3319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3320</v>
      </c>
    </row>
    <row r="17" customFormat="false" ht="15" hidden="false" customHeight="false" outlineLevel="0" collapsed="false">
      <c r="A17" s="9" t="s">
        <v>3321</v>
      </c>
      <c r="B17" s="10" t="s">
        <v>3322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3323</v>
      </c>
    </row>
    <row r="18" customFormat="false" ht="15" hidden="false" customHeight="false" outlineLevel="0" collapsed="false">
      <c r="A18" s="9" t="s">
        <v>3324</v>
      </c>
      <c r="B18" s="10" t="s">
        <v>3325</v>
      </c>
      <c r="C18" s="9" t="n">
        <f aca="false">IF(SRC_OAI_060-SRC_OAI_059+1&gt;0,SRC_OAI_058/(SRC_OAI_060-SRC_OAI_059+1)/SRC_OAI_061,"期間無效")</f>
        <v>13.3333333333333</v>
      </c>
      <c r="E18" s="9" t="s">
        <v>3305</v>
      </c>
      <c r="F18" s="12" t="s">
        <v>3326</v>
      </c>
    </row>
    <row r="19" customFormat="false" ht="15" hidden="false" customHeight="false" outlineLevel="0" collapsed="false">
      <c r="A19" s="9" t="s">
        <v>3327</v>
      </c>
      <c r="B19" s="10" t="s">
        <v>3328</v>
      </c>
      <c r="C19" s="9" t="n">
        <f aca="false">IF(SRC_OAI_067-SRC_OAI_066+1&gt;0,SRC_OAI_065/(SRC_OAI_067-SRC_OAI_066+1)/SRC_OAI_068,"期間無效")</f>
        <v>6.25</v>
      </c>
      <c r="E19" s="9" t="s">
        <v>3305</v>
      </c>
      <c r="F19" s="2" t="s">
        <v>3329</v>
      </c>
    </row>
    <row r="20" customFormat="false" ht="15" hidden="false" customHeight="false" outlineLevel="0" collapsed="false">
      <c r="A20" s="9" t="s">
        <v>3330</v>
      </c>
      <c r="B20" s="10" t="s">
        <v>3331</v>
      </c>
      <c r="C20" s="9" t="n">
        <f aca="false">SRC_OAI_047-SRC_OAI_003</f>
        <v>0.9</v>
      </c>
      <c r="E20" s="9" t="s">
        <v>3305</v>
      </c>
      <c r="F20" s="2" t="s">
        <v>3332</v>
      </c>
    </row>
    <row r="21" customFormat="false" ht="15" hidden="false" customHeight="false" outlineLevel="0" collapsed="false">
      <c r="A21" s="9" t="s">
        <v>3333</v>
      </c>
      <c r="B21" s="10" t="s">
        <v>3334</v>
      </c>
      <c r="C21" s="9" t="n">
        <f aca="false">SRC_OAI_087-C22</f>
        <v>7.18</v>
      </c>
      <c r="E21" s="9" t="s">
        <v>3305</v>
      </c>
      <c r="F21" s="2" t="s">
        <v>3335</v>
      </c>
    </row>
    <row r="22" customFormat="false" ht="15" hidden="false" customHeight="false" outlineLevel="0" collapsed="false">
      <c r="A22" s="9" t="s">
        <v>3336</v>
      </c>
      <c r="B22" s="9" t="s">
        <v>3337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3338</v>
      </c>
    </row>
    <row r="23" customFormat="false" ht="15" hidden="false" customHeight="false" outlineLevel="0" collapsed="false">
      <c r="A23" s="9" t="s">
        <v>3339</v>
      </c>
      <c r="B23" s="9" t="s">
        <v>3340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3341</v>
      </c>
    </row>
    <row r="24" customFormat="false" ht="15" hidden="false" customHeight="false" outlineLevel="0" collapsed="false">
      <c r="A24" s="9" t="s">
        <v>3342</v>
      </c>
      <c r="B24" s="9" t="s">
        <v>3343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3344</v>
      </c>
    </row>
    <row r="25" customFormat="false" ht="15" hidden="false" customHeight="false" outlineLevel="0" collapsed="false">
      <c r="A25" s="9" t="s">
        <v>3345</v>
      </c>
      <c r="B25" s="9" t="s">
        <v>3346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3347</v>
      </c>
    </row>
    <row r="26" customFormat="false" ht="15" hidden="false" customHeight="false" outlineLevel="0" collapsed="false">
      <c r="A26" s="9" t="s">
        <v>3348</v>
      </c>
      <c r="B26" s="9" t="s">
        <v>3349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3350</v>
      </c>
    </row>
    <row r="27" customFormat="false" ht="15" hidden="false" customHeight="false" outlineLevel="0" collapsed="false">
      <c r="A27" s="9" t="s">
        <v>3351</v>
      </c>
      <c r="B27" s="9" t="s">
        <v>3352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3353</v>
      </c>
    </row>
    <row r="28" customFormat="false" ht="15" hidden="false" customHeight="false" outlineLevel="0" collapsed="false">
      <c r="A28" s="9" t="s">
        <v>3354</v>
      </c>
      <c r="B28" s="9" t="s">
        <v>3355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3356</v>
      </c>
    </row>
    <row r="29" customFormat="false" ht="15" hidden="false" customHeight="false" outlineLevel="0" collapsed="false">
      <c r="A29" s="9" t="s">
        <v>3357</v>
      </c>
      <c r="B29" s="9" t="s">
        <v>3358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3359</v>
      </c>
    </row>
    <row r="30" customFormat="false" ht="15" hidden="false" customHeight="false" outlineLevel="0" collapsed="false">
      <c r="A30" s="9" t="s">
        <v>3360</v>
      </c>
      <c r="B30" s="9" t="s">
        <v>3361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3362</v>
      </c>
    </row>
    <row r="31" customFormat="false" ht="15" hidden="false" customHeight="false" outlineLevel="0" collapsed="false">
      <c r="A31" s="9" t="s">
        <v>3363</v>
      </c>
      <c r="B31" s="9" t="s">
        <v>3364</v>
      </c>
      <c r="C31" s="9" t="n">
        <f aca="false">REV_Gap2025</f>
        <v>0</v>
      </c>
      <c r="D31" s="9" t="n">
        <v>0</v>
      </c>
      <c r="E31" s="9" t="str">
        <f aca="false">IF(ISNUMBER(C31),IF(ABS(C31-D31)&lt;0.000000001,"OK","ERR"),"ERR")</f>
        <v>OK</v>
      </c>
      <c r="F31" s="12" t="s">
        <v>3365</v>
      </c>
    </row>
    <row r="32" customFormat="false" ht="15" hidden="false" customHeight="false" outlineLevel="0" collapsed="false">
      <c r="A32" s="9" t="s">
        <v>3366</v>
      </c>
      <c r="B32" s="9" t="s">
        <v>3367</v>
      </c>
      <c r="C32" s="9" t="n">
        <f aca="false">IF(AND(DEM_ApiBilledRatio2025&gt;0,DEM_ApiBilledRatio2025&lt;=1),0,1)</f>
        <v>0</v>
      </c>
      <c r="D32" s="9" t="n">
        <v>0</v>
      </c>
      <c r="E32" s="9" t="str">
        <f aca="false">IF(C32=D32,"OK","ERR")</f>
        <v>OK</v>
      </c>
      <c r="F32" s="2" t="s">
        <v>3368</v>
      </c>
    </row>
    <row r="33" customFormat="false" ht="15" hidden="false" customHeight="false" outlineLevel="0" collapsed="false">
      <c r="A33" s="9" t="s">
        <v>3369</v>
      </c>
      <c r="B33" s="9" t="s">
        <v>3370</v>
      </c>
      <c r="C33" s="9" t="n">
        <f aca="false">(ABS(Inputs!$E$149+Inputs!$E$150+Inputs!$E$151-1)&gt;0.000000001)+(ABS(Inputs!$E$154+Inputs!$E$155+Inputs!$E$156-1)&gt;0.000000001)+(ABS(Inputs!$E$159+Inputs!$E$160+Inputs!$E$161-1)&gt;0.000000001)+(ABS(Inputs!$E$164+Inputs!$E$165+Inputs!$E$166-1)&gt;0.000000001)+(ABS(Inputs!$E$169+Inputs!$E$170+Inputs!$E$171-1)&gt;0.000000001)</f>
        <v>0</v>
      </c>
      <c r="D33" s="9" t="n">
        <v>0</v>
      </c>
      <c r="E33" s="9" t="str">
        <f aca="false">IF(C33=D33,"OK","ERR")</f>
        <v>OK</v>
      </c>
      <c r="F33" s="12" t="s">
        <v>3371</v>
      </c>
    </row>
    <row r="34" customFormat="false" ht="15" hidden="false" customHeight="false" outlineLevel="0" collapsed="false">
      <c r="A34" s="9" t="s">
        <v>3372</v>
      </c>
      <c r="B34" s="9" t="s">
        <v>3373</v>
      </c>
      <c r="C34" s="9" t="n">
        <f aca="false">SUMPRODUCT(--(ABS(Demand!$D$51:$I$51-Demand!$D$52:$I$52)&gt;0.000000001*Demand!$D$52:$I$52))</f>
        <v>0</v>
      </c>
      <c r="D34" s="9" t="n">
        <v>0</v>
      </c>
      <c r="E34" s="9" t="str">
        <f aca="false">IF(C34=D34,"OK","ERR")</f>
        <v>OK</v>
      </c>
      <c r="F34" s="2" t="s">
        <v>3374</v>
      </c>
    </row>
    <row r="35" customFormat="false" ht="15" hidden="false" customHeight="false" outlineLevel="0" collapsed="false">
      <c r="A35" s="9" t="s">
        <v>3375</v>
      </c>
      <c r="B35" s="9" t="s">
        <v>3376</v>
      </c>
      <c r="C35" s="9" t="n">
        <f aca="false">SUMPRODUCT(ABS(Revenue!$D$45:$I$45))</f>
        <v>0</v>
      </c>
      <c r="D35" s="9" t="n">
        <v>0</v>
      </c>
      <c r="E35" s="9" t="str">
        <f aca="false">IF(ISNUMBER(C35),IF(ABS(C35-D35)&lt;0.000000001,"OK","ERR"),"ERR")</f>
        <v>OK</v>
      </c>
      <c r="F35" s="12" t="s">
        <v>3377</v>
      </c>
    </row>
    <row r="36" customFormat="false" ht="15" hidden="false" customHeight="false" outlineLevel="0" collapsed="false">
      <c r="A36" s="9" t="s">
        <v>3378</v>
      </c>
      <c r="B36" s="9" t="s">
        <v>3379</v>
      </c>
      <c r="C36" s="9" t="n">
        <f aca="false">MAX(0,MAX(REV_MSCum)-SRC_OAI_010)</f>
        <v>0</v>
      </c>
      <c r="D36" s="9" t="n">
        <v>0</v>
      </c>
      <c r="E36" s="9" t="str">
        <f aca="false">IF(ISNUMBER(C36),IF(ABS(C36-D36)&lt;0.000000001,"OK","ERR"),"ERR")</f>
        <v>OK</v>
      </c>
      <c r="F36" s="2" t="s">
        <v>3380</v>
      </c>
    </row>
    <row r="37" customFormat="false" ht="15" hidden="false" customHeight="false" outlineLevel="0" collapsed="false">
      <c r="A37" s="9" t="s">
        <v>3381</v>
      </c>
      <c r="B37" s="9" t="s">
        <v>3382</v>
      </c>
      <c r="C37" s="9" t="n">
        <f aca="false">(Revenue!D62&lt;Revenue!D63)+(Revenue!D61&lt;Revenue!D64)+(Revenue!E62&lt;Revenue!E63)+(Revenue!E61&lt;Revenue!E64)+(Revenue!F62&lt;Revenue!F63)+(Revenue!F61&lt;Revenue!F64)</f>
        <v>0</v>
      </c>
      <c r="D37" s="9" t="n">
        <v>0</v>
      </c>
      <c r="E37" s="9" t="str">
        <f aca="false">IF(C37=D37,"OK","ERR")</f>
        <v>OK</v>
      </c>
      <c r="F37" s="12" t="s">
        <v>3383</v>
      </c>
    </row>
    <row r="38" customFormat="false" ht="15" hidden="false" customHeight="false" outlineLevel="0" collapsed="false">
      <c r="A38" s="9" t="s">
        <v>3384</v>
      </c>
      <c r="B38" s="9" t="s">
        <v>3385</v>
      </c>
      <c r="C38" s="9" t="n">
        <f aca="false">(Revenue!G65&gt;Revenue!D65)+(Revenue!D65&gt;Revenue!H65)+(Revenue!G66&gt;Revenue!D66)+(Revenue!D66&gt;Revenue!H66)+(Revenue!G67&gt;Revenue!D67)+(Revenue!D67&gt;Revenue!H67)+(Revenue!G68&gt;Revenue!D68)+(Revenue!D68&gt;Revenue!H68)+(Revenue!G69&gt;Revenue!D69)+(Revenue!D69&gt;Revenue!H69)+(Revenue!G70&gt;Revenue!D70)+(Revenue!D70&gt;Revenue!H70)</f>
        <v>0</v>
      </c>
      <c r="D38" s="9" t="n">
        <v>0</v>
      </c>
      <c r="E38" s="9" t="str">
        <f aca="false">IF(C38=D38,"OK","ERR")</f>
        <v>OK</v>
      </c>
      <c r="F38" s="12" t="s">
        <v>3386</v>
      </c>
    </row>
    <row r="39" customFormat="false" ht="15" hidden="false" customHeight="false" outlineLevel="0" collapsed="false">
      <c r="A39" s="9" t="s">
        <v>3387</v>
      </c>
      <c r="B39" s="9" t="s">
        <v>3388</v>
      </c>
      <c r="C39" s="9" t="n">
        <f aca="false">(INP_143&lt;&gt;INP_048)+(INP_144&lt;&gt;INP_049)+(INP_145&lt;&gt;INP_123)+(INP_146&lt;&gt;INP_021)+(INP_147&lt;&gt;INP_022)+(INP_148&lt;&gt;INP_023)</f>
        <v>0</v>
      </c>
      <c r="D39" s="9" t="n">
        <v>0</v>
      </c>
      <c r="E39" s="9" t="str">
        <f aca="false">IF(C39=D39,"OK","ERR")</f>
        <v>OK</v>
      </c>
      <c r="F39" s="2" t="s">
        <v>3389</v>
      </c>
    </row>
    <row r="40" customFormat="false" ht="15" hidden="false" customHeight="false" outlineLevel="0" collapsed="false">
      <c r="A40" s="9" t="s">
        <v>3390</v>
      </c>
      <c r="B40" s="9" t="s">
        <v>3391</v>
      </c>
      <c r="C40" s="9" t="n">
        <f aca="false">DEM_TkRatio2025</f>
        <v>0.844365450322589</v>
      </c>
      <c r="E40" s="9" t="s">
        <v>3305</v>
      </c>
      <c r="F40" s="2" t="s">
        <v>3392</v>
      </c>
    </row>
    <row r="41" customFormat="false" ht="15" hidden="false" customHeight="false" outlineLevel="0" collapsed="false">
      <c r="A41" s="9" t="s">
        <v>3393</v>
      </c>
      <c r="B41" s="9" t="s">
        <v>3394</v>
      </c>
      <c r="C41" s="9" t="n">
        <f aca="false">REV_GapUncal2025</f>
        <v>1.02870549883871</v>
      </c>
      <c r="E41" s="9" t="s">
        <v>3305</v>
      </c>
      <c r="F41" s="2" t="s">
        <v>3395</v>
      </c>
    </row>
    <row r="42" customFormat="false" ht="15" hidden="false" customHeight="false" outlineLevel="0" collapsed="false">
      <c r="A42" s="9" t="s">
        <v>3396</v>
      </c>
      <c r="B42" s="9" t="s">
        <v>3397</v>
      </c>
      <c r="C42" s="9" t="n">
        <f aca="false">Revenue!$I$41</f>
        <v>126.38309270298</v>
      </c>
      <c r="E42" s="9" t="s">
        <v>3305</v>
      </c>
      <c r="F42" s="2" t="s">
        <v>3398</v>
      </c>
    </row>
    <row r="43" customFormat="false" ht="15" hidden="false" customHeight="false" outlineLevel="0" collapsed="false">
      <c r="A43" s="9" t="s">
        <v>3399</v>
      </c>
      <c r="B43" s="9" t="s">
        <v>3400</v>
      </c>
      <c r="C43" s="9" t="n">
        <f aca="false">SUMPRODUCT(--(ABS(Compute!$D$23:$I$23-1)&gt;0.000000001))+SUMPRODUCT(--(Compute!$D$15:$I$15&lt;0))+SUMPRODUCT(--(Compute!$D$18:$I$18&lt;0))+SUMPRODUCT(--(Compute!$D$19:$I$19&lt;0))+SUMPRODUCT(--(Compute!$D$20:$I$20&lt;0))+SUMPRODUCT(--(Compute!$D$21:$I$21&lt;0))+SUMPRODUCT(--(Compute!$D$22:$I$22&lt;0))</f>
        <v>0</v>
      </c>
      <c r="D43" s="9" t="n">
        <v>0</v>
      </c>
      <c r="E43" s="9" t="str">
        <f aca="false">IF(C43=D43,"OK","ERR")</f>
        <v>OK</v>
      </c>
      <c r="F43" s="2" t="s">
        <v>3401</v>
      </c>
    </row>
    <row r="44" customFormat="false" ht="15" hidden="false" customHeight="false" outlineLevel="0" collapsed="false">
      <c r="A44" s="9" t="s">
        <v>3402</v>
      </c>
      <c r="B44" s="9" t="s">
        <v>3403</v>
      </c>
      <c r="C44" s="9" t="n">
        <f aca="false">(Inputs!$E$248&lt;0)+(Inputs!$E$248&gt;1)+(Inputs!$E$249&lt;0)+(Inputs!$E$249&gt;1)</f>
        <v>0</v>
      </c>
      <c r="D44" s="9" t="n">
        <v>0</v>
      </c>
      <c r="E44" s="9" t="str">
        <f aca="false">IF(C44=D44,"OK","ERR")</f>
        <v>OK</v>
      </c>
      <c r="F44" s="12" t="s">
        <v>3404</v>
      </c>
    </row>
    <row r="45" customFormat="false" ht="15" hidden="false" customHeight="false" outlineLevel="0" collapsed="false">
      <c r="A45" s="9" t="s">
        <v>3405</v>
      </c>
      <c r="B45" s="9" t="s">
        <v>3406</v>
      </c>
      <c r="C45" s="9" t="n">
        <f aca="false">(COUNTIF(TK_HdrGen,Compute!$D$8)=0)+(COUNTIF(TK_HdrGen,Compute!$E$8)=0)+(COUNTIF(TK_HdrGen,Compute!$F$8)=0)+(COUNTIF(TK_HdrGen,Compute!$G$8)=0)+(COUNTIF(TK_HdrGen,Compute!$H$8)=0)</f>
        <v>0</v>
      </c>
      <c r="D45" s="9" t="n">
        <v>0</v>
      </c>
      <c r="E45" s="9" t="str">
        <f aca="false">IF(C45=D45,"OK","ERR")</f>
        <v>OK</v>
      </c>
      <c r="F45" s="12" t="s">
        <v>3407</v>
      </c>
    </row>
    <row r="46" customFormat="false" ht="15" hidden="false" customHeight="false" outlineLevel="0" collapsed="false">
      <c r="A46" s="9" t="s">
        <v>3408</v>
      </c>
      <c r="B46" s="9" t="s">
        <v>3409</v>
      </c>
      <c r="C46" s="9" t="n">
        <f aca="false">IF(ISNUMBER(CMP_Eta2025),IF(CMP_Eta2025&gt;0,0,1),1)</f>
        <v>0</v>
      </c>
      <c r="D46" s="9" t="n">
        <v>0</v>
      </c>
      <c r="E46" s="9" t="str">
        <f aca="false">IF(C46=D46,"OK","ERR")</f>
        <v>OK</v>
      </c>
      <c r="F46" s="12" t="s">
        <v>1678</v>
      </c>
    </row>
    <row r="47" customFormat="false" ht="15" hidden="false" customHeight="false" outlineLevel="0" collapsed="false">
      <c r="A47" s="9" t="s">
        <v>3410</v>
      </c>
      <c r="B47" s="9" t="s">
        <v>3411</v>
      </c>
      <c r="C47" s="9" t="n">
        <f aca="false">CMP_Eta2025*CMP_SpendGW2025-Compute!$D$51</f>
        <v>0</v>
      </c>
      <c r="D47" s="9" t="n">
        <v>0</v>
      </c>
      <c r="E47" s="9" t="str">
        <f aca="false">IF(ISNUMBER(C47),IF(ABS(C47-D47)&lt;0.000000001,"OK","ERR"),"ERR")</f>
        <v>OK</v>
      </c>
      <c r="F47" s="2" t="s">
        <v>3412</v>
      </c>
    </row>
    <row r="48" customFormat="false" ht="15" hidden="false" customHeight="false" outlineLevel="0" collapsed="false">
      <c r="A48" s="9" t="s">
        <v>3413</v>
      </c>
      <c r="B48" s="9" t="s">
        <v>3414</v>
      </c>
      <c r="C48" s="9" t="n">
        <f aca="false">Compute!$D$61-CMP_SpendGW2025</f>
        <v>0</v>
      </c>
      <c r="D48" s="9" t="n">
        <v>0</v>
      </c>
      <c r="E48" s="9" t="str">
        <f aca="false">IF(ISNUMBER(C48),IF(ABS(C48-D48)&lt;0.000000001,"OK","ERR"),"ERR")</f>
        <v>OK</v>
      </c>
      <c r="F48" s="12" t="s">
        <v>3415</v>
      </c>
    </row>
    <row r="49" customFormat="false" ht="15" hidden="false" customHeight="false" outlineLevel="0" collapsed="false">
      <c r="A49" s="9" t="s">
        <v>3416</v>
      </c>
      <c r="B49" s="9" t="s">
        <v>3417</v>
      </c>
      <c r="C49" s="9" t="n">
        <f aca="false">MAX(MAX(Compute!$E$96:$I$96),-MIN(Compute!$E$96:$I$96))</f>
        <v>-0</v>
      </c>
      <c r="D49" s="9" t="n">
        <v>0</v>
      </c>
      <c r="E49" s="9" t="str">
        <f aca="false">IF(ISNUMBER(C49),IF(ABS(C49-D49)&lt;0.000000001,"OK","ERR"),"ERR")</f>
        <v>OK</v>
      </c>
      <c r="F49" s="12" t="s">
        <v>3418</v>
      </c>
    </row>
    <row r="50" customFormat="false" ht="15" hidden="false" customHeight="false" outlineLevel="0" collapsed="false">
      <c r="A50" s="9" t="s">
        <v>3419</v>
      </c>
      <c r="B50" s="9" t="s">
        <v>3420</v>
      </c>
      <c r="C50" s="9" t="n">
        <f aca="false">SUMPRODUCT(--(Compute!$D$93:$I$93&lt;=0))+SUMPRODUCT(--(Compute!$D$93:$I$93&gt;1.000000001))</f>
        <v>0</v>
      </c>
      <c r="D50" s="9" t="n">
        <v>0</v>
      </c>
      <c r="E50" s="9" t="str">
        <f aca="false">IF(C50=D50,"OK","ERR")</f>
        <v>OK</v>
      </c>
      <c r="F50" s="12" t="s">
        <v>1582</v>
      </c>
    </row>
    <row r="51" customFormat="false" ht="15" hidden="false" customHeight="false" outlineLevel="0" collapsed="false">
      <c r="A51" s="9" t="s">
        <v>3421</v>
      </c>
      <c r="B51" s="9" t="s">
        <v>3422</v>
      </c>
      <c r="C51" s="9" t="n">
        <f aca="false">SUMPRODUCT(--(Revenue!$D$74:$I$74&gt;Revenue!$D$38:$I$38+0.000000001))</f>
        <v>0</v>
      </c>
      <c r="D51" s="9" t="n">
        <v>0</v>
      </c>
      <c r="E51" s="9" t="str">
        <f aca="false">IF(C51=D51,"OK","ERR")</f>
        <v>OK</v>
      </c>
      <c r="F51" s="2"/>
    </row>
    <row r="52" customFormat="false" ht="15" hidden="false" customHeight="false" outlineLevel="0" collapsed="false">
      <c r="A52" s="9" t="s">
        <v>3423</v>
      </c>
      <c r="B52" s="9" t="s">
        <v>3424</v>
      </c>
      <c r="C52" s="9" t="n">
        <f aca="false">SUMPRODUCT(--(Compute!$D$72:$I$72&lt;0))</f>
        <v>0</v>
      </c>
      <c r="D52" s="9" t="n">
        <v>0</v>
      </c>
      <c r="E52" s="9" t="str">
        <f aca="false">IF(C52=D52,"OK","ERR")</f>
        <v>OK</v>
      </c>
      <c r="F52" s="2" t="s">
        <v>3425</v>
      </c>
    </row>
    <row r="53" customFormat="false" ht="15" hidden="false" customHeight="false" outlineLevel="0" collapsed="false">
      <c r="A53" s="9" t="s">
        <v>3426</v>
      </c>
      <c r="B53" s="9" t="s">
        <v>3427</v>
      </c>
      <c r="C53" s="9" t="n">
        <f aca="false">ABS(SUM(Compute!$D$79:$I$79,Compute!$D$80:$I$80,Compute!$D$81:$I$81,Compute!$D$82:$I$82,Compute!$D$83:$I$83,Compute!$D$84:$I$84,Compute!$D$156:$I$156)-SUM(Compute!$D$87:$I$87))</f>
        <v>0</v>
      </c>
      <c r="D53" s="9" t="n">
        <v>0</v>
      </c>
      <c r="E53" s="9" t="str">
        <f aca="false">IF(ISNUMBER(C53),IF(ABS(C53-D53)&lt;0.000000001,"OK","ERR"),"ERR")</f>
        <v>OK</v>
      </c>
      <c r="F53" s="2" t="s">
        <v>3428</v>
      </c>
    </row>
    <row r="54" customFormat="false" ht="15" hidden="false" customHeight="false" outlineLevel="0" collapsed="false">
      <c r="A54" s="9" t="s">
        <v>3429</v>
      </c>
      <c r="B54" s="9" t="s">
        <v>3430</v>
      </c>
      <c r="C54" s="9" t="n">
        <f aca="false">MAX(0,MAX(REV_MSCumCapped)-SRC_OAI_010)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3380</v>
      </c>
    </row>
    <row r="55" customFormat="false" ht="15" hidden="false" customHeight="false" outlineLevel="0" collapsed="false">
      <c r="A55" s="9" t="s">
        <v>3431</v>
      </c>
      <c r="B55" s="9" t="s">
        <v>3432</v>
      </c>
      <c r="C55" s="9" t="n">
        <f aca="false">CMP_Eta2025</f>
        <v>0.279507113834192</v>
      </c>
      <c r="E55" s="9" t="s">
        <v>3305</v>
      </c>
      <c r="F55" s="2" t="s">
        <v>3433</v>
      </c>
    </row>
    <row r="56" customFormat="false" ht="15" hidden="false" customHeight="false" outlineLevel="0" collapsed="false">
      <c r="A56" s="9" t="s">
        <v>3434</v>
      </c>
      <c r="B56" s="9" t="s">
        <v>3435</v>
      </c>
      <c r="C56" s="9" t="n">
        <f aca="false">Compute!$D$51</f>
        <v>0.195654979683935</v>
      </c>
      <c r="E56" s="9" t="s">
        <v>3305</v>
      </c>
      <c r="F56" s="12" t="s">
        <v>3436</v>
      </c>
    </row>
    <row r="57" customFormat="false" ht="15" hidden="false" customHeight="false" outlineLevel="0" collapsed="false">
      <c r="A57" s="9" t="s">
        <v>3437</v>
      </c>
      <c r="B57" s="9" t="s">
        <v>3438</v>
      </c>
      <c r="C57" s="9" t="n">
        <f aca="false">TK_IF_AllocServeGW</f>
        <v>0.0518797846974362</v>
      </c>
      <c r="E57" s="9" t="s">
        <v>3305</v>
      </c>
      <c r="F57" s="12" t="s">
        <v>3439</v>
      </c>
    </row>
    <row r="58" customFormat="false" ht="15" hidden="false" customHeight="false" outlineLevel="0" collapsed="false">
      <c r="A58" s="9" t="s">
        <v>3440</v>
      </c>
      <c r="B58" s="9" t="s">
        <v>3441</v>
      </c>
      <c r="C58" s="9" t="n">
        <f aca="false">TK_IF_AllocDemand/TK_IF_AllocServeGW</f>
        <v>80767490158.9766</v>
      </c>
      <c r="E58" s="9" t="s">
        <v>3305</v>
      </c>
      <c r="F58" s="2" t="s">
        <v>3442</v>
      </c>
    </row>
    <row r="59" customFormat="false" ht="15" hidden="false" customHeight="false" outlineLevel="0" collapsed="false">
      <c r="A59" s="9" t="s">
        <v>3443</v>
      </c>
      <c r="B59" s="9" t="s">
        <v>3444</v>
      </c>
      <c r="C59" s="9" t="n">
        <f aca="false">(Compute!$D$47+Compute!$D$48)/Compute!$D$51</f>
        <v>18083159016.2294</v>
      </c>
      <c r="E59" s="9" t="s">
        <v>3305</v>
      </c>
      <c r="F59" s="2"/>
    </row>
    <row r="60" customFormat="false" ht="15" hidden="false" customHeight="false" outlineLevel="0" collapsed="false">
      <c r="A60" s="9" t="s">
        <v>3445</v>
      </c>
      <c r="B60" s="9" t="s">
        <v>3446</v>
      </c>
      <c r="C60" s="9" t="n">
        <f aca="false">Compute!$D$72</f>
        <v>1</v>
      </c>
      <c r="E60" s="9" t="s">
        <v>3305</v>
      </c>
      <c r="F60" s="12" t="s">
        <v>3447</v>
      </c>
    </row>
    <row r="61" customFormat="false" ht="15" hidden="false" customHeight="false" outlineLevel="0" collapsed="false">
      <c r="A61" s="9" t="s">
        <v>3448</v>
      </c>
      <c r="B61" s="9" t="s">
        <v>3449</v>
      </c>
      <c r="C61" s="9" t="n">
        <f aca="false">TK_IF_AllocRDGW</f>
        <v>0.0906847035646163</v>
      </c>
      <c r="E61" s="9" t="s">
        <v>3305</v>
      </c>
      <c r="F61" s="2" t="s">
        <v>3450</v>
      </c>
    </row>
    <row r="62" customFormat="false" ht="15" hidden="false" customHeight="false" outlineLevel="0" collapsed="false">
      <c r="A62" s="9" t="s">
        <v>3451</v>
      </c>
      <c r="B62" s="9" t="s">
        <v>3452</v>
      </c>
      <c r="C62" s="9" t="n">
        <f aca="false">TK_IF_AllocImpliedNk</f>
        <v>1.52362137919411</v>
      </c>
      <c r="E62" s="9" t="s">
        <v>3305</v>
      </c>
      <c r="F62" s="2" t="s">
        <v>3450</v>
      </c>
    </row>
    <row r="63" customFormat="false" ht="15" hidden="false" customHeight="false" outlineLevel="0" collapsed="false">
      <c r="A63" s="9" t="s">
        <v>3453</v>
      </c>
      <c r="B63" s="9" t="s">
        <v>3454</v>
      </c>
      <c r="C63" s="9" t="n">
        <f aca="false">Compute!$D$66</f>
        <v>4.32</v>
      </c>
      <c r="E63" s="9" t="s">
        <v>3305</v>
      </c>
      <c r="F63" s="12" t="s">
        <v>3455</v>
      </c>
    </row>
    <row r="64" customFormat="false" ht="15" hidden="false" customHeight="false" outlineLevel="0" collapsed="false">
      <c r="A64" s="9" t="s">
        <v>3456</v>
      </c>
      <c r="B64" s="9" t="s">
        <v>3457</v>
      </c>
      <c r="C64" s="9" t="n">
        <f aca="false">CMP_DemGapAvg2025</f>
        <v>0.45</v>
      </c>
      <c r="E64" s="9" t="s">
        <v>3305</v>
      </c>
      <c r="F64" s="12" t="s">
        <v>3458</v>
      </c>
    </row>
    <row r="65" customFormat="false" ht="15" hidden="false" customHeight="false" outlineLevel="0" collapsed="false">
      <c r="A65" s="9" t="s">
        <v>3459</v>
      </c>
      <c r="B65" s="9" t="s">
        <v>3460</v>
      </c>
      <c r="C65" s="9" t="n">
        <f aca="false">SUM(CMP_CapFlag)</f>
        <v>0</v>
      </c>
      <c r="E65" s="9" t="s">
        <v>3305</v>
      </c>
      <c r="F65" s="12" t="s">
        <v>3461</v>
      </c>
    </row>
    <row r="66" customFormat="false" ht="15" hidden="false" customHeight="false" outlineLevel="0" collapsed="false">
      <c r="A66" s="9" t="s">
        <v>3462</v>
      </c>
      <c r="B66" s="9" t="s">
        <v>3463</v>
      </c>
      <c r="C66" s="9" t="n">
        <f aca="false">SRC_OAI_055/INP_229</f>
        <v>71.3333333333333</v>
      </c>
      <c r="E66" s="9" t="s">
        <v>3305</v>
      </c>
      <c r="F66" s="12" t="s">
        <v>3464</v>
      </c>
    </row>
    <row r="67" customFormat="false" ht="15" hidden="false" customHeight="false" outlineLevel="0" collapsed="false">
      <c r="A67" s="9" t="s">
        <v>3465</v>
      </c>
      <c r="B67" s="9" t="s">
        <v>3466</v>
      </c>
      <c r="C67" s="9" t="n">
        <f aca="false">SUM(Compute!$E$87:$I$87)</f>
        <v>53.8377511451055</v>
      </c>
      <c r="E67" s="9" t="s">
        <v>3305</v>
      </c>
      <c r="F67" s="2"/>
    </row>
    <row r="68" customFormat="false" ht="15" hidden="false" customHeight="false" outlineLevel="0" collapsed="false">
      <c r="A68" s="9" t="s">
        <v>3467</v>
      </c>
      <c r="B68" s="9" t="s">
        <v>3468</v>
      </c>
      <c r="C68" s="9" t="n">
        <f aca="false">SUM(Compute!$E$73:$I$73)</f>
        <v>48.453976030595</v>
      </c>
      <c r="E68" s="9" t="s">
        <v>3305</v>
      </c>
      <c r="F68" s="2"/>
    </row>
    <row r="69" customFormat="false" ht="15" hidden="false" customHeight="false" outlineLevel="0" collapsed="false">
      <c r="A69" s="9" t="s">
        <v>3469</v>
      </c>
      <c r="B69" s="9" t="s">
        <v>3470</v>
      </c>
      <c r="C69" s="9" t="n">
        <f aca="false">Compute!$I$61</f>
        <v>5.5973070706251</v>
      </c>
      <c r="E69" s="9" t="s">
        <v>3305</v>
      </c>
      <c r="F69" s="12" t="s">
        <v>3471</v>
      </c>
    </row>
    <row r="70" customFormat="false" ht="15" hidden="false" customHeight="false" outlineLevel="0" collapsed="false">
      <c r="A70" s="9" t="s">
        <v>3472</v>
      </c>
      <c r="B70" s="9" t="s">
        <v>3473</v>
      </c>
      <c r="C70" s="9" t="n">
        <f aca="false">MAX(MAX(Cost!$D$117:$I$117),-MIN(Cost!$D$117:$I$117))</f>
        <v>-0</v>
      </c>
      <c r="D70" s="9" t="n">
        <v>0</v>
      </c>
      <c r="E70" s="9" t="str">
        <f aca="false">IF(ISNUMBER(C70),IF(ABS(C70-D70)&lt;0.000000001,"OK","ERR"),"ERR")</f>
        <v>OK</v>
      </c>
      <c r="F70" s="12" t="s">
        <v>3474</v>
      </c>
    </row>
    <row r="71" customFormat="false" ht="15" hidden="false" customHeight="false" outlineLevel="0" collapsed="false">
      <c r="A71" s="9" t="s">
        <v>3475</v>
      </c>
      <c r="B71" s="9" t="s">
        <v>3476</v>
      </c>
      <c r="C71" s="9" t="n">
        <f aca="false">MAX(MAX(Cost!$D$118:$I$118),-MIN(Cost!$D$118:$I$118))</f>
        <v>-0</v>
      </c>
      <c r="D71" s="9" t="n">
        <v>0</v>
      </c>
      <c r="E71" s="9" t="str">
        <f aca="false">IF(ISNUMBER(C71),IF(ABS(C71-D71)&lt;0.000000001,"OK","ERR"),"ERR")</f>
        <v>OK</v>
      </c>
      <c r="F71" s="12" t="s">
        <v>3477</v>
      </c>
    </row>
    <row r="72" customFormat="false" ht="15" hidden="false" customHeight="false" outlineLevel="0" collapsed="false">
      <c r="A72" s="9" t="s">
        <v>3478</v>
      </c>
      <c r="B72" s="9" t="s">
        <v>3479</v>
      </c>
      <c r="C72" s="9" t="n">
        <f aca="false">MAX(MAX(Cost!$D$119:$I$119),-MIN(Cost!$D$119:$I$119))</f>
        <v>-0</v>
      </c>
      <c r="D72" s="9" t="n">
        <v>0</v>
      </c>
      <c r="E72" s="9" t="str">
        <f aca="false">IF(ISNUMBER(C72),IF(ABS(C72-D72)&lt;0.000000001,"OK","ERR"),"ERR")</f>
        <v>OK</v>
      </c>
      <c r="F72" s="12" t="s">
        <v>3480</v>
      </c>
    </row>
    <row r="73" customFormat="false" ht="15" hidden="false" customHeight="false" outlineLevel="0" collapsed="false">
      <c r="A73" s="9" t="s">
        <v>3481</v>
      </c>
      <c r="B73" s="9" t="s">
        <v>3482</v>
      </c>
      <c r="C73" s="9" t="n">
        <f aca="false">MAX(MAX(Cost!$D$120:$I$120),-MIN(Cost!$D$120:$I$120))</f>
        <v>-0</v>
      </c>
      <c r="D73" s="9" t="n">
        <v>0</v>
      </c>
      <c r="E73" s="9" t="str">
        <f aca="false">IF(ISNUMBER(C73),IF(ABS(C73-D73)&lt;0.000000001,"OK","ERR"),"ERR")</f>
        <v>OK</v>
      </c>
      <c r="F73" s="2" t="s">
        <v>3483</v>
      </c>
    </row>
    <row r="74" customFormat="false" ht="15" hidden="false" customHeight="false" outlineLevel="0" collapsed="false">
      <c r="A74" s="9" t="s">
        <v>3484</v>
      </c>
      <c r="B74" s="9" t="s">
        <v>3485</v>
      </c>
      <c r="C74" s="9" t="n">
        <f aca="false">MAX(MAX(Cost!$D$121:$I$121),-MIN(Cost!$D$121:$I$121))</f>
        <v>-0</v>
      </c>
      <c r="D74" s="9" t="n">
        <v>0</v>
      </c>
      <c r="E74" s="9" t="str">
        <f aca="false">IF(ISNUMBER(C74),IF(ABS(C74-D74)&lt;0.000000001,"OK","ERR"),"ERR")</f>
        <v>OK</v>
      </c>
      <c r="F74" s="2" t="s">
        <v>3486</v>
      </c>
    </row>
    <row r="75" customFormat="false" ht="15" hidden="false" customHeight="false" outlineLevel="0" collapsed="false">
      <c r="A75" s="9" t="s">
        <v>3487</v>
      </c>
      <c r="B75" s="9" t="s">
        <v>3488</v>
      </c>
      <c r="C75" s="9" t="n">
        <f aca="false">SRC_OAI_002-(SRC_OAI_003+SRC_OAI_087+SRC_OAI_129+SRC_OAI_130)+SRC_OAI_131</f>
        <v>0.0100000000000051</v>
      </c>
      <c r="E75" s="9" t="s">
        <v>3305</v>
      </c>
      <c r="F75" s="2" t="s">
        <v>3489</v>
      </c>
    </row>
    <row r="76" customFormat="false" ht="15" hidden="false" customHeight="false" outlineLevel="0" collapsed="false">
      <c r="A76" s="9" t="s">
        <v>3490</v>
      </c>
      <c r="B76" s="9" t="s">
        <v>3491</v>
      </c>
      <c r="C76" s="9" t="n">
        <f aca="false">SUMPRODUCT(--(Cost!$D$59:$I$59&lt;=0))</f>
        <v>0</v>
      </c>
      <c r="D76" s="9" t="n">
        <v>0</v>
      </c>
      <c r="E76" s="9" t="str">
        <f aca="false">IF(C76=D76,"OK","ERR")</f>
        <v>OK</v>
      </c>
      <c r="F76" s="12" t="s">
        <v>3492</v>
      </c>
    </row>
    <row r="77" customFormat="false" ht="15" hidden="false" customHeight="false" outlineLevel="0" collapsed="false">
      <c r="A77" s="9" t="s">
        <v>3493</v>
      </c>
      <c r="B77" s="9" t="s">
        <v>3494</v>
      </c>
      <c r="C77" s="9" t="n">
        <f aca="false">SUMPRODUCT(--(Cost!$D$56:$I$56&lt;=0))+SUMPRODUCT(--(Compute!$D$156:$I$156&lt;0))</f>
        <v>0</v>
      </c>
      <c r="D77" s="9" t="n">
        <v>0</v>
      </c>
      <c r="E77" s="9" t="str">
        <f aca="false">IF(C77=D77,"OK","ERR")</f>
        <v>OK</v>
      </c>
      <c r="F77" s="2"/>
    </row>
    <row r="78" customFormat="false" ht="15" hidden="false" customHeight="false" outlineLevel="0" collapsed="false">
      <c r="A78" s="9" t="s">
        <v>3495</v>
      </c>
      <c r="B78" s="9" t="s">
        <v>3496</v>
      </c>
      <c r="C78" s="9" t="n">
        <f aca="false">SUMPRODUCT(--(Cost!$D$79:$I$79&lt;0))+SUMPRODUCT(--(Cost!$D$79:$I$79&gt;1))</f>
        <v>0</v>
      </c>
      <c r="D78" s="9" t="n">
        <v>0</v>
      </c>
      <c r="E78" s="9" t="str">
        <f aca="false">IF(C78=D78,"OK","ERR")</f>
        <v>OK</v>
      </c>
      <c r="F78" s="12" t="s">
        <v>2719</v>
      </c>
    </row>
    <row r="79" customFormat="false" ht="15" hidden="false" customHeight="false" outlineLevel="0" collapsed="false">
      <c r="A79" s="9" t="s">
        <v>3497</v>
      </c>
      <c r="B79" s="9" t="s">
        <v>3498</v>
      </c>
      <c r="C79" s="9" t="n">
        <f aca="false">Cost!$D$29</f>
        <v>-5.64476190476191</v>
      </c>
      <c r="E79" s="9" t="s">
        <v>3305</v>
      </c>
      <c r="F79" s="2" t="s">
        <v>2350</v>
      </c>
    </row>
    <row r="80" customFormat="false" ht="15" hidden="false" customHeight="false" outlineLevel="0" collapsed="false">
      <c r="A80" s="9" t="s">
        <v>3499</v>
      </c>
      <c r="B80" s="9" t="s">
        <v>3500</v>
      </c>
      <c r="C80" s="9" t="n">
        <f aca="false">COST_NonCompRD2025</f>
        <v>7.18</v>
      </c>
      <c r="E80" s="9" t="s">
        <v>3305</v>
      </c>
      <c r="F80" s="12" t="s">
        <v>3501</v>
      </c>
    </row>
    <row r="81" customFormat="false" ht="15" hidden="false" customHeight="false" outlineLevel="0" collapsed="false">
      <c r="A81" s="9" t="s">
        <v>3502</v>
      </c>
      <c r="B81" s="9" t="s">
        <v>3503</v>
      </c>
      <c r="C81" s="9" t="n">
        <f aca="false">Cost!$D$66</f>
        <v>1.21576128538638</v>
      </c>
      <c r="E81" s="9" t="s">
        <v>3305</v>
      </c>
      <c r="F81" s="2" t="s">
        <v>3504</v>
      </c>
    </row>
    <row r="82" customFormat="false" ht="15" hidden="false" customHeight="false" outlineLevel="0" collapsed="false">
      <c r="A82" s="9" t="s">
        <v>3505</v>
      </c>
      <c r="B82" s="9" t="s">
        <v>3506</v>
      </c>
      <c r="C82" s="9" t="n">
        <f aca="false">Cost!$D$58/Cost!$D$69</f>
        <v>0.993650572839555</v>
      </c>
      <c r="E82" s="9" t="s">
        <v>3305</v>
      </c>
      <c r="F82" s="2" t="s">
        <v>3507</v>
      </c>
    </row>
    <row r="83" customFormat="false" ht="15" hidden="false" customHeight="false" outlineLevel="0" collapsed="false">
      <c r="A83" s="9" t="s">
        <v>3508</v>
      </c>
      <c r="B83" s="9" t="s">
        <v>3509</v>
      </c>
      <c r="C83" s="9" t="n">
        <f aca="false">Cost!$I$38</f>
        <v>0.0163975886456371</v>
      </c>
      <c r="E83" s="9" t="s">
        <v>3305</v>
      </c>
      <c r="F83" s="12" t="s">
        <v>3480</v>
      </c>
    </row>
    <row r="84" customFormat="false" ht="15" hidden="false" customHeight="false" outlineLevel="0" collapsed="false">
      <c r="A84" s="9" t="s">
        <v>3510</v>
      </c>
      <c r="B84" s="9" t="s">
        <v>3511</v>
      </c>
      <c r="C84" s="9" t="n">
        <f aca="false">Cost!$D$79</f>
        <v>0.464588930001521</v>
      </c>
      <c r="E84" s="9" t="s">
        <v>3305</v>
      </c>
      <c r="F84" s="12" t="s">
        <v>2719</v>
      </c>
    </row>
    <row r="85" customFormat="false" ht="15" hidden="false" customHeight="false" outlineLevel="0" collapsed="false">
      <c r="A85" s="9" t="s">
        <v>3512</v>
      </c>
      <c r="B85" s="9" t="s">
        <v>3513</v>
      </c>
      <c r="C85" s="9" t="n">
        <f aca="false">Cost!$D$82</f>
        <v>10.842680382442</v>
      </c>
      <c r="E85" s="9" t="s">
        <v>3305</v>
      </c>
      <c r="F85" s="2" t="s">
        <v>2350</v>
      </c>
    </row>
    <row r="86" customFormat="false" ht="15" hidden="false" customHeight="false" outlineLevel="0" collapsed="false">
      <c r="A86" s="9" t="s">
        <v>3514</v>
      </c>
      <c r="B86" s="9" t="s">
        <v>3515</v>
      </c>
      <c r="C86" s="9" t="n">
        <f aca="false">Cost!$I$96</f>
        <v>-10.0544787766386</v>
      </c>
      <c r="E86" s="9" t="s">
        <v>3305</v>
      </c>
      <c r="F86" s="2" t="s">
        <v>3516</v>
      </c>
    </row>
    <row r="87" customFormat="false" ht="15" hidden="false" customHeight="false" outlineLevel="0" collapsed="false">
      <c r="A87" s="9" t="s">
        <v>3517</v>
      </c>
      <c r="B87" s="9" t="s">
        <v>3518</v>
      </c>
      <c r="C87" s="9" t="n">
        <f aca="false">Cost!$I$101</f>
        <v>-7.83998762055491</v>
      </c>
      <c r="E87" s="9" t="s">
        <v>3305</v>
      </c>
      <c r="F87" s="2" t="s">
        <v>3519</v>
      </c>
    </row>
    <row r="88" customFormat="false" ht="15" hidden="false" customHeight="false" outlineLevel="0" collapsed="false">
      <c r="A88" s="9" t="s">
        <v>3520</v>
      </c>
      <c r="B88" s="9" t="s">
        <v>3521</v>
      </c>
      <c r="C88" s="9" t="n">
        <f aca="false">SUM(Cost!$D$89:$I$89)</f>
        <v>-649.558869748766</v>
      </c>
      <c r="E88" s="9" t="s">
        <v>3305</v>
      </c>
      <c r="F88" s="12" t="s">
        <v>3522</v>
      </c>
    </row>
    <row r="89" customFormat="false" ht="15" hidden="false" customHeight="false" outlineLevel="0" collapsed="false">
      <c r="A89" s="9" t="s">
        <v>3523</v>
      </c>
      <c r="B89" s="9" t="s">
        <v>3524</v>
      </c>
      <c r="C89" s="9" t="n">
        <f aca="false">SUMPRODUCT(--(Cost!$D$96:$I$96&lt;0))</f>
        <v>6</v>
      </c>
      <c r="E89" s="9" t="s">
        <v>3305</v>
      </c>
      <c r="F89" s="12" t="s">
        <v>3525</v>
      </c>
    </row>
    <row r="90" customFormat="false" ht="15" hidden="false" customHeight="false" outlineLevel="0" collapsed="false">
      <c r="A90" s="9" t="s">
        <v>3526</v>
      </c>
      <c r="B90" s="9" t="s">
        <v>3527</v>
      </c>
      <c r="C90" s="9" t="n">
        <f aca="false">COST_V16Flag</f>
        <v>0</v>
      </c>
      <c r="E90" s="9" t="s">
        <v>3305</v>
      </c>
      <c r="F90" s="12" t="s">
        <v>3528</v>
      </c>
    </row>
    <row r="91" customFormat="false" ht="15" hidden="false" customHeight="false" outlineLevel="0" collapsed="false">
      <c r="A91" s="9" t="s">
        <v>3529</v>
      </c>
      <c r="B91" s="9" t="s">
        <v>3530</v>
      </c>
      <c r="C91" s="9" t="n">
        <f aca="false">Cost!$D$115</f>
        <v>-11.9047619047619</v>
      </c>
      <c r="E91" s="9" t="s">
        <v>3305</v>
      </c>
      <c r="F91" s="2" t="s">
        <v>3531</v>
      </c>
    </row>
    <row r="92" customFormat="false" ht="15" hidden="false" customHeight="false" outlineLevel="0" collapsed="false">
      <c r="A92" s="9" t="s">
        <v>3532</v>
      </c>
      <c r="B92" s="9" t="s">
        <v>3533</v>
      </c>
      <c r="C92" s="9" t="n">
        <f aca="false">Cost!$D$105-Cost!$D$106</f>
        <v>4.57255029721759</v>
      </c>
      <c r="E92" s="9" t="s">
        <v>3305</v>
      </c>
      <c r="F92" s="12" t="s">
        <v>3534</v>
      </c>
    </row>
    <row r="93" customFormat="false" ht="15" hidden="false" customHeight="false" outlineLevel="0" collapsed="false">
      <c r="A93" s="9" t="s">
        <v>3535</v>
      </c>
      <c r="B93" s="9" t="s">
        <v>3536</v>
      </c>
      <c r="C93" s="9" t="n">
        <f aca="false">Compute!$I$156</f>
        <v>3.08418724860889</v>
      </c>
      <c r="E93" s="9" t="s">
        <v>3305</v>
      </c>
      <c r="F93" s="12" t="s">
        <v>3537</v>
      </c>
    </row>
    <row r="94" customFormat="false" ht="15" hidden="false" customHeight="false" outlineLevel="0" collapsed="false">
      <c r="A94" s="9" t="s">
        <v>3538</v>
      </c>
      <c r="B94" s="9" t="s">
        <v>3539</v>
      </c>
      <c r="C94" s="9" t="n">
        <f aca="false">ABS(Funding!D8-Funding!D9-Funding!D10-Funding!D13)+ABS(Funding!E8-Funding!E9-Funding!E10-Funding!E13)+ABS(Funding!F8-Funding!F9-Funding!F10-Funding!F13)+ABS(Funding!G8-Funding!G9-Funding!G10-Funding!G13)+ABS(Funding!H8-Funding!H9-Funding!H10-Funding!H13)+ABS(Funding!I8-Funding!I9-Funding!I10-Funding!I13)</f>
        <v>0</v>
      </c>
      <c r="D94" s="9" t="n">
        <v>0</v>
      </c>
      <c r="E94" s="9" t="str">
        <f aca="false">IF(ISNUMBER(C94),IF(ABS(C94-D94)&lt;0.000000001,"OK","ERR"),"ERR")</f>
        <v>OK</v>
      </c>
      <c r="F94" s="2" t="s">
        <v>3540</v>
      </c>
    </row>
    <row r="95" customFormat="false" ht="15" hidden="false" customHeight="false" outlineLevel="0" collapsed="false">
      <c r="A95" s="9" t="s">
        <v>3541</v>
      </c>
      <c r="B95" s="9" t="s">
        <v>3542</v>
      </c>
      <c r="C95" s="9" t="n">
        <f aca="false">ABS(Funding!D13-Cost!D89-Cost!D58)+ABS(Funding!E13-Cost!E89-Cost!E58)+ABS(Funding!F13-Cost!F89-Cost!F58)+ABS(Funding!G13-Cost!G89-Cost!G58)+ABS(Funding!H13-Cost!H89-Cost!H58)+ABS(Funding!I13-Cost!I89-Cost!I58)</f>
        <v>0</v>
      </c>
      <c r="D95" s="9" t="n">
        <v>0</v>
      </c>
      <c r="E95" s="9" t="str">
        <f aca="false">IF(ISNUMBER(C95),IF(ABS(C95-D95)&lt;0.000000001,"OK","ERR"),"ERR")</f>
        <v>OK</v>
      </c>
      <c r="F95" s="12" t="s">
        <v>3543</v>
      </c>
    </row>
    <row r="96" customFormat="false" ht="15" hidden="false" customHeight="false" outlineLevel="0" collapsed="false">
      <c r="A96" s="9" t="s">
        <v>3544</v>
      </c>
      <c r="B96" s="9" t="s">
        <v>3545</v>
      </c>
      <c r="C96" s="9" t="n">
        <f aca="false">ABS(Funding!E27+Funding!E13+Funding!E24+Funding!E29-Funding!E30)+ABS(Funding!F27+Funding!F13+Funding!F24+Funding!F29-Funding!F30)+ABS(Funding!G27+Funding!G13+Funding!G24+Funding!G29-Funding!G30)+ABS(Funding!H27+Funding!H13+Funding!H24+Funding!H29-Funding!H30)+ABS(Funding!I27+Funding!I13+Funding!I24+Funding!I29-Funding!I30)</f>
        <v>0</v>
      </c>
      <c r="D96" s="9" t="n">
        <v>0</v>
      </c>
      <c r="E96" s="9" t="str">
        <f aca="false">IF(ISNUMBER(C96),IF(ABS(C96-D96)&lt;0.000000001,"OK","ERR"),"ERR")</f>
        <v>OK</v>
      </c>
      <c r="F96" s="2" t="s">
        <v>3546</v>
      </c>
    </row>
    <row r="97" customFormat="false" ht="15" hidden="false" customHeight="false" outlineLevel="0" collapsed="false">
      <c r="A97" s="9" t="s">
        <v>3547</v>
      </c>
      <c r="B97" s="9" t="s">
        <v>3548</v>
      </c>
      <c r="C97" s="9" t="n">
        <f aca="false">SUM(Funding!$D$21:$I$21)+SUM(Funding!$D$22:$I$22)-V9_Uncond2026</f>
        <v>0</v>
      </c>
      <c r="D97" s="9" t="n">
        <v>0</v>
      </c>
      <c r="E97" s="9" t="str">
        <f aca="false">IF(ISNUMBER(C97),IF(ABS(C97-D97)&lt;0.000000001,"OK","ERR"),"ERR")</f>
        <v>OK</v>
      </c>
      <c r="F97" s="2" t="s">
        <v>3549</v>
      </c>
    </row>
    <row r="98" customFormat="false" ht="15" hidden="false" customHeight="false" outlineLevel="0" collapsed="false">
      <c r="A98" s="9" t="s">
        <v>3550</v>
      </c>
      <c r="B98" s="9" t="s">
        <v>3551</v>
      </c>
      <c r="C98" s="9" t="n">
        <f aca="false">(SRC_OAI_079&lt;0)+(Funding!$D$26&lt;0)</f>
        <v>0</v>
      </c>
      <c r="D98" s="9" t="n">
        <v>0</v>
      </c>
      <c r="E98" s="9" t="str">
        <f aca="false">IF(C98=D98,"OK","ERR")</f>
        <v>OK</v>
      </c>
      <c r="F98" s="12" t="s">
        <v>1522</v>
      </c>
    </row>
    <row r="99" customFormat="false" ht="15" hidden="false" customHeight="false" outlineLevel="0" collapsed="false">
      <c r="A99" s="9" t="s">
        <v>3552</v>
      </c>
      <c r="B99" s="9" t="s">
        <v>3553</v>
      </c>
      <c r="C99" s="9" t="n">
        <f aca="false">IF(OR(SRC_OAI_082&lt;0,AND(INP_274&lt;&gt;0,INP_274&lt;&gt;1)),1,0)</f>
        <v>0</v>
      </c>
      <c r="D99" s="9" t="n">
        <v>0</v>
      </c>
      <c r="E99" s="9" t="str">
        <f aca="false">IF(C99=D99,"OK","ERR")</f>
        <v>OK</v>
      </c>
      <c r="F99" s="12" t="s">
        <v>3554</v>
      </c>
    </row>
    <row r="100" customFormat="false" ht="15" hidden="false" customHeight="false" outlineLevel="0" collapsed="false">
      <c r="A100" s="9" t="s">
        <v>3555</v>
      </c>
      <c r="B100" s="9" t="s">
        <v>3556</v>
      </c>
      <c r="C100" s="9" t="n">
        <f aca="false">SUMPRODUCT(--(Funding!$E$29:$I$29&lt;0))+SUMPRODUCT(--(Funding!$E$30:$I$30&lt;Funding!$E$26:$I$26-0.000000001))</f>
        <v>0</v>
      </c>
      <c r="D100" s="9" t="n">
        <v>0</v>
      </c>
      <c r="E100" s="9" t="str">
        <f aca="false">IF(C100=D100,"OK","ERR")</f>
        <v>OK</v>
      </c>
      <c r="F100" s="2" t="s">
        <v>3557</v>
      </c>
    </row>
    <row r="101" customFormat="false" ht="15" hidden="false" customHeight="false" outlineLevel="0" collapsed="false">
      <c r="A101" s="9" t="s">
        <v>3558</v>
      </c>
      <c r="B101" s="9" t="s">
        <v>3559</v>
      </c>
      <c r="C101" s="9" t="n">
        <f aca="false">Funding!$I$31</f>
        <v>442.844811653528</v>
      </c>
      <c r="E101" s="9" t="s">
        <v>3305</v>
      </c>
      <c r="F101" s="12" t="s">
        <v>3560</v>
      </c>
    </row>
    <row r="102" customFormat="false" ht="15" hidden="false" customHeight="false" outlineLevel="0" collapsed="false">
      <c r="A102" s="9" t="s">
        <v>3561</v>
      </c>
      <c r="B102" s="9" t="s">
        <v>3562</v>
      </c>
      <c r="C102" s="9" t="n">
        <f aca="false">MAX(Funding!$E$29:$I$29)</f>
        <v>137.624622192723</v>
      </c>
      <c r="E102" s="9" t="s">
        <v>3305</v>
      </c>
      <c r="F102" s="2"/>
    </row>
    <row r="103" customFormat="false" ht="15" hidden="false" customHeight="false" outlineLevel="0" collapsed="false">
      <c r="A103" s="9" t="s">
        <v>3563</v>
      </c>
      <c r="B103" s="9" t="s">
        <v>3564</v>
      </c>
      <c r="C103" s="9" t="n">
        <f aca="false">MIN(Funding!$E$36:$I$36)</f>
        <v>2029</v>
      </c>
      <c r="E103" s="9" t="s">
        <v>3305</v>
      </c>
      <c r="F103" s="2"/>
    </row>
    <row r="104" customFormat="false" ht="15" hidden="false" customHeight="false" outlineLevel="0" collapsed="false">
      <c r="A104" s="9" t="s">
        <v>3565</v>
      </c>
      <c r="B104" s="9" t="s">
        <v>3566</v>
      </c>
      <c r="C104" s="9" t="n">
        <f aca="false">IF(COUNT(Funding!$E$33:$I$33)=0,"無",MIN(Funding!$E$33:$I$33))</f>
        <v>2027</v>
      </c>
      <c r="E104" s="9" t="s">
        <v>3305</v>
      </c>
      <c r="F104" s="12" t="s">
        <v>3567</v>
      </c>
    </row>
    <row r="105" customFormat="false" ht="15" hidden="false" customHeight="false" outlineLevel="0" collapsed="false">
      <c r="A105" s="9" t="s">
        <v>3568</v>
      </c>
      <c r="B105" s="9" t="s">
        <v>3569</v>
      </c>
      <c r="C105" s="9" t="n">
        <f aca="false">IF(COUNT(Funding!$E$35:$I$35)=0,"無",MIN(Funding!$E$35:$I$35))</f>
        <v>2027</v>
      </c>
      <c r="E105" s="9" t="s">
        <v>3305</v>
      </c>
      <c r="F105" s="2" t="s">
        <v>3570</v>
      </c>
    </row>
    <row r="106" customFormat="false" ht="15" hidden="false" customHeight="false" outlineLevel="0" collapsed="false">
      <c r="A106" s="9" t="s">
        <v>3571</v>
      </c>
      <c r="B106" s="9" t="s">
        <v>3572</v>
      </c>
      <c r="C106" s="9" t="n">
        <f aca="false">SUM(Funding!$E$32:$I$32)</f>
        <v>4</v>
      </c>
      <c r="E106" s="9" t="s">
        <v>3305</v>
      </c>
      <c r="F106" s="2"/>
    </row>
    <row r="107" customFormat="false" ht="15" hidden="false" customHeight="false" outlineLevel="0" collapsed="false">
      <c r="A107" s="9" t="s">
        <v>3573</v>
      </c>
      <c r="B107" s="9" t="s">
        <v>3574</v>
      </c>
      <c r="C107" s="9" t="n">
        <f aca="false">Funding!$I$30</f>
        <v>10</v>
      </c>
      <c r="E107" s="9" t="s">
        <v>3305</v>
      </c>
      <c r="F107" s="2" t="s">
        <v>3575</v>
      </c>
    </row>
    <row r="108" customFormat="false" ht="15" hidden="false" customHeight="false" outlineLevel="0" collapsed="false">
      <c r="A108" s="9" t="s">
        <v>3576</v>
      </c>
      <c r="B108" s="9" t="s">
        <v>3577</v>
      </c>
      <c r="C108" s="9" t="n">
        <f aca="false">Funding!$I$43</f>
        <v>407.844811653528</v>
      </c>
      <c r="E108" s="9" t="s">
        <v>3305</v>
      </c>
      <c r="F108" s="12" t="s">
        <v>3578</v>
      </c>
    </row>
    <row r="109" customFormat="false" ht="15" hidden="false" customHeight="false" outlineLevel="0" collapsed="false">
      <c r="A109" s="9" t="s">
        <v>3579</v>
      </c>
      <c r="B109" s="9" t="s">
        <v>3580</v>
      </c>
      <c r="C109" s="9" t="n">
        <f aca="false">Funding!$I$31-Funding!$I$43</f>
        <v>35</v>
      </c>
      <c r="E109" s="9" t="s">
        <v>3305</v>
      </c>
      <c r="F109" s="2"/>
    </row>
    <row r="110" customFormat="false" ht="15" hidden="false" customHeight="false" outlineLevel="0" collapsed="false">
      <c r="A110" s="9" t="s">
        <v>3581</v>
      </c>
      <c r="B110" s="9" t="s">
        <v>3582</v>
      </c>
      <c r="C110" s="9" t="n">
        <f aca="false">FND_Contingent</f>
        <v>600</v>
      </c>
      <c r="E110" s="9" t="s">
        <v>3305</v>
      </c>
      <c r="F110" s="12" t="s">
        <v>3583</v>
      </c>
    </row>
    <row r="111" customFormat="false" ht="15" hidden="false" customHeight="false" outlineLevel="0" collapsed="false">
      <c r="A111" s="9" t="s">
        <v>3584</v>
      </c>
      <c r="B111" s="9" t="s">
        <v>3585</v>
      </c>
      <c r="C111" s="9" t="n">
        <f aca="false">FND_CommitAfter2030</f>
        <v>133.547619047619</v>
      </c>
      <c r="E111" s="9" t="s">
        <v>3305</v>
      </c>
      <c r="F111" s="12" t="s">
        <v>3586</v>
      </c>
    </row>
    <row r="112" customFormat="false" ht="15" hidden="false" customHeight="false" outlineLevel="0" collapsed="false">
      <c r="A112" s="9" t="s">
        <v>3587</v>
      </c>
      <c r="B112" s="9" t="s">
        <v>3588</v>
      </c>
      <c r="C112" s="9" t="n">
        <f aca="false">Revenue!$D$74-SRC_OAI_002</f>
        <v>0</v>
      </c>
      <c r="D112" s="9" t="n">
        <v>0</v>
      </c>
      <c r="E112" s="9" t="str">
        <f aca="false">IF(ISNUMBER(C112),IF(ABS(C112-D112)&lt;0.000000001,"OK","ERR"),"ERR")</f>
        <v>OK</v>
      </c>
      <c r="F112" s="12" t="s">
        <v>3589</v>
      </c>
    </row>
    <row r="113" customFormat="false" ht="15" hidden="false" customHeight="false" outlineLevel="0" collapsed="false">
      <c r="A113" s="9" t="s">
        <v>3590</v>
      </c>
      <c r="B113" s="9" t="s">
        <v>3591</v>
      </c>
      <c r="C113" s="9" t="n">
        <f aca="false">Compute!$D$61*INP_229-SRC_OAI_047</f>
        <v>0</v>
      </c>
      <c r="D113" s="9" t="n">
        <v>0</v>
      </c>
      <c r="E113" s="9" t="str">
        <f aca="false">IF(ISNUMBER(C113),IF(ABS(C113-D113)&lt;0.000000001,"OK","ERR"),"ERR")</f>
        <v>OK</v>
      </c>
      <c r="F113" s="12" t="s">
        <v>3592</v>
      </c>
    </row>
    <row r="114" customFormat="false" ht="15" hidden="false" customHeight="false" outlineLevel="0" collapsed="false">
      <c r="A114" s="9" t="s">
        <v>3593</v>
      </c>
      <c r="B114" s="9" t="s">
        <v>3594</v>
      </c>
      <c r="C114" s="9" t="n">
        <f aca="false">SRC_OAI_047-SRC_OAI_003</f>
        <v>0.9</v>
      </c>
      <c r="E114" s="9" t="s">
        <v>3305</v>
      </c>
      <c r="F114" s="2" t="s">
        <v>3595</v>
      </c>
    </row>
    <row r="115" customFormat="false" ht="15" hidden="false" customHeight="false" outlineLevel="0" collapsed="false">
      <c r="A115" s="9" t="s">
        <v>3596</v>
      </c>
      <c r="B115" s="9" t="s">
        <v>3597</v>
      </c>
      <c r="C115" s="9" t="n">
        <f aca="false">Compute!$D$72*INP_229-(SRC_OAI_098+INP_230)</f>
        <v>0</v>
      </c>
      <c r="D115" s="9" t="n">
        <v>0</v>
      </c>
      <c r="E115" s="9" t="str">
        <f aca="false">IF(ISNUMBER(C115),IF(ABS(C115-D115)&lt;0.000000001,"OK","ERR"),"ERR")</f>
        <v>OK</v>
      </c>
      <c r="F115" s="12" t="s">
        <v>3598</v>
      </c>
    </row>
    <row r="116" customFormat="false" ht="15" hidden="false" customHeight="false" outlineLevel="0" collapsed="false">
      <c r="A116" s="9" t="s">
        <v>3599</v>
      </c>
      <c r="B116" s="9" t="s">
        <v>3600</v>
      </c>
      <c r="C116" s="9" t="n">
        <f aca="false">Compute!$D$73-SRC_OAI_090</f>
        <v>-0.2</v>
      </c>
      <c r="E116" s="9" t="s">
        <v>3305</v>
      </c>
      <c r="F116" s="2" t="s">
        <v>3601</v>
      </c>
    </row>
    <row r="117" customFormat="false" ht="15" hidden="false" customHeight="false" outlineLevel="0" collapsed="false">
      <c r="A117" s="9" t="s">
        <v>3602</v>
      </c>
      <c r="B117" s="9" t="s">
        <v>3603</v>
      </c>
      <c r="C117" s="9" t="n">
        <f aca="false">Compute!$D$87-Compute!$D$64</f>
        <v>-0.0203968253968254</v>
      </c>
      <c r="E117" s="9" t="s">
        <v>3305</v>
      </c>
      <c r="F117" s="12" t="s">
        <v>3604</v>
      </c>
    </row>
    <row r="118" customFormat="false" ht="15" hidden="false" customHeight="false" outlineLevel="0" collapsed="false">
      <c r="A118" s="9" t="s">
        <v>3605</v>
      </c>
      <c r="B118" s="9" t="s">
        <v>3606</v>
      </c>
      <c r="C118" s="9" t="n">
        <f aca="false">Cost!$D$27-COST_Actual2025</f>
        <v>-5.64476190476191</v>
      </c>
      <c r="E118" s="9" t="s">
        <v>3305</v>
      </c>
      <c r="F118" s="12" t="s">
        <v>3607</v>
      </c>
    </row>
    <row r="119" customFormat="false" ht="15" hidden="false" customHeight="false" outlineLevel="0" collapsed="false">
      <c r="A119" s="9" t="s">
        <v>3608</v>
      </c>
      <c r="B119" s="9" t="s">
        <v>3609</v>
      </c>
      <c r="C119" s="9" t="n">
        <f aca="false">Revenue!$D$74-COST_Actual2025-Cost!$D$59-Cost!$D$58</f>
        <v>-21.81</v>
      </c>
      <c r="E119" s="9" t="s">
        <v>3305</v>
      </c>
      <c r="F119" s="2" t="s">
        <v>3610</v>
      </c>
    </row>
    <row r="120" customFormat="false" ht="15" hidden="false" customHeight="false" outlineLevel="0" collapsed="false">
      <c r="A120" s="9" t="s">
        <v>3611</v>
      </c>
      <c r="B120" s="9" t="s">
        <v>3612</v>
      </c>
      <c r="C120" s="9" t="n">
        <f aca="false">(Revenue!$D$74-COST_Actual2025-Cost!$D$59-Cost!$D$58)+SRC_OAI_131</f>
        <v>-0.890000000000001</v>
      </c>
      <c r="E120" s="9" t="s">
        <v>3305</v>
      </c>
      <c r="F120" s="2" t="s">
        <v>3613</v>
      </c>
    </row>
    <row r="121" customFormat="false" ht="15" hidden="false" customHeight="false" outlineLevel="0" collapsed="false">
      <c r="A121" s="9" t="s">
        <v>3614</v>
      </c>
      <c r="B121" s="9" t="s">
        <v>3615</v>
      </c>
      <c r="C121" s="9" t="n">
        <f aca="false">(Revenue!$D$74-COST_Actual2025-Cost!$D$59-Cost!$D$58)+SRC_OAI_131+SRC_OAI_047-SRC_OAI_003</f>
        <v>0.00999999999999979</v>
      </c>
      <c r="E121" s="9" t="s">
        <v>3305</v>
      </c>
      <c r="F121" s="12" t="s">
        <v>3616</v>
      </c>
    </row>
    <row r="122" customFormat="false" ht="15" hidden="false" customHeight="false" outlineLevel="0" collapsed="false">
      <c r="A122" s="9" t="s">
        <v>3617</v>
      </c>
      <c r="B122" s="9" t="s">
        <v>3618</v>
      </c>
      <c r="C122" s="9" t="n">
        <f aca="false">Revenue!$D$75</f>
        <v>2.614</v>
      </c>
      <c r="E122" s="9" t="s">
        <v>3305</v>
      </c>
      <c r="F122" s="2" t="s">
        <v>3619</v>
      </c>
    </row>
    <row r="123" customFormat="false" ht="15" hidden="false" customHeight="false" outlineLevel="0" collapsed="false">
      <c r="A123" s="9" t="s">
        <v>3620</v>
      </c>
      <c r="B123" s="9" t="s">
        <v>3621</v>
      </c>
      <c r="C123" s="9" t="n">
        <f aca="false">FND_FCF2025Act</f>
        <v>-18.424</v>
      </c>
      <c r="E123" s="9" t="s">
        <v>3305</v>
      </c>
      <c r="F123" s="2" t="s">
        <v>3622</v>
      </c>
    </row>
    <row r="124" customFormat="false" ht="15" hidden="false" customHeight="false" outlineLevel="0" collapsed="false">
      <c r="A124" s="9" t="s">
        <v>3623</v>
      </c>
      <c r="B124" s="9" t="s">
        <v>3624</v>
      </c>
      <c r="C124" s="9" t="n">
        <f aca="false">Reverse!$D$9</f>
        <v>0</v>
      </c>
      <c r="D124" s="9" t="n">
        <v>0</v>
      </c>
      <c r="E124" s="9" t="str">
        <f aca="false">IF(ISNUMBER(C124),IF(ABS(C124-D124)&lt;0.000000001,"OK","ERR"),"ERR")</f>
        <v>OK</v>
      </c>
      <c r="F124" s="12" t="s">
        <v>3625</v>
      </c>
    </row>
    <row r="125" customFormat="false" ht="15" hidden="false" customHeight="false" outlineLevel="0" collapsed="false">
      <c r="A125" s="9" t="s">
        <v>3626</v>
      </c>
      <c r="B125" s="9" t="s">
        <v>3627</v>
      </c>
      <c r="C125" s="9" t="n">
        <f aca="false">(Reverse!E8&lt;=Reverse!D8)+(Reverse!F8&lt;=Reverse!E8)+(Reverse!G8&lt;=Reverse!F8)+(Reverse!H8&lt;=Reverse!G8)+(Reverse!I8&lt;=Reverse!H8)</f>
        <v>0</v>
      </c>
      <c r="D125" s="9" t="n">
        <v>0</v>
      </c>
      <c r="E125" s="9" t="str">
        <f aca="false">IF(C125=D125,"OK","ERR")</f>
        <v>OK</v>
      </c>
      <c r="F125" s="2" t="s">
        <v>3628</v>
      </c>
    </row>
    <row r="126" customFormat="false" ht="15" hidden="false" customHeight="false" outlineLevel="0" collapsed="false">
      <c r="A126" s="9" t="s">
        <v>3629</v>
      </c>
      <c r="B126" s="9" t="s">
        <v>3630</v>
      </c>
      <c r="C126" s="9" t="n">
        <f aca="false">MAX(0,MAX(RVS_MSCum)-SRC_OAI_010)</f>
        <v>0</v>
      </c>
      <c r="D126" s="9" t="n">
        <v>0</v>
      </c>
      <c r="E126" s="9" t="str">
        <f aca="false">IF(ISNUMBER(C126),IF(ABS(C126-D126)&lt;0.000000001,"OK","ERR"),"ERR")</f>
        <v>OK</v>
      </c>
      <c r="F126" s="2" t="s">
        <v>3631</v>
      </c>
    </row>
    <row r="127" customFormat="false" ht="15" hidden="false" customHeight="false" outlineLevel="0" collapsed="false">
      <c r="A127" s="9" t="s">
        <v>3632</v>
      </c>
      <c r="B127" s="9" t="s">
        <v>3633</v>
      </c>
      <c r="C127" s="9" t="n">
        <f aca="false">Reverse!$I$21</f>
        <v>4.01200833427565</v>
      </c>
      <c r="E127" s="9" t="s">
        <v>3305</v>
      </c>
      <c r="F127" s="12" t="s">
        <v>3634</v>
      </c>
    </row>
    <row r="128" customFormat="false" ht="15" hidden="false" customHeight="false" outlineLevel="0" collapsed="false">
      <c r="A128" s="9" t="s">
        <v>3635</v>
      </c>
      <c r="B128" s="9" t="s">
        <v>3636</v>
      </c>
      <c r="C128" s="9" t="n">
        <f aca="false">Reverse!$I$22</f>
        <v>5.80223848638112</v>
      </c>
      <c r="E128" s="9" t="s">
        <v>3305</v>
      </c>
      <c r="F128" s="12" t="s">
        <v>3637</v>
      </c>
    </row>
    <row r="129" customFormat="false" ht="15" hidden="false" customHeight="false" outlineLevel="0" collapsed="false">
      <c r="A129" s="9" t="s">
        <v>3638</v>
      </c>
      <c r="B129" s="9" t="s">
        <v>3639</v>
      </c>
      <c r="C129" s="9" t="n">
        <f aca="false">Reverse!$I$23</f>
        <v>2.85102706327665</v>
      </c>
      <c r="E129" s="9" t="s">
        <v>3305</v>
      </c>
      <c r="F129" s="12" t="s">
        <v>3640</v>
      </c>
    </row>
    <row r="130" customFormat="false" ht="15" hidden="false" customHeight="false" outlineLevel="0" collapsed="false">
      <c r="A130" s="9" t="s">
        <v>3641</v>
      </c>
      <c r="B130" s="9" t="s">
        <v>3642</v>
      </c>
      <c r="C130" s="9" t="n">
        <f aca="false">Reverse!$I$53</f>
        <v>92.6501994713753</v>
      </c>
      <c r="E130" s="9" t="s">
        <v>3305</v>
      </c>
      <c r="F130" s="12" t="s">
        <v>3643</v>
      </c>
    </row>
    <row r="131" customFormat="false" ht="15" hidden="false" customHeight="false" outlineLevel="0" collapsed="false">
      <c r="A131" s="9" t="s">
        <v>3644</v>
      </c>
      <c r="B131" s="9" t="s">
        <v>3645</v>
      </c>
      <c r="C131" s="9" t="n">
        <f aca="false">Reverse!$D$59</f>
        <v>162.221197591926</v>
      </c>
      <c r="E131" s="9" t="s">
        <v>3305</v>
      </c>
      <c r="F131" s="12" t="s">
        <v>3646</v>
      </c>
    </row>
    <row r="132" customFormat="false" ht="15" hidden="false" customHeight="false" outlineLevel="0" collapsed="false">
      <c r="A132" s="9" t="s">
        <v>3647</v>
      </c>
      <c r="B132" s="9" t="s">
        <v>3648</v>
      </c>
      <c r="C132" s="9" t="str">
        <f aca="false">TK_Version</f>
        <v>v5.26</v>
      </c>
      <c r="E132" s="9" t="s">
        <v>3305</v>
      </c>
      <c r="F132" s="12" t="s">
        <v>3649</v>
      </c>
    </row>
    <row r="133" customFormat="false" ht="15" hidden="false" customHeight="false" outlineLevel="0" collapsed="false">
      <c r="A133" s="9" t="s">
        <v>3650</v>
      </c>
      <c r="B133" s="9" t="s">
        <v>3651</v>
      </c>
      <c r="C133" s="9" t="str">
        <f aca="false">TK_Commit</f>
        <v>3dd1216688e3872fcb80b28c279d8976a07df29b</v>
      </c>
      <c r="E133" s="9" t="s">
        <v>3305</v>
      </c>
      <c r="F133" s="2"/>
    </row>
    <row r="134" customFormat="false" ht="15" hidden="false" customHeight="false" outlineLevel="0" collapsed="false">
      <c r="A134" s="9" t="s">
        <v>3652</v>
      </c>
      <c r="B134" s="9" t="s">
        <v>3653</v>
      </c>
      <c r="C134" s="9" t="n">
        <f aca="false">SUMPRODUCT(PXQ_Identity,PXQ_Identity)</f>
        <v>0</v>
      </c>
      <c r="D134" s="9" t="n">
        <v>0</v>
      </c>
      <c r="E134" s="9" t="str">
        <f aca="false">IF(ISNUMBER(C134),IF(ABS(C134-D134)&lt;0.000000001,"OK","ERR"),"ERR")</f>
        <v>OK</v>
      </c>
      <c r="F134" s="2" t="s">
        <v>3654</v>
      </c>
    </row>
    <row r="135" customFormat="false" ht="15" hidden="false" customHeight="false" outlineLevel="0" collapsed="false">
      <c r="A135" s="9" t="s">
        <v>3655</v>
      </c>
      <c r="B135" s="9" t="s">
        <v>3656</v>
      </c>
      <c r="C135" s="9" t="n">
        <f aca="false">SRC_OAI_002-TKQ_SRC_DEM_007</f>
        <v>0</v>
      </c>
      <c r="D135" s="9" t="n">
        <v>0</v>
      </c>
      <c r="E135" s="9" t="str">
        <f aca="false">IF(ISNUMBER(C135),IF(ABS(C135-D135)&lt;0.000000001,"OK","ERR"),"ERR")</f>
        <v>OK</v>
      </c>
      <c r="F135" s="12" t="s">
        <v>3657</v>
      </c>
    </row>
    <row r="136" customFormat="false" ht="15" hidden="false" customHeight="false" outlineLevel="0" collapsed="false">
      <c r="A136" s="9" t="s">
        <v>3658</v>
      </c>
      <c r="B136" s="9" t="s">
        <v>3659</v>
      </c>
      <c r="C136" s="9" t="n">
        <f aca="false">COUNTIF(TK_PxQ!$A$10:$A$100,"B4_*")+COUNTIF(TK_PxQ!$A$10:$A$100,"AL_*")+COUNTIF(TK_PxQ!$A$10:$A$100,"L1_*")+COUNTIF(TK_PxQ!$A$10:$A$100,"CTL_*")</f>
        <v>0</v>
      </c>
      <c r="D136" s="9" t="n">
        <v>0</v>
      </c>
      <c r="E136" s="9" t="str">
        <f aca="false">IF(C136=D136,"OK","ERR")</f>
        <v>OK</v>
      </c>
      <c r="F136" s="12" t="s">
        <v>3660</v>
      </c>
    </row>
    <row r="137" customFormat="false" ht="15" hidden="false" customHeight="false" outlineLevel="0" collapsed="false">
      <c r="A137" s="9" t="s">
        <v>3661</v>
      </c>
      <c r="B137" s="9" t="s">
        <v>3662</v>
      </c>
      <c r="C137" s="9" t="str">
        <f aca="false">TK_Version</f>
        <v>v5.26</v>
      </c>
      <c r="D137" s="9" t="s">
        <v>758</v>
      </c>
      <c r="E137" s="9" t="str">
        <f aca="false">IF(C137=D137,"OK","ERR")</f>
        <v>OK</v>
      </c>
      <c r="F137" s="2" t="s">
        <v>3663</v>
      </c>
    </row>
    <row r="138" customFormat="false" ht="15" hidden="false" customHeight="false" outlineLevel="0" collapsed="false">
      <c r="A138" s="9" t="s">
        <v>3664</v>
      </c>
      <c r="B138" s="9" t="s">
        <v>3665</v>
      </c>
      <c r="C138" s="9" t="n">
        <f aca="false">COUNTIF(TK_Link!$F$10:$F$200,"OK")</f>
        <v>63</v>
      </c>
      <c r="D138" s="9" t="n">
        <v>63</v>
      </c>
      <c r="E138" s="9" t="str">
        <f aca="false">IF(C138=D138,"OK","ERR")</f>
        <v>OK</v>
      </c>
      <c r="F138" s="2"/>
    </row>
    <row r="139" customFormat="false" ht="15" hidden="false" customHeight="false" outlineLevel="0" collapsed="false">
      <c r="A139" s="9" t="s">
        <v>3666</v>
      </c>
      <c r="B139" s="9" t="s">
        <v>3667</v>
      </c>
      <c r="C139" s="9" t="str">
        <f aca="false">TKQ_Version</f>
        <v>v19.0</v>
      </c>
      <c r="D139" s="9" t="s">
        <v>972</v>
      </c>
      <c r="E139" s="9" t="str">
        <f aca="false">IF(C139=D139,"OK","ERR")</f>
        <v>OK</v>
      </c>
      <c r="F139" s="2" t="s">
        <v>3668</v>
      </c>
    </row>
    <row r="140" customFormat="false" ht="15" hidden="false" customHeight="false" outlineLevel="0" collapsed="false">
      <c r="A140" s="9" t="s">
        <v>3669</v>
      </c>
      <c r="B140" s="9" t="s">
        <v>3670</v>
      </c>
      <c r="C140" s="9" t="n">
        <f aca="false">COUNTIF(TK_PxQ!$F$10:$F$100,"待 Tokenomics 提供")</f>
        <v>2</v>
      </c>
      <c r="D140" s="9" t="n">
        <v>2</v>
      </c>
      <c r="E140" s="9" t="str">
        <f aca="false">IF(C140=D140,"OK","ERR")</f>
        <v>OK</v>
      </c>
      <c r="F140" s="2" t="s">
        <v>3671</v>
      </c>
    </row>
    <row r="141" customFormat="false" ht="15" hidden="false" customHeight="false" outlineLevel="0" collapsed="false">
      <c r="A141" s="9" t="s">
        <v>3672</v>
      </c>
      <c r="B141" s="9" t="s">
        <v>3673</v>
      </c>
      <c r="C141" s="9" t="n">
        <f aca="false">SUMPRODUCT(--ISERROR(TK_PxQ!$J$10:$X$100))</f>
        <v>0</v>
      </c>
      <c r="D141" s="9" t="n">
        <v>0</v>
      </c>
      <c r="E141" s="9" t="str">
        <f aca="false">IF(C141=D141,"OK","ERR")</f>
        <v>OK</v>
      </c>
      <c r="F141" s="2"/>
    </row>
    <row r="142" customFormat="false" ht="15" hidden="false" customHeight="false" outlineLevel="0" collapsed="false">
      <c r="A142" s="9" t="s">
        <v>3674</v>
      </c>
      <c r="B142" s="9" t="s">
        <v>3675</v>
      </c>
      <c r="C142" s="9" t="n">
        <f aca="false">SUMPRODUCT(--ISERROR(PxQ!$D$7:$H$400))</f>
        <v>0</v>
      </c>
      <c r="D142" s="9" t="n">
        <v>0</v>
      </c>
      <c r="E142" s="9" t="str">
        <f aca="false">IF(C142=D142,"OK","ERR")</f>
        <v>OK</v>
      </c>
      <c r="F142" s="2"/>
    </row>
    <row r="143" customFormat="false" ht="15" hidden="false" customHeight="false" outlineLevel="0" collapsed="false">
      <c r="A143" s="9" t="s">
        <v>3676</v>
      </c>
      <c r="B143" s="9" t="s">
        <v>3677</v>
      </c>
      <c r="C143" s="9" t="n">
        <f aca="false">INP_276*(1-INP_276)+INP_280*(1-INP_280)+INP_287*(1-INP_287)</f>
        <v>0</v>
      </c>
      <c r="D143" s="9" t="n">
        <v>0</v>
      </c>
      <c r="E143" s="9" t="str">
        <f aca="false">IF(ISNUMBER(C143),IF(ABS(C143-D143)&lt;0.000000001,"OK","ERR"),"ERR")</f>
        <v>OK</v>
      </c>
      <c r="F143" s="12" t="s">
        <v>3678</v>
      </c>
    </row>
    <row r="144" customFormat="false" ht="15" hidden="false" customHeight="false" outlineLevel="0" collapsed="false">
      <c r="A144" s="9" t="s">
        <v>3679</v>
      </c>
      <c r="B144" s="9" t="s">
        <v>3680</v>
      </c>
      <c r="C144" s="9" t="n">
        <f aca="false">COUNTIF(PXQ_GW,"&lt;=0")</f>
        <v>0</v>
      </c>
      <c r="D144" s="9" t="n">
        <v>0</v>
      </c>
      <c r="E144" s="9" t="str">
        <f aca="false">IF(C144=D144,"OK","ERR")</f>
        <v>OK</v>
      </c>
      <c r="F144" s="2"/>
    </row>
    <row r="145" customFormat="false" ht="15" hidden="false" customHeight="false" outlineLevel="0" collapsed="false">
      <c r="A145" s="9" t="s">
        <v>3681</v>
      </c>
      <c r="B145" s="9" t="s">
        <v>3682</v>
      </c>
      <c r="C145" s="9" t="n">
        <f aca="false">COUNTIF(PXQ_Q,"&lt;=0")</f>
        <v>0</v>
      </c>
      <c r="D145" s="9" t="n">
        <v>0</v>
      </c>
      <c r="E145" s="9" t="str">
        <f aca="false">IF(C145=D145,"OK","ERR")</f>
        <v>OK</v>
      </c>
      <c r="F145" s="2"/>
    </row>
    <row r="146" customFormat="false" ht="15" hidden="false" customHeight="false" outlineLevel="0" collapsed="false">
      <c r="A146" s="9" t="s">
        <v>3683</v>
      </c>
      <c r="B146" s="9" t="s">
        <v>3684</v>
      </c>
      <c r="C146" s="9" t="n">
        <f aca="false">PXQ_ReconBad</f>
        <v>1</v>
      </c>
      <c r="E146" s="9" t="s">
        <v>3305</v>
      </c>
      <c r="F146" s="2" t="s">
        <v>3685</v>
      </c>
    </row>
    <row r="147" customFormat="false" ht="15" hidden="false" customHeight="false" outlineLevel="0" collapsed="false">
      <c r="A147" s="9" t="s">
        <v>3686</v>
      </c>
      <c r="B147" s="9" t="s">
        <v>3687</v>
      </c>
      <c r="C147" s="18" t="n">
        <f aca="false">PxQ!$D$49</f>
        <v>1.2390372618626</v>
      </c>
      <c r="E147" s="9" t="s">
        <v>3305</v>
      </c>
      <c r="F147" s="2" t="s">
        <v>3688</v>
      </c>
    </row>
    <row r="148" customFormat="false" ht="15" hidden="false" customHeight="false" outlineLevel="0" collapsed="false">
      <c r="A148" s="9" t="s">
        <v>3689</v>
      </c>
      <c r="B148" s="9" t="s">
        <v>3690</v>
      </c>
      <c r="C148" s="18" t="n">
        <f aca="false">PxQ!$E$49</f>
        <v>1.11791590049691</v>
      </c>
      <c r="E148" s="9" t="s">
        <v>3305</v>
      </c>
      <c r="F148" s="2" t="s">
        <v>3691</v>
      </c>
    </row>
    <row r="149" customFormat="false" ht="15" hidden="false" customHeight="false" outlineLevel="0" collapsed="false">
      <c r="A149" s="9" t="s">
        <v>3692</v>
      </c>
      <c r="B149" s="9" t="s">
        <v>3693</v>
      </c>
      <c r="C149" s="18" t="n">
        <f aca="false">PxQ!$F$49</f>
        <v>1.47004375661903</v>
      </c>
      <c r="E149" s="9" t="s">
        <v>3305</v>
      </c>
      <c r="F149" s="2" t="s">
        <v>3694</v>
      </c>
    </row>
    <row r="150" customFormat="false" ht="15" hidden="false" customHeight="false" outlineLevel="0" collapsed="false">
      <c r="A150" s="9" t="s">
        <v>3695</v>
      </c>
      <c r="B150" s="9" t="s">
        <v>3696</v>
      </c>
      <c r="C150" s="18" t="n">
        <f aca="false">PxQ!$G$49</f>
        <v>1.22503646384919</v>
      </c>
      <c r="E150" s="9" t="s">
        <v>3305</v>
      </c>
      <c r="F150" s="2" t="s">
        <v>3697</v>
      </c>
    </row>
    <row r="151" customFormat="false" ht="15" hidden="false" customHeight="false" outlineLevel="0" collapsed="false">
      <c r="A151" s="9" t="s">
        <v>3698</v>
      </c>
      <c r="B151" s="9" t="s">
        <v>3699</v>
      </c>
      <c r="C151" s="18" t="n">
        <f aca="false">PxQ!$H$49</f>
        <v>1.05003125472788</v>
      </c>
      <c r="E151" s="9" t="s">
        <v>3305</v>
      </c>
      <c r="F151" s="2" t="s">
        <v>3700</v>
      </c>
    </row>
    <row r="152" customFormat="false" ht="15" hidden="false" customHeight="false" outlineLevel="0" collapsed="false">
      <c r="A152" s="9" t="s">
        <v>3701</v>
      </c>
      <c r="B152" s="9" t="s">
        <v>3702</v>
      </c>
      <c r="C152" s="20" t="n">
        <f aca="false">PxQ!$D$165</f>
        <v>1.51680154474381</v>
      </c>
      <c r="E152" s="9" t="s">
        <v>3305</v>
      </c>
      <c r="F152" s="2" t="s">
        <v>3703</v>
      </c>
    </row>
    <row r="153" customFormat="false" ht="15" hidden="false" customHeight="false" outlineLevel="0" collapsed="false">
      <c r="A153" s="9" t="s">
        <v>3704</v>
      </c>
      <c r="B153" s="9" t="s">
        <v>3705</v>
      </c>
      <c r="C153" s="20" t="n">
        <f aca="false">PxQ!$G$165</f>
        <v>1.70143953312388</v>
      </c>
      <c r="E153" s="9" t="s">
        <v>3305</v>
      </c>
      <c r="F153" s="2" t="s">
        <v>3703</v>
      </c>
    </row>
    <row r="154" customFormat="false" ht="15" hidden="false" customHeight="false" outlineLevel="0" collapsed="false">
      <c r="A154" s="9" t="s">
        <v>3706</v>
      </c>
      <c r="B154" s="9" t="s">
        <v>3707</v>
      </c>
      <c r="C154" s="9" t="n">
        <f aca="false">ABS(PxQ!$D$38-1)+ABS(PxQ!$E$38-1)+ABS(PxQ!$F$38-1)+ABS(PxQ!$G$38-1)+ABS(PxQ!$H$38-1)</f>
        <v>0</v>
      </c>
      <c r="D154" s="9" t="n">
        <v>0</v>
      </c>
      <c r="E154" s="9" t="str">
        <f aca="false">IF(ISNUMBER(C154),IF(ABS(C154-D154)&lt;0.000000001,"OK","ERR"),"ERR")</f>
        <v>OK</v>
      </c>
      <c r="F154" s="2" t="s">
        <v>3708</v>
      </c>
    </row>
    <row r="155" customFormat="false" ht="15" hidden="false" customHeight="false" outlineLevel="0" collapsed="false">
      <c r="A155" s="9" t="s">
        <v>3709</v>
      </c>
      <c r="B155" s="9" t="s">
        <v>3710</v>
      </c>
      <c r="C155" s="9" t="n">
        <f aca="false">ABS(PxQ!$D$65-1)+ABS(PxQ!$E$65-1)+ABS(PxQ!$F$65-1)+ABS(PxQ!$G$65-1)+ABS(PxQ!$H$65-1)</f>
        <v>0</v>
      </c>
      <c r="D155" s="9" t="n">
        <v>0</v>
      </c>
      <c r="E155" s="9" t="str">
        <f aca="false">IF(ISNUMBER(C155),IF(ABS(C155-D155)&lt;0.000000001,"OK","ERR"),"ERR")</f>
        <v>OK</v>
      </c>
      <c r="F155" s="2" t="s">
        <v>3711</v>
      </c>
    </row>
    <row r="157" customFormat="false" ht="15" hidden="false" customHeight="false" outlineLevel="0" collapsed="false">
      <c r="A157" s="5" t="s">
        <v>3712</v>
      </c>
      <c r="C157" s="9" t="n">
        <f aca="false">COUNTIF($E$5:$E$155,"ERR")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1" t="s">
        <v>3713</v>
      </c>
    </row>
    <row r="2" customFormat="false" ht="15" hidden="false" customHeight="false" outlineLevel="0" collapsed="false">
      <c r="A2" s="2" t="s">
        <v>3714</v>
      </c>
    </row>
    <row r="4" customFormat="false" ht="29.85" hidden="false" customHeight="false" outlineLevel="0" collapsed="false">
      <c r="A4" s="7" t="s">
        <v>59</v>
      </c>
      <c r="B4" s="7" t="s">
        <v>3715</v>
      </c>
      <c r="C4" s="8" t="s">
        <v>3716</v>
      </c>
      <c r="D4" s="8" t="s">
        <v>3717</v>
      </c>
      <c r="E4" s="8" t="s">
        <v>3718</v>
      </c>
    </row>
    <row r="5" customFormat="false" ht="15" hidden="false" customHeight="false" outlineLevel="0" collapsed="false">
      <c r="A5" s="9" t="s">
        <v>3719</v>
      </c>
      <c r="B5" s="9" t="s">
        <v>3720</v>
      </c>
      <c r="C5" s="10" t="s">
        <v>3721</v>
      </c>
      <c r="D5" s="9" t="s">
        <v>71</v>
      </c>
      <c r="E5" s="10" t="s">
        <v>3722</v>
      </c>
    </row>
    <row r="6" customFormat="false" ht="15" hidden="false" customHeight="false" outlineLevel="0" collapsed="false">
      <c r="A6" s="9" t="s">
        <v>3723</v>
      </c>
      <c r="B6" s="9" t="s">
        <v>3724</v>
      </c>
      <c r="C6" s="10" t="s">
        <v>3721</v>
      </c>
      <c r="D6" s="9" t="s">
        <v>71</v>
      </c>
      <c r="E6" s="10" t="s">
        <v>3725</v>
      </c>
    </row>
    <row r="7" customFormat="false" ht="15" hidden="false" customHeight="false" outlineLevel="0" collapsed="false">
      <c r="A7" s="9" t="s">
        <v>3726</v>
      </c>
      <c r="B7" s="9" t="s">
        <v>3727</v>
      </c>
      <c r="C7" s="10" t="s">
        <v>3721</v>
      </c>
      <c r="D7" s="9" t="s">
        <v>71</v>
      </c>
      <c r="E7" s="10" t="s">
        <v>3728</v>
      </c>
    </row>
    <row r="8" customFormat="false" ht="15" hidden="false" customHeight="false" outlineLevel="0" collapsed="false">
      <c r="A8" s="9" t="s">
        <v>1074</v>
      </c>
      <c r="B8" s="9" t="s">
        <v>411</v>
      </c>
      <c r="C8" s="9" t="s">
        <v>14</v>
      </c>
      <c r="D8" s="9" t="s">
        <v>1070</v>
      </c>
      <c r="E8" s="9"/>
    </row>
    <row r="9" customFormat="false" ht="15" hidden="false" customHeight="false" outlineLevel="0" collapsed="false">
      <c r="A9" s="9" t="s">
        <v>1078</v>
      </c>
      <c r="B9" s="9" t="s">
        <v>423</v>
      </c>
      <c r="C9" s="9" t="s">
        <v>14</v>
      </c>
      <c r="D9" s="9" t="s">
        <v>1076</v>
      </c>
      <c r="E9" s="9"/>
    </row>
    <row r="10" customFormat="false" ht="15" hidden="false" customHeight="false" outlineLevel="0" collapsed="false">
      <c r="A10" s="9" t="s">
        <v>1081</v>
      </c>
      <c r="B10" s="9" t="s">
        <v>1170</v>
      </c>
      <c r="C10" s="9" t="s">
        <v>14</v>
      </c>
      <c r="D10" s="9" t="s">
        <v>1079</v>
      </c>
      <c r="E10" s="9"/>
    </row>
    <row r="11" customFormat="false" ht="15" hidden="false" customHeight="false" outlineLevel="0" collapsed="false">
      <c r="A11" s="9" t="s">
        <v>1084</v>
      </c>
      <c r="B11" s="9" t="s">
        <v>1172</v>
      </c>
      <c r="C11" s="9" t="s">
        <v>14</v>
      </c>
      <c r="D11" s="9" t="s">
        <v>1082</v>
      </c>
      <c r="E11" s="9"/>
    </row>
    <row r="12" customFormat="false" ht="15" hidden="false" customHeight="false" outlineLevel="0" collapsed="false">
      <c r="A12" s="9" t="s">
        <v>1087</v>
      </c>
      <c r="B12" s="9" t="s">
        <v>1174</v>
      </c>
      <c r="C12" s="9" t="s">
        <v>14</v>
      </c>
      <c r="D12" s="9" t="s">
        <v>1085</v>
      </c>
      <c r="E12" s="9"/>
    </row>
    <row r="13" customFormat="false" ht="15" hidden="false" customHeight="false" outlineLevel="0" collapsed="false">
      <c r="A13" s="9" t="s">
        <v>1090</v>
      </c>
      <c r="B13" s="9" t="s">
        <v>1176</v>
      </c>
      <c r="C13" s="9" t="s">
        <v>14</v>
      </c>
      <c r="D13" s="9" t="s">
        <v>1088</v>
      </c>
      <c r="E13" s="9"/>
    </row>
    <row r="14" customFormat="false" ht="15" hidden="false" customHeight="false" outlineLevel="0" collapsed="false">
      <c r="A14" s="9" t="s">
        <v>1059</v>
      </c>
      <c r="B14" s="9" t="s">
        <v>411</v>
      </c>
      <c r="C14" s="9" t="s">
        <v>14</v>
      </c>
      <c r="D14" s="9" t="s">
        <v>1055</v>
      </c>
      <c r="E14" s="9"/>
    </row>
    <row r="15" customFormat="false" ht="15" hidden="false" customHeight="false" outlineLevel="0" collapsed="false">
      <c r="A15" s="9" t="s">
        <v>1062</v>
      </c>
      <c r="B15" s="9" t="s">
        <v>411</v>
      </c>
      <c r="C15" s="9" t="s">
        <v>14</v>
      </c>
      <c r="D15" s="9" t="s">
        <v>1060</v>
      </c>
      <c r="E15" s="9"/>
    </row>
    <row r="16" customFormat="false" ht="15" hidden="false" customHeight="false" outlineLevel="0" collapsed="false">
      <c r="A16" s="9" t="s">
        <v>1066</v>
      </c>
      <c r="B16" s="9" t="s">
        <v>423</v>
      </c>
      <c r="C16" s="9" t="s">
        <v>14</v>
      </c>
      <c r="D16" s="9" t="s">
        <v>1064</v>
      </c>
      <c r="E16" s="9"/>
    </row>
    <row r="17" customFormat="false" ht="15" hidden="false" customHeight="false" outlineLevel="0" collapsed="false">
      <c r="A17" s="9" t="s">
        <v>1069</v>
      </c>
      <c r="B17" s="9" t="s">
        <v>1170</v>
      </c>
      <c r="C17" s="9" t="s">
        <v>14</v>
      </c>
      <c r="D17" s="9" t="s">
        <v>1067</v>
      </c>
      <c r="E17" s="9"/>
    </row>
    <row r="18" customFormat="false" ht="15" hidden="false" customHeight="false" outlineLevel="0" collapsed="false">
      <c r="A18" s="9" t="s">
        <v>3729</v>
      </c>
      <c r="B18" s="9" t="s">
        <v>3730</v>
      </c>
      <c r="C18" s="10" t="s">
        <v>3721</v>
      </c>
      <c r="D18" s="9" t="s">
        <v>71</v>
      </c>
      <c r="E18" s="10" t="s">
        <v>3731</v>
      </c>
    </row>
    <row r="19" customFormat="false" ht="15" hidden="false" customHeight="false" outlineLevel="0" collapsed="false">
      <c r="A19" s="9" t="s">
        <v>3732</v>
      </c>
      <c r="B19" s="9" t="s">
        <v>3733</v>
      </c>
      <c r="C19" s="10" t="s">
        <v>3721</v>
      </c>
      <c r="D19" s="9" t="s">
        <v>71</v>
      </c>
      <c r="E19" s="10" t="s">
        <v>3731</v>
      </c>
    </row>
    <row r="20" customFormat="false" ht="15" hidden="false" customHeight="false" outlineLevel="0" collapsed="false">
      <c r="A20" s="9" t="s">
        <v>3734</v>
      </c>
      <c r="B20" s="9" t="s">
        <v>3735</v>
      </c>
      <c r="C20" s="10" t="s">
        <v>3721</v>
      </c>
      <c r="D20" s="9" t="s">
        <v>71</v>
      </c>
      <c r="E20" s="10" t="s">
        <v>3731</v>
      </c>
    </row>
    <row r="21" customFormat="false" ht="15" hidden="false" customHeight="false" outlineLevel="0" collapsed="false">
      <c r="A21" s="9" t="s">
        <v>3736</v>
      </c>
      <c r="B21" s="9" t="s">
        <v>3737</v>
      </c>
      <c r="C21" s="10" t="s">
        <v>3721</v>
      </c>
      <c r="D21" s="9" t="s">
        <v>71</v>
      </c>
      <c r="E21" s="10" t="s">
        <v>3731</v>
      </c>
    </row>
    <row r="22" customFormat="false" ht="15" hidden="false" customHeight="false" outlineLevel="0" collapsed="false">
      <c r="A22" s="9" t="s">
        <v>3738</v>
      </c>
      <c r="B22" s="9" t="s">
        <v>3739</v>
      </c>
      <c r="C22" s="10" t="s">
        <v>3721</v>
      </c>
      <c r="D22" s="9" t="s">
        <v>71</v>
      </c>
      <c r="E22" s="10" t="s">
        <v>3731</v>
      </c>
    </row>
    <row r="23" customFormat="false" ht="15" hidden="false" customHeight="false" outlineLevel="0" collapsed="false">
      <c r="A23" s="9" t="s">
        <v>3740</v>
      </c>
      <c r="B23" s="9" t="s">
        <v>3741</v>
      </c>
      <c r="C23" s="10" t="s">
        <v>3721</v>
      </c>
      <c r="D23" s="9" t="s">
        <v>71</v>
      </c>
      <c r="E23" s="10" t="s">
        <v>3742</v>
      </c>
    </row>
    <row r="24" customFormat="false" ht="15" hidden="false" customHeight="false" outlineLevel="0" collapsed="false">
      <c r="A24" s="9" t="s">
        <v>3743</v>
      </c>
      <c r="B24" s="9" t="s">
        <v>3744</v>
      </c>
      <c r="C24" s="10" t="s">
        <v>3721</v>
      </c>
      <c r="D24" s="9" t="s">
        <v>71</v>
      </c>
      <c r="E24" s="9" t="s">
        <v>3745</v>
      </c>
    </row>
    <row r="25" customFormat="false" ht="15" hidden="false" customHeight="false" outlineLevel="0" collapsed="false">
      <c r="A25" s="9" t="s">
        <v>3746</v>
      </c>
      <c r="B25" s="9" t="s">
        <v>3747</v>
      </c>
      <c r="C25" s="9" t="s">
        <v>6</v>
      </c>
      <c r="D25" s="9" t="s">
        <v>66</v>
      </c>
      <c r="E25" s="9"/>
    </row>
    <row r="26" customFormat="false" ht="15" hidden="false" customHeight="false" outlineLevel="0" collapsed="false">
      <c r="A26" s="9" t="s">
        <v>3748</v>
      </c>
      <c r="B26" s="9" t="s">
        <v>3749</v>
      </c>
      <c r="C26" s="9" t="s">
        <v>6</v>
      </c>
      <c r="D26" s="9" t="s">
        <v>66</v>
      </c>
      <c r="E26" s="10" t="s">
        <v>3750</v>
      </c>
    </row>
    <row r="27" customFormat="false" ht="15" hidden="false" customHeight="false" outlineLevel="0" collapsed="false">
      <c r="A27" s="9" t="s">
        <v>3751</v>
      </c>
      <c r="B27" s="9" t="s">
        <v>3752</v>
      </c>
      <c r="C27" s="9" t="s">
        <v>6</v>
      </c>
      <c r="D27" s="9" t="s">
        <v>66</v>
      </c>
      <c r="E27" s="10" t="s">
        <v>3750</v>
      </c>
    </row>
    <row r="28" customFormat="false" ht="15" hidden="false" customHeight="false" outlineLevel="0" collapsed="false">
      <c r="A28" s="9" t="s">
        <v>3753</v>
      </c>
      <c r="B28" s="9" t="s">
        <v>3657</v>
      </c>
      <c r="C28" s="9" t="s">
        <v>6</v>
      </c>
      <c r="D28" s="9" t="s">
        <v>82</v>
      </c>
      <c r="E28" s="9"/>
    </row>
    <row r="29" customFormat="false" ht="15" hidden="false" customHeight="false" outlineLevel="0" collapsed="false">
      <c r="A29" s="9" t="s">
        <v>3754</v>
      </c>
      <c r="B29" s="9" t="s">
        <v>3749</v>
      </c>
      <c r="C29" s="9" t="s">
        <v>6</v>
      </c>
      <c r="D29" s="9" t="s">
        <v>82</v>
      </c>
      <c r="E29" s="10" t="s">
        <v>3750</v>
      </c>
    </row>
    <row r="30" customFormat="false" ht="15" hidden="false" customHeight="false" outlineLevel="0" collapsed="false">
      <c r="A30" s="9" t="s">
        <v>3755</v>
      </c>
      <c r="B30" s="9" t="s">
        <v>3756</v>
      </c>
      <c r="C30" s="9" t="s">
        <v>6</v>
      </c>
      <c r="D30" s="9" t="s">
        <v>82</v>
      </c>
      <c r="E30" s="10" t="s">
        <v>3750</v>
      </c>
    </row>
    <row r="31" customFormat="false" ht="15" hidden="false" customHeight="false" outlineLevel="0" collapsed="false">
      <c r="A31" s="9" t="s">
        <v>3757</v>
      </c>
      <c r="B31" s="9" t="s">
        <v>3758</v>
      </c>
      <c r="C31" s="9" t="s">
        <v>6</v>
      </c>
      <c r="D31" s="9" t="s">
        <v>90</v>
      </c>
      <c r="E31" s="9"/>
    </row>
    <row r="32" customFormat="false" ht="15" hidden="false" customHeight="false" outlineLevel="0" collapsed="false">
      <c r="A32" s="9" t="s">
        <v>3759</v>
      </c>
      <c r="B32" s="9" t="s">
        <v>3749</v>
      </c>
      <c r="C32" s="9" t="s">
        <v>6</v>
      </c>
      <c r="D32" s="9" t="s">
        <v>90</v>
      </c>
      <c r="E32" s="10" t="s">
        <v>3750</v>
      </c>
    </row>
    <row r="33" customFormat="false" ht="15" hidden="false" customHeight="false" outlineLevel="0" collapsed="false">
      <c r="A33" s="9" t="s">
        <v>3760</v>
      </c>
      <c r="B33" s="9" t="s">
        <v>3761</v>
      </c>
      <c r="C33" s="9" t="s">
        <v>6</v>
      </c>
      <c r="D33" s="9" t="s">
        <v>90</v>
      </c>
      <c r="E33" s="10" t="s">
        <v>3750</v>
      </c>
    </row>
    <row r="34" customFormat="false" ht="15" hidden="false" customHeight="false" outlineLevel="0" collapsed="false">
      <c r="A34" s="9" t="s">
        <v>3762</v>
      </c>
      <c r="B34" s="9" t="s">
        <v>3763</v>
      </c>
      <c r="C34" s="9" t="s">
        <v>6</v>
      </c>
      <c r="D34" s="9" t="s">
        <v>96</v>
      </c>
      <c r="E34" s="9"/>
    </row>
    <row r="35" customFormat="false" ht="15" hidden="false" customHeight="false" outlineLevel="0" collapsed="false">
      <c r="A35" s="9" t="s">
        <v>3764</v>
      </c>
      <c r="B35" s="9" t="s">
        <v>3749</v>
      </c>
      <c r="C35" s="9" t="s">
        <v>6</v>
      </c>
      <c r="D35" s="9" t="s">
        <v>96</v>
      </c>
      <c r="E35" s="10" t="s">
        <v>3750</v>
      </c>
    </row>
    <row r="36" customFormat="false" ht="15" hidden="false" customHeight="false" outlineLevel="0" collapsed="false">
      <c r="A36" s="9" t="s">
        <v>3765</v>
      </c>
      <c r="B36" s="9" t="s">
        <v>3766</v>
      </c>
      <c r="C36" s="9" t="s">
        <v>6</v>
      </c>
      <c r="D36" s="9" t="s">
        <v>96</v>
      </c>
      <c r="E36" s="10" t="s">
        <v>3750</v>
      </c>
    </row>
    <row r="37" customFormat="false" ht="15" hidden="false" customHeight="false" outlineLevel="0" collapsed="false">
      <c r="A37" s="9" t="s">
        <v>3767</v>
      </c>
      <c r="B37" s="9" t="s">
        <v>3768</v>
      </c>
      <c r="C37" s="9" t="s">
        <v>6</v>
      </c>
      <c r="D37" s="9" t="s">
        <v>104</v>
      </c>
      <c r="E37" s="9"/>
    </row>
    <row r="38" customFormat="false" ht="15" hidden="false" customHeight="false" outlineLevel="0" collapsed="false">
      <c r="A38" s="9" t="s">
        <v>3769</v>
      </c>
      <c r="B38" s="9" t="s">
        <v>3749</v>
      </c>
      <c r="C38" s="9" t="s">
        <v>6</v>
      </c>
      <c r="D38" s="9" t="s">
        <v>104</v>
      </c>
      <c r="E38" s="10" t="s">
        <v>3750</v>
      </c>
    </row>
    <row r="39" customFormat="false" ht="15" hidden="false" customHeight="false" outlineLevel="0" collapsed="false">
      <c r="A39" s="9" t="s">
        <v>3770</v>
      </c>
      <c r="B39" s="9" t="s">
        <v>3771</v>
      </c>
      <c r="C39" s="9" t="s">
        <v>6</v>
      </c>
      <c r="D39" s="9" t="s">
        <v>104</v>
      </c>
      <c r="E39" s="10" t="s">
        <v>3750</v>
      </c>
    </row>
    <row r="40" customFormat="false" ht="15" hidden="false" customHeight="false" outlineLevel="0" collapsed="false">
      <c r="A40" s="9" t="s">
        <v>3772</v>
      </c>
      <c r="B40" s="9" t="s">
        <v>3773</v>
      </c>
      <c r="C40" s="9" t="s">
        <v>6</v>
      </c>
      <c r="D40" s="9" t="s">
        <v>111</v>
      </c>
      <c r="E40" s="9"/>
    </row>
    <row r="41" customFormat="false" ht="15" hidden="false" customHeight="false" outlineLevel="0" collapsed="false">
      <c r="A41" s="9" t="s">
        <v>3774</v>
      </c>
      <c r="B41" s="9" t="s">
        <v>3749</v>
      </c>
      <c r="C41" s="9" t="s">
        <v>6</v>
      </c>
      <c r="D41" s="9" t="s">
        <v>111</v>
      </c>
      <c r="E41" s="10" t="s">
        <v>3750</v>
      </c>
    </row>
    <row r="42" customFormat="false" ht="15" hidden="false" customHeight="false" outlineLevel="0" collapsed="false">
      <c r="A42" s="9" t="s">
        <v>3775</v>
      </c>
      <c r="B42" s="9" t="s">
        <v>3776</v>
      </c>
      <c r="C42" s="9" t="s">
        <v>6</v>
      </c>
      <c r="D42" s="9" t="s">
        <v>111</v>
      </c>
      <c r="E42" s="10" t="s">
        <v>3750</v>
      </c>
    </row>
    <row r="43" customFormat="false" ht="15" hidden="false" customHeight="false" outlineLevel="0" collapsed="false">
      <c r="A43" s="9" t="s">
        <v>3777</v>
      </c>
      <c r="B43" s="9" t="s">
        <v>3778</v>
      </c>
      <c r="C43" s="9" t="s">
        <v>6</v>
      </c>
      <c r="D43" s="9" t="s">
        <v>118</v>
      </c>
      <c r="E43" s="9"/>
    </row>
    <row r="44" customFormat="false" ht="15" hidden="false" customHeight="false" outlineLevel="0" collapsed="false">
      <c r="A44" s="9" t="s">
        <v>3779</v>
      </c>
      <c r="B44" s="9" t="s">
        <v>3749</v>
      </c>
      <c r="C44" s="9" t="s">
        <v>6</v>
      </c>
      <c r="D44" s="9" t="s">
        <v>118</v>
      </c>
      <c r="E44" s="10" t="s">
        <v>3750</v>
      </c>
    </row>
    <row r="45" customFormat="false" ht="15" hidden="false" customHeight="false" outlineLevel="0" collapsed="false">
      <c r="A45" s="9" t="s">
        <v>3780</v>
      </c>
      <c r="B45" s="9" t="s">
        <v>3781</v>
      </c>
      <c r="C45" s="9" t="s">
        <v>6</v>
      </c>
      <c r="D45" s="9" t="s">
        <v>118</v>
      </c>
      <c r="E45" s="10" t="s">
        <v>3750</v>
      </c>
    </row>
    <row r="46" customFormat="false" ht="15" hidden="false" customHeight="false" outlineLevel="0" collapsed="false">
      <c r="A46" s="9" t="s">
        <v>3782</v>
      </c>
      <c r="B46" s="9" t="s">
        <v>3783</v>
      </c>
      <c r="C46" s="9" t="s">
        <v>6</v>
      </c>
      <c r="D46" s="9" t="s">
        <v>125</v>
      </c>
      <c r="E46" s="9"/>
    </row>
    <row r="47" customFormat="false" ht="15" hidden="false" customHeight="false" outlineLevel="0" collapsed="false">
      <c r="A47" s="9" t="s">
        <v>3784</v>
      </c>
      <c r="B47" s="9" t="s">
        <v>3785</v>
      </c>
      <c r="C47" s="9" t="s">
        <v>6</v>
      </c>
      <c r="D47" s="9" t="s">
        <v>125</v>
      </c>
      <c r="E47" s="10" t="s">
        <v>3750</v>
      </c>
    </row>
    <row r="48" customFormat="false" ht="15" hidden="false" customHeight="false" outlineLevel="0" collapsed="false">
      <c r="A48" s="9" t="s">
        <v>3786</v>
      </c>
      <c r="B48" s="9" t="s">
        <v>3749</v>
      </c>
      <c r="C48" s="9" t="s">
        <v>6</v>
      </c>
      <c r="D48" s="9" t="s">
        <v>125</v>
      </c>
      <c r="E48" s="10" t="s">
        <v>3750</v>
      </c>
    </row>
    <row r="49" customFormat="false" ht="15" hidden="false" customHeight="false" outlineLevel="0" collapsed="false">
      <c r="A49" s="9" t="s">
        <v>3787</v>
      </c>
      <c r="B49" s="9" t="s">
        <v>3788</v>
      </c>
      <c r="C49" s="9" t="s">
        <v>6</v>
      </c>
      <c r="D49" s="9" t="s">
        <v>125</v>
      </c>
      <c r="E49" s="10" t="s">
        <v>3750</v>
      </c>
    </row>
    <row r="50" customFormat="false" ht="15" hidden="false" customHeight="false" outlineLevel="0" collapsed="false">
      <c r="A50" s="9" t="s">
        <v>3789</v>
      </c>
      <c r="B50" s="9" t="s">
        <v>3790</v>
      </c>
      <c r="C50" s="10" t="s">
        <v>3791</v>
      </c>
      <c r="D50" s="9" t="s">
        <v>3792</v>
      </c>
      <c r="E50" s="9" t="s">
        <v>3793</v>
      </c>
    </row>
    <row r="51" customFormat="false" ht="15" hidden="false" customHeight="false" outlineLevel="0" collapsed="false">
      <c r="A51" s="9" t="s">
        <v>3794</v>
      </c>
      <c r="B51" s="9" t="s">
        <v>3795</v>
      </c>
      <c r="C51" s="10" t="s">
        <v>3791</v>
      </c>
      <c r="D51" s="9" t="s">
        <v>3792</v>
      </c>
      <c r="E51" s="9" t="s">
        <v>3793</v>
      </c>
    </row>
    <row r="52" customFormat="false" ht="15" hidden="false" customHeight="false" outlineLevel="0" collapsed="false">
      <c r="A52" s="9" t="s">
        <v>3796</v>
      </c>
      <c r="B52" s="9" t="s">
        <v>3797</v>
      </c>
      <c r="C52" s="10" t="s">
        <v>3791</v>
      </c>
      <c r="D52" s="9" t="s">
        <v>3792</v>
      </c>
      <c r="E52" s="9" t="s">
        <v>3793</v>
      </c>
    </row>
    <row r="53" customFormat="false" ht="15" hidden="false" customHeight="false" outlineLevel="0" collapsed="false">
      <c r="A53" s="9" t="s">
        <v>3798</v>
      </c>
      <c r="B53" s="9" t="s">
        <v>3799</v>
      </c>
      <c r="C53" s="10" t="s">
        <v>3791</v>
      </c>
      <c r="D53" s="9" t="s">
        <v>3792</v>
      </c>
      <c r="E53" s="9" t="s">
        <v>3793</v>
      </c>
    </row>
    <row r="54" customFormat="false" ht="15" hidden="false" customHeight="false" outlineLevel="0" collapsed="false">
      <c r="A54" s="9" t="s">
        <v>3800</v>
      </c>
      <c r="B54" s="9" t="s">
        <v>3801</v>
      </c>
      <c r="C54" s="10" t="s">
        <v>3791</v>
      </c>
      <c r="D54" s="9" t="s">
        <v>3792</v>
      </c>
      <c r="E54" s="9" t="s">
        <v>3793</v>
      </c>
    </row>
    <row r="55" customFormat="false" ht="15" hidden="false" customHeight="false" outlineLevel="0" collapsed="false">
      <c r="A55" s="9" t="s">
        <v>3802</v>
      </c>
      <c r="B55" s="9" t="s">
        <v>3803</v>
      </c>
      <c r="C55" s="10" t="s">
        <v>3791</v>
      </c>
      <c r="D55" s="9" t="s">
        <v>3792</v>
      </c>
      <c r="E55" s="9" t="s">
        <v>3793</v>
      </c>
    </row>
    <row r="56" customFormat="false" ht="15" hidden="false" customHeight="false" outlineLevel="0" collapsed="false">
      <c r="A56" s="9" t="s">
        <v>3804</v>
      </c>
      <c r="B56" s="9" t="s">
        <v>3805</v>
      </c>
      <c r="C56" s="10" t="s">
        <v>3791</v>
      </c>
      <c r="D56" s="9" t="s">
        <v>3792</v>
      </c>
      <c r="E56" s="9" t="s">
        <v>3793</v>
      </c>
    </row>
    <row r="57" customFormat="false" ht="15" hidden="false" customHeight="false" outlineLevel="0" collapsed="false">
      <c r="A57" s="9" t="s">
        <v>3806</v>
      </c>
      <c r="B57" s="9" t="s">
        <v>3807</v>
      </c>
      <c r="C57" s="9" t="s">
        <v>6</v>
      </c>
      <c r="D57" s="9" t="s">
        <v>135</v>
      </c>
      <c r="E57" s="9"/>
    </row>
    <row r="58" customFormat="false" ht="15" hidden="false" customHeight="false" outlineLevel="0" collapsed="false">
      <c r="A58" s="9" t="s">
        <v>3808</v>
      </c>
      <c r="B58" s="9" t="s">
        <v>3749</v>
      </c>
      <c r="C58" s="9" t="s">
        <v>6</v>
      </c>
      <c r="D58" s="9" t="s">
        <v>135</v>
      </c>
      <c r="E58" s="10" t="s">
        <v>3750</v>
      </c>
    </row>
    <row r="59" customFormat="false" ht="15" hidden="false" customHeight="false" outlineLevel="0" collapsed="false">
      <c r="A59" s="9" t="s">
        <v>3809</v>
      </c>
      <c r="B59" s="9" t="s">
        <v>3810</v>
      </c>
      <c r="C59" s="9" t="s">
        <v>6</v>
      </c>
      <c r="D59" s="9" t="s">
        <v>135</v>
      </c>
      <c r="E59" s="10" t="s">
        <v>3750</v>
      </c>
    </row>
    <row r="60" customFormat="false" ht="15" hidden="false" customHeight="false" outlineLevel="0" collapsed="false">
      <c r="A60" s="9" t="s">
        <v>3811</v>
      </c>
      <c r="B60" s="9" t="s">
        <v>3812</v>
      </c>
      <c r="C60" s="9" t="s">
        <v>6</v>
      </c>
      <c r="D60" s="9" t="s">
        <v>144</v>
      </c>
      <c r="E60" s="9"/>
    </row>
    <row r="61" customFormat="false" ht="15" hidden="false" customHeight="false" outlineLevel="0" collapsed="false">
      <c r="A61" s="9" t="s">
        <v>3813</v>
      </c>
      <c r="B61" s="9" t="s">
        <v>3749</v>
      </c>
      <c r="C61" s="9" t="s">
        <v>6</v>
      </c>
      <c r="D61" s="9" t="s">
        <v>144</v>
      </c>
      <c r="E61" s="10" t="s">
        <v>3750</v>
      </c>
    </row>
    <row r="62" customFormat="false" ht="15" hidden="false" customHeight="false" outlineLevel="0" collapsed="false">
      <c r="A62" s="9" t="s">
        <v>3814</v>
      </c>
      <c r="B62" s="9" t="s">
        <v>3815</v>
      </c>
      <c r="C62" s="9" t="s">
        <v>6</v>
      </c>
      <c r="D62" s="9" t="s">
        <v>144</v>
      </c>
      <c r="E62" s="10" t="s">
        <v>3750</v>
      </c>
    </row>
    <row r="63" customFormat="false" ht="15" hidden="false" customHeight="false" outlineLevel="0" collapsed="false">
      <c r="A63" s="9" t="s">
        <v>3816</v>
      </c>
      <c r="B63" s="9" t="s">
        <v>1176</v>
      </c>
      <c r="C63" s="9" t="s">
        <v>6</v>
      </c>
      <c r="D63" s="9" t="s">
        <v>150</v>
      </c>
      <c r="E63" s="9"/>
    </row>
    <row r="64" customFormat="false" ht="15" hidden="false" customHeight="false" outlineLevel="0" collapsed="false">
      <c r="A64" s="9" t="s">
        <v>3817</v>
      </c>
      <c r="B64" s="9" t="s">
        <v>3818</v>
      </c>
      <c r="C64" s="9" t="s">
        <v>6</v>
      </c>
      <c r="D64" s="9" t="s">
        <v>150</v>
      </c>
      <c r="E64" s="10" t="s">
        <v>3750</v>
      </c>
    </row>
    <row r="65" customFormat="false" ht="15" hidden="false" customHeight="false" outlineLevel="0" collapsed="false">
      <c r="A65" s="9" t="s">
        <v>3819</v>
      </c>
      <c r="B65" s="9" t="s">
        <v>3820</v>
      </c>
      <c r="C65" s="9" t="s">
        <v>6</v>
      </c>
      <c r="D65" s="9" t="s">
        <v>150</v>
      </c>
      <c r="E65" s="10" t="s">
        <v>3750</v>
      </c>
    </row>
    <row r="66" customFormat="false" ht="15" hidden="false" customHeight="false" outlineLevel="0" collapsed="false">
      <c r="A66" s="9" t="s">
        <v>3821</v>
      </c>
      <c r="B66" s="9" t="s">
        <v>423</v>
      </c>
      <c r="C66" s="9" t="s">
        <v>14</v>
      </c>
      <c r="D66" s="9" t="s">
        <v>1091</v>
      </c>
      <c r="E66" s="9"/>
    </row>
    <row r="67" customFormat="false" ht="15" hidden="false" customHeight="false" outlineLevel="0" collapsed="false">
      <c r="A67" s="9" t="s">
        <v>3822</v>
      </c>
      <c r="B67" s="9" t="s">
        <v>3823</v>
      </c>
      <c r="C67" s="9" t="s">
        <v>14</v>
      </c>
      <c r="D67" s="9" t="s">
        <v>1091</v>
      </c>
      <c r="E67" s="10" t="s">
        <v>3750</v>
      </c>
    </row>
    <row r="68" customFormat="false" ht="15" hidden="false" customHeight="false" outlineLevel="0" collapsed="false">
      <c r="A68" s="9" t="s">
        <v>3824</v>
      </c>
      <c r="B68" s="9" t="s">
        <v>3825</v>
      </c>
      <c r="C68" s="9" t="s">
        <v>14</v>
      </c>
      <c r="D68" s="9" t="s">
        <v>1091</v>
      </c>
      <c r="E68" s="10" t="s">
        <v>3750</v>
      </c>
    </row>
    <row r="69" customFormat="false" ht="15" hidden="false" customHeight="false" outlineLevel="0" collapsed="false">
      <c r="A69" s="9" t="s">
        <v>3826</v>
      </c>
      <c r="B69" s="9" t="s">
        <v>3827</v>
      </c>
      <c r="C69" s="9" t="s">
        <v>6</v>
      </c>
      <c r="D69" s="9" t="s">
        <v>158</v>
      </c>
      <c r="E69" s="9"/>
    </row>
    <row r="70" customFormat="false" ht="15" hidden="false" customHeight="false" outlineLevel="0" collapsed="false">
      <c r="A70" s="9" t="s">
        <v>3828</v>
      </c>
      <c r="B70" s="9" t="s">
        <v>3818</v>
      </c>
      <c r="C70" s="9" t="s">
        <v>6</v>
      </c>
      <c r="D70" s="9" t="s">
        <v>158</v>
      </c>
      <c r="E70" s="10" t="s">
        <v>3750</v>
      </c>
    </row>
    <row r="71" customFormat="false" ht="15" hidden="false" customHeight="false" outlineLevel="0" collapsed="false">
      <c r="A71" s="9" t="s">
        <v>3829</v>
      </c>
      <c r="B71" s="9" t="s">
        <v>3830</v>
      </c>
      <c r="C71" s="9" t="s">
        <v>6</v>
      </c>
      <c r="D71" s="9" t="s">
        <v>158</v>
      </c>
      <c r="E71" s="10" t="s">
        <v>3750</v>
      </c>
    </row>
    <row r="72" customFormat="false" ht="15" hidden="false" customHeight="false" outlineLevel="0" collapsed="false">
      <c r="A72" s="9" t="s">
        <v>3831</v>
      </c>
      <c r="B72" s="9" t="s">
        <v>3832</v>
      </c>
      <c r="C72" s="10" t="s">
        <v>3721</v>
      </c>
      <c r="D72" s="9" t="s">
        <v>71</v>
      </c>
      <c r="E72" s="10" t="s">
        <v>3833</v>
      </c>
    </row>
    <row r="73" customFormat="false" ht="15" hidden="false" customHeight="false" outlineLevel="0" collapsed="false">
      <c r="A73" s="9" t="s">
        <v>3834</v>
      </c>
      <c r="B73" s="9" t="s">
        <v>3835</v>
      </c>
      <c r="C73" s="10" t="s">
        <v>3721</v>
      </c>
      <c r="D73" s="9" t="s">
        <v>71</v>
      </c>
      <c r="E73" s="10" t="s">
        <v>3833</v>
      </c>
    </row>
    <row r="74" customFormat="false" ht="15" hidden="false" customHeight="false" outlineLevel="0" collapsed="false">
      <c r="A74" s="9" t="s">
        <v>3836</v>
      </c>
      <c r="B74" s="9" t="s">
        <v>3837</v>
      </c>
      <c r="C74" s="10" t="s">
        <v>3721</v>
      </c>
      <c r="D74" s="9" t="s">
        <v>71</v>
      </c>
      <c r="E74" s="10" t="s">
        <v>3833</v>
      </c>
    </row>
    <row r="75" customFormat="false" ht="15" hidden="false" customHeight="false" outlineLevel="0" collapsed="false">
      <c r="A75" s="9" t="s">
        <v>196</v>
      </c>
      <c r="B75" s="9" t="s">
        <v>3838</v>
      </c>
      <c r="C75" s="9" t="s">
        <v>6</v>
      </c>
      <c r="D75" s="9" t="s">
        <v>190</v>
      </c>
      <c r="E75" s="9"/>
    </row>
    <row r="76" customFormat="false" ht="15" hidden="false" customHeight="false" outlineLevel="0" collapsed="false">
      <c r="A76" s="9" t="s">
        <v>202</v>
      </c>
      <c r="B76" s="9" t="s">
        <v>3839</v>
      </c>
      <c r="C76" s="9" t="s">
        <v>6</v>
      </c>
      <c r="D76" s="9" t="s">
        <v>199</v>
      </c>
      <c r="E76" s="9"/>
    </row>
    <row r="77" customFormat="false" ht="15" hidden="false" customHeight="false" outlineLevel="0" collapsed="false">
      <c r="A77" s="9" t="s">
        <v>206</v>
      </c>
      <c r="B77" s="9" t="s">
        <v>3840</v>
      </c>
      <c r="C77" s="9" t="s">
        <v>6</v>
      </c>
      <c r="D77" s="9" t="s">
        <v>203</v>
      </c>
      <c r="E77" s="9"/>
    </row>
    <row r="78" customFormat="false" ht="15" hidden="false" customHeight="false" outlineLevel="0" collapsed="false">
      <c r="A78" s="9" t="s">
        <v>3841</v>
      </c>
      <c r="B78" s="9" t="s">
        <v>3842</v>
      </c>
      <c r="C78" s="9" t="s">
        <v>6</v>
      </c>
      <c r="D78" s="9" t="s">
        <v>3843</v>
      </c>
      <c r="E78" s="10" t="s">
        <v>3844</v>
      </c>
    </row>
    <row r="79" customFormat="false" ht="15" hidden="false" customHeight="false" outlineLevel="0" collapsed="false">
      <c r="A79" s="9" t="s">
        <v>3845</v>
      </c>
      <c r="B79" s="9" t="s">
        <v>3818</v>
      </c>
      <c r="C79" s="9" t="s">
        <v>6</v>
      </c>
      <c r="D79" s="9" t="s">
        <v>163</v>
      </c>
      <c r="E79" s="10" t="s">
        <v>3750</v>
      </c>
    </row>
    <row r="80" customFormat="false" ht="15" hidden="false" customHeight="false" outlineLevel="0" collapsed="false">
      <c r="A80" s="9" t="s">
        <v>3846</v>
      </c>
      <c r="B80" s="9" t="s">
        <v>3847</v>
      </c>
      <c r="C80" s="9" t="s">
        <v>6</v>
      </c>
      <c r="D80" s="9" t="s">
        <v>163</v>
      </c>
      <c r="E80" s="10" t="s">
        <v>3750</v>
      </c>
    </row>
    <row r="81" customFormat="false" ht="15" hidden="false" customHeight="false" outlineLevel="0" collapsed="false">
      <c r="A81" s="9" t="s">
        <v>3848</v>
      </c>
      <c r="B81" s="9" t="s">
        <v>3849</v>
      </c>
      <c r="C81" s="9" t="s">
        <v>6</v>
      </c>
      <c r="D81" s="9" t="s">
        <v>163</v>
      </c>
      <c r="E81" s="9"/>
    </row>
    <row r="82" customFormat="false" ht="15" hidden="false" customHeight="false" outlineLevel="0" collapsed="false">
      <c r="A82" s="9" t="s">
        <v>3850</v>
      </c>
      <c r="B82" s="9" t="s">
        <v>3851</v>
      </c>
      <c r="C82" s="9" t="s">
        <v>6</v>
      </c>
      <c r="D82" s="9" t="s">
        <v>172</v>
      </c>
      <c r="E82" s="9"/>
    </row>
    <row r="83" customFormat="false" ht="15" hidden="false" customHeight="false" outlineLevel="0" collapsed="false">
      <c r="A83" s="9" t="s">
        <v>3852</v>
      </c>
      <c r="B83" s="9" t="s">
        <v>3853</v>
      </c>
      <c r="C83" s="9" t="s">
        <v>6</v>
      </c>
      <c r="D83" s="9" t="s">
        <v>174</v>
      </c>
      <c r="E83" s="9"/>
    </row>
    <row r="84" customFormat="false" ht="15" hidden="false" customHeight="false" outlineLevel="0" collapsed="false">
      <c r="A84" s="9" t="s">
        <v>3854</v>
      </c>
      <c r="B84" s="9" t="s">
        <v>3855</v>
      </c>
      <c r="C84" s="9" t="s">
        <v>6</v>
      </c>
      <c r="D84" s="9" t="s">
        <v>176</v>
      </c>
      <c r="E84" s="9"/>
    </row>
    <row r="85" customFormat="false" ht="15" hidden="false" customHeight="false" outlineLevel="0" collapsed="false">
      <c r="A85" s="9" t="s">
        <v>3856</v>
      </c>
      <c r="B85" s="9" t="s">
        <v>3807</v>
      </c>
      <c r="C85" s="9" t="s">
        <v>6</v>
      </c>
      <c r="D85" s="9" t="s">
        <v>179</v>
      </c>
      <c r="E85" s="9"/>
    </row>
    <row r="86" customFormat="false" ht="15" hidden="false" customHeight="false" outlineLevel="0" collapsed="false">
      <c r="A86" s="9" t="s">
        <v>3857</v>
      </c>
      <c r="B86" s="9" t="s">
        <v>3849</v>
      </c>
      <c r="C86" s="9" t="s">
        <v>6</v>
      </c>
      <c r="D86" s="9" t="s">
        <v>181</v>
      </c>
      <c r="E86" s="9"/>
    </row>
    <row r="87" customFormat="false" ht="15" hidden="false" customHeight="false" outlineLevel="0" collapsed="false">
      <c r="A87" s="9" t="s">
        <v>3858</v>
      </c>
      <c r="B87" s="9" t="s">
        <v>3859</v>
      </c>
      <c r="C87" s="9" t="s">
        <v>6</v>
      </c>
      <c r="D87" s="9" t="s">
        <v>183</v>
      </c>
      <c r="E87" s="9"/>
    </row>
    <row r="88" customFormat="false" ht="15" hidden="false" customHeight="false" outlineLevel="0" collapsed="false">
      <c r="A88" s="9" t="s">
        <v>3860</v>
      </c>
      <c r="B88" s="9" t="s">
        <v>3861</v>
      </c>
      <c r="C88" s="9" t="s">
        <v>6</v>
      </c>
      <c r="D88" s="9" t="s">
        <v>186</v>
      </c>
      <c r="E88" s="9"/>
    </row>
    <row r="89" customFormat="false" ht="15" hidden="false" customHeight="false" outlineLevel="0" collapsed="false">
      <c r="A89" s="9" t="s">
        <v>3862</v>
      </c>
      <c r="B89" s="9" t="s">
        <v>3863</v>
      </c>
      <c r="C89" s="9" t="s">
        <v>6</v>
      </c>
      <c r="D89" s="9" t="s">
        <v>188</v>
      </c>
      <c r="E89" s="9"/>
    </row>
    <row r="90" customFormat="false" ht="15" hidden="false" customHeight="false" outlineLevel="0" collapsed="false">
      <c r="A90" s="9" t="s">
        <v>3864</v>
      </c>
      <c r="B90" s="9" t="s">
        <v>3818</v>
      </c>
      <c r="C90" s="9" t="s">
        <v>6</v>
      </c>
      <c r="D90" s="9" t="s">
        <v>207</v>
      </c>
      <c r="E90" s="10" t="s">
        <v>3750</v>
      </c>
    </row>
    <row r="91" customFormat="false" ht="15" hidden="false" customHeight="false" outlineLevel="0" collapsed="false">
      <c r="A91" s="9" t="s">
        <v>3865</v>
      </c>
      <c r="B91" s="9" t="s">
        <v>3866</v>
      </c>
      <c r="C91" s="9" t="s">
        <v>6</v>
      </c>
      <c r="D91" s="9" t="s">
        <v>207</v>
      </c>
      <c r="E91" s="10" t="s">
        <v>3750</v>
      </c>
    </row>
    <row r="92" customFormat="false" ht="15" hidden="false" customHeight="false" outlineLevel="0" collapsed="false">
      <c r="A92" s="9" t="s">
        <v>3867</v>
      </c>
      <c r="B92" s="9" t="s">
        <v>3868</v>
      </c>
      <c r="C92" s="9" t="s">
        <v>6</v>
      </c>
      <c r="D92" s="9" t="s">
        <v>207</v>
      </c>
      <c r="E92" s="9"/>
    </row>
    <row r="93" customFormat="false" ht="15" hidden="false" customHeight="false" outlineLevel="0" collapsed="false">
      <c r="A93" s="9" t="s">
        <v>3869</v>
      </c>
      <c r="B93" s="9" t="s">
        <v>3870</v>
      </c>
      <c r="C93" s="9" t="s">
        <v>6</v>
      </c>
      <c r="D93" s="9" t="s">
        <v>215</v>
      </c>
      <c r="E93" s="9"/>
    </row>
    <row r="94" customFormat="false" ht="15" hidden="false" customHeight="false" outlineLevel="0" collapsed="false">
      <c r="A94" s="9" t="s">
        <v>3871</v>
      </c>
      <c r="B94" s="9" t="s">
        <v>3872</v>
      </c>
      <c r="C94" s="9" t="s">
        <v>6</v>
      </c>
      <c r="D94" s="9" t="s">
        <v>219</v>
      </c>
      <c r="E94" s="9"/>
    </row>
    <row r="95" customFormat="false" ht="15" hidden="false" customHeight="false" outlineLevel="0" collapsed="false">
      <c r="A95" s="9" t="s">
        <v>3873</v>
      </c>
      <c r="B95" s="9" t="s">
        <v>3874</v>
      </c>
      <c r="C95" s="9" t="s">
        <v>6</v>
      </c>
      <c r="D95" s="9" t="s">
        <v>223</v>
      </c>
      <c r="E95" s="9"/>
    </row>
    <row r="96" customFormat="false" ht="15" hidden="false" customHeight="false" outlineLevel="0" collapsed="false">
      <c r="A96" s="9" t="s">
        <v>3875</v>
      </c>
      <c r="B96" s="9" t="s">
        <v>3876</v>
      </c>
      <c r="C96" s="9" t="s">
        <v>6</v>
      </c>
      <c r="D96" s="9" t="s">
        <v>227</v>
      </c>
      <c r="E96" s="9"/>
    </row>
    <row r="97" customFormat="false" ht="15" hidden="false" customHeight="false" outlineLevel="0" collapsed="false">
      <c r="A97" s="9" t="s">
        <v>3877</v>
      </c>
      <c r="B97" s="9" t="s">
        <v>3878</v>
      </c>
      <c r="C97" s="9" t="s">
        <v>14</v>
      </c>
      <c r="D97" s="9" t="s">
        <v>3879</v>
      </c>
      <c r="E97" s="10" t="s">
        <v>3880</v>
      </c>
    </row>
    <row r="98" customFormat="false" ht="15" hidden="false" customHeight="false" outlineLevel="0" collapsed="false">
      <c r="A98" s="9" t="s">
        <v>3881</v>
      </c>
      <c r="B98" s="9" t="s">
        <v>3882</v>
      </c>
      <c r="C98" s="9" t="s">
        <v>14</v>
      </c>
      <c r="D98" s="9" t="s">
        <v>1107</v>
      </c>
      <c r="E98" s="9"/>
    </row>
    <row r="99" customFormat="false" ht="15" hidden="false" customHeight="false" outlineLevel="0" collapsed="false">
      <c r="A99" s="9" t="s">
        <v>3883</v>
      </c>
      <c r="B99" s="9" t="s">
        <v>3884</v>
      </c>
      <c r="C99" s="10" t="s">
        <v>3791</v>
      </c>
      <c r="D99" s="9" t="s">
        <v>3885</v>
      </c>
      <c r="E99" s="9" t="s">
        <v>3886</v>
      </c>
    </row>
    <row r="100" customFormat="false" ht="15" hidden="false" customHeight="false" outlineLevel="0" collapsed="false">
      <c r="A100" s="9" t="s">
        <v>3887</v>
      </c>
      <c r="B100" s="9" t="s">
        <v>3888</v>
      </c>
      <c r="C100" s="9" t="s">
        <v>14</v>
      </c>
      <c r="D100" s="9" t="s">
        <v>1107</v>
      </c>
      <c r="E100" s="9"/>
    </row>
    <row r="101" customFormat="false" ht="15" hidden="false" customHeight="false" outlineLevel="0" collapsed="false">
      <c r="A101" s="9" t="s">
        <v>3889</v>
      </c>
      <c r="B101" s="9" t="s">
        <v>3890</v>
      </c>
      <c r="C101" s="10" t="s">
        <v>3791</v>
      </c>
      <c r="D101" s="9" t="s">
        <v>3885</v>
      </c>
      <c r="E101" s="9" t="s">
        <v>3886</v>
      </c>
    </row>
    <row r="102" customFormat="false" ht="15" hidden="false" customHeight="false" outlineLevel="0" collapsed="false">
      <c r="A102" s="9" t="s">
        <v>3891</v>
      </c>
      <c r="B102" s="9" t="s">
        <v>3892</v>
      </c>
      <c r="C102" s="9" t="s">
        <v>14</v>
      </c>
      <c r="D102" s="9" t="s">
        <v>1107</v>
      </c>
      <c r="E102" s="9"/>
    </row>
    <row r="103" customFormat="false" ht="15" hidden="false" customHeight="false" outlineLevel="0" collapsed="false">
      <c r="A103" s="9" t="s">
        <v>3893</v>
      </c>
      <c r="B103" s="9" t="s">
        <v>3758</v>
      </c>
      <c r="C103" s="10" t="s">
        <v>3791</v>
      </c>
      <c r="D103" s="9" t="s">
        <v>3885</v>
      </c>
      <c r="E103" s="9" t="s">
        <v>3886</v>
      </c>
    </row>
    <row r="104" customFormat="false" ht="15" hidden="false" customHeight="false" outlineLevel="0" collapsed="false">
      <c r="A104" s="9" t="s">
        <v>3894</v>
      </c>
      <c r="B104" s="9" t="s">
        <v>3895</v>
      </c>
      <c r="C104" s="9" t="s">
        <v>14</v>
      </c>
      <c r="D104" s="9" t="s">
        <v>3896</v>
      </c>
      <c r="E104" s="10" t="s">
        <v>3750</v>
      </c>
    </row>
    <row r="105" customFormat="false" ht="15" hidden="false" customHeight="false" outlineLevel="0" collapsed="false">
      <c r="A105" s="9" t="s">
        <v>3897</v>
      </c>
      <c r="B105" s="9" t="s">
        <v>3888</v>
      </c>
      <c r="C105" s="9" t="s">
        <v>14</v>
      </c>
      <c r="D105" s="9" t="s">
        <v>1112</v>
      </c>
      <c r="E105" s="9"/>
    </row>
    <row r="106" customFormat="false" ht="15" hidden="false" customHeight="false" outlineLevel="0" collapsed="false">
      <c r="A106" s="9" t="s">
        <v>3898</v>
      </c>
      <c r="B106" s="9" t="s">
        <v>3899</v>
      </c>
      <c r="C106" s="10" t="s">
        <v>3791</v>
      </c>
      <c r="D106" s="9" t="s">
        <v>3885</v>
      </c>
      <c r="E106" s="9" t="s">
        <v>3886</v>
      </c>
    </row>
    <row r="107" customFormat="false" ht="15" hidden="false" customHeight="false" outlineLevel="0" collapsed="false">
      <c r="A107" s="9" t="s">
        <v>3900</v>
      </c>
      <c r="B107" s="9" t="s">
        <v>3851</v>
      </c>
      <c r="C107" s="9" t="s">
        <v>14</v>
      </c>
      <c r="D107" s="9" t="s">
        <v>1112</v>
      </c>
      <c r="E107" s="9"/>
    </row>
    <row r="108" customFormat="false" ht="15" hidden="false" customHeight="false" outlineLevel="0" collapsed="false">
      <c r="A108" s="9" t="s">
        <v>3901</v>
      </c>
      <c r="B108" s="9" t="s">
        <v>3855</v>
      </c>
      <c r="C108" s="10" t="s">
        <v>3791</v>
      </c>
      <c r="D108" s="9" t="s">
        <v>3885</v>
      </c>
      <c r="E108" s="9" t="s">
        <v>3886</v>
      </c>
    </row>
    <row r="109" customFormat="false" ht="15" hidden="false" customHeight="false" outlineLevel="0" collapsed="false">
      <c r="A109" s="9" t="s">
        <v>3902</v>
      </c>
      <c r="B109" s="9" t="s">
        <v>3882</v>
      </c>
      <c r="C109" s="9" t="s">
        <v>14</v>
      </c>
      <c r="D109" s="9" t="s">
        <v>1112</v>
      </c>
      <c r="E109" s="9"/>
    </row>
    <row r="110" customFormat="false" ht="15" hidden="false" customHeight="false" outlineLevel="0" collapsed="false">
      <c r="A110" s="9" t="s">
        <v>3903</v>
      </c>
      <c r="B110" s="9" t="s">
        <v>3882</v>
      </c>
      <c r="C110" s="10" t="s">
        <v>3791</v>
      </c>
      <c r="D110" s="9" t="s">
        <v>3885</v>
      </c>
      <c r="E110" s="9" t="s">
        <v>3886</v>
      </c>
    </row>
    <row r="111" customFormat="false" ht="15" hidden="false" customHeight="false" outlineLevel="0" collapsed="false">
      <c r="A111" s="9" t="s">
        <v>3904</v>
      </c>
      <c r="B111" s="9" t="s">
        <v>3895</v>
      </c>
      <c r="C111" s="9" t="s">
        <v>14</v>
      </c>
      <c r="D111" s="9" t="s">
        <v>3896</v>
      </c>
      <c r="E111" s="10" t="s">
        <v>3750</v>
      </c>
    </row>
    <row r="112" customFormat="false" ht="15" hidden="false" customHeight="false" outlineLevel="0" collapsed="false">
      <c r="A112" s="9" t="s">
        <v>3905</v>
      </c>
      <c r="B112" s="9" t="s">
        <v>3807</v>
      </c>
      <c r="C112" s="9" t="s">
        <v>14</v>
      </c>
      <c r="D112" s="9" t="s">
        <v>1115</v>
      </c>
      <c r="E112" s="9"/>
    </row>
    <row r="113" customFormat="false" ht="15" hidden="false" customHeight="false" outlineLevel="0" collapsed="false">
      <c r="A113" s="9" t="s">
        <v>3906</v>
      </c>
      <c r="B113" s="9" t="s">
        <v>3907</v>
      </c>
      <c r="C113" s="10" t="s">
        <v>3791</v>
      </c>
      <c r="D113" s="9" t="s">
        <v>3885</v>
      </c>
      <c r="E113" s="9" t="s">
        <v>3886</v>
      </c>
    </row>
    <row r="114" customFormat="false" ht="15" hidden="false" customHeight="false" outlineLevel="0" collapsed="false">
      <c r="A114" s="9" t="s">
        <v>3908</v>
      </c>
      <c r="B114" s="9" t="s">
        <v>3859</v>
      </c>
      <c r="C114" s="9" t="s">
        <v>14</v>
      </c>
      <c r="D114" s="9" t="s">
        <v>1115</v>
      </c>
      <c r="E114" s="9"/>
    </row>
    <row r="115" customFormat="false" ht="15" hidden="false" customHeight="false" outlineLevel="0" collapsed="false">
      <c r="A115" s="9" t="s">
        <v>3909</v>
      </c>
      <c r="B115" s="9" t="s">
        <v>3910</v>
      </c>
      <c r="C115" s="10" t="s">
        <v>3791</v>
      </c>
      <c r="D115" s="9" t="s">
        <v>3885</v>
      </c>
      <c r="E115" s="9" t="s">
        <v>3886</v>
      </c>
    </row>
    <row r="116" customFormat="false" ht="15" hidden="false" customHeight="false" outlineLevel="0" collapsed="false">
      <c r="A116" s="9" t="s">
        <v>3911</v>
      </c>
      <c r="B116" s="9" t="s">
        <v>3910</v>
      </c>
      <c r="C116" s="9" t="s">
        <v>14</v>
      </c>
      <c r="D116" s="9" t="s">
        <v>1115</v>
      </c>
      <c r="E116" s="9"/>
    </row>
    <row r="117" customFormat="false" ht="15" hidden="false" customHeight="false" outlineLevel="0" collapsed="false">
      <c r="A117" s="9" t="s">
        <v>3912</v>
      </c>
      <c r="B117" s="9" t="s">
        <v>3913</v>
      </c>
      <c r="C117" s="10" t="s">
        <v>3791</v>
      </c>
      <c r="D117" s="9" t="s">
        <v>3885</v>
      </c>
      <c r="E117" s="9" t="s">
        <v>3886</v>
      </c>
    </row>
    <row r="118" customFormat="false" ht="15" hidden="false" customHeight="false" outlineLevel="0" collapsed="false">
      <c r="A118" s="9" t="s">
        <v>3914</v>
      </c>
      <c r="B118" s="9" t="s">
        <v>3895</v>
      </c>
      <c r="C118" s="9" t="s">
        <v>14</v>
      </c>
      <c r="D118" s="9" t="s">
        <v>3896</v>
      </c>
      <c r="E118" s="10" t="s">
        <v>3750</v>
      </c>
    </row>
    <row r="119" customFormat="false" ht="15" hidden="false" customHeight="false" outlineLevel="0" collapsed="false">
      <c r="A119" s="9" t="s">
        <v>3915</v>
      </c>
      <c r="B119" s="9" t="s">
        <v>3916</v>
      </c>
      <c r="C119" s="9" t="s">
        <v>14</v>
      </c>
      <c r="D119" s="9" t="s">
        <v>1118</v>
      </c>
      <c r="E119" s="9"/>
    </row>
    <row r="120" customFormat="false" ht="15" hidden="false" customHeight="false" outlineLevel="0" collapsed="false">
      <c r="A120" s="9" t="s">
        <v>3917</v>
      </c>
      <c r="B120" s="9" t="s">
        <v>3918</v>
      </c>
      <c r="C120" s="10" t="s">
        <v>3791</v>
      </c>
      <c r="D120" s="9" t="s">
        <v>3885</v>
      </c>
      <c r="E120" s="9" t="s">
        <v>3886</v>
      </c>
    </row>
    <row r="121" customFormat="false" ht="15" hidden="false" customHeight="false" outlineLevel="0" collapsed="false">
      <c r="A121" s="9" t="s">
        <v>3919</v>
      </c>
      <c r="B121" s="9" t="s">
        <v>3920</v>
      </c>
      <c r="C121" s="9" t="s">
        <v>14</v>
      </c>
      <c r="D121" s="9" t="s">
        <v>1118</v>
      </c>
      <c r="E121" s="9"/>
    </row>
    <row r="122" customFormat="false" ht="15" hidden="false" customHeight="false" outlineLevel="0" collapsed="false">
      <c r="A122" s="9" t="s">
        <v>3921</v>
      </c>
      <c r="B122" s="9" t="s">
        <v>3922</v>
      </c>
      <c r="C122" s="10" t="s">
        <v>3791</v>
      </c>
      <c r="D122" s="9" t="s">
        <v>3885</v>
      </c>
      <c r="E122" s="9" t="s">
        <v>3886</v>
      </c>
    </row>
    <row r="123" customFormat="false" ht="15" hidden="false" customHeight="false" outlineLevel="0" collapsed="false">
      <c r="A123" s="9" t="s">
        <v>3923</v>
      </c>
      <c r="B123" s="9" t="s">
        <v>3924</v>
      </c>
      <c r="C123" s="9" t="s">
        <v>14</v>
      </c>
      <c r="D123" s="9" t="s">
        <v>1118</v>
      </c>
      <c r="E123" s="9"/>
    </row>
    <row r="124" customFormat="false" ht="15" hidden="false" customHeight="false" outlineLevel="0" collapsed="false">
      <c r="A124" s="9" t="s">
        <v>3925</v>
      </c>
      <c r="B124" s="9" t="s">
        <v>3926</v>
      </c>
      <c r="C124" s="10" t="s">
        <v>3791</v>
      </c>
      <c r="D124" s="9" t="s">
        <v>3885</v>
      </c>
      <c r="E124" s="9" t="s">
        <v>3886</v>
      </c>
    </row>
    <row r="125" customFormat="false" ht="15" hidden="false" customHeight="false" outlineLevel="0" collapsed="false">
      <c r="A125" s="9" t="s">
        <v>3927</v>
      </c>
      <c r="B125" s="9" t="s">
        <v>3895</v>
      </c>
      <c r="C125" s="9" t="s">
        <v>14</v>
      </c>
      <c r="D125" s="9" t="s">
        <v>3896</v>
      </c>
      <c r="E125" s="10" t="s">
        <v>3750</v>
      </c>
    </row>
    <row r="126" customFormat="false" ht="15" hidden="false" customHeight="false" outlineLevel="0" collapsed="false">
      <c r="A126" s="9" t="s">
        <v>3928</v>
      </c>
      <c r="B126" s="9" t="s">
        <v>3920</v>
      </c>
      <c r="C126" s="9" t="s">
        <v>14</v>
      </c>
      <c r="D126" s="9" t="s">
        <v>1121</v>
      </c>
      <c r="E126" s="9"/>
    </row>
    <row r="127" customFormat="false" ht="15" hidden="false" customHeight="false" outlineLevel="0" collapsed="false">
      <c r="A127" s="9" t="s">
        <v>3929</v>
      </c>
      <c r="B127" s="9" t="s">
        <v>3930</v>
      </c>
      <c r="C127" s="10" t="s">
        <v>3791</v>
      </c>
      <c r="D127" s="9" t="s">
        <v>3885</v>
      </c>
      <c r="E127" s="9" t="s">
        <v>3886</v>
      </c>
    </row>
    <row r="128" customFormat="false" ht="15" hidden="false" customHeight="false" outlineLevel="0" collapsed="false">
      <c r="A128" s="9" t="s">
        <v>3931</v>
      </c>
      <c r="B128" s="9" t="s">
        <v>3890</v>
      </c>
      <c r="C128" s="9" t="s">
        <v>14</v>
      </c>
      <c r="D128" s="9" t="s">
        <v>1121</v>
      </c>
      <c r="E128" s="9"/>
    </row>
    <row r="129" customFormat="false" ht="15" hidden="false" customHeight="false" outlineLevel="0" collapsed="false">
      <c r="A129" s="9" t="s">
        <v>3932</v>
      </c>
      <c r="B129" s="9" t="s">
        <v>3933</v>
      </c>
      <c r="C129" s="10" t="s">
        <v>3791</v>
      </c>
      <c r="D129" s="9" t="s">
        <v>3885</v>
      </c>
      <c r="E129" s="9" t="s">
        <v>3886</v>
      </c>
    </row>
    <row r="130" customFormat="false" ht="15" hidden="false" customHeight="false" outlineLevel="0" collapsed="false">
      <c r="A130" s="9" t="s">
        <v>3934</v>
      </c>
      <c r="B130" s="9" t="s">
        <v>3849</v>
      </c>
      <c r="C130" s="9" t="s">
        <v>14</v>
      </c>
      <c r="D130" s="9" t="s">
        <v>1121</v>
      </c>
      <c r="E130" s="9"/>
    </row>
    <row r="131" customFormat="false" ht="15" hidden="false" customHeight="false" outlineLevel="0" collapsed="false">
      <c r="A131" s="9" t="s">
        <v>3935</v>
      </c>
      <c r="B131" s="9" t="s">
        <v>3936</v>
      </c>
      <c r="C131" s="10" t="s">
        <v>3791</v>
      </c>
      <c r="D131" s="9" t="s">
        <v>3885</v>
      </c>
      <c r="E131" s="9" t="s">
        <v>3886</v>
      </c>
    </row>
    <row r="132" customFormat="false" ht="15" hidden="false" customHeight="false" outlineLevel="0" collapsed="false">
      <c r="A132" s="9" t="s">
        <v>3937</v>
      </c>
      <c r="B132" s="9" t="s">
        <v>3895</v>
      </c>
      <c r="C132" s="9" t="s">
        <v>14</v>
      </c>
      <c r="D132" s="9" t="s">
        <v>3896</v>
      </c>
      <c r="E132" s="10" t="s">
        <v>3750</v>
      </c>
    </row>
    <row r="133" customFormat="false" ht="15" hidden="false" customHeight="false" outlineLevel="0" collapsed="false">
      <c r="A133" s="9" t="s">
        <v>3938</v>
      </c>
      <c r="B133" s="9" t="s">
        <v>3851</v>
      </c>
      <c r="C133" s="9" t="s">
        <v>14</v>
      </c>
      <c r="D133" s="9" t="s">
        <v>1124</v>
      </c>
      <c r="E133" s="9"/>
    </row>
    <row r="134" customFormat="false" ht="15" hidden="false" customHeight="false" outlineLevel="0" collapsed="false">
      <c r="A134" s="9" t="s">
        <v>3939</v>
      </c>
      <c r="B134" s="9" t="s">
        <v>3940</v>
      </c>
      <c r="C134" s="10" t="s">
        <v>3791</v>
      </c>
      <c r="D134" s="9" t="s">
        <v>3885</v>
      </c>
      <c r="E134" s="9" t="s">
        <v>3886</v>
      </c>
    </row>
    <row r="135" customFormat="false" ht="15" hidden="false" customHeight="false" outlineLevel="0" collapsed="false">
      <c r="A135" s="9" t="s">
        <v>3941</v>
      </c>
      <c r="B135" s="9" t="s">
        <v>3863</v>
      </c>
      <c r="C135" s="9" t="s">
        <v>14</v>
      </c>
      <c r="D135" s="9" t="s">
        <v>1124</v>
      </c>
      <c r="E135" s="9"/>
    </row>
    <row r="136" customFormat="false" ht="15" hidden="false" customHeight="false" outlineLevel="0" collapsed="false">
      <c r="A136" s="9" t="s">
        <v>3942</v>
      </c>
      <c r="B136" s="9" t="s">
        <v>3882</v>
      </c>
      <c r="C136" s="10" t="s">
        <v>3791</v>
      </c>
      <c r="D136" s="9" t="s">
        <v>3885</v>
      </c>
      <c r="E136" s="9" t="s">
        <v>3886</v>
      </c>
    </row>
    <row r="137" customFormat="false" ht="15" hidden="false" customHeight="false" outlineLevel="0" collapsed="false">
      <c r="A137" s="9" t="s">
        <v>3943</v>
      </c>
      <c r="B137" s="9" t="s">
        <v>3855</v>
      </c>
      <c r="C137" s="9" t="s">
        <v>14</v>
      </c>
      <c r="D137" s="9" t="s">
        <v>1124</v>
      </c>
      <c r="E137" s="9"/>
    </row>
    <row r="138" customFormat="false" ht="15" hidden="false" customHeight="false" outlineLevel="0" collapsed="false">
      <c r="A138" s="9" t="s">
        <v>3944</v>
      </c>
      <c r="B138" s="9" t="s">
        <v>3890</v>
      </c>
      <c r="C138" s="10" t="s">
        <v>3791</v>
      </c>
      <c r="D138" s="9" t="s">
        <v>3885</v>
      </c>
      <c r="E138" s="9" t="s">
        <v>3886</v>
      </c>
    </row>
    <row r="139" customFormat="false" ht="15" hidden="false" customHeight="false" outlineLevel="0" collapsed="false">
      <c r="A139" s="9" t="s">
        <v>3945</v>
      </c>
      <c r="B139" s="9" t="s">
        <v>3895</v>
      </c>
      <c r="C139" s="9" t="s">
        <v>14</v>
      </c>
      <c r="D139" s="9" t="s">
        <v>3896</v>
      </c>
      <c r="E139" s="10" t="s">
        <v>3750</v>
      </c>
    </row>
    <row r="140" customFormat="false" ht="15" hidden="false" customHeight="false" outlineLevel="0" collapsed="false">
      <c r="A140" s="9" t="s">
        <v>3946</v>
      </c>
      <c r="B140" s="9" t="s">
        <v>3947</v>
      </c>
      <c r="C140" s="9" t="s">
        <v>14</v>
      </c>
      <c r="D140" s="9" t="s">
        <v>3948</v>
      </c>
      <c r="E140" s="10" t="s">
        <v>3949</v>
      </c>
    </row>
    <row r="141" customFormat="false" ht="15" hidden="false" customHeight="false" outlineLevel="0" collapsed="false">
      <c r="A141" s="9" t="s">
        <v>3950</v>
      </c>
      <c r="B141" s="9" t="s">
        <v>3951</v>
      </c>
      <c r="C141" s="9" t="s">
        <v>14</v>
      </c>
      <c r="D141" s="9" t="s">
        <v>1127</v>
      </c>
      <c r="E141" s="9"/>
    </row>
    <row r="142" customFormat="false" ht="15" hidden="false" customHeight="false" outlineLevel="0" collapsed="false">
      <c r="A142" s="9" t="s">
        <v>3952</v>
      </c>
      <c r="B142" s="9" t="s">
        <v>3953</v>
      </c>
      <c r="C142" s="9" t="s">
        <v>14</v>
      </c>
      <c r="D142" s="9" t="s">
        <v>1127</v>
      </c>
      <c r="E142" s="9"/>
    </row>
    <row r="143" customFormat="false" ht="15" hidden="false" customHeight="false" outlineLevel="0" collapsed="false">
      <c r="A143" s="9" t="s">
        <v>3954</v>
      </c>
      <c r="B143" s="9" t="s">
        <v>3955</v>
      </c>
      <c r="C143" s="9" t="s">
        <v>14</v>
      </c>
      <c r="D143" s="9" t="s">
        <v>1127</v>
      </c>
      <c r="E143" s="9"/>
    </row>
    <row r="144" customFormat="false" ht="15" hidden="false" customHeight="false" outlineLevel="0" collapsed="false">
      <c r="A144" s="9" t="s">
        <v>3956</v>
      </c>
      <c r="B144" s="9" t="s">
        <v>3823</v>
      </c>
      <c r="C144" s="9" t="s">
        <v>14</v>
      </c>
      <c r="D144" s="9" t="s">
        <v>1127</v>
      </c>
      <c r="E144" s="10" t="s">
        <v>3750</v>
      </c>
    </row>
    <row r="145" customFormat="false" ht="15" hidden="false" customHeight="false" outlineLevel="0" collapsed="false">
      <c r="A145" s="9" t="s">
        <v>3957</v>
      </c>
      <c r="B145" s="9" t="s">
        <v>3958</v>
      </c>
      <c r="C145" s="9" t="s">
        <v>14</v>
      </c>
      <c r="D145" s="9" t="s">
        <v>1133</v>
      </c>
      <c r="E145" s="9"/>
    </row>
    <row r="146" customFormat="false" ht="15" hidden="false" customHeight="false" outlineLevel="0" collapsed="false">
      <c r="A146" s="9" t="s">
        <v>3959</v>
      </c>
      <c r="B146" s="9" t="s">
        <v>3960</v>
      </c>
      <c r="C146" s="9" t="s">
        <v>14</v>
      </c>
      <c r="D146" s="9" t="s">
        <v>1133</v>
      </c>
      <c r="E146" s="9"/>
    </row>
    <row r="147" customFormat="false" ht="15" hidden="false" customHeight="false" outlineLevel="0" collapsed="false">
      <c r="A147" s="9" t="s">
        <v>3961</v>
      </c>
      <c r="B147" s="9" t="s">
        <v>3962</v>
      </c>
      <c r="C147" s="9" t="s">
        <v>14</v>
      </c>
      <c r="D147" s="9" t="s">
        <v>1133</v>
      </c>
      <c r="E147" s="9"/>
    </row>
    <row r="148" customFormat="false" ht="15" hidden="false" customHeight="false" outlineLevel="0" collapsed="false">
      <c r="A148" s="9" t="s">
        <v>3963</v>
      </c>
      <c r="B148" s="9" t="s">
        <v>3823</v>
      </c>
      <c r="C148" s="9" t="s">
        <v>14</v>
      </c>
      <c r="D148" s="9" t="s">
        <v>1133</v>
      </c>
      <c r="E148" s="10" t="s">
        <v>3750</v>
      </c>
    </row>
    <row r="149" customFormat="false" ht="15" hidden="false" customHeight="false" outlineLevel="0" collapsed="false">
      <c r="A149" s="9" t="s">
        <v>3964</v>
      </c>
      <c r="B149" s="9" t="s">
        <v>3958</v>
      </c>
      <c r="C149" s="9" t="s">
        <v>14</v>
      </c>
      <c r="D149" s="9" t="s">
        <v>1136</v>
      </c>
      <c r="E149" s="9"/>
    </row>
    <row r="150" customFormat="false" ht="15" hidden="false" customHeight="false" outlineLevel="0" collapsed="false">
      <c r="A150" s="9" t="s">
        <v>3965</v>
      </c>
      <c r="B150" s="9" t="s">
        <v>3960</v>
      </c>
      <c r="C150" s="9" t="s">
        <v>14</v>
      </c>
      <c r="D150" s="9" t="s">
        <v>1136</v>
      </c>
      <c r="E150" s="9"/>
    </row>
    <row r="151" customFormat="false" ht="15" hidden="false" customHeight="false" outlineLevel="0" collapsed="false">
      <c r="A151" s="9" t="s">
        <v>3966</v>
      </c>
      <c r="B151" s="9" t="s">
        <v>3962</v>
      </c>
      <c r="C151" s="9" t="s">
        <v>14</v>
      </c>
      <c r="D151" s="9" t="s">
        <v>1136</v>
      </c>
      <c r="E151" s="9"/>
    </row>
    <row r="152" customFormat="false" ht="15" hidden="false" customHeight="false" outlineLevel="0" collapsed="false">
      <c r="A152" s="9" t="s">
        <v>3967</v>
      </c>
      <c r="B152" s="9" t="s">
        <v>3823</v>
      </c>
      <c r="C152" s="9" t="s">
        <v>14</v>
      </c>
      <c r="D152" s="9" t="s">
        <v>1136</v>
      </c>
      <c r="E152" s="10" t="s">
        <v>3750</v>
      </c>
    </row>
    <row r="153" customFormat="false" ht="15" hidden="false" customHeight="false" outlineLevel="0" collapsed="false">
      <c r="A153" s="9" t="s">
        <v>3968</v>
      </c>
      <c r="B153" s="9" t="s">
        <v>3859</v>
      </c>
      <c r="C153" s="9" t="s">
        <v>6</v>
      </c>
      <c r="D153" s="9" t="s">
        <v>231</v>
      </c>
      <c r="E153" s="9"/>
    </row>
    <row r="154" customFormat="false" ht="15" hidden="false" customHeight="false" outlineLevel="0" collapsed="false">
      <c r="A154" s="9" t="s">
        <v>3969</v>
      </c>
      <c r="B154" s="9" t="s">
        <v>3818</v>
      </c>
      <c r="C154" s="9" t="s">
        <v>6</v>
      </c>
      <c r="D154" s="9" t="s">
        <v>231</v>
      </c>
      <c r="E154" s="10" t="s">
        <v>3750</v>
      </c>
    </row>
    <row r="155" customFormat="false" ht="15" hidden="false" customHeight="false" outlineLevel="0" collapsed="false">
      <c r="A155" s="9" t="s">
        <v>3970</v>
      </c>
      <c r="B155" s="9" t="s">
        <v>3971</v>
      </c>
      <c r="C155" s="9" t="s">
        <v>6</v>
      </c>
      <c r="D155" s="9" t="s">
        <v>231</v>
      </c>
      <c r="E155" s="10" t="s">
        <v>3750</v>
      </c>
    </row>
    <row r="156" customFormat="false" ht="15" hidden="false" customHeight="false" outlineLevel="0" collapsed="false">
      <c r="A156" s="9" t="s">
        <v>3972</v>
      </c>
      <c r="B156" s="9" t="s">
        <v>3910</v>
      </c>
      <c r="C156" s="9" t="s">
        <v>14</v>
      </c>
      <c r="D156" s="9" t="s">
        <v>1139</v>
      </c>
      <c r="E156" s="9"/>
    </row>
    <row r="157" customFormat="false" ht="15" hidden="false" customHeight="false" outlineLevel="0" collapsed="false">
      <c r="A157" s="9" t="s">
        <v>3973</v>
      </c>
      <c r="B157" s="9" t="s">
        <v>3974</v>
      </c>
      <c r="C157" s="9" t="s">
        <v>14</v>
      </c>
      <c r="D157" s="9" t="s">
        <v>1144</v>
      </c>
      <c r="E157" s="9"/>
    </row>
    <row r="158" customFormat="false" ht="15" hidden="false" customHeight="false" outlineLevel="0" collapsed="false">
      <c r="A158" s="9" t="s">
        <v>3975</v>
      </c>
      <c r="B158" s="9" t="s">
        <v>3976</v>
      </c>
      <c r="C158" s="9" t="s">
        <v>14</v>
      </c>
      <c r="D158" s="9" t="s">
        <v>1139</v>
      </c>
      <c r="E158" s="9"/>
    </row>
    <row r="159" customFormat="false" ht="15" hidden="false" customHeight="false" outlineLevel="0" collapsed="false">
      <c r="A159" s="9" t="s">
        <v>3977</v>
      </c>
      <c r="B159" s="9" t="s">
        <v>3978</v>
      </c>
      <c r="C159" s="9" t="s">
        <v>14</v>
      </c>
      <c r="D159" s="9" t="s">
        <v>1144</v>
      </c>
      <c r="E159" s="9"/>
    </row>
    <row r="160" customFormat="false" ht="15" hidden="false" customHeight="false" outlineLevel="0" collapsed="false">
      <c r="A160" s="9" t="s">
        <v>3979</v>
      </c>
      <c r="B160" s="9" t="s">
        <v>3863</v>
      </c>
      <c r="C160" s="9" t="s">
        <v>14</v>
      </c>
      <c r="D160" s="9" t="s">
        <v>1139</v>
      </c>
      <c r="E160" s="9"/>
    </row>
    <row r="161" customFormat="false" ht="15" hidden="false" customHeight="false" outlineLevel="0" collapsed="false">
      <c r="A161" s="9" t="s">
        <v>3980</v>
      </c>
      <c r="B161" s="9" t="s">
        <v>3976</v>
      </c>
      <c r="C161" s="9" t="s">
        <v>14</v>
      </c>
      <c r="D161" s="9" t="s">
        <v>1144</v>
      </c>
      <c r="E161" s="9"/>
    </row>
    <row r="162" customFormat="false" ht="15" hidden="false" customHeight="false" outlineLevel="0" collapsed="false">
      <c r="A162" s="9" t="s">
        <v>3981</v>
      </c>
      <c r="B162" s="9" t="s">
        <v>3823</v>
      </c>
      <c r="C162" s="9" t="s">
        <v>14</v>
      </c>
      <c r="D162" s="9" t="s">
        <v>1144</v>
      </c>
      <c r="E162" s="10" t="s">
        <v>3750</v>
      </c>
    </row>
    <row r="163" customFormat="false" ht="15" hidden="false" customHeight="false" outlineLevel="0" collapsed="false">
      <c r="A163" s="9" t="s">
        <v>3982</v>
      </c>
      <c r="B163" s="9" t="s">
        <v>3910</v>
      </c>
      <c r="C163" s="9" t="s">
        <v>14</v>
      </c>
      <c r="D163" s="9" t="s">
        <v>1146</v>
      </c>
      <c r="E163" s="9"/>
    </row>
    <row r="164" customFormat="false" ht="15" hidden="false" customHeight="false" outlineLevel="0" collapsed="false">
      <c r="A164" s="9" t="s">
        <v>3983</v>
      </c>
      <c r="B164" s="9" t="s">
        <v>3984</v>
      </c>
      <c r="C164" s="9" t="s">
        <v>14</v>
      </c>
      <c r="D164" s="9" t="s">
        <v>1149</v>
      </c>
      <c r="E164" s="9"/>
    </row>
    <row r="165" customFormat="false" ht="15" hidden="false" customHeight="false" outlineLevel="0" collapsed="false">
      <c r="A165" s="9" t="s">
        <v>3985</v>
      </c>
      <c r="B165" s="9" t="s">
        <v>3986</v>
      </c>
      <c r="C165" s="9" t="s">
        <v>14</v>
      </c>
      <c r="D165" s="9" t="s">
        <v>1146</v>
      </c>
      <c r="E165" s="9"/>
    </row>
    <row r="166" customFormat="false" ht="15" hidden="false" customHeight="false" outlineLevel="0" collapsed="false">
      <c r="A166" s="9" t="s">
        <v>3987</v>
      </c>
      <c r="B166" s="9" t="s">
        <v>3988</v>
      </c>
      <c r="C166" s="9" t="s">
        <v>14</v>
      </c>
      <c r="D166" s="9" t="s">
        <v>1149</v>
      </c>
      <c r="E166" s="9"/>
    </row>
    <row r="167" customFormat="false" ht="15" hidden="false" customHeight="false" outlineLevel="0" collapsed="false">
      <c r="A167" s="9" t="s">
        <v>3989</v>
      </c>
      <c r="B167" s="9" t="s">
        <v>3863</v>
      </c>
      <c r="C167" s="9" t="s">
        <v>14</v>
      </c>
      <c r="D167" s="9" t="s">
        <v>1146</v>
      </c>
      <c r="E167" s="9"/>
    </row>
    <row r="168" customFormat="false" ht="15" hidden="false" customHeight="false" outlineLevel="0" collapsed="false">
      <c r="A168" s="9" t="s">
        <v>3990</v>
      </c>
      <c r="B168" s="9" t="s">
        <v>3991</v>
      </c>
      <c r="C168" s="9" t="s">
        <v>14</v>
      </c>
      <c r="D168" s="9" t="s">
        <v>1149</v>
      </c>
      <c r="E168" s="9"/>
    </row>
    <row r="169" customFormat="false" ht="15" hidden="false" customHeight="false" outlineLevel="0" collapsed="false">
      <c r="A169" s="9" t="s">
        <v>3992</v>
      </c>
      <c r="B169" s="9" t="s">
        <v>3823</v>
      </c>
      <c r="C169" s="9" t="s">
        <v>14</v>
      </c>
      <c r="D169" s="9" t="s">
        <v>1149</v>
      </c>
      <c r="E169" s="10" t="s">
        <v>3750</v>
      </c>
    </row>
    <row r="170" customFormat="false" ht="15" hidden="false" customHeight="false" outlineLevel="0" collapsed="false">
      <c r="A170" s="9" t="s">
        <v>3993</v>
      </c>
      <c r="B170" s="9" t="s">
        <v>3807</v>
      </c>
      <c r="C170" s="10" t="s">
        <v>3791</v>
      </c>
      <c r="D170" s="9" t="s">
        <v>3994</v>
      </c>
      <c r="E170" s="9" t="s">
        <v>3995</v>
      </c>
    </row>
    <row r="171" customFormat="false" ht="15" hidden="false" customHeight="false" outlineLevel="0" collapsed="false">
      <c r="A171" s="9" t="s">
        <v>3996</v>
      </c>
      <c r="B171" s="9" t="s">
        <v>3910</v>
      </c>
      <c r="C171" s="10" t="s">
        <v>3791</v>
      </c>
      <c r="D171" s="9" t="s">
        <v>3994</v>
      </c>
      <c r="E171" s="9" t="s">
        <v>3995</v>
      </c>
    </row>
    <row r="172" customFormat="false" ht="15" hidden="false" customHeight="false" outlineLevel="0" collapsed="false">
      <c r="A172" s="9" t="s">
        <v>3997</v>
      </c>
      <c r="B172" s="9" t="s">
        <v>3859</v>
      </c>
      <c r="C172" s="10" t="s">
        <v>3791</v>
      </c>
      <c r="D172" s="9" t="s">
        <v>3994</v>
      </c>
      <c r="E172" s="9" t="s">
        <v>3995</v>
      </c>
    </row>
    <row r="173" customFormat="false" ht="15" hidden="false" customHeight="false" outlineLevel="0" collapsed="false">
      <c r="A173" s="9" t="s">
        <v>3998</v>
      </c>
      <c r="B173" s="9" t="s">
        <v>3976</v>
      </c>
      <c r="C173" s="10" t="s">
        <v>3791</v>
      </c>
      <c r="D173" s="9" t="s">
        <v>3994</v>
      </c>
      <c r="E173" s="9" t="s">
        <v>3995</v>
      </c>
    </row>
    <row r="174" customFormat="false" ht="15" hidden="false" customHeight="false" outlineLevel="0" collapsed="false">
      <c r="A174" s="9" t="s">
        <v>3999</v>
      </c>
      <c r="B174" s="9" t="s">
        <v>3988</v>
      </c>
      <c r="C174" s="10" t="s">
        <v>3791</v>
      </c>
      <c r="D174" s="9" t="s">
        <v>3994</v>
      </c>
      <c r="E174" s="9" t="s">
        <v>3995</v>
      </c>
    </row>
    <row r="175" customFormat="false" ht="15" hidden="false" customHeight="false" outlineLevel="0" collapsed="false">
      <c r="A175" s="9" t="s">
        <v>4000</v>
      </c>
      <c r="B175" s="9" t="s">
        <v>3991</v>
      </c>
      <c r="C175" s="10" t="s">
        <v>3791</v>
      </c>
      <c r="D175" s="9" t="s">
        <v>3994</v>
      </c>
      <c r="E175" s="9" t="s">
        <v>3995</v>
      </c>
    </row>
    <row r="176" customFormat="false" ht="15" hidden="false" customHeight="false" outlineLevel="0" collapsed="false">
      <c r="A176" s="9" t="s">
        <v>4001</v>
      </c>
      <c r="B176" s="9" t="s">
        <v>3823</v>
      </c>
      <c r="C176" s="10" t="s">
        <v>3791</v>
      </c>
      <c r="D176" s="9" t="s">
        <v>3994</v>
      </c>
      <c r="E176" s="9" t="s">
        <v>3995</v>
      </c>
    </row>
    <row r="177" customFormat="false" ht="15" hidden="false" customHeight="false" outlineLevel="0" collapsed="false">
      <c r="A177" s="9" t="s">
        <v>4002</v>
      </c>
      <c r="B177" s="9" t="s">
        <v>4003</v>
      </c>
      <c r="C177" s="10" t="s">
        <v>3791</v>
      </c>
      <c r="D177" s="9" t="s">
        <v>3994</v>
      </c>
      <c r="E177" s="9" t="s">
        <v>3995</v>
      </c>
    </row>
    <row r="178" customFormat="false" ht="15" hidden="false" customHeight="false" outlineLevel="0" collapsed="false">
      <c r="A178" s="9" t="s">
        <v>4004</v>
      </c>
      <c r="B178" s="9" t="s">
        <v>3807</v>
      </c>
      <c r="C178" s="9" t="s">
        <v>14</v>
      </c>
      <c r="D178" s="9" t="s">
        <v>1150</v>
      </c>
      <c r="E178" s="9"/>
    </row>
    <row r="179" customFormat="false" ht="15" hidden="false" customHeight="false" outlineLevel="0" collapsed="false">
      <c r="A179" s="9" t="s">
        <v>4005</v>
      </c>
      <c r="B179" s="9" t="s">
        <v>3859</v>
      </c>
      <c r="C179" s="9" t="s">
        <v>14</v>
      </c>
      <c r="D179" s="9" t="s">
        <v>1150</v>
      </c>
      <c r="E179" s="9"/>
    </row>
    <row r="180" customFormat="false" ht="15" hidden="false" customHeight="false" outlineLevel="0" collapsed="false">
      <c r="A180" s="9" t="s">
        <v>4006</v>
      </c>
      <c r="B180" s="9" t="s">
        <v>3988</v>
      </c>
      <c r="C180" s="9" t="s">
        <v>14</v>
      </c>
      <c r="D180" s="9" t="s">
        <v>1150</v>
      </c>
      <c r="E180" s="9"/>
    </row>
    <row r="181" customFormat="false" ht="15" hidden="false" customHeight="false" outlineLevel="0" collapsed="false">
      <c r="A181" s="9" t="s">
        <v>4007</v>
      </c>
      <c r="B181" s="9" t="s">
        <v>4008</v>
      </c>
      <c r="C181" s="9" t="s">
        <v>14</v>
      </c>
      <c r="D181" s="9" t="s">
        <v>1150</v>
      </c>
      <c r="E181" s="10" t="s">
        <v>3750</v>
      </c>
    </row>
    <row r="182" customFormat="false" ht="15" hidden="false" customHeight="false" outlineLevel="0" collapsed="false">
      <c r="A182" s="9" t="s">
        <v>4009</v>
      </c>
      <c r="B182" s="9" t="s">
        <v>4010</v>
      </c>
      <c r="C182" s="9" t="s">
        <v>14</v>
      </c>
      <c r="D182" s="9" t="s">
        <v>1150</v>
      </c>
      <c r="E182" s="10" t="s">
        <v>3750</v>
      </c>
    </row>
    <row r="183" customFormat="false" ht="15" hidden="false" customHeight="false" outlineLevel="0" collapsed="false">
      <c r="A183" s="9" t="s">
        <v>4011</v>
      </c>
      <c r="B183" s="9" t="s">
        <v>3991</v>
      </c>
      <c r="C183" s="9" t="s">
        <v>14</v>
      </c>
      <c r="D183" s="9" t="s">
        <v>1153</v>
      </c>
      <c r="E183" s="9"/>
    </row>
    <row r="184" customFormat="false" ht="15" hidden="false" customHeight="false" outlineLevel="0" collapsed="false">
      <c r="A184" s="9" t="s">
        <v>4012</v>
      </c>
      <c r="B184" s="9" t="s">
        <v>3986</v>
      </c>
      <c r="C184" s="9" t="s">
        <v>14</v>
      </c>
      <c r="D184" s="9" t="s">
        <v>1153</v>
      </c>
      <c r="E184" s="9"/>
    </row>
    <row r="185" customFormat="false" ht="15" hidden="false" customHeight="false" outlineLevel="0" collapsed="false">
      <c r="A185" s="9" t="s">
        <v>4013</v>
      </c>
      <c r="B185" s="9" t="s">
        <v>4014</v>
      </c>
      <c r="C185" s="9" t="s">
        <v>14</v>
      </c>
      <c r="D185" s="9" t="s">
        <v>1153</v>
      </c>
      <c r="E185" s="9"/>
    </row>
    <row r="186" customFormat="false" ht="15" hidden="false" customHeight="false" outlineLevel="0" collapsed="false">
      <c r="A186" s="9" t="s">
        <v>4015</v>
      </c>
      <c r="B186" s="9" t="s">
        <v>3823</v>
      </c>
      <c r="C186" s="9" t="s">
        <v>14</v>
      </c>
      <c r="D186" s="9" t="s">
        <v>1153</v>
      </c>
      <c r="E186" s="10" t="s">
        <v>3750</v>
      </c>
    </row>
    <row r="187" customFormat="false" ht="15" hidden="false" customHeight="false" outlineLevel="0" collapsed="false">
      <c r="A187" s="9" t="s">
        <v>4016</v>
      </c>
      <c r="B187" s="9" t="s">
        <v>3807</v>
      </c>
      <c r="C187" s="9" t="s">
        <v>14</v>
      </c>
      <c r="D187" s="9" t="s">
        <v>1156</v>
      </c>
      <c r="E187" s="9"/>
    </row>
    <row r="188" customFormat="false" ht="15" hidden="false" customHeight="false" outlineLevel="0" collapsed="false">
      <c r="A188" s="9" t="s">
        <v>4017</v>
      </c>
      <c r="B188" s="9" t="s">
        <v>3859</v>
      </c>
      <c r="C188" s="9" t="s">
        <v>14</v>
      </c>
      <c r="D188" s="9" t="s">
        <v>1156</v>
      </c>
      <c r="E188" s="9"/>
    </row>
    <row r="189" customFormat="false" ht="15" hidden="false" customHeight="false" outlineLevel="0" collapsed="false">
      <c r="A189" s="9" t="s">
        <v>4018</v>
      </c>
      <c r="B189" s="9" t="s">
        <v>3986</v>
      </c>
      <c r="C189" s="9" t="s">
        <v>14</v>
      </c>
      <c r="D189" s="9" t="s">
        <v>1156</v>
      </c>
      <c r="E189" s="9"/>
    </row>
    <row r="190" customFormat="false" ht="15" hidden="false" customHeight="false" outlineLevel="0" collapsed="false">
      <c r="A190" s="9" t="s">
        <v>4019</v>
      </c>
      <c r="B190" s="9" t="s">
        <v>3823</v>
      </c>
      <c r="C190" s="9" t="s">
        <v>14</v>
      </c>
      <c r="D190" s="9" t="s">
        <v>1156</v>
      </c>
      <c r="E190" s="10" t="s">
        <v>3750</v>
      </c>
    </row>
    <row r="191" customFormat="false" ht="15" hidden="false" customHeight="false" outlineLevel="0" collapsed="false">
      <c r="A191" s="9" t="s">
        <v>4020</v>
      </c>
      <c r="B191" s="9" t="s">
        <v>4021</v>
      </c>
      <c r="C191" s="9" t="s">
        <v>14</v>
      </c>
      <c r="D191" s="9" t="s">
        <v>1156</v>
      </c>
      <c r="E191" s="10" t="s">
        <v>3750</v>
      </c>
    </row>
    <row r="192" customFormat="false" ht="15" hidden="false" customHeight="false" outlineLevel="0" collapsed="false">
      <c r="A192" s="9" t="s">
        <v>4022</v>
      </c>
      <c r="B192" s="9" t="s">
        <v>4023</v>
      </c>
      <c r="C192" s="9" t="s">
        <v>14</v>
      </c>
      <c r="D192" s="9" t="s">
        <v>1159</v>
      </c>
      <c r="E192" s="9"/>
    </row>
    <row r="193" customFormat="false" ht="15" hidden="false" customHeight="false" outlineLevel="0" collapsed="false">
      <c r="A193" s="9" t="s">
        <v>4024</v>
      </c>
      <c r="B193" s="9" t="s">
        <v>4025</v>
      </c>
      <c r="C193" s="9" t="s">
        <v>14</v>
      </c>
      <c r="D193" s="9" t="s">
        <v>1159</v>
      </c>
      <c r="E193" s="9"/>
    </row>
    <row r="194" customFormat="false" ht="15" hidden="false" customHeight="false" outlineLevel="0" collapsed="false">
      <c r="A194" s="9" t="s">
        <v>4026</v>
      </c>
      <c r="B194" s="9" t="s">
        <v>4027</v>
      </c>
      <c r="C194" s="9" t="s">
        <v>14</v>
      </c>
      <c r="D194" s="9" t="s">
        <v>1159</v>
      </c>
      <c r="E194" s="9"/>
    </row>
    <row r="195" customFormat="false" ht="15" hidden="false" customHeight="false" outlineLevel="0" collapsed="false">
      <c r="A195" s="9" t="s">
        <v>4028</v>
      </c>
      <c r="B195" s="9" t="s">
        <v>4029</v>
      </c>
      <c r="C195" s="9" t="s">
        <v>14</v>
      </c>
      <c r="D195" s="9" t="s">
        <v>1159</v>
      </c>
      <c r="E195" s="10" t="s">
        <v>3750</v>
      </c>
    </row>
    <row r="196" customFormat="false" ht="15" hidden="false" customHeight="false" outlineLevel="0" collapsed="false">
      <c r="A196" s="9" t="s">
        <v>4030</v>
      </c>
      <c r="B196" s="9" t="s">
        <v>3823</v>
      </c>
      <c r="C196" s="9" t="s">
        <v>14</v>
      </c>
      <c r="D196" s="9" t="s">
        <v>1159</v>
      </c>
      <c r="E196" s="10" t="s">
        <v>3750</v>
      </c>
    </row>
    <row r="197" customFormat="false" ht="15" hidden="false" customHeight="false" outlineLevel="0" collapsed="false">
      <c r="A197" s="9" t="s">
        <v>4031</v>
      </c>
      <c r="B197" s="9" t="s">
        <v>4032</v>
      </c>
      <c r="C197" s="9" t="s">
        <v>14</v>
      </c>
      <c r="D197" s="9" t="s">
        <v>1159</v>
      </c>
      <c r="E197" s="10" t="s">
        <v>3750</v>
      </c>
    </row>
    <row r="198" customFormat="false" ht="15" hidden="false" customHeight="false" outlineLevel="0" collapsed="false">
      <c r="A198" s="9" t="s">
        <v>4033</v>
      </c>
      <c r="B198" s="9" t="s">
        <v>4034</v>
      </c>
      <c r="C198" s="9" t="s">
        <v>14</v>
      </c>
      <c r="D198" s="9" t="s">
        <v>4035</v>
      </c>
      <c r="E198" s="10" t="s">
        <v>4036</v>
      </c>
    </row>
    <row r="199" customFormat="false" ht="15" hidden="false" customHeight="false" outlineLevel="0" collapsed="false">
      <c r="A199" s="9" t="s">
        <v>4037</v>
      </c>
      <c r="B199" s="9" t="s">
        <v>3827</v>
      </c>
      <c r="C199" s="9" t="s">
        <v>14</v>
      </c>
      <c r="D199" s="9" t="s">
        <v>1164</v>
      </c>
      <c r="E199" s="9"/>
    </row>
    <row r="200" customFormat="false" ht="15" hidden="false" customHeight="false" outlineLevel="0" collapsed="false">
      <c r="A200" s="9" t="s">
        <v>4038</v>
      </c>
      <c r="B200" s="9" t="s">
        <v>4039</v>
      </c>
      <c r="C200" s="9" t="s">
        <v>14</v>
      </c>
      <c r="D200" s="9" t="s">
        <v>1168</v>
      </c>
      <c r="E200" s="9"/>
    </row>
    <row r="201" customFormat="false" ht="15" hidden="false" customHeight="false" outlineLevel="0" collapsed="false">
      <c r="A201" s="9" t="s">
        <v>4040</v>
      </c>
      <c r="B201" s="9" t="s">
        <v>3984</v>
      </c>
      <c r="C201" s="9" t="s">
        <v>14</v>
      </c>
      <c r="D201" s="9" t="s">
        <v>1169</v>
      </c>
      <c r="E201" s="9"/>
    </row>
    <row r="202" customFormat="false" ht="15" hidden="false" customHeight="false" outlineLevel="0" collapsed="false">
      <c r="A202" s="9" t="s">
        <v>4041</v>
      </c>
      <c r="B202" s="9" t="s">
        <v>3988</v>
      </c>
      <c r="C202" s="9" t="s">
        <v>14</v>
      </c>
      <c r="D202" s="9" t="s">
        <v>1171</v>
      </c>
      <c r="E202" s="9"/>
    </row>
    <row r="203" customFormat="false" ht="15" hidden="false" customHeight="false" outlineLevel="0" collapsed="false">
      <c r="A203" s="9" t="s">
        <v>4042</v>
      </c>
      <c r="B203" s="9" t="s">
        <v>3976</v>
      </c>
      <c r="C203" s="9" t="s">
        <v>14</v>
      </c>
      <c r="D203" s="9" t="s">
        <v>1173</v>
      </c>
      <c r="E203" s="9"/>
    </row>
    <row r="204" customFormat="false" ht="15" hidden="false" customHeight="false" outlineLevel="0" collapsed="false">
      <c r="A204" s="9" t="s">
        <v>4043</v>
      </c>
      <c r="B204" s="9" t="s">
        <v>3807</v>
      </c>
      <c r="C204" s="9" t="s">
        <v>14</v>
      </c>
      <c r="D204" s="9" t="s">
        <v>1175</v>
      </c>
      <c r="E204" s="9"/>
    </row>
    <row r="205" customFormat="false" ht="15" hidden="false" customHeight="false" outlineLevel="0" collapsed="false">
      <c r="A205" s="9" t="s">
        <v>4044</v>
      </c>
      <c r="B205" s="9" t="s">
        <v>3823</v>
      </c>
      <c r="C205" s="9" t="s">
        <v>14</v>
      </c>
      <c r="D205" s="9" t="s">
        <v>1180</v>
      </c>
      <c r="E205" s="10" t="s">
        <v>3750</v>
      </c>
    </row>
    <row r="206" customFormat="false" ht="15" hidden="false" customHeight="false" outlineLevel="0" collapsed="false">
      <c r="A206" s="9" t="s">
        <v>4045</v>
      </c>
      <c r="B206" s="9" t="s">
        <v>3863</v>
      </c>
      <c r="C206" s="9" t="s">
        <v>14</v>
      </c>
      <c r="D206" s="9" t="s">
        <v>1177</v>
      </c>
      <c r="E206" s="9"/>
    </row>
    <row r="207" customFormat="false" ht="15" hidden="false" customHeight="false" outlineLevel="0" collapsed="false">
      <c r="A207" s="9" t="s">
        <v>4046</v>
      </c>
      <c r="B207" s="9" t="s">
        <v>3888</v>
      </c>
      <c r="C207" s="9" t="s">
        <v>14</v>
      </c>
      <c r="D207" s="9" t="s">
        <v>1180</v>
      </c>
      <c r="E207" s="9"/>
    </row>
    <row r="208" customFormat="false" ht="15" hidden="false" customHeight="false" outlineLevel="0" collapsed="false">
      <c r="A208" s="9" t="s">
        <v>4047</v>
      </c>
      <c r="B208" s="9" t="s">
        <v>3827</v>
      </c>
      <c r="C208" s="9" t="s">
        <v>14</v>
      </c>
      <c r="D208" s="9" t="s">
        <v>1182</v>
      </c>
      <c r="E208" s="9"/>
    </row>
    <row r="209" customFormat="false" ht="15" hidden="false" customHeight="false" outlineLevel="0" collapsed="false">
      <c r="A209" s="9" t="s">
        <v>4048</v>
      </c>
      <c r="B209" s="9" t="s">
        <v>3807</v>
      </c>
      <c r="C209" s="9" t="s">
        <v>14</v>
      </c>
      <c r="D209" s="9" t="s">
        <v>1185</v>
      </c>
      <c r="E209" s="9"/>
    </row>
    <row r="210" customFormat="false" ht="15" hidden="false" customHeight="false" outlineLevel="0" collapsed="false">
      <c r="A210" s="9" t="s">
        <v>4049</v>
      </c>
      <c r="B210" s="9" t="s">
        <v>3974</v>
      </c>
      <c r="C210" s="9" t="s">
        <v>14</v>
      </c>
      <c r="D210" s="9" t="s">
        <v>1186</v>
      </c>
      <c r="E210" s="9"/>
    </row>
    <row r="211" customFormat="false" ht="15" hidden="false" customHeight="false" outlineLevel="0" collapsed="false">
      <c r="A211" s="9" t="s">
        <v>4050</v>
      </c>
      <c r="B211" s="9" t="s">
        <v>4051</v>
      </c>
      <c r="C211" s="9" t="s">
        <v>14</v>
      </c>
      <c r="D211" s="9" t="s">
        <v>1187</v>
      </c>
      <c r="E211" s="9"/>
    </row>
    <row r="212" customFormat="false" ht="15" hidden="false" customHeight="false" outlineLevel="0" collapsed="false">
      <c r="A212" s="9" t="s">
        <v>4052</v>
      </c>
      <c r="B212" s="9" t="s">
        <v>3859</v>
      </c>
      <c r="C212" s="9" t="s">
        <v>14</v>
      </c>
      <c r="D212" s="9" t="s">
        <v>1188</v>
      </c>
      <c r="E212" s="9"/>
    </row>
    <row r="213" customFormat="false" ht="15" hidden="false" customHeight="false" outlineLevel="0" collapsed="false">
      <c r="A213" s="9" t="s">
        <v>4053</v>
      </c>
      <c r="B213" s="9" t="s">
        <v>3978</v>
      </c>
      <c r="C213" s="9" t="s">
        <v>14</v>
      </c>
      <c r="D213" s="9" t="s">
        <v>1189</v>
      </c>
      <c r="E213" s="9"/>
    </row>
    <row r="214" customFormat="false" ht="15" hidden="false" customHeight="false" outlineLevel="0" collapsed="false">
      <c r="A214" s="9" t="s">
        <v>4054</v>
      </c>
      <c r="B214" s="9" t="s">
        <v>3823</v>
      </c>
      <c r="C214" s="9" t="s">
        <v>14</v>
      </c>
      <c r="D214" s="9" t="s">
        <v>1192</v>
      </c>
      <c r="E214" s="10" t="s">
        <v>3750</v>
      </c>
    </row>
    <row r="215" customFormat="false" ht="15" hidden="false" customHeight="false" outlineLevel="0" collapsed="false">
      <c r="A215" s="9" t="s">
        <v>4055</v>
      </c>
      <c r="B215" s="9" t="s">
        <v>3863</v>
      </c>
      <c r="C215" s="9" t="s">
        <v>14</v>
      </c>
      <c r="D215" s="9" t="s">
        <v>1190</v>
      </c>
      <c r="E215" s="9"/>
    </row>
    <row r="216" customFormat="false" ht="15" hidden="false" customHeight="false" outlineLevel="0" collapsed="false">
      <c r="A216" s="9" t="s">
        <v>4056</v>
      </c>
      <c r="B216" s="9" t="s">
        <v>3888</v>
      </c>
      <c r="C216" s="9" t="s">
        <v>14</v>
      </c>
      <c r="D216" s="9" t="s">
        <v>1192</v>
      </c>
      <c r="E216" s="9"/>
    </row>
    <row r="217" customFormat="false" ht="15" hidden="false" customHeight="false" outlineLevel="0" collapsed="false">
      <c r="A217" s="9" t="s">
        <v>4057</v>
      </c>
      <c r="B217" s="9" t="s">
        <v>4058</v>
      </c>
      <c r="C217" s="9" t="s">
        <v>14</v>
      </c>
      <c r="D217" s="9" t="s">
        <v>1194</v>
      </c>
      <c r="E217" s="9"/>
    </row>
    <row r="218" customFormat="false" ht="15" hidden="false" customHeight="false" outlineLevel="0" collapsed="false">
      <c r="A218" s="9" t="s">
        <v>4059</v>
      </c>
      <c r="B218" s="9" t="s">
        <v>4060</v>
      </c>
      <c r="C218" s="9" t="s">
        <v>14</v>
      </c>
      <c r="D218" s="9" t="s">
        <v>1194</v>
      </c>
      <c r="E218" s="9"/>
    </row>
    <row r="219" customFormat="false" ht="15" hidden="false" customHeight="false" outlineLevel="0" collapsed="false">
      <c r="A219" s="9" t="s">
        <v>4061</v>
      </c>
      <c r="B219" s="9" t="s">
        <v>4062</v>
      </c>
      <c r="C219" s="9" t="s">
        <v>14</v>
      </c>
      <c r="D219" s="9" t="s">
        <v>1194</v>
      </c>
      <c r="E219" s="9"/>
    </row>
    <row r="220" customFormat="false" ht="15" hidden="false" customHeight="false" outlineLevel="0" collapsed="false">
      <c r="A220" s="9" t="s">
        <v>4063</v>
      </c>
      <c r="B220" s="9" t="s">
        <v>3823</v>
      </c>
      <c r="C220" s="9" t="s">
        <v>14</v>
      </c>
      <c r="D220" s="9" t="s">
        <v>1194</v>
      </c>
      <c r="E220" s="10" t="s">
        <v>3750</v>
      </c>
    </row>
    <row r="221" customFormat="false" ht="15" hidden="false" customHeight="false" outlineLevel="0" collapsed="false">
      <c r="A221" s="9" t="s">
        <v>4064</v>
      </c>
      <c r="B221" s="9" t="s">
        <v>4065</v>
      </c>
      <c r="C221" s="9" t="s">
        <v>14</v>
      </c>
      <c r="D221" s="9" t="s">
        <v>1194</v>
      </c>
      <c r="E221" s="10" t="s">
        <v>3750</v>
      </c>
    </row>
    <row r="222" customFormat="false" ht="15" hidden="false" customHeight="false" outlineLevel="0" collapsed="false">
      <c r="A222" s="9" t="s">
        <v>4066</v>
      </c>
      <c r="B222" s="9" t="s">
        <v>3951</v>
      </c>
      <c r="C222" s="9" t="s">
        <v>14</v>
      </c>
      <c r="D222" s="9" t="s">
        <v>1199</v>
      </c>
      <c r="E222" s="9"/>
    </row>
    <row r="223" customFormat="false" ht="15" hidden="false" customHeight="false" outlineLevel="0" collapsed="false">
      <c r="A223" s="9" t="s">
        <v>4067</v>
      </c>
      <c r="B223" s="9" t="s">
        <v>3953</v>
      </c>
      <c r="C223" s="9" t="s">
        <v>14</v>
      </c>
      <c r="D223" s="9" t="s">
        <v>1199</v>
      </c>
      <c r="E223" s="9"/>
    </row>
    <row r="224" customFormat="false" ht="15" hidden="false" customHeight="false" outlineLevel="0" collapsed="false">
      <c r="A224" s="9" t="s">
        <v>4068</v>
      </c>
      <c r="B224" s="9" t="s">
        <v>3955</v>
      </c>
      <c r="C224" s="9" t="s">
        <v>14</v>
      </c>
      <c r="D224" s="9" t="s">
        <v>1199</v>
      </c>
      <c r="E224" s="9"/>
    </row>
    <row r="225" customFormat="false" ht="15" hidden="false" customHeight="false" outlineLevel="0" collapsed="false">
      <c r="A225" s="9" t="s">
        <v>4069</v>
      </c>
      <c r="B225" s="9" t="s">
        <v>3823</v>
      </c>
      <c r="C225" s="9" t="s">
        <v>14</v>
      </c>
      <c r="D225" s="9" t="s">
        <v>1199</v>
      </c>
      <c r="E225" s="10" t="s">
        <v>3750</v>
      </c>
    </row>
    <row r="226" customFormat="false" ht="15" hidden="false" customHeight="false" outlineLevel="0" collapsed="false">
      <c r="A226" s="9" t="s">
        <v>4070</v>
      </c>
      <c r="B226" s="9" t="s">
        <v>4071</v>
      </c>
      <c r="C226" s="10" t="s">
        <v>3721</v>
      </c>
      <c r="D226" s="9" t="s">
        <v>71</v>
      </c>
      <c r="E226" s="10" t="s">
        <v>4072</v>
      </c>
    </row>
    <row r="227" customFormat="false" ht="15" hidden="false" customHeight="false" outlineLevel="0" collapsed="false">
      <c r="A227" s="9" t="s">
        <v>4073</v>
      </c>
      <c r="B227" s="9" t="s">
        <v>4074</v>
      </c>
      <c r="C227" s="9" t="s">
        <v>14</v>
      </c>
      <c r="D227" s="9" t="s">
        <v>1202</v>
      </c>
      <c r="E227" s="9"/>
    </row>
    <row r="228" customFormat="false" ht="15" hidden="false" customHeight="false" outlineLevel="0" collapsed="false">
      <c r="A228" s="9" t="s">
        <v>4075</v>
      </c>
      <c r="B228" s="9" t="s">
        <v>4076</v>
      </c>
      <c r="C228" s="9" t="s">
        <v>14</v>
      </c>
      <c r="D228" s="9" t="s">
        <v>1202</v>
      </c>
      <c r="E228" s="10" t="s">
        <v>3750</v>
      </c>
    </row>
    <row r="229" customFormat="false" ht="15" hidden="false" customHeight="false" outlineLevel="0" collapsed="false">
      <c r="A229" s="9" t="s">
        <v>4077</v>
      </c>
      <c r="B229" s="9" t="s">
        <v>4078</v>
      </c>
      <c r="C229" s="9" t="s">
        <v>14</v>
      </c>
      <c r="D229" s="9" t="s">
        <v>1202</v>
      </c>
      <c r="E229" s="10" t="s">
        <v>3750</v>
      </c>
    </row>
    <row r="230" customFormat="false" ht="15" hidden="false" customHeight="false" outlineLevel="0" collapsed="false">
      <c r="A230" s="9" t="s">
        <v>4079</v>
      </c>
      <c r="B230" s="9" t="s">
        <v>4080</v>
      </c>
      <c r="C230" s="10" t="s">
        <v>3721</v>
      </c>
      <c r="D230" s="9" t="s">
        <v>71</v>
      </c>
      <c r="E230" s="10" t="s">
        <v>4081</v>
      </c>
    </row>
    <row r="231" customFormat="false" ht="15" hidden="false" customHeight="false" outlineLevel="0" collapsed="false">
      <c r="A231" s="9" t="s">
        <v>4082</v>
      </c>
      <c r="B231" s="9" t="s">
        <v>4083</v>
      </c>
      <c r="C231" s="10" t="s">
        <v>3721</v>
      </c>
      <c r="D231" s="9" t="s">
        <v>71</v>
      </c>
      <c r="E231" s="10" t="s">
        <v>4081</v>
      </c>
    </row>
    <row r="232" customFormat="false" ht="15" hidden="false" customHeight="false" outlineLevel="0" collapsed="false">
      <c r="A232" s="9" t="s">
        <v>4084</v>
      </c>
      <c r="B232" s="9" t="s">
        <v>4085</v>
      </c>
      <c r="C232" s="10" t="s">
        <v>3721</v>
      </c>
      <c r="D232" s="9" t="s">
        <v>71</v>
      </c>
      <c r="E232" s="10" t="s">
        <v>4081</v>
      </c>
    </row>
    <row r="233" customFormat="false" ht="15" hidden="false" customHeight="false" outlineLevel="0" collapsed="false">
      <c r="A233" s="9" t="s">
        <v>4086</v>
      </c>
      <c r="B233" s="9" t="s">
        <v>4087</v>
      </c>
      <c r="C233" s="10" t="s">
        <v>3721</v>
      </c>
      <c r="D233" s="9" t="s">
        <v>71</v>
      </c>
      <c r="E233" s="10" t="s">
        <v>4081</v>
      </c>
    </row>
    <row r="234" customFormat="false" ht="15" hidden="false" customHeight="false" outlineLevel="0" collapsed="false">
      <c r="A234" s="9" t="s">
        <v>4088</v>
      </c>
      <c r="B234" s="9" t="s">
        <v>4089</v>
      </c>
      <c r="C234" s="10" t="s">
        <v>3721</v>
      </c>
      <c r="D234" s="9" t="s">
        <v>71</v>
      </c>
      <c r="E234" s="10" t="s">
        <v>4081</v>
      </c>
    </row>
    <row r="235" customFormat="false" ht="15" hidden="false" customHeight="false" outlineLevel="0" collapsed="false">
      <c r="A235" s="9" t="s">
        <v>4090</v>
      </c>
      <c r="B235" s="9" t="s">
        <v>4091</v>
      </c>
      <c r="C235" s="10" t="s">
        <v>3721</v>
      </c>
      <c r="D235" s="9" t="s">
        <v>71</v>
      </c>
      <c r="E235" s="10" t="s">
        <v>4092</v>
      </c>
    </row>
    <row r="236" customFormat="false" ht="15" hidden="false" customHeight="false" outlineLevel="0" collapsed="false">
      <c r="A236" s="9" t="s">
        <v>4093</v>
      </c>
      <c r="B236" s="9" t="s">
        <v>4091</v>
      </c>
      <c r="C236" s="10" t="s">
        <v>3721</v>
      </c>
      <c r="D236" s="9" t="s">
        <v>71</v>
      </c>
      <c r="E236" s="10" t="s">
        <v>4092</v>
      </c>
    </row>
    <row r="237" customFormat="false" ht="15" hidden="false" customHeight="false" outlineLevel="0" collapsed="false">
      <c r="A237" s="9" t="s">
        <v>4094</v>
      </c>
      <c r="B237" s="9" t="s">
        <v>4091</v>
      </c>
      <c r="C237" s="10" t="s">
        <v>3721</v>
      </c>
      <c r="D237" s="9" t="s">
        <v>71</v>
      </c>
      <c r="E237" s="10" t="s">
        <v>4092</v>
      </c>
    </row>
    <row r="238" customFormat="false" ht="15" hidden="false" customHeight="false" outlineLevel="0" collapsed="false">
      <c r="A238" s="9" t="s">
        <v>4095</v>
      </c>
      <c r="B238" s="9" t="s">
        <v>4091</v>
      </c>
      <c r="C238" s="10" t="s">
        <v>3721</v>
      </c>
      <c r="D238" s="9" t="s">
        <v>71</v>
      </c>
      <c r="E238" s="10" t="s">
        <v>4092</v>
      </c>
    </row>
    <row r="239" customFormat="false" ht="15" hidden="false" customHeight="false" outlineLevel="0" collapsed="false">
      <c r="A239" s="9" t="s">
        <v>4096</v>
      </c>
      <c r="B239" s="9" t="s">
        <v>4097</v>
      </c>
      <c r="C239" s="10" t="s">
        <v>3721</v>
      </c>
      <c r="D239" s="9" t="s">
        <v>71</v>
      </c>
      <c r="E239" s="10" t="s">
        <v>4092</v>
      </c>
    </row>
    <row r="240" customFormat="false" ht="15" hidden="false" customHeight="false" outlineLevel="0" collapsed="false">
      <c r="A240" s="9" t="s">
        <v>4098</v>
      </c>
      <c r="B240" s="9" t="s">
        <v>4099</v>
      </c>
      <c r="C240" s="9" t="s">
        <v>6</v>
      </c>
      <c r="D240" s="9" t="s">
        <v>238</v>
      </c>
      <c r="E240" s="9"/>
    </row>
    <row r="241" customFormat="false" ht="15" hidden="false" customHeight="false" outlineLevel="0" collapsed="false">
      <c r="A241" s="9" t="s">
        <v>4100</v>
      </c>
      <c r="B241" s="9" t="s">
        <v>4101</v>
      </c>
      <c r="C241" s="9" t="s">
        <v>6</v>
      </c>
      <c r="D241" s="9" t="s">
        <v>245</v>
      </c>
      <c r="E241" s="9"/>
    </row>
    <row r="242" customFormat="false" ht="15" hidden="false" customHeight="false" outlineLevel="0" collapsed="false">
      <c r="A242" s="9" t="s">
        <v>4102</v>
      </c>
      <c r="B242" s="9" t="s">
        <v>4103</v>
      </c>
      <c r="C242" s="9" t="s">
        <v>6</v>
      </c>
      <c r="D242" s="9" t="s">
        <v>247</v>
      </c>
      <c r="E242" s="9"/>
    </row>
    <row r="243" customFormat="false" ht="15" hidden="false" customHeight="false" outlineLevel="0" collapsed="false">
      <c r="A243" s="9" t="s">
        <v>4104</v>
      </c>
      <c r="B243" s="9" t="s">
        <v>4105</v>
      </c>
      <c r="C243" s="9" t="s">
        <v>6</v>
      </c>
      <c r="D243" s="9" t="s">
        <v>250</v>
      </c>
      <c r="E243" s="9"/>
    </row>
    <row r="244" customFormat="false" ht="15" hidden="false" customHeight="false" outlineLevel="0" collapsed="false">
      <c r="A244" s="9" t="s">
        <v>4106</v>
      </c>
      <c r="B244" s="9" t="s">
        <v>4101</v>
      </c>
      <c r="C244" s="9" t="s">
        <v>6</v>
      </c>
      <c r="D244" s="9" t="s">
        <v>252</v>
      </c>
      <c r="E244" s="9"/>
    </row>
    <row r="245" customFormat="false" ht="15" hidden="false" customHeight="false" outlineLevel="0" collapsed="false">
      <c r="A245" s="9" t="s">
        <v>4107</v>
      </c>
      <c r="B245" s="9" t="s">
        <v>4108</v>
      </c>
      <c r="C245" s="9" t="s">
        <v>6</v>
      </c>
      <c r="D245" s="9" t="s">
        <v>252</v>
      </c>
      <c r="E245" s="9"/>
    </row>
    <row r="246" customFormat="false" ht="15" hidden="false" customHeight="false" outlineLevel="0" collapsed="false">
      <c r="A246" s="9" t="s">
        <v>4109</v>
      </c>
      <c r="B246" s="9" t="s">
        <v>3818</v>
      </c>
      <c r="C246" s="9" t="s">
        <v>6</v>
      </c>
      <c r="D246" s="9" t="s">
        <v>238</v>
      </c>
      <c r="E246" s="10" t="s">
        <v>3750</v>
      </c>
    </row>
    <row r="247" customFormat="false" ht="15" hidden="false" customHeight="false" outlineLevel="0" collapsed="false">
      <c r="A247" s="9" t="s">
        <v>4110</v>
      </c>
      <c r="B247" s="9" t="s">
        <v>4111</v>
      </c>
      <c r="C247" s="9" t="s">
        <v>6</v>
      </c>
      <c r="D247" s="9" t="s">
        <v>238</v>
      </c>
      <c r="E247" s="10" t="s">
        <v>3750</v>
      </c>
    </row>
    <row r="248" customFormat="false" ht="15" hidden="false" customHeight="false" outlineLevel="0" collapsed="false">
      <c r="A248" s="9" t="s">
        <v>4112</v>
      </c>
      <c r="B248" s="9" t="s">
        <v>4113</v>
      </c>
      <c r="C248" s="9" t="s">
        <v>14</v>
      </c>
      <c r="D248" s="9" t="s">
        <v>4114</v>
      </c>
      <c r="E248" s="10" t="s">
        <v>4115</v>
      </c>
    </row>
    <row r="249" customFormat="false" ht="15" hidden="false" customHeight="false" outlineLevel="0" collapsed="false">
      <c r="A249" s="9" t="s">
        <v>4116</v>
      </c>
      <c r="B249" s="9" t="s">
        <v>4117</v>
      </c>
      <c r="C249" s="9" t="s">
        <v>14</v>
      </c>
      <c r="D249" s="9" t="s">
        <v>1229</v>
      </c>
      <c r="E249" s="9"/>
    </row>
    <row r="250" customFormat="false" ht="15" hidden="false" customHeight="false" outlineLevel="0" collapsed="false">
      <c r="A250" s="9" t="s">
        <v>4118</v>
      </c>
      <c r="B250" s="9" t="s">
        <v>4119</v>
      </c>
      <c r="C250" s="10" t="s">
        <v>3791</v>
      </c>
      <c r="D250" s="9" t="s">
        <v>4120</v>
      </c>
      <c r="E250" s="9" t="s">
        <v>4121</v>
      </c>
    </row>
    <row r="251" customFormat="false" ht="15" hidden="false" customHeight="false" outlineLevel="0" collapsed="false">
      <c r="A251" s="9" t="s">
        <v>4122</v>
      </c>
      <c r="B251" s="9" t="s">
        <v>4123</v>
      </c>
      <c r="C251" s="9" t="s">
        <v>14</v>
      </c>
      <c r="D251" s="9" t="s">
        <v>1233</v>
      </c>
      <c r="E251" s="9"/>
    </row>
    <row r="252" customFormat="false" ht="15" hidden="false" customHeight="false" outlineLevel="0" collapsed="false">
      <c r="A252" s="9" t="s">
        <v>4124</v>
      </c>
      <c r="B252" s="9" t="s">
        <v>4125</v>
      </c>
      <c r="C252" s="9" t="s">
        <v>14</v>
      </c>
      <c r="D252" s="9" t="s">
        <v>1235</v>
      </c>
      <c r="E252" s="9"/>
    </row>
    <row r="253" customFormat="false" ht="15" hidden="false" customHeight="false" outlineLevel="0" collapsed="false">
      <c r="A253" s="9" t="s">
        <v>4126</v>
      </c>
      <c r="B253" s="9" t="s">
        <v>4127</v>
      </c>
      <c r="C253" s="9" t="s">
        <v>14</v>
      </c>
      <c r="D253" s="9" t="s">
        <v>1236</v>
      </c>
      <c r="E253" s="9"/>
    </row>
    <row r="254" customFormat="false" ht="15" hidden="false" customHeight="false" outlineLevel="0" collapsed="false">
      <c r="A254" s="9" t="s">
        <v>4128</v>
      </c>
      <c r="B254" s="9" t="s">
        <v>4129</v>
      </c>
      <c r="C254" s="9" t="s">
        <v>14</v>
      </c>
      <c r="D254" s="9" t="s">
        <v>1237</v>
      </c>
      <c r="E254" s="9"/>
    </row>
    <row r="255" customFormat="false" ht="15" hidden="false" customHeight="false" outlineLevel="0" collapsed="false">
      <c r="A255" s="9" t="s">
        <v>4130</v>
      </c>
      <c r="B255" s="9" t="s">
        <v>4008</v>
      </c>
      <c r="C255" s="9" t="s">
        <v>14</v>
      </c>
      <c r="D255" s="9" t="s">
        <v>1241</v>
      </c>
      <c r="E255" s="10" t="s">
        <v>3750</v>
      </c>
    </row>
    <row r="256" customFormat="false" ht="15" hidden="false" customHeight="false" outlineLevel="0" collapsed="false">
      <c r="A256" s="9" t="s">
        <v>4131</v>
      </c>
      <c r="B256" s="9" t="s">
        <v>4132</v>
      </c>
      <c r="C256" s="9" t="s">
        <v>14</v>
      </c>
      <c r="D256" s="9" t="s">
        <v>1241</v>
      </c>
      <c r="E256" s="10" t="s">
        <v>3750</v>
      </c>
    </row>
    <row r="257" customFormat="false" ht="15" hidden="false" customHeight="false" outlineLevel="0" collapsed="false">
      <c r="A257" s="9" t="s">
        <v>4133</v>
      </c>
      <c r="B257" s="9" t="s">
        <v>3913</v>
      </c>
      <c r="C257" s="9" t="s">
        <v>14</v>
      </c>
      <c r="D257" s="9" t="s">
        <v>1238</v>
      </c>
      <c r="E257" s="9"/>
    </row>
    <row r="258" customFormat="false" ht="15" hidden="false" customHeight="false" outlineLevel="0" collapsed="false">
      <c r="A258" s="9" t="s">
        <v>4134</v>
      </c>
      <c r="B258" s="9" t="s">
        <v>4135</v>
      </c>
      <c r="C258" s="9" t="s">
        <v>14</v>
      </c>
      <c r="D258" s="9" t="s">
        <v>1241</v>
      </c>
      <c r="E258" s="9"/>
    </row>
    <row r="259" customFormat="false" ht="15" hidden="false" customHeight="false" outlineLevel="0" collapsed="false">
      <c r="A259" s="9" t="s">
        <v>4136</v>
      </c>
      <c r="B259" s="9" t="s">
        <v>4137</v>
      </c>
      <c r="C259" s="9" t="s">
        <v>14</v>
      </c>
      <c r="D259" s="9" t="s">
        <v>1241</v>
      </c>
      <c r="E259" s="10" t="s">
        <v>3750</v>
      </c>
    </row>
    <row r="260" customFormat="false" ht="15" hidden="false" customHeight="false" outlineLevel="0" collapsed="false">
      <c r="A260" s="9" t="s">
        <v>4138</v>
      </c>
      <c r="B260" s="9" t="s">
        <v>73</v>
      </c>
      <c r="C260" s="9" t="s">
        <v>14</v>
      </c>
      <c r="D260" s="9" t="s">
        <v>1243</v>
      </c>
      <c r="E260" s="9"/>
    </row>
    <row r="261" customFormat="false" ht="15" hidden="false" customHeight="false" outlineLevel="0" collapsed="false">
      <c r="A261" s="9" t="s">
        <v>4139</v>
      </c>
      <c r="B261" s="9" t="s">
        <v>4023</v>
      </c>
      <c r="C261" s="9" t="s">
        <v>14</v>
      </c>
      <c r="D261" s="9" t="s">
        <v>1246</v>
      </c>
      <c r="E261" s="9"/>
    </row>
    <row r="262" customFormat="false" ht="15" hidden="false" customHeight="false" outlineLevel="0" collapsed="false">
      <c r="A262" s="9" t="s">
        <v>4140</v>
      </c>
      <c r="B262" s="9" t="s">
        <v>4141</v>
      </c>
      <c r="C262" s="9" t="s">
        <v>14</v>
      </c>
      <c r="D262" s="9" t="s">
        <v>1247</v>
      </c>
      <c r="E262" s="9"/>
    </row>
    <row r="263" customFormat="false" ht="15" hidden="false" customHeight="false" outlineLevel="0" collapsed="false">
      <c r="A263" s="9" t="s">
        <v>4142</v>
      </c>
      <c r="B263" s="9" t="s">
        <v>4143</v>
      </c>
      <c r="C263" s="9" t="s">
        <v>14</v>
      </c>
      <c r="D263" s="9" t="s">
        <v>1248</v>
      </c>
      <c r="E263" s="9"/>
    </row>
    <row r="264" customFormat="false" ht="15" hidden="false" customHeight="false" outlineLevel="0" collapsed="false">
      <c r="A264" s="9" t="s">
        <v>4144</v>
      </c>
      <c r="B264" s="9" t="s">
        <v>4145</v>
      </c>
      <c r="C264" s="9" t="s">
        <v>14</v>
      </c>
      <c r="D264" s="9" t="s">
        <v>1249</v>
      </c>
      <c r="E264" s="9"/>
    </row>
    <row r="265" customFormat="false" ht="15" hidden="false" customHeight="false" outlineLevel="0" collapsed="false">
      <c r="A265" s="9" t="s">
        <v>4146</v>
      </c>
      <c r="B265" s="9" t="s">
        <v>4147</v>
      </c>
      <c r="C265" s="9" t="s">
        <v>14</v>
      </c>
      <c r="D265" s="9" t="s">
        <v>1250</v>
      </c>
      <c r="E265" s="9"/>
    </row>
    <row r="266" customFormat="false" ht="15" hidden="false" customHeight="false" outlineLevel="0" collapsed="false">
      <c r="A266" s="9" t="s">
        <v>4148</v>
      </c>
      <c r="B266" s="9" t="s">
        <v>3823</v>
      </c>
      <c r="C266" s="9" t="s">
        <v>14</v>
      </c>
      <c r="D266" s="9" t="s">
        <v>1253</v>
      </c>
      <c r="E266" s="10" t="s">
        <v>3750</v>
      </c>
    </row>
    <row r="267" customFormat="false" ht="15" hidden="false" customHeight="false" outlineLevel="0" collapsed="false">
      <c r="A267" s="9" t="s">
        <v>4149</v>
      </c>
      <c r="B267" s="9" t="s">
        <v>3778</v>
      </c>
      <c r="C267" s="9" t="s">
        <v>14</v>
      </c>
      <c r="D267" s="9" t="s">
        <v>1251</v>
      </c>
      <c r="E267" s="9"/>
    </row>
    <row r="268" customFormat="false" ht="15" hidden="false" customHeight="false" outlineLevel="0" collapsed="false">
      <c r="A268" s="9" t="s">
        <v>4150</v>
      </c>
      <c r="B268" s="9" t="s">
        <v>3888</v>
      </c>
      <c r="C268" s="9" t="s">
        <v>14</v>
      </c>
      <c r="D268" s="9" t="s">
        <v>1253</v>
      </c>
      <c r="E268" s="9"/>
    </row>
    <row r="269" customFormat="false" ht="15" hidden="false" customHeight="false" outlineLevel="0" collapsed="false">
      <c r="A269" s="9" t="s">
        <v>4151</v>
      </c>
      <c r="B269" s="9" t="s">
        <v>4152</v>
      </c>
      <c r="C269" s="9" t="s">
        <v>14</v>
      </c>
      <c r="D269" s="9" t="s">
        <v>1253</v>
      </c>
      <c r="E269" s="10" t="s">
        <v>3750</v>
      </c>
    </row>
    <row r="270" customFormat="false" ht="15" hidden="false" customHeight="false" outlineLevel="0" collapsed="false">
      <c r="A270" s="9" t="s">
        <v>4153</v>
      </c>
      <c r="B270" s="9" t="s">
        <v>4137</v>
      </c>
      <c r="C270" s="9" t="s">
        <v>14</v>
      </c>
      <c r="D270" s="9" t="s">
        <v>1253</v>
      </c>
      <c r="E270" s="10" t="s">
        <v>3750</v>
      </c>
    </row>
    <row r="271" customFormat="false" ht="15" hidden="false" customHeight="false" outlineLevel="0" collapsed="false">
      <c r="A271" s="9" t="s">
        <v>4154</v>
      </c>
      <c r="B271" s="9" t="s">
        <v>4027</v>
      </c>
      <c r="C271" s="10" t="s">
        <v>3791</v>
      </c>
      <c r="D271" s="9" t="s">
        <v>4155</v>
      </c>
      <c r="E271" s="9" t="s">
        <v>4156</v>
      </c>
    </row>
    <row r="272" customFormat="false" ht="15" hidden="false" customHeight="false" outlineLevel="0" collapsed="false">
      <c r="A272" s="9" t="s">
        <v>4157</v>
      </c>
      <c r="B272" s="9" t="s">
        <v>4158</v>
      </c>
      <c r="C272" s="9" t="s">
        <v>14</v>
      </c>
      <c r="D272" s="9" t="s">
        <v>1255</v>
      </c>
      <c r="E272" s="9"/>
    </row>
    <row r="273" customFormat="false" ht="15" hidden="false" customHeight="false" outlineLevel="0" collapsed="false">
      <c r="A273" s="9" t="s">
        <v>4159</v>
      </c>
      <c r="B273" s="9" t="s">
        <v>4160</v>
      </c>
      <c r="C273" s="9" t="s">
        <v>14</v>
      </c>
      <c r="D273" s="9" t="s">
        <v>1258</v>
      </c>
      <c r="E273" s="9"/>
    </row>
    <row r="274" customFormat="false" ht="15" hidden="false" customHeight="false" outlineLevel="0" collapsed="false">
      <c r="A274" s="9" t="s">
        <v>4161</v>
      </c>
      <c r="B274" s="9" t="s">
        <v>4162</v>
      </c>
      <c r="C274" s="9" t="s">
        <v>14</v>
      </c>
      <c r="D274" s="9" t="s">
        <v>1259</v>
      </c>
      <c r="E274" s="9"/>
    </row>
    <row r="275" customFormat="false" ht="15" hidden="false" customHeight="false" outlineLevel="0" collapsed="false">
      <c r="A275" s="9" t="s">
        <v>4163</v>
      </c>
      <c r="B275" s="9" t="s">
        <v>4164</v>
      </c>
      <c r="C275" s="9" t="s">
        <v>14</v>
      </c>
      <c r="D275" s="9" t="s">
        <v>1260</v>
      </c>
      <c r="E275" s="9"/>
    </row>
    <row r="276" customFormat="false" ht="15" hidden="false" customHeight="false" outlineLevel="0" collapsed="false">
      <c r="A276" s="9" t="s">
        <v>4165</v>
      </c>
      <c r="B276" s="9" t="s">
        <v>4166</v>
      </c>
      <c r="C276" s="9" t="s">
        <v>14</v>
      </c>
      <c r="D276" s="9" t="s">
        <v>1261</v>
      </c>
      <c r="E276" s="9"/>
    </row>
    <row r="277" customFormat="false" ht="15" hidden="false" customHeight="false" outlineLevel="0" collapsed="false">
      <c r="A277" s="9" t="s">
        <v>4167</v>
      </c>
      <c r="B277" s="9" t="s">
        <v>4168</v>
      </c>
      <c r="C277" s="9" t="s">
        <v>14</v>
      </c>
      <c r="D277" s="9" t="s">
        <v>1262</v>
      </c>
      <c r="E277" s="9"/>
    </row>
    <row r="278" customFormat="false" ht="15" hidden="false" customHeight="false" outlineLevel="0" collapsed="false">
      <c r="A278" s="9" t="s">
        <v>4169</v>
      </c>
      <c r="B278" s="9" t="s">
        <v>4170</v>
      </c>
      <c r="C278" s="9" t="s">
        <v>14</v>
      </c>
      <c r="D278" s="9" t="s">
        <v>1264</v>
      </c>
      <c r="E278" s="9"/>
    </row>
    <row r="279" customFormat="false" ht="15" hidden="false" customHeight="false" outlineLevel="0" collapsed="false">
      <c r="A279" s="9" t="s">
        <v>4171</v>
      </c>
      <c r="B279" s="9" t="s">
        <v>3749</v>
      </c>
      <c r="C279" s="9" t="s">
        <v>14</v>
      </c>
      <c r="D279" s="9" t="s">
        <v>1264</v>
      </c>
      <c r="E279" s="10" t="s">
        <v>3750</v>
      </c>
    </row>
    <row r="280" customFormat="false" ht="15" hidden="false" customHeight="false" outlineLevel="0" collapsed="false">
      <c r="A280" s="9" t="s">
        <v>4172</v>
      </c>
      <c r="B280" s="9" t="s">
        <v>4173</v>
      </c>
      <c r="C280" s="9" t="s">
        <v>14</v>
      </c>
      <c r="D280" s="9" t="s">
        <v>1264</v>
      </c>
      <c r="E280" s="10" t="s">
        <v>3750</v>
      </c>
    </row>
    <row r="281" customFormat="false" ht="15" hidden="false" customHeight="false" outlineLevel="0" collapsed="false">
      <c r="A281" s="9" t="s">
        <v>4174</v>
      </c>
      <c r="B281" s="9" t="s">
        <v>4137</v>
      </c>
      <c r="C281" s="9" t="s">
        <v>14</v>
      </c>
      <c r="D281" s="9" t="s">
        <v>1264</v>
      </c>
      <c r="E281" s="10" t="s">
        <v>3750</v>
      </c>
    </row>
    <row r="282" customFormat="false" ht="15" hidden="false" customHeight="false" outlineLevel="0" collapsed="false">
      <c r="A282" s="9" t="s">
        <v>4175</v>
      </c>
      <c r="B282" s="9" t="s">
        <v>3863</v>
      </c>
      <c r="C282" s="10" t="s">
        <v>3791</v>
      </c>
      <c r="D282" s="9" t="s">
        <v>4176</v>
      </c>
      <c r="E282" s="9" t="s">
        <v>4177</v>
      </c>
    </row>
    <row r="283" customFormat="false" ht="15" hidden="false" customHeight="false" outlineLevel="0" collapsed="false">
      <c r="A283" s="9" t="s">
        <v>4178</v>
      </c>
      <c r="B283" s="9" t="s">
        <v>3851</v>
      </c>
      <c r="C283" s="10" t="s">
        <v>3791</v>
      </c>
      <c r="D283" s="9" t="s">
        <v>4179</v>
      </c>
      <c r="E283" s="9" t="s">
        <v>4180</v>
      </c>
    </row>
    <row r="284" customFormat="false" ht="15" hidden="false" customHeight="false" outlineLevel="0" collapsed="false">
      <c r="A284" s="9" t="s">
        <v>4181</v>
      </c>
      <c r="B284" s="9" t="s">
        <v>3888</v>
      </c>
      <c r="C284" s="10" t="s">
        <v>3791</v>
      </c>
      <c r="D284" s="9" t="s">
        <v>4182</v>
      </c>
      <c r="E284" s="9" t="s">
        <v>4183</v>
      </c>
    </row>
    <row r="285" customFormat="false" ht="15" hidden="false" customHeight="false" outlineLevel="0" collapsed="false">
      <c r="A285" s="9" t="s">
        <v>4184</v>
      </c>
      <c r="B285" s="9" t="s">
        <v>3855</v>
      </c>
      <c r="C285" s="10" t="s">
        <v>3791</v>
      </c>
      <c r="D285" s="9" t="s">
        <v>4185</v>
      </c>
      <c r="E285" s="9" t="s">
        <v>4186</v>
      </c>
    </row>
    <row r="286" customFormat="false" ht="15" hidden="false" customHeight="false" outlineLevel="0" collapsed="false">
      <c r="A286" s="9" t="s">
        <v>4187</v>
      </c>
      <c r="B286" s="9" t="s">
        <v>3882</v>
      </c>
      <c r="C286" s="10" t="s">
        <v>3791</v>
      </c>
      <c r="D286" s="9" t="s">
        <v>4188</v>
      </c>
      <c r="E286" s="9" t="s">
        <v>4189</v>
      </c>
    </row>
    <row r="287" customFormat="false" ht="15" hidden="false" customHeight="false" outlineLevel="0" collapsed="false">
      <c r="A287" s="9" t="s">
        <v>4190</v>
      </c>
      <c r="B287" s="9" t="s">
        <v>4191</v>
      </c>
      <c r="C287" s="10" t="s">
        <v>3791</v>
      </c>
      <c r="D287" s="9" t="s">
        <v>4192</v>
      </c>
      <c r="E287" s="9" t="s">
        <v>4193</v>
      </c>
    </row>
    <row r="288" customFormat="false" ht="15" hidden="false" customHeight="false" outlineLevel="0" collapsed="false">
      <c r="A288" s="9" t="s">
        <v>4194</v>
      </c>
      <c r="B288" s="9" t="s">
        <v>3778</v>
      </c>
      <c r="C288" s="10" t="s">
        <v>3721</v>
      </c>
      <c r="D288" s="9" t="s">
        <v>71</v>
      </c>
      <c r="E288" s="9" t="s">
        <v>4195</v>
      </c>
    </row>
    <row r="289" customFormat="false" ht="15" hidden="false" customHeight="false" outlineLevel="0" collapsed="false">
      <c r="A289" s="9" t="s">
        <v>4196</v>
      </c>
      <c r="B289" s="9" t="s">
        <v>4135</v>
      </c>
      <c r="C289" s="10" t="s">
        <v>3721</v>
      </c>
      <c r="D289" s="9" t="s">
        <v>71</v>
      </c>
      <c r="E289" s="9" t="s">
        <v>4197</v>
      </c>
    </row>
    <row r="290" customFormat="false" ht="15" hidden="false" customHeight="false" outlineLevel="0" collapsed="false">
      <c r="A290" s="9" t="s">
        <v>4198</v>
      </c>
      <c r="B290" s="9" t="s">
        <v>3749</v>
      </c>
      <c r="C290" s="10" t="s">
        <v>3791</v>
      </c>
      <c r="D290" s="9" t="s">
        <v>4176</v>
      </c>
      <c r="E290" s="10" t="s">
        <v>3750</v>
      </c>
    </row>
    <row r="291" customFormat="false" ht="15" hidden="false" customHeight="false" outlineLevel="0" collapsed="false">
      <c r="A291" s="9" t="s">
        <v>4199</v>
      </c>
      <c r="B291" s="9" t="s">
        <v>4200</v>
      </c>
      <c r="C291" s="10" t="s">
        <v>3791</v>
      </c>
      <c r="D291" s="9" t="s">
        <v>4176</v>
      </c>
      <c r="E291" s="10" t="s">
        <v>3750</v>
      </c>
    </row>
    <row r="292" customFormat="false" ht="15" hidden="false" customHeight="false" outlineLevel="0" collapsed="false">
      <c r="A292" s="9" t="s">
        <v>4201</v>
      </c>
      <c r="B292" s="9" t="s">
        <v>4137</v>
      </c>
      <c r="C292" s="10" t="s">
        <v>3791</v>
      </c>
      <c r="D292" s="9" t="s">
        <v>4176</v>
      </c>
      <c r="E292" s="10" t="s">
        <v>3750</v>
      </c>
    </row>
    <row r="293" customFormat="false" ht="15" hidden="false" customHeight="false" outlineLevel="0" collapsed="false">
      <c r="A293" s="9" t="s">
        <v>4202</v>
      </c>
      <c r="B293" s="9" t="s">
        <v>262</v>
      </c>
      <c r="C293" s="9" t="s">
        <v>14</v>
      </c>
      <c r="D293" s="9" t="s">
        <v>1266</v>
      </c>
      <c r="E293" s="9"/>
    </row>
    <row r="294" customFormat="false" ht="15" hidden="false" customHeight="false" outlineLevel="0" collapsed="false">
      <c r="A294" s="9" t="s">
        <v>4203</v>
      </c>
      <c r="B294" s="9" t="s">
        <v>4204</v>
      </c>
      <c r="C294" s="9" t="s">
        <v>14</v>
      </c>
      <c r="D294" s="9" t="s">
        <v>1269</v>
      </c>
      <c r="E294" s="9"/>
    </row>
    <row r="295" customFormat="false" ht="15" hidden="false" customHeight="false" outlineLevel="0" collapsed="false">
      <c r="A295" s="9" t="s">
        <v>4205</v>
      </c>
      <c r="B295" s="9" t="s">
        <v>4206</v>
      </c>
      <c r="C295" s="9" t="s">
        <v>14</v>
      </c>
      <c r="D295" s="9" t="s">
        <v>1270</v>
      </c>
      <c r="E295" s="9"/>
    </row>
    <row r="296" customFormat="false" ht="15" hidden="false" customHeight="false" outlineLevel="0" collapsed="false">
      <c r="A296" s="9" t="s">
        <v>4207</v>
      </c>
      <c r="B296" s="9" t="s">
        <v>3812</v>
      </c>
      <c r="C296" s="9" t="s">
        <v>14</v>
      </c>
      <c r="D296" s="9" t="s">
        <v>1271</v>
      </c>
      <c r="E296" s="9"/>
    </row>
    <row r="297" customFormat="false" ht="15" hidden="false" customHeight="false" outlineLevel="0" collapsed="false">
      <c r="A297" s="9" t="s">
        <v>4208</v>
      </c>
      <c r="B297" s="9" t="s">
        <v>4209</v>
      </c>
      <c r="C297" s="9" t="s">
        <v>14</v>
      </c>
      <c r="D297" s="9" t="s">
        <v>1272</v>
      </c>
      <c r="E297" s="9"/>
    </row>
    <row r="298" customFormat="false" ht="15" hidden="false" customHeight="false" outlineLevel="0" collapsed="false">
      <c r="A298" s="9" t="s">
        <v>4210</v>
      </c>
      <c r="B298" s="9" t="s">
        <v>4211</v>
      </c>
      <c r="C298" s="9" t="s">
        <v>14</v>
      </c>
      <c r="D298" s="9" t="s">
        <v>1273</v>
      </c>
      <c r="E298" s="9"/>
    </row>
    <row r="299" customFormat="false" ht="15" hidden="false" customHeight="false" outlineLevel="0" collapsed="false">
      <c r="A299" s="9" t="s">
        <v>4212</v>
      </c>
      <c r="B299" s="9" t="s">
        <v>3823</v>
      </c>
      <c r="C299" s="9" t="s">
        <v>14</v>
      </c>
      <c r="D299" s="9" t="s">
        <v>1276</v>
      </c>
      <c r="E299" s="10" t="s">
        <v>3750</v>
      </c>
    </row>
    <row r="300" customFormat="false" ht="15" hidden="false" customHeight="false" outlineLevel="0" collapsed="false">
      <c r="A300" s="9" t="s">
        <v>4213</v>
      </c>
      <c r="B300" s="9" t="s">
        <v>4214</v>
      </c>
      <c r="C300" s="9" t="s">
        <v>14</v>
      </c>
      <c r="D300" s="9" t="s">
        <v>1276</v>
      </c>
      <c r="E300" s="10" t="s">
        <v>3750</v>
      </c>
    </row>
    <row r="301" customFormat="false" ht="15" hidden="false" customHeight="false" outlineLevel="0" collapsed="false">
      <c r="A301" s="9" t="s">
        <v>4215</v>
      </c>
      <c r="B301" s="9" t="s">
        <v>4216</v>
      </c>
      <c r="C301" s="9" t="s">
        <v>14</v>
      </c>
      <c r="D301" s="9" t="s">
        <v>1274</v>
      </c>
      <c r="E301" s="9"/>
    </row>
    <row r="302" customFormat="false" ht="15" hidden="false" customHeight="false" outlineLevel="0" collapsed="false">
      <c r="A302" s="9" t="s">
        <v>4217</v>
      </c>
      <c r="B302" s="9" t="s">
        <v>4218</v>
      </c>
      <c r="C302" s="9" t="s">
        <v>14</v>
      </c>
      <c r="D302" s="9" t="s">
        <v>1276</v>
      </c>
      <c r="E302" s="9"/>
    </row>
    <row r="303" customFormat="false" ht="15" hidden="false" customHeight="false" outlineLevel="0" collapsed="false">
      <c r="A303" s="9" t="s">
        <v>4219</v>
      </c>
      <c r="B303" s="9" t="s">
        <v>4137</v>
      </c>
      <c r="C303" s="9" t="s">
        <v>14</v>
      </c>
      <c r="D303" s="9" t="s">
        <v>1276</v>
      </c>
      <c r="E303" s="10" t="s">
        <v>3750</v>
      </c>
    </row>
    <row r="304" customFormat="false" ht="15" hidden="false" customHeight="false" outlineLevel="0" collapsed="false">
      <c r="A304" s="9" t="s">
        <v>4220</v>
      </c>
      <c r="B304" s="9" t="s">
        <v>4221</v>
      </c>
      <c r="C304" s="9" t="s">
        <v>14</v>
      </c>
      <c r="D304" s="9" t="s">
        <v>4222</v>
      </c>
      <c r="E304" s="10" t="s">
        <v>4223</v>
      </c>
    </row>
    <row r="305" customFormat="false" ht="15" hidden="false" customHeight="false" outlineLevel="0" collapsed="false">
      <c r="A305" s="9" t="s">
        <v>4224</v>
      </c>
      <c r="B305" s="9" t="s">
        <v>4225</v>
      </c>
      <c r="C305" s="9" t="s">
        <v>14</v>
      </c>
      <c r="D305" s="9" t="s">
        <v>1278</v>
      </c>
      <c r="E305" s="9"/>
    </row>
    <row r="306" customFormat="false" ht="15" hidden="false" customHeight="false" outlineLevel="0" collapsed="false">
      <c r="A306" s="9" t="s">
        <v>4226</v>
      </c>
      <c r="B306" s="9" t="s">
        <v>4227</v>
      </c>
      <c r="C306" s="9" t="s">
        <v>14</v>
      </c>
      <c r="D306" s="9" t="s">
        <v>1278</v>
      </c>
      <c r="E306" s="9"/>
    </row>
    <row r="307" customFormat="false" ht="15" hidden="false" customHeight="false" outlineLevel="0" collapsed="false">
      <c r="A307" s="9" t="s">
        <v>4228</v>
      </c>
      <c r="B307" s="9" t="s">
        <v>4099</v>
      </c>
      <c r="C307" s="9" t="s">
        <v>14</v>
      </c>
      <c r="D307" s="9" t="s">
        <v>1278</v>
      </c>
      <c r="E307" s="9"/>
    </row>
    <row r="308" customFormat="false" ht="15" hidden="false" customHeight="false" outlineLevel="0" collapsed="false">
      <c r="A308" s="9" t="s">
        <v>4229</v>
      </c>
      <c r="B308" s="9" t="s">
        <v>3823</v>
      </c>
      <c r="C308" s="9" t="s">
        <v>14</v>
      </c>
      <c r="D308" s="9" t="s">
        <v>1278</v>
      </c>
      <c r="E308" s="10" t="s">
        <v>3750</v>
      </c>
    </row>
    <row r="309" customFormat="false" ht="15" hidden="false" customHeight="false" outlineLevel="0" collapsed="false">
      <c r="A309" s="9" t="s">
        <v>4230</v>
      </c>
      <c r="B309" s="9" t="s">
        <v>4231</v>
      </c>
      <c r="C309" s="9" t="s">
        <v>14</v>
      </c>
      <c r="D309" s="9" t="s">
        <v>1278</v>
      </c>
      <c r="E309" s="10" t="s">
        <v>3750</v>
      </c>
    </row>
    <row r="310" customFormat="false" ht="15" hidden="false" customHeight="false" outlineLevel="0" collapsed="false">
      <c r="A310" s="9" t="s">
        <v>4232</v>
      </c>
      <c r="B310" s="9" t="s">
        <v>4233</v>
      </c>
      <c r="C310" s="9" t="s">
        <v>14</v>
      </c>
      <c r="D310" s="9" t="s">
        <v>1282</v>
      </c>
      <c r="E310" s="9"/>
    </row>
    <row r="311" customFormat="false" ht="15" hidden="false" customHeight="false" outlineLevel="0" collapsed="false">
      <c r="A311" s="9" t="s">
        <v>4234</v>
      </c>
      <c r="B311" s="9" t="s">
        <v>4235</v>
      </c>
      <c r="C311" s="9" t="s">
        <v>14</v>
      </c>
      <c r="D311" s="9" t="s">
        <v>1285</v>
      </c>
      <c r="E311" s="9"/>
    </row>
    <row r="312" customFormat="false" ht="15" hidden="false" customHeight="false" outlineLevel="0" collapsed="false">
      <c r="A312" s="9" t="s">
        <v>4236</v>
      </c>
      <c r="B312" s="9" t="s">
        <v>4237</v>
      </c>
      <c r="C312" s="9" t="s">
        <v>14</v>
      </c>
      <c r="D312" s="9" t="s">
        <v>1282</v>
      </c>
      <c r="E312" s="9"/>
    </row>
    <row r="313" customFormat="false" ht="15" hidden="false" customHeight="false" outlineLevel="0" collapsed="false">
      <c r="A313" s="9" t="s">
        <v>4238</v>
      </c>
      <c r="B313" s="9" t="s">
        <v>4239</v>
      </c>
      <c r="C313" s="9" t="s">
        <v>14</v>
      </c>
      <c r="D313" s="9" t="s">
        <v>1285</v>
      </c>
      <c r="E313" s="9"/>
    </row>
    <row r="314" customFormat="false" ht="15" hidden="false" customHeight="false" outlineLevel="0" collapsed="false">
      <c r="A314" s="9" t="s">
        <v>4240</v>
      </c>
      <c r="B314" s="9" t="s">
        <v>4101</v>
      </c>
      <c r="C314" s="9" t="s">
        <v>14</v>
      </c>
      <c r="D314" s="9" t="s">
        <v>1282</v>
      </c>
      <c r="E314" s="9"/>
    </row>
    <row r="315" customFormat="false" ht="15" hidden="false" customHeight="false" outlineLevel="0" collapsed="false">
      <c r="A315" s="9" t="s">
        <v>4241</v>
      </c>
      <c r="B315" s="9" t="s">
        <v>4101</v>
      </c>
      <c r="C315" s="9" t="s">
        <v>14</v>
      </c>
      <c r="D315" s="9" t="s">
        <v>1285</v>
      </c>
      <c r="E315" s="9"/>
    </row>
    <row r="316" customFormat="false" ht="15" hidden="false" customHeight="false" outlineLevel="0" collapsed="false">
      <c r="A316" s="9" t="s">
        <v>4242</v>
      </c>
      <c r="B316" s="9" t="s">
        <v>3823</v>
      </c>
      <c r="C316" s="9" t="s">
        <v>14</v>
      </c>
      <c r="D316" s="9" t="s">
        <v>1285</v>
      </c>
      <c r="E316" s="10" t="s">
        <v>3750</v>
      </c>
    </row>
    <row r="317" customFormat="false" ht="15" hidden="false" customHeight="false" outlineLevel="0" collapsed="false">
      <c r="A317" s="9" t="s">
        <v>4243</v>
      </c>
      <c r="B317" s="9" t="s">
        <v>4231</v>
      </c>
      <c r="C317" s="9" t="s">
        <v>14</v>
      </c>
      <c r="D317" s="9" t="s">
        <v>1285</v>
      </c>
      <c r="E317" s="10" t="s">
        <v>3750</v>
      </c>
    </row>
    <row r="318" customFormat="false" ht="15" hidden="false" customHeight="false" outlineLevel="0" collapsed="false">
      <c r="A318" s="9" t="s">
        <v>4244</v>
      </c>
      <c r="B318" s="9" t="s">
        <v>4245</v>
      </c>
      <c r="C318" s="9" t="s">
        <v>14</v>
      </c>
      <c r="D318" s="9" t="s">
        <v>1285</v>
      </c>
      <c r="E318" s="10" t="s">
        <v>3750</v>
      </c>
    </row>
    <row r="319" customFormat="false" ht="15" hidden="false" customHeight="false" outlineLevel="0" collapsed="false">
      <c r="A319" s="9" t="s">
        <v>4246</v>
      </c>
      <c r="B319" s="9" t="s">
        <v>4105</v>
      </c>
      <c r="C319" s="9" t="s">
        <v>14</v>
      </c>
      <c r="D319" s="9" t="s">
        <v>1287</v>
      </c>
      <c r="E319" s="9"/>
    </row>
    <row r="320" customFormat="false" ht="15" hidden="false" customHeight="false" outlineLevel="0" collapsed="false">
      <c r="A320" s="9" t="s">
        <v>4247</v>
      </c>
      <c r="B320" s="9" t="s">
        <v>4248</v>
      </c>
      <c r="C320" s="9" t="s">
        <v>14</v>
      </c>
      <c r="D320" s="9" t="s">
        <v>1290</v>
      </c>
      <c r="E320" s="9"/>
    </row>
    <row r="321" customFormat="false" ht="15" hidden="false" customHeight="false" outlineLevel="0" collapsed="false">
      <c r="A321" s="9" t="s">
        <v>4249</v>
      </c>
      <c r="B321" s="9" t="s">
        <v>4105</v>
      </c>
      <c r="C321" s="9" t="s">
        <v>14</v>
      </c>
      <c r="D321" s="9" t="s">
        <v>1287</v>
      </c>
      <c r="E321" s="9"/>
    </row>
    <row r="322" customFormat="false" ht="15" hidden="false" customHeight="false" outlineLevel="0" collapsed="false">
      <c r="A322" s="9" t="s">
        <v>4250</v>
      </c>
      <c r="B322" s="9" t="s">
        <v>4251</v>
      </c>
      <c r="C322" s="9" t="s">
        <v>14</v>
      </c>
      <c r="D322" s="9" t="s">
        <v>1290</v>
      </c>
      <c r="E322" s="9"/>
    </row>
    <row r="323" customFormat="false" ht="15" hidden="false" customHeight="false" outlineLevel="0" collapsed="false">
      <c r="A323" s="9" t="s">
        <v>4252</v>
      </c>
      <c r="B323" s="9" t="s">
        <v>4105</v>
      </c>
      <c r="C323" s="9" t="s">
        <v>14</v>
      </c>
      <c r="D323" s="9" t="s">
        <v>1287</v>
      </c>
      <c r="E323" s="9"/>
    </row>
    <row r="324" customFormat="false" ht="15" hidden="false" customHeight="false" outlineLevel="0" collapsed="false">
      <c r="A324" s="9" t="s">
        <v>4253</v>
      </c>
      <c r="B324" s="9" t="s">
        <v>4254</v>
      </c>
      <c r="C324" s="9" t="s">
        <v>14</v>
      </c>
      <c r="D324" s="9" t="s">
        <v>1290</v>
      </c>
      <c r="E324" s="9"/>
    </row>
    <row r="325" customFormat="false" ht="15" hidden="false" customHeight="false" outlineLevel="0" collapsed="false">
      <c r="A325" s="9" t="s">
        <v>4255</v>
      </c>
      <c r="B325" s="9" t="s">
        <v>3823</v>
      </c>
      <c r="C325" s="9" t="s">
        <v>14</v>
      </c>
      <c r="D325" s="9" t="s">
        <v>1290</v>
      </c>
      <c r="E325" s="10" t="s">
        <v>3750</v>
      </c>
    </row>
    <row r="326" customFormat="false" ht="15" hidden="false" customHeight="false" outlineLevel="0" collapsed="false">
      <c r="A326" s="9" t="s">
        <v>4256</v>
      </c>
      <c r="B326" s="9" t="s">
        <v>4257</v>
      </c>
      <c r="C326" s="9" t="s">
        <v>14</v>
      </c>
      <c r="D326" s="9" t="s">
        <v>1290</v>
      </c>
      <c r="E326" s="10" t="s">
        <v>3750</v>
      </c>
    </row>
    <row r="327" customFormat="false" ht="15" hidden="false" customHeight="false" outlineLevel="0" collapsed="false">
      <c r="A327" s="9" t="s">
        <v>4258</v>
      </c>
      <c r="B327" s="9" t="s">
        <v>4231</v>
      </c>
      <c r="C327" s="9" t="s">
        <v>14</v>
      </c>
      <c r="D327" s="9" t="s">
        <v>1290</v>
      </c>
      <c r="E327" s="10" t="s">
        <v>3750</v>
      </c>
    </row>
    <row r="328" customFormat="false" ht="15" hidden="false" customHeight="false" outlineLevel="0" collapsed="false">
      <c r="A328" s="9" t="s">
        <v>4259</v>
      </c>
      <c r="B328" s="9" t="s">
        <v>4027</v>
      </c>
      <c r="C328" s="9" t="s">
        <v>14</v>
      </c>
      <c r="D328" s="9" t="s">
        <v>1291</v>
      </c>
      <c r="E328" s="9"/>
    </row>
    <row r="329" customFormat="false" ht="15" hidden="false" customHeight="false" outlineLevel="0" collapsed="false">
      <c r="A329" s="9" t="s">
        <v>4260</v>
      </c>
      <c r="B329" s="9" t="s">
        <v>4141</v>
      </c>
      <c r="C329" s="9" t="s">
        <v>14</v>
      </c>
      <c r="D329" s="9" t="s">
        <v>1291</v>
      </c>
      <c r="E329" s="9"/>
    </row>
    <row r="330" customFormat="false" ht="15" hidden="false" customHeight="false" outlineLevel="0" collapsed="false">
      <c r="A330" s="9" t="s">
        <v>4261</v>
      </c>
      <c r="B330" s="9" t="s">
        <v>4145</v>
      </c>
      <c r="C330" s="9" t="s">
        <v>14</v>
      </c>
      <c r="D330" s="9" t="s">
        <v>1291</v>
      </c>
      <c r="E330" s="9"/>
    </row>
    <row r="331" customFormat="false" ht="15" hidden="false" customHeight="false" outlineLevel="0" collapsed="false">
      <c r="A331" s="9" t="s">
        <v>4262</v>
      </c>
      <c r="B331" s="9" t="s">
        <v>3823</v>
      </c>
      <c r="C331" s="9" t="s">
        <v>14</v>
      </c>
      <c r="D331" s="9" t="s">
        <v>1291</v>
      </c>
      <c r="E331" s="10" t="s">
        <v>3750</v>
      </c>
    </row>
    <row r="332" customFormat="false" ht="15" hidden="false" customHeight="false" outlineLevel="0" collapsed="false">
      <c r="A332" s="9" t="s">
        <v>4263</v>
      </c>
      <c r="B332" s="9" t="s">
        <v>4264</v>
      </c>
      <c r="C332" s="9" t="s">
        <v>14</v>
      </c>
      <c r="D332" s="9" t="s">
        <v>1291</v>
      </c>
      <c r="E332" s="10" t="s">
        <v>3750</v>
      </c>
    </row>
    <row r="333" customFormat="false" ht="15" hidden="false" customHeight="false" outlineLevel="0" collapsed="false">
      <c r="A333" s="9" t="s">
        <v>4265</v>
      </c>
      <c r="B333" s="9" t="s">
        <v>4231</v>
      </c>
      <c r="C333" s="9" t="s">
        <v>14</v>
      </c>
      <c r="D333" s="9" t="s">
        <v>1291</v>
      </c>
      <c r="E333" s="10" t="s">
        <v>3750</v>
      </c>
    </row>
    <row r="334" customFormat="false" ht="15" hidden="false" customHeight="false" outlineLevel="0" collapsed="false">
      <c r="A334" s="9" t="s">
        <v>4266</v>
      </c>
      <c r="B334" s="9" t="s">
        <v>4267</v>
      </c>
      <c r="C334" s="9" t="s">
        <v>14</v>
      </c>
      <c r="D334" s="9" t="s">
        <v>4268</v>
      </c>
      <c r="E334" s="10" t="s">
        <v>3949</v>
      </c>
    </row>
    <row r="335" customFormat="false" ht="15" hidden="false" customHeight="false" outlineLevel="0" collapsed="false">
      <c r="A335" s="9" t="s">
        <v>4269</v>
      </c>
      <c r="B335" s="9" t="s">
        <v>4270</v>
      </c>
      <c r="C335" s="9" t="s">
        <v>14</v>
      </c>
      <c r="D335" s="9" t="s">
        <v>1294</v>
      </c>
      <c r="E335" s="9"/>
    </row>
    <row r="336" customFormat="false" ht="15" hidden="false" customHeight="false" outlineLevel="0" collapsed="false">
      <c r="A336" s="9" t="s">
        <v>4271</v>
      </c>
      <c r="B336" s="9" t="s">
        <v>4270</v>
      </c>
      <c r="C336" s="9" t="s">
        <v>14</v>
      </c>
      <c r="D336" s="9" t="s">
        <v>1299</v>
      </c>
      <c r="E336" s="9"/>
    </row>
    <row r="337" customFormat="false" ht="15" hidden="false" customHeight="false" outlineLevel="0" collapsed="false">
      <c r="A337" s="9" t="s">
        <v>4272</v>
      </c>
      <c r="B337" s="9" t="s">
        <v>4273</v>
      </c>
      <c r="C337" s="9" t="s">
        <v>14</v>
      </c>
      <c r="D337" s="9" t="s">
        <v>1300</v>
      </c>
      <c r="E337" s="9"/>
    </row>
    <row r="338" customFormat="false" ht="15" hidden="false" customHeight="false" outlineLevel="0" collapsed="false">
      <c r="A338" s="9" t="s">
        <v>4274</v>
      </c>
      <c r="B338" s="9" t="s">
        <v>3763</v>
      </c>
      <c r="C338" s="9" t="s">
        <v>14</v>
      </c>
      <c r="D338" s="9" t="s">
        <v>1303</v>
      </c>
      <c r="E338" s="9"/>
    </row>
    <row r="339" customFormat="false" ht="15" hidden="false" customHeight="false" outlineLevel="0" collapsed="false">
      <c r="A339" s="9" t="s">
        <v>4275</v>
      </c>
      <c r="B339" s="9" t="s">
        <v>4276</v>
      </c>
      <c r="C339" s="9" t="s">
        <v>14</v>
      </c>
      <c r="D339" s="9" t="s">
        <v>1304</v>
      </c>
      <c r="E339" s="9"/>
    </row>
    <row r="340" customFormat="false" ht="15" hidden="false" customHeight="false" outlineLevel="0" collapsed="false">
      <c r="A340" s="9" t="s">
        <v>4277</v>
      </c>
      <c r="B340" s="9" t="s">
        <v>4278</v>
      </c>
      <c r="C340" s="9" t="s">
        <v>14</v>
      </c>
      <c r="D340" s="9" t="s">
        <v>1307</v>
      </c>
      <c r="E340" s="9"/>
    </row>
    <row r="341" customFormat="false" ht="15" hidden="false" customHeight="false" outlineLevel="0" collapsed="false">
      <c r="A341" s="9" t="s">
        <v>4279</v>
      </c>
      <c r="B341" s="9" t="s">
        <v>4280</v>
      </c>
      <c r="C341" s="9" t="s">
        <v>14</v>
      </c>
      <c r="D341" s="9" t="s">
        <v>1308</v>
      </c>
      <c r="E341" s="9"/>
    </row>
    <row r="342" customFormat="false" ht="15" hidden="false" customHeight="false" outlineLevel="0" collapsed="false">
      <c r="A342" s="9" t="s">
        <v>4281</v>
      </c>
      <c r="B342" s="9" t="s">
        <v>4282</v>
      </c>
      <c r="C342" s="9" t="s">
        <v>14</v>
      </c>
      <c r="D342" s="9" t="s">
        <v>1311</v>
      </c>
      <c r="E342" s="9"/>
    </row>
    <row r="343" customFormat="false" ht="15" hidden="false" customHeight="false" outlineLevel="0" collapsed="false">
      <c r="A343" s="9" t="s">
        <v>4283</v>
      </c>
      <c r="B343" s="9" t="s">
        <v>4284</v>
      </c>
      <c r="C343" s="9" t="s">
        <v>14</v>
      </c>
      <c r="D343" s="9" t="s">
        <v>1312</v>
      </c>
      <c r="E343" s="9"/>
    </row>
    <row r="344" customFormat="false" ht="15" hidden="false" customHeight="false" outlineLevel="0" collapsed="false">
      <c r="A344" s="9" t="s">
        <v>4285</v>
      </c>
      <c r="B344" s="9" t="s">
        <v>4286</v>
      </c>
      <c r="C344" s="9" t="s">
        <v>14</v>
      </c>
      <c r="D344" s="9" t="s">
        <v>1315</v>
      </c>
      <c r="E344" s="9"/>
    </row>
    <row r="345" customFormat="false" ht="15" hidden="false" customHeight="false" outlineLevel="0" collapsed="false">
      <c r="A345" s="9" t="s">
        <v>4287</v>
      </c>
      <c r="B345" s="9" t="s">
        <v>3823</v>
      </c>
      <c r="C345" s="9" t="s">
        <v>14</v>
      </c>
      <c r="D345" s="9" t="s">
        <v>4288</v>
      </c>
      <c r="E345" s="10" t="s">
        <v>3750</v>
      </c>
    </row>
    <row r="346" customFormat="false" ht="15" hidden="false" customHeight="false" outlineLevel="0" collapsed="false">
      <c r="A346" s="9" t="s">
        <v>4289</v>
      </c>
      <c r="B346" s="9" t="s">
        <v>4290</v>
      </c>
      <c r="C346" s="9" t="s">
        <v>14</v>
      </c>
      <c r="D346" s="9" t="s">
        <v>4288</v>
      </c>
      <c r="E346" s="10" t="s">
        <v>3750</v>
      </c>
    </row>
    <row r="347" customFormat="false" ht="15" hidden="false" customHeight="false" outlineLevel="0" collapsed="false">
      <c r="A347" s="9" t="s">
        <v>4291</v>
      </c>
      <c r="B347" s="9" t="s">
        <v>3805</v>
      </c>
      <c r="C347" s="9" t="s">
        <v>14</v>
      </c>
      <c r="D347" s="9" t="s">
        <v>4288</v>
      </c>
      <c r="E347" s="10" t="s">
        <v>3750</v>
      </c>
    </row>
    <row r="348" customFormat="false" ht="15" hidden="false" customHeight="false" outlineLevel="0" collapsed="false">
      <c r="A348" s="9" t="s">
        <v>4292</v>
      </c>
      <c r="B348" s="9" t="s">
        <v>4293</v>
      </c>
      <c r="C348" s="9" t="s">
        <v>14</v>
      </c>
      <c r="D348" s="9" t="s">
        <v>4294</v>
      </c>
      <c r="E348" s="10" t="s">
        <v>3949</v>
      </c>
    </row>
    <row r="349" customFormat="false" ht="15" hidden="false" customHeight="false" outlineLevel="0" collapsed="false">
      <c r="A349" s="9" t="s">
        <v>4295</v>
      </c>
      <c r="B349" s="9" t="s">
        <v>3855</v>
      </c>
      <c r="C349" s="9" t="s">
        <v>14</v>
      </c>
      <c r="D349" s="9" t="s">
        <v>1316</v>
      </c>
      <c r="E349" s="9"/>
    </row>
    <row r="350" customFormat="false" ht="15" hidden="false" customHeight="false" outlineLevel="0" collapsed="false">
      <c r="A350" s="9" t="s">
        <v>4296</v>
      </c>
      <c r="B350" s="9" t="s">
        <v>4297</v>
      </c>
      <c r="C350" s="9" t="s">
        <v>14</v>
      </c>
      <c r="D350" s="9" t="s">
        <v>1319</v>
      </c>
      <c r="E350" s="9"/>
    </row>
    <row r="351" customFormat="false" ht="15" hidden="false" customHeight="false" outlineLevel="0" collapsed="false">
      <c r="A351" s="9" t="s">
        <v>4298</v>
      </c>
      <c r="B351" s="9" t="s">
        <v>4191</v>
      </c>
      <c r="C351" s="9" t="s">
        <v>14</v>
      </c>
      <c r="D351" s="9" t="s">
        <v>1320</v>
      </c>
      <c r="E351" s="9"/>
    </row>
    <row r="352" customFormat="false" ht="15" hidden="false" customHeight="false" outlineLevel="0" collapsed="false">
      <c r="A352" s="9" t="s">
        <v>4299</v>
      </c>
      <c r="B352" s="9" t="s">
        <v>4300</v>
      </c>
      <c r="C352" s="9" t="s">
        <v>14</v>
      </c>
      <c r="D352" s="9" t="s">
        <v>1323</v>
      </c>
      <c r="E352" s="9"/>
    </row>
    <row r="353" customFormat="false" ht="15" hidden="false" customHeight="false" outlineLevel="0" collapsed="false">
      <c r="A353" s="9" t="s">
        <v>4301</v>
      </c>
      <c r="B353" s="9" t="s">
        <v>3892</v>
      </c>
      <c r="C353" s="9" t="s">
        <v>14</v>
      </c>
      <c r="D353" s="9" t="s">
        <v>1324</v>
      </c>
      <c r="E353" s="9"/>
    </row>
    <row r="354" customFormat="false" ht="15" hidden="false" customHeight="false" outlineLevel="0" collapsed="false">
      <c r="A354" s="9" t="s">
        <v>4302</v>
      </c>
      <c r="B354" s="9" t="s">
        <v>4303</v>
      </c>
      <c r="C354" s="9" t="s">
        <v>14</v>
      </c>
      <c r="D354" s="9" t="s">
        <v>1327</v>
      </c>
      <c r="E354" s="9"/>
    </row>
    <row r="355" customFormat="false" ht="15" hidden="false" customHeight="false" outlineLevel="0" collapsed="false">
      <c r="A355" s="9" t="s">
        <v>4304</v>
      </c>
      <c r="B355" s="9" t="s">
        <v>3849</v>
      </c>
      <c r="C355" s="9" t="s">
        <v>14</v>
      </c>
      <c r="D355" s="9" t="s">
        <v>1328</v>
      </c>
      <c r="E355" s="9"/>
    </row>
    <row r="356" customFormat="false" ht="15" hidden="false" customHeight="false" outlineLevel="0" collapsed="false">
      <c r="A356" s="9" t="s">
        <v>4305</v>
      </c>
      <c r="B356" s="9" t="s">
        <v>4306</v>
      </c>
      <c r="C356" s="9" t="s">
        <v>14</v>
      </c>
      <c r="D356" s="9" t="s">
        <v>1331</v>
      </c>
      <c r="E356" s="9"/>
    </row>
    <row r="357" customFormat="false" ht="15" hidden="false" customHeight="false" outlineLevel="0" collapsed="false">
      <c r="A357" s="9" t="s">
        <v>4307</v>
      </c>
      <c r="B357" s="9" t="s">
        <v>3892</v>
      </c>
      <c r="C357" s="9" t="s">
        <v>14</v>
      </c>
      <c r="D357" s="9" t="s">
        <v>1332</v>
      </c>
      <c r="E357" s="9"/>
    </row>
    <row r="358" customFormat="false" ht="15" hidden="false" customHeight="false" outlineLevel="0" collapsed="false">
      <c r="A358" s="9" t="s">
        <v>4308</v>
      </c>
      <c r="B358" s="9" t="s">
        <v>4309</v>
      </c>
      <c r="C358" s="9" t="s">
        <v>14</v>
      </c>
      <c r="D358" s="9" t="s">
        <v>1335</v>
      </c>
      <c r="E358" s="9"/>
    </row>
    <row r="359" customFormat="false" ht="15" hidden="false" customHeight="false" outlineLevel="0" collapsed="false">
      <c r="A359" s="9" t="s">
        <v>4310</v>
      </c>
      <c r="B359" s="9" t="s">
        <v>3823</v>
      </c>
      <c r="C359" s="9" t="s">
        <v>14</v>
      </c>
      <c r="D359" s="9" t="s">
        <v>4311</v>
      </c>
      <c r="E359" s="10" t="s">
        <v>3750</v>
      </c>
    </row>
    <row r="360" customFormat="false" ht="15" hidden="false" customHeight="false" outlineLevel="0" collapsed="false">
      <c r="A360" s="9" t="s">
        <v>4312</v>
      </c>
      <c r="B360" s="9" t="s">
        <v>4313</v>
      </c>
      <c r="C360" s="9" t="s">
        <v>14</v>
      </c>
      <c r="D360" s="9" t="s">
        <v>4311</v>
      </c>
      <c r="E360" s="10" t="s">
        <v>3750</v>
      </c>
    </row>
    <row r="361" customFormat="false" ht="15" hidden="false" customHeight="false" outlineLevel="0" collapsed="false">
      <c r="A361" s="9" t="s">
        <v>4314</v>
      </c>
      <c r="B361" s="9" t="s">
        <v>3805</v>
      </c>
      <c r="C361" s="9" t="s">
        <v>14</v>
      </c>
      <c r="D361" s="9" t="s">
        <v>4311</v>
      </c>
      <c r="E361" s="10" t="s">
        <v>3750</v>
      </c>
    </row>
    <row r="362" customFormat="false" ht="15" hidden="false" customHeight="false" outlineLevel="0" collapsed="false">
      <c r="A362" s="9" t="s">
        <v>4315</v>
      </c>
      <c r="B362" s="9" t="s">
        <v>3859</v>
      </c>
      <c r="C362" s="9" t="s">
        <v>14</v>
      </c>
      <c r="D362" s="9" t="s">
        <v>1336</v>
      </c>
      <c r="E362" s="9"/>
    </row>
    <row r="363" customFormat="false" ht="15" hidden="false" customHeight="false" outlineLevel="0" collapsed="false">
      <c r="A363" s="9" t="s">
        <v>4316</v>
      </c>
      <c r="B363" s="9" t="s">
        <v>4317</v>
      </c>
      <c r="C363" s="9" t="s">
        <v>14</v>
      </c>
      <c r="D363" s="9" t="s">
        <v>1336</v>
      </c>
      <c r="E363" s="9"/>
    </row>
    <row r="364" customFormat="false" ht="15" hidden="false" customHeight="false" outlineLevel="0" collapsed="false">
      <c r="A364" s="9" t="s">
        <v>4318</v>
      </c>
      <c r="B364" s="9" t="s">
        <v>3807</v>
      </c>
      <c r="C364" s="9" t="s">
        <v>14</v>
      </c>
      <c r="D364" s="9" t="s">
        <v>1336</v>
      </c>
      <c r="E364" s="9"/>
    </row>
    <row r="365" customFormat="false" ht="15" hidden="false" customHeight="false" outlineLevel="0" collapsed="false">
      <c r="A365" s="9" t="s">
        <v>4319</v>
      </c>
      <c r="B365" s="9" t="s">
        <v>3823</v>
      </c>
      <c r="C365" s="9" t="s">
        <v>14</v>
      </c>
      <c r="D365" s="9" t="s">
        <v>1336</v>
      </c>
      <c r="E365" s="10" t="s">
        <v>3750</v>
      </c>
    </row>
    <row r="366" customFormat="false" ht="15" hidden="false" customHeight="false" outlineLevel="0" collapsed="false">
      <c r="A366" s="9" t="s">
        <v>4320</v>
      </c>
      <c r="B366" s="9" t="s">
        <v>3974</v>
      </c>
      <c r="C366" s="9" t="s">
        <v>14</v>
      </c>
      <c r="D366" s="9" t="s">
        <v>1339</v>
      </c>
      <c r="E366" s="9"/>
    </row>
    <row r="367" customFormat="false" ht="15" hidden="false" customHeight="false" outlineLevel="0" collapsed="false">
      <c r="A367" s="9" t="s">
        <v>4321</v>
      </c>
      <c r="B367" s="9" t="s">
        <v>3859</v>
      </c>
      <c r="C367" s="9" t="s">
        <v>14</v>
      </c>
      <c r="D367" s="9" t="s">
        <v>1339</v>
      </c>
      <c r="E367" s="9"/>
    </row>
    <row r="368" customFormat="false" ht="15" hidden="false" customHeight="false" outlineLevel="0" collapsed="false">
      <c r="A368" s="9" t="s">
        <v>4322</v>
      </c>
      <c r="B368" s="9" t="s">
        <v>3976</v>
      </c>
      <c r="C368" s="9" t="s">
        <v>14</v>
      </c>
      <c r="D368" s="9" t="s">
        <v>1339</v>
      </c>
      <c r="E368" s="9"/>
    </row>
    <row r="369" customFormat="false" ht="15" hidden="false" customHeight="false" outlineLevel="0" collapsed="false">
      <c r="A369" s="9" t="s">
        <v>4323</v>
      </c>
      <c r="B369" s="9" t="s">
        <v>3823</v>
      </c>
      <c r="C369" s="9" t="s">
        <v>14</v>
      </c>
      <c r="D369" s="9" t="s">
        <v>1339</v>
      </c>
      <c r="E369" s="10" t="s">
        <v>3750</v>
      </c>
    </row>
    <row r="370" customFormat="false" ht="15" hidden="false" customHeight="false" outlineLevel="0" collapsed="false">
      <c r="A370" s="9" t="s">
        <v>4324</v>
      </c>
      <c r="B370" s="9" t="s">
        <v>3837</v>
      </c>
      <c r="C370" s="9" t="s">
        <v>14</v>
      </c>
      <c r="D370" s="9" t="s">
        <v>1209</v>
      </c>
      <c r="E370" s="9"/>
    </row>
    <row r="371" customFormat="false" ht="15" hidden="false" customHeight="false" outlineLevel="0" collapsed="false">
      <c r="A371" s="9" t="s">
        <v>4325</v>
      </c>
      <c r="B371" s="9" t="s">
        <v>3837</v>
      </c>
      <c r="C371" s="9" t="s">
        <v>14</v>
      </c>
      <c r="D371" s="9" t="s">
        <v>1215</v>
      </c>
      <c r="E371" s="9"/>
    </row>
    <row r="372" customFormat="false" ht="15" hidden="false" customHeight="false" outlineLevel="0" collapsed="false">
      <c r="A372" s="9" t="s">
        <v>4326</v>
      </c>
      <c r="B372" s="9" t="s">
        <v>3835</v>
      </c>
      <c r="C372" s="9" t="s">
        <v>14</v>
      </c>
      <c r="D372" s="9" t="s">
        <v>1218</v>
      </c>
      <c r="E372" s="9"/>
    </row>
    <row r="373" customFormat="false" ht="15" hidden="false" customHeight="false" outlineLevel="0" collapsed="false">
      <c r="A373" s="9" t="s">
        <v>4327</v>
      </c>
      <c r="B373" s="9" t="s">
        <v>3832</v>
      </c>
      <c r="C373" s="9" t="s">
        <v>14</v>
      </c>
      <c r="D373" s="9" t="s">
        <v>1222</v>
      </c>
      <c r="E373" s="9"/>
    </row>
    <row r="374" customFormat="false" ht="15" hidden="false" customHeight="false" outlineLevel="0" collapsed="false">
      <c r="A374" s="9" t="s">
        <v>4328</v>
      </c>
      <c r="B374" s="9" t="s">
        <v>3835</v>
      </c>
      <c r="C374" s="9" t="s">
        <v>14</v>
      </c>
      <c r="D374" s="9" t="s">
        <v>1226</v>
      </c>
      <c r="E374" s="9"/>
    </row>
    <row r="375" customFormat="false" ht="15" hidden="false" customHeight="false" outlineLevel="0" collapsed="false">
      <c r="A375" s="9" t="s">
        <v>4329</v>
      </c>
      <c r="B375" s="9" t="s">
        <v>3823</v>
      </c>
      <c r="C375" s="9" t="s">
        <v>14</v>
      </c>
      <c r="D375" s="9" t="s">
        <v>4330</v>
      </c>
      <c r="E375" s="10" t="s">
        <v>3750</v>
      </c>
    </row>
    <row r="376" customFormat="false" ht="15" hidden="false" customHeight="false" outlineLevel="0" collapsed="false">
      <c r="A376" s="9" t="s">
        <v>4331</v>
      </c>
      <c r="B376" s="9" t="s">
        <v>4332</v>
      </c>
      <c r="C376" s="9" t="s">
        <v>14</v>
      </c>
      <c r="D376" s="9" t="s">
        <v>4330</v>
      </c>
      <c r="E376" s="10" t="s">
        <v>3750</v>
      </c>
    </row>
    <row r="377" customFormat="false" ht="15" hidden="false" customHeight="false" outlineLevel="0" collapsed="false">
      <c r="A377" s="9" t="s">
        <v>4333</v>
      </c>
      <c r="B377" s="9" t="s">
        <v>4334</v>
      </c>
      <c r="C377" s="9" t="s">
        <v>6</v>
      </c>
      <c r="D377" s="9" t="s">
        <v>256</v>
      </c>
      <c r="E377" s="10" t="s">
        <v>3750</v>
      </c>
    </row>
    <row r="378" customFormat="false" ht="15" hidden="false" customHeight="false" outlineLevel="0" collapsed="false">
      <c r="A378" s="9" t="s">
        <v>4335</v>
      </c>
      <c r="B378" s="9" t="s">
        <v>4336</v>
      </c>
      <c r="C378" s="9" t="s">
        <v>6</v>
      </c>
      <c r="D378" s="9" t="s">
        <v>256</v>
      </c>
      <c r="E378" s="9"/>
    </row>
    <row r="379" customFormat="false" ht="15" hidden="false" customHeight="false" outlineLevel="0" collapsed="false">
      <c r="A379" s="9" t="s">
        <v>4337</v>
      </c>
      <c r="B379" s="9" t="s">
        <v>3749</v>
      </c>
      <c r="C379" s="9" t="s">
        <v>6</v>
      </c>
      <c r="D379" s="9" t="s">
        <v>256</v>
      </c>
      <c r="E379" s="10" t="s">
        <v>3750</v>
      </c>
    </row>
    <row r="380" customFormat="false" ht="15" hidden="false" customHeight="false" outlineLevel="0" collapsed="false">
      <c r="A380" s="9" t="s">
        <v>4338</v>
      </c>
      <c r="B380" s="9" t="s">
        <v>4339</v>
      </c>
      <c r="C380" s="9" t="s">
        <v>6</v>
      </c>
      <c r="D380" s="9" t="s">
        <v>256</v>
      </c>
      <c r="E380" s="10" t="s">
        <v>3750</v>
      </c>
    </row>
    <row r="381" customFormat="false" ht="15" hidden="false" customHeight="false" outlineLevel="0" collapsed="false">
      <c r="A381" s="9" t="s">
        <v>4340</v>
      </c>
      <c r="B381" s="9" t="s">
        <v>4137</v>
      </c>
      <c r="C381" s="9" t="s">
        <v>6</v>
      </c>
      <c r="D381" s="9" t="s">
        <v>256</v>
      </c>
      <c r="E381" s="10" t="s">
        <v>3750</v>
      </c>
    </row>
    <row r="382" customFormat="false" ht="15" hidden="false" customHeight="false" outlineLevel="0" collapsed="false">
      <c r="A382" s="9" t="s">
        <v>4341</v>
      </c>
      <c r="B382" s="9" t="s">
        <v>4342</v>
      </c>
      <c r="C382" s="9" t="s">
        <v>6</v>
      </c>
      <c r="D382" s="9" t="s">
        <v>266</v>
      </c>
      <c r="E382" s="9"/>
    </row>
    <row r="383" customFormat="false" ht="15" hidden="false" customHeight="false" outlineLevel="0" collapsed="false">
      <c r="A383" s="9" t="s">
        <v>4343</v>
      </c>
      <c r="B383" s="9" t="s">
        <v>3749</v>
      </c>
      <c r="C383" s="9" t="s">
        <v>6</v>
      </c>
      <c r="D383" s="9" t="s">
        <v>266</v>
      </c>
      <c r="E383" s="10" t="s">
        <v>3750</v>
      </c>
    </row>
    <row r="384" customFormat="false" ht="15" hidden="false" customHeight="false" outlineLevel="0" collapsed="false">
      <c r="A384" s="9" t="s">
        <v>4344</v>
      </c>
      <c r="B384" s="9" t="s">
        <v>4345</v>
      </c>
      <c r="C384" s="9" t="s">
        <v>6</v>
      </c>
      <c r="D384" s="9" t="s">
        <v>266</v>
      </c>
      <c r="E384" s="10" t="s">
        <v>3750</v>
      </c>
    </row>
    <row r="385" customFormat="false" ht="15" hidden="false" customHeight="false" outlineLevel="0" collapsed="false">
      <c r="A385" s="9" t="s">
        <v>4346</v>
      </c>
      <c r="B385" s="9" t="s">
        <v>4137</v>
      </c>
      <c r="C385" s="9" t="s">
        <v>6</v>
      </c>
      <c r="D385" s="9" t="s">
        <v>266</v>
      </c>
      <c r="E385" s="10" t="s">
        <v>3750</v>
      </c>
    </row>
    <row r="386" customFormat="false" ht="15" hidden="false" customHeight="false" outlineLevel="0" collapsed="false">
      <c r="A386" s="9" t="s">
        <v>4347</v>
      </c>
      <c r="B386" s="9" t="s">
        <v>4348</v>
      </c>
      <c r="C386" s="9" t="s">
        <v>14</v>
      </c>
      <c r="D386" s="9" t="s">
        <v>1097</v>
      </c>
      <c r="E386" s="9"/>
    </row>
    <row r="387" customFormat="false" ht="15" hidden="false" customHeight="false" outlineLevel="0" collapsed="false">
      <c r="A387" s="9" t="s">
        <v>4349</v>
      </c>
      <c r="B387" s="9" t="s">
        <v>3986</v>
      </c>
      <c r="C387" s="9" t="s">
        <v>14</v>
      </c>
      <c r="D387" s="9" t="s">
        <v>1102</v>
      </c>
      <c r="E387" s="9"/>
    </row>
    <row r="388" customFormat="false" ht="15" hidden="false" customHeight="false" outlineLevel="0" collapsed="false">
      <c r="A388" s="9" t="s">
        <v>4350</v>
      </c>
      <c r="B388" s="9" t="s">
        <v>3913</v>
      </c>
      <c r="C388" s="9" t="s">
        <v>14</v>
      </c>
      <c r="D388" s="9" t="s">
        <v>1105</v>
      </c>
      <c r="E388" s="9"/>
    </row>
    <row r="389" customFormat="false" ht="15" hidden="false" customHeight="false" outlineLevel="0" collapsed="false">
      <c r="A389" s="9" t="s">
        <v>4351</v>
      </c>
      <c r="B389" s="9" t="s">
        <v>4076</v>
      </c>
      <c r="C389" s="9" t="s">
        <v>14</v>
      </c>
      <c r="D389" s="9" t="s">
        <v>1105</v>
      </c>
      <c r="E389" s="10" t="s">
        <v>3750</v>
      </c>
    </row>
    <row r="390" customFormat="false" ht="15" hidden="false" customHeight="false" outlineLevel="0" collapsed="false">
      <c r="A390" s="9" t="s">
        <v>4352</v>
      </c>
      <c r="B390" s="9" t="s">
        <v>4353</v>
      </c>
      <c r="C390" s="9" t="s">
        <v>14</v>
      </c>
      <c r="D390" s="9" t="s">
        <v>1105</v>
      </c>
      <c r="E390" s="10" t="s">
        <v>3750</v>
      </c>
    </row>
    <row r="391" customFormat="false" ht="15" hidden="false" customHeight="false" outlineLevel="0" collapsed="false">
      <c r="A391" s="9" t="s">
        <v>4354</v>
      </c>
      <c r="B391" s="9" t="s">
        <v>4355</v>
      </c>
      <c r="C391" s="9" t="s">
        <v>14</v>
      </c>
      <c r="D391" s="9" t="s">
        <v>4356</v>
      </c>
      <c r="E391" s="10" t="s">
        <v>4357</v>
      </c>
    </row>
    <row r="392" customFormat="false" ht="15" hidden="false" customHeight="false" outlineLevel="0" collapsed="false">
      <c r="A392" s="9" t="s">
        <v>4358</v>
      </c>
      <c r="B392" s="9" t="s">
        <v>4080</v>
      </c>
      <c r="C392" s="10" t="s">
        <v>3721</v>
      </c>
      <c r="D392" s="9" t="s">
        <v>71</v>
      </c>
      <c r="E392" s="10" t="s">
        <v>4359</v>
      </c>
    </row>
    <row r="393" customFormat="false" ht="15" hidden="false" customHeight="false" outlineLevel="0" collapsed="false">
      <c r="A393" s="9" t="s">
        <v>4360</v>
      </c>
      <c r="B393" s="9" t="s">
        <v>4083</v>
      </c>
      <c r="C393" s="10" t="s">
        <v>3721</v>
      </c>
      <c r="D393" s="9" t="s">
        <v>71</v>
      </c>
      <c r="E393" s="10" t="s">
        <v>4359</v>
      </c>
    </row>
    <row r="394" customFormat="false" ht="15" hidden="false" customHeight="false" outlineLevel="0" collapsed="false">
      <c r="A394" s="9" t="s">
        <v>4361</v>
      </c>
      <c r="B394" s="9" t="s">
        <v>3827</v>
      </c>
      <c r="C394" s="9" t="s">
        <v>14</v>
      </c>
      <c r="D394" s="9" t="s">
        <v>1343</v>
      </c>
      <c r="E394" s="9"/>
    </row>
    <row r="395" customFormat="false" ht="15" hidden="false" customHeight="false" outlineLevel="0" collapsed="false">
      <c r="A395" s="9" t="s">
        <v>4362</v>
      </c>
      <c r="B395" s="9" t="s">
        <v>3976</v>
      </c>
      <c r="C395" s="9" t="s">
        <v>14</v>
      </c>
      <c r="D395" s="9" t="s">
        <v>1348</v>
      </c>
      <c r="E395" s="9"/>
    </row>
    <row r="396" customFormat="false" ht="15" hidden="false" customHeight="false" outlineLevel="0" collapsed="false">
      <c r="A396" s="9" t="s">
        <v>4363</v>
      </c>
      <c r="B396" s="9" t="s">
        <v>3988</v>
      </c>
      <c r="C396" s="9" t="s">
        <v>14</v>
      </c>
      <c r="D396" s="9" t="s">
        <v>1349</v>
      </c>
      <c r="E396" s="9"/>
    </row>
    <row r="397" customFormat="false" ht="15" hidden="false" customHeight="false" outlineLevel="0" collapsed="false">
      <c r="A397" s="9" t="s">
        <v>4364</v>
      </c>
      <c r="B397" s="9" t="s">
        <v>3910</v>
      </c>
      <c r="C397" s="9" t="s">
        <v>14</v>
      </c>
      <c r="D397" s="9" t="s">
        <v>1350</v>
      </c>
      <c r="E397" s="9"/>
    </row>
    <row r="398" customFormat="false" ht="15" hidden="false" customHeight="false" outlineLevel="0" collapsed="false">
      <c r="A398" s="9" t="s">
        <v>4365</v>
      </c>
      <c r="B398" s="9" t="s">
        <v>3984</v>
      </c>
      <c r="C398" s="9" t="s">
        <v>14</v>
      </c>
      <c r="D398" s="9" t="s">
        <v>1351</v>
      </c>
      <c r="E398" s="9"/>
    </row>
    <row r="399" customFormat="false" ht="15" hidden="false" customHeight="false" outlineLevel="0" collapsed="false">
      <c r="A399" s="9" t="s">
        <v>4366</v>
      </c>
      <c r="B399" s="9" t="s">
        <v>3863</v>
      </c>
      <c r="C399" s="9" t="s">
        <v>14</v>
      </c>
      <c r="D399" s="9" t="s">
        <v>1352</v>
      </c>
      <c r="E399" s="9"/>
    </row>
    <row r="400" customFormat="false" ht="15" hidden="false" customHeight="false" outlineLevel="0" collapsed="false">
      <c r="A400" s="9" t="s">
        <v>4367</v>
      </c>
      <c r="B400" s="9" t="s">
        <v>3827</v>
      </c>
      <c r="C400" s="9" t="s">
        <v>14</v>
      </c>
      <c r="D400" s="9" t="s">
        <v>1343</v>
      </c>
      <c r="E400" s="9"/>
    </row>
    <row r="401" customFormat="false" ht="15" hidden="false" customHeight="false" outlineLevel="0" collapsed="false">
      <c r="A401" s="9" t="s">
        <v>4368</v>
      </c>
      <c r="B401" s="9" t="s">
        <v>3974</v>
      </c>
      <c r="C401" s="9" t="s">
        <v>14</v>
      </c>
      <c r="D401" s="9" t="s">
        <v>1348</v>
      </c>
      <c r="E401" s="9"/>
    </row>
    <row r="402" customFormat="false" ht="15" hidden="false" customHeight="false" outlineLevel="0" collapsed="false">
      <c r="A402" s="9" t="s">
        <v>4369</v>
      </c>
      <c r="B402" s="9" t="s">
        <v>3976</v>
      </c>
      <c r="C402" s="9" t="s">
        <v>14</v>
      </c>
      <c r="D402" s="9" t="s">
        <v>1349</v>
      </c>
      <c r="E402" s="9"/>
    </row>
    <row r="403" customFormat="false" ht="15" hidden="false" customHeight="false" outlineLevel="0" collapsed="false">
      <c r="A403" s="9" t="s">
        <v>4370</v>
      </c>
      <c r="B403" s="9" t="s">
        <v>3986</v>
      </c>
      <c r="C403" s="9" t="s">
        <v>14</v>
      </c>
      <c r="D403" s="9" t="s">
        <v>1350</v>
      </c>
      <c r="E403" s="9"/>
    </row>
    <row r="404" customFormat="false" ht="15" hidden="false" customHeight="false" outlineLevel="0" collapsed="false">
      <c r="A404" s="9" t="s">
        <v>4371</v>
      </c>
      <c r="B404" s="9" t="s">
        <v>3986</v>
      </c>
      <c r="C404" s="9" t="s">
        <v>14</v>
      </c>
      <c r="D404" s="9" t="s">
        <v>1351</v>
      </c>
      <c r="E404" s="9"/>
    </row>
    <row r="405" customFormat="false" ht="15" hidden="false" customHeight="false" outlineLevel="0" collapsed="false">
      <c r="A405" s="9" t="s">
        <v>4372</v>
      </c>
      <c r="B405" s="9" t="s">
        <v>3988</v>
      </c>
      <c r="C405" s="9" t="s">
        <v>14</v>
      </c>
      <c r="D405" s="9" t="s">
        <v>1352</v>
      </c>
      <c r="E405" s="9"/>
    </row>
    <row r="406" customFormat="false" ht="15" hidden="false" customHeight="false" outlineLevel="0" collapsed="false">
      <c r="A406" s="9" t="s">
        <v>4373</v>
      </c>
      <c r="B406" s="9" t="s">
        <v>3827</v>
      </c>
      <c r="C406" s="9" t="s">
        <v>14</v>
      </c>
      <c r="D406" s="9" t="s">
        <v>1343</v>
      </c>
      <c r="E406" s="9"/>
    </row>
    <row r="407" customFormat="false" ht="15" hidden="false" customHeight="false" outlineLevel="0" collapsed="false">
      <c r="A407" s="9" t="s">
        <v>4374</v>
      </c>
      <c r="B407" s="9" t="s">
        <v>3988</v>
      </c>
      <c r="C407" s="9" t="s">
        <v>14</v>
      </c>
      <c r="D407" s="9" t="s">
        <v>1348</v>
      </c>
      <c r="E407" s="9"/>
    </row>
    <row r="408" customFormat="false" ht="15" hidden="false" customHeight="false" outlineLevel="0" collapsed="false">
      <c r="A408" s="9" t="s">
        <v>4375</v>
      </c>
      <c r="B408" s="9" t="s">
        <v>3863</v>
      </c>
      <c r="C408" s="9" t="s">
        <v>14</v>
      </c>
      <c r="D408" s="9" t="s">
        <v>1349</v>
      </c>
      <c r="E408" s="9"/>
    </row>
    <row r="409" customFormat="false" ht="15" hidden="false" customHeight="false" outlineLevel="0" collapsed="false">
      <c r="A409" s="9" t="s">
        <v>4376</v>
      </c>
      <c r="B409" s="9" t="s">
        <v>3778</v>
      </c>
      <c r="C409" s="9" t="s">
        <v>14</v>
      </c>
      <c r="D409" s="9" t="s">
        <v>1350</v>
      </c>
      <c r="E409" s="9"/>
    </row>
    <row r="410" customFormat="false" ht="15" hidden="false" customHeight="false" outlineLevel="0" collapsed="false">
      <c r="A410" s="9" t="s">
        <v>4377</v>
      </c>
      <c r="B410" s="9" t="s">
        <v>4378</v>
      </c>
      <c r="C410" s="9" t="s">
        <v>14</v>
      </c>
      <c r="D410" s="9" t="s">
        <v>1351</v>
      </c>
      <c r="E410" s="9"/>
    </row>
    <row r="411" customFormat="false" ht="15" hidden="false" customHeight="false" outlineLevel="0" collapsed="false">
      <c r="A411" s="9" t="s">
        <v>4379</v>
      </c>
      <c r="B411" s="9" t="s">
        <v>4216</v>
      </c>
      <c r="C411" s="9" t="s">
        <v>14</v>
      </c>
      <c r="D411" s="9" t="s">
        <v>1352</v>
      </c>
      <c r="E411" s="9"/>
    </row>
    <row r="412" customFormat="false" ht="15" hidden="false" customHeight="false" outlineLevel="0" collapsed="false">
      <c r="A412" s="9" t="s">
        <v>4380</v>
      </c>
      <c r="B412" s="9" t="s">
        <v>3823</v>
      </c>
      <c r="C412" s="9" t="s">
        <v>14</v>
      </c>
      <c r="D412" s="9" t="s">
        <v>1352</v>
      </c>
      <c r="E412" s="10" t="s">
        <v>3750</v>
      </c>
    </row>
    <row r="413" customFormat="false" ht="15" hidden="false" customHeight="false" outlineLevel="0" collapsed="false">
      <c r="A413" s="9" t="s">
        <v>4381</v>
      </c>
      <c r="B413" s="9" t="s">
        <v>4382</v>
      </c>
      <c r="C413" s="9" t="s">
        <v>14</v>
      </c>
      <c r="D413" s="9" t="s">
        <v>1352</v>
      </c>
      <c r="E413" s="10" t="s">
        <v>3750</v>
      </c>
    </row>
    <row r="414" customFormat="false" ht="15" hidden="false" customHeight="false" outlineLevel="0" collapsed="false">
      <c r="A414" s="9" t="s">
        <v>4383</v>
      </c>
      <c r="B414" s="9" t="s">
        <v>3827</v>
      </c>
      <c r="C414" s="9" t="s">
        <v>14</v>
      </c>
      <c r="D414" s="9" t="s">
        <v>1353</v>
      </c>
      <c r="E414" s="9"/>
    </row>
    <row r="415" customFormat="false" ht="15" hidden="false" customHeight="false" outlineLevel="0" collapsed="false">
      <c r="A415" s="9" t="s">
        <v>4384</v>
      </c>
      <c r="B415" s="9" t="s">
        <v>262</v>
      </c>
      <c r="C415" s="9" t="s">
        <v>14</v>
      </c>
      <c r="D415" s="9" t="s">
        <v>1358</v>
      </c>
      <c r="E415" s="9"/>
    </row>
    <row r="416" customFormat="false" ht="15" hidden="false" customHeight="false" outlineLevel="0" collapsed="false">
      <c r="A416" s="9" t="s">
        <v>4385</v>
      </c>
      <c r="B416" s="9" t="s">
        <v>4227</v>
      </c>
      <c r="C416" s="9" t="s">
        <v>14</v>
      </c>
      <c r="D416" s="9" t="s">
        <v>1359</v>
      </c>
      <c r="E416" s="9"/>
    </row>
    <row r="417" customFormat="false" ht="15" hidden="false" customHeight="false" outlineLevel="0" collapsed="false">
      <c r="A417" s="9" t="s">
        <v>4386</v>
      </c>
      <c r="B417" s="9" t="s">
        <v>4387</v>
      </c>
      <c r="C417" s="9" t="s">
        <v>14</v>
      </c>
      <c r="D417" s="9" t="s">
        <v>1360</v>
      </c>
      <c r="E417" s="9"/>
    </row>
    <row r="418" customFormat="false" ht="15" hidden="false" customHeight="false" outlineLevel="0" collapsed="false">
      <c r="A418" s="9" t="s">
        <v>4388</v>
      </c>
      <c r="B418" s="9" t="s">
        <v>4025</v>
      </c>
      <c r="C418" s="9" t="s">
        <v>14</v>
      </c>
      <c r="D418" s="9" t="s">
        <v>1361</v>
      </c>
      <c r="E418" s="9"/>
    </row>
    <row r="419" customFormat="false" ht="15" hidden="false" customHeight="false" outlineLevel="0" collapsed="false">
      <c r="A419" s="9" t="s">
        <v>4389</v>
      </c>
      <c r="B419" s="9" t="s">
        <v>4390</v>
      </c>
      <c r="C419" s="9" t="s">
        <v>14</v>
      </c>
      <c r="D419" s="9" t="s">
        <v>1362</v>
      </c>
      <c r="E419" s="9"/>
    </row>
    <row r="420" customFormat="false" ht="15" hidden="false" customHeight="false" outlineLevel="0" collapsed="false">
      <c r="A420" s="9" t="s">
        <v>4391</v>
      </c>
      <c r="B420" s="9" t="s">
        <v>3827</v>
      </c>
      <c r="C420" s="9" t="s">
        <v>14</v>
      </c>
      <c r="D420" s="9" t="s">
        <v>1353</v>
      </c>
      <c r="E420" s="9"/>
    </row>
    <row r="421" customFormat="false" ht="15" hidden="false" customHeight="false" outlineLevel="0" collapsed="false">
      <c r="A421" s="9" t="s">
        <v>4392</v>
      </c>
      <c r="B421" s="9" t="s">
        <v>3888</v>
      </c>
      <c r="C421" s="9" t="s">
        <v>14</v>
      </c>
      <c r="D421" s="9" t="s">
        <v>1358</v>
      </c>
      <c r="E421" s="9"/>
    </row>
    <row r="422" customFormat="false" ht="15" hidden="false" customHeight="false" outlineLevel="0" collapsed="false">
      <c r="A422" s="9" t="s">
        <v>4393</v>
      </c>
      <c r="B422" s="9" t="s">
        <v>73</v>
      </c>
      <c r="C422" s="9" t="s">
        <v>14</v>
      </c>
      <c r="D422" s="9" t="s">
        <v>1359</v>
      </c>
      <c r="E422" s="9"/>
    </row>
    <row r="423" customFormat="false" ht="15" hidden="false" customHeight="false" outlineLevel="0" collapsed="false">
      <c r="A423" s="9" t="s">
        <v>4394</v>
      </c>
      <c r="B423" s="9" t="s">
        <v>3882</v>
      </c>
      <c r="C423" s="9" t="s">
        <v>14</v>
      </c>
      <c r="D423" s="9" t="s">
        <v>1360</v>
      </c>
      <c r="E423" s="9"/>
    </row>
    <row r="424" customFormat="false" ht="15" hidden="false" customHeight="false" outlineLevel="0" collapsed="false">
      <c r="A424" s="9" t="s">
        <v>4395</v>
      </c>
      <c r="B424" s="9" t="s">
        <v>262</v>
      </c>
      <c r="C424" s="9" t="s">
        <v>14</v>
      </c>
      <c r="D424" s="9" t="s">
        <v>1361</v>
      </c>
      <c r="E424" s="9"/>
    </row>
    <row r="425" customFormat="false" ht="15" hidden="false" customHeight="false" outlineLevel="0" collapsed="false">
      <c r="A425" s="9" t="s">
        <v>4396</v>
      </c>
      <c r="B425" s="9" t="s">
        <v>4397</v>
      </c>
      <c r="C425" s="9" t="s">
        <v>14</v>
      </c>
      <c r="D425" s="9" t="s">
        <v>1362</v>
      </c>
      <c r="E425" s="9"/>
    </row>
    <row r="426" customFormat="false" ht="15" hidden="false" customHeight="false" outlineLevel="0" collapsed="false">
      <c r="A426" s="9" t="s">
        <v>4398</v>
      </c>
      <c r="B426" s="9" t="s">
        <v>3827</v>
      </c>
      <c r="C426" s="9" t="s">
        <v>14</v>
      </c>
      <c r="D426" s="9" t="s">
        <v>1353</v>
      </c>
      <c r="E426" s="9"/>
    </row>
    <row r="427" customFormat="false" ht="15" hidden="false" customHeight="false" outlineLevel="0" collapsed="false">
      <c r="A427" s="9" t="s">
        <v>4399</v>
      </c>
      <c r="B427" s="9" t="s">
        <v>4025</v>
      </c>
      <c r="C427" s="9" t="s">
        <v>14</v>
      </c>
      <c r="D427" s="9" t="s">
        <v>1358</v>
      </c>
      <c r="E427" s="9"/>
    </row>
    <row r="428" customFormat="false" ht="15" hidden="false" customHeight="false" outlineLevel="0" collapsed="false">
      <c r="A428" s="9" t="s">
        <v>4400</v>
      </c>
      <c r="B428" s="9" t="s">
        <v>4225</v>
      </c>
      <c r="C428" s="9" t="s">
        <v>14</v>
      </c>
      <c r="D428" s="9" t="s">
        <v>1359</v>
      </c>
      <c r="E428" s="9"/>
    </row>
    <row r="429" customFormat="false" ht="15" hidden="false" customHeight="false" outlineLevel="0" collapsed="false">
      <c r="A429" s="9" t="s">
        <v>4401</v>
      </c>
      <c r="B429" s="9" t="s">
        <v>3758</v>
      </c>
      <c r="C429" s="9" t="s">
        <v>14</v>
      </c>
      <c r="D429" s="9" t="s">
        <v>1360</v>
      </c>
      <c r="E429" s="9"/>
    </row>
    <row r="430" customFormat="false" ht="15" hidden="false" customHeight="false" outlineLevel="0" collapsed="false">
      <c r="A430" s="9" t="s">
        <v>4402</v>
      </c>
      <c r="B430" s="9" t="s">
        <v>4342</v>
      </c>
      <c r="C430" s="9" t="s">
        <v>14</v>
      </c>
      <c r="D430" s="9" t="s">
        <v>1361</v>
      </c>
      <c r="E430" s="9"/>
    </row>
    <row r="431" customFormat="false" ht="15" hidden="false" customHeight="false" outlineLevel="0" collapsed="false">
      <c r="A431" s="9" t="s">
        <v>4403</v>
      </c>
      <c r="B431" s="9" t="s">
        <v>4404</v>
      </c>
      <c r="C431" s="9" t="s">
        <v>14</v>
      </c>
      <c r="D431" s="9" t="s">
        <v>1362</v>
      </c>
      <c r="E431" s="9"/>
    </row>
    <row r="432" customFormat="false" ht="15" hidden="false" customHeight="false" outlineLevel="0" collapsed="false">
      <c r="A432" s="9" t="s">
        <v>4405</v>
      </c>
      <c r="B432" s="9" t="s">
        <v>4406</v>
      </c>
      <c r="C432" s="9" t="s">
        <v>14</v>
      </c>
      <c r="D432" s="9" t="s">
        <v>1362</v>
      </c>
      <c r="E432" s="10" t="s">
        <v>3750</v>
      </c>
    </row>
    <row r="433" customFormat="false" ht="15" hidden="false" customHeight="false" outlineLevel="0" collapsed="false">
      <c r="A433" s="9" t="s">
        <v>4407</v>
      </c>
      <c r="B433" s="9" t="s">
        <v>4008</v>
      </c>
      <c r="C433" s="9" t="s">
        <v>14</v>
      </c>
      <c r="D433" s="9" t="s">
        <v>1362</v>
      </c>
      <c r="E433" s="10" t="s">
        <v>3750</v>
      </c>
    </row>
    <row r="434" customFormat="false" ht="15" hidden="false" customHeight="false" outlineLevel="0" collapsed="false">
      <c r="A434" s="9" t="s">
        <v>4408</v>
      </c>
      <c r="B434" s="9" t="s">
        <v>4409</v>
      </c>
      <c r="C434" s="9" t="s">
        <v>14</v>
      </c>
      <c r="D434" s="9" t="s">
        <v>1362</v>
      </c>
      <c r="E434" s="10" t="s">
        <v>3750</v>
      </c>
    </row>
    <row r="435" customFormat="false" ht="15" hidden="false" customHeight="false" outlineLevel="0" collapsed="false">
      <c r="A435" s="9" t="s">
        <v>4410</v>
      </c>
      <c r="B435" s="9" t="s">
        <v>3882</v>
      </c>
      <c r="C435" s="9" t="s">
        <v>6</v>
      </c>
      <c r="D435" s="9" t="s">
        <v>270</v>
      </c>
      <c r="E435" s="9"/>
    </row>
    <row r="436" customFormat="false" ht="15" hidden="false" customHeight="false" outlineLevel="0" collapsed="false">
      <c r="A436" s="9" t="s">
        <v>4411</v>
      </c>
      <c r="B436" s="9" t="s">
        <v>4404</v>
      </c>
      <c r="C436" s="9" t="s">
        <v>6</v>
      </c>
      <c r="D436" s="9" t="s">
        <v>277</v>
      </c>
      <c r="E436" s="9"/>
    </row>
    <row r="437" customFormat="false" ht="15" hidden="false" customHeight="false" outlineLevel="0" collapsed="false">
      <c r="A437" s="9" t="s">
        <v>4412</v>
      </c>
      <c r="B437" s="9" t="s">
        <v>4108</v>
      </c>
      <c r="C437" s="9" t="s">
        <v>6</v>
      </c>
      <c r="D437" s="9" t="s">
        <v>279</v>
      </c>
      <c r="E437" s="9"/>
    </row>
    <row r="438" customFormat="false" ht="15" hidden="false" customHeight="false" outlineLevel="0" collapsed="false">
      <c r="A438" s="9" t="s">
        <v>4413</v>
      </c>
      <c r="B438" s="9" t="s">
        <v>4414</v>
      </c>
      <c r="C438" s="9" t="s">
        <v>6</v>
      </c>
      <c r="D438" s="9" t="s">
        <v>281</v>
      </c>
      <c r="E438" s="9"/>
    </row>
    <row r="439" customFormat="false" ht="15" hidden="false" customHeight="false" outlineLevel="0" collapsed="false">
      <c r="A439" s="9" t="s">
        <v>4415</v>
      </c>
      <c r="B439" s="9" t="s">
        <v>4103</v>
      </c>
      <c r="C439" s="9" t="s">
        <v>6</v>
      </c>
      <c r="D439" s="9" t="s">
        <v>283</v>
      </c>
      <c r="E439" s="9"/>
    </row>
    <row r="440" customFormat="false" ht="15" hidden="false" customHeight="false" outlineLevel="0" collapsed="false">
      <c r="A440" s="9" t="s">
        <v>4416</v>
      </c>
      <c r="B440" s="9" t="s">
        <v>3749</v>
      </c>
      <c r="C440" s="9" t="s">
        <v>6</v>
      </c>
      <c r="D440" s="9" t="s">
        <v>270</v>
      </c>
      <c r="E440" s="10" t="s">
        <v>3750</v>
      </c>
    </row>
    <row r="441" customFormat="false" ht="15" hidden="false" customHeight="false" outlineLevel="0" collapsed="false">
      <c r="A441" s="9" t="s">
        <v>4417</v>
      </c>
      <c r="B441" s="9" t="s">
        <v>4418</v>
      </c>
      <c r="C441" s="9" t="s">
        <v>6</v>
      </c>
      <c r="D441" s="9" t="s">
        <v>270</v>
      </c>
      <c r="E441" s="10" t="s">
        <v>3750</v>
      </c>
    </row>
    <row r="442" customFormat="false" ht="15" hidden="false" customHeight="false" outlineLevel="0" collapsed="false">
      <c r="A442" s="9" t="s">
        <v>4419</v>
      </c>
      <c r="B442" s="9" t="s">
        <v>3827</v>
      </c>
      <c r="C442" s="9" t="s">
        <v>14</v>
      </c>
      <c r="D442" s="9" t="s">
        <v>1363</v>
      </c>
      <c r="E442" s="9"/>
    </row>
    <row r="443" customFormat="false" ht="15" hidden="false" customHeight="false" outlineLevel="0" collapsed="false">
      <c r="A443" s="9" t="s">
        <v>4420</v>
      </c>
      <c r="B443" s="9" t="s">
        <v>3823</v>
      </c>
      <c r="C443" s="9" t="s">
        <v>14</v>
      </c>
      <c r="D443" s="9" t="s">
        <v>1363</v>
      </c>
      <c r="E443" s="10" t="s">
        <v>3750</v>
      </c>
    </row>
    <row r="444" customFormat="false" ht="15" hidden="false" customHeight="false" outlineLevel="0" collapsed="false">
      <c r="A444" s="9" t="s">
        <v>4421</v>
      </c>
      <c r="B444" s="9" t="s">
        <v>4422</v>
      </c>
      <c r="C444" s="9" t="s">
        <v>14</v>
      </c>
      <c r="D444" s="9" t="s">
        <v>1363</v>
      </c>
      <c r="E444" s="10" t="s">
        <v>3750</v>
      </c>
    </row>
    <row r="445" customFormat="false" ht="15" hidden="false" customHeight="false" outlineLevel="0" collapsed="false">
      <c r="A445" s="9" t="s">
        <v>4423</v>
      </c>
      <c r="B445" s="9" t="s">
        <v>4424</v>
      </c>
      <c r="C445" s="10" t="s">
        <v>4425</v>
      </c>
      <c r="D445" s="9" t="s">
        <v>4426</v>
      </c>
      <c r="E445" s="10" t="s">
        <v>4427</v>
      </c>
    </row>
    <row r="446" customFormat="false" ht="15" hidden="false" customHeight="false" outlineLevel="0" collapsed="false">
      <c r="A446" s="9" t="s">
        <v>4428</v>
      </c>
      <c r="B446" s="9" t="s">
        <v>4429</v>
      </c>
      <c r="C446" s="10" t="s">
        <v>4425</v>
      </c>
      <c r="D446" s="9" t="s">
        <v>4426</v>
      </c>
      <c r="E446" s="10" t="s">
        <v>4427</v>
      </c>
    </row>
    <row r="447" customFormat="false" ht="15" hidden="false" customHeight="false" outlineLevel="0" collapsed="false">
      <c r="A447" s="9" t="s">
        <v>4430</v>
      </c>
      <c r="B447" s="9" t="s">
        <v>4431</v>
      </c>
      <c r="C447" s="10" t="s">
        <v>4425</v>
      </c>
      <c r="D447" s="9" t="s">
        <v>4426</v>
      </c>
      <c r="E447" s="10" t="s">
        <v>4427</v>
      </c>
    </row>
    <row r="448" customFormat="false" ht="15" hidden="false" customHeight="false" outlineLevel="0" collapsed="false">
      <c r="A448" s="9" t="s">
        <v>4432</v>
      </c>
      <c r="B448" s="9" t="s">
        <v>4433</v>
      </c>
      <c r="C448" s="10" t="s">
        <v>4425</v>
      </c>
      <c r="D448" s="9" t="s">
        <v>4426</v>
      </c>
      <c r="E448" s="10" t="s">
        <v>4427</v>
      </c>
    </row>
    <row r="449" customFormat="false" ht="15" hidden="false" customHeight="false" outlineLevel="0" collapsed="false">
      <c r="A449" s="9" t="s">
        <v>4434</v>
      </c>
      <c r="B449" s="9" t="s">
        <v>4435</v>
      </c>
      <c r="C449" s="10" t="s">
        <v>4425</v>
      </c>
      <c r="D449" s="9" t="s">
        <v>4426</v>
      </c>
      <c r="E449" s="10" t="s">
        <v>4427</v>
      </c>
    </row>
    <row r="450" customFormat="false" ht="15" hidden="false" customHeight="false" outlineLevel="0" collapsed="false">
      <c r="A450" s="9" t="s">
        <v>4436</v>
      </c>
      <c r="B450" s="9" t="s">
        <v>4437</v>
      </c>
      <c r="C450" s="10" t="s">
        <v>4425</v>
      </c>
      <c r="D450" s="9" t="s">
        <v>4426</v>
      </c>
      <c r="E450" s="10" t="s">
        <v>4427</v>
      </c>
    </row>
    <row r="451" customFormat="false" ht="15" hidden="false" customHeight="false" outlineLevel="0" collapsed="false">
      <c r="A451" s="9" t="s">
        <v>4438</v>
      </c>
      <c r="B451" s="9" t="s">
        <v>3801</v>
      </c>
      <c r="C451" s="10" t="s">
        <v>4425</v>
      </c>
      <c r="D451" s="9" t="s">
        <v>4426</v>
      </c>
      <c r="E451" s="10" t="s">
        <v>4427</v>
      </c>
    </row>
    <row r="452" customFormat="false" ht="15" hidden="false" customHeight="false" outlineLevel="0" collapsed="false">
      <c r="A452" s="9" t="s">
        <v>4439</v>
      </c>
      <c r="B452" s="9" t="s">
        <v>4440</v>
      </c>
      <c r="C452" s="10" t="s">
        <v>4425</v>
      </c>
      <c r="D452" s="9" t="s">
        <v>4426</v>
      </c>
      <c r="E452" s="10" t="s">
        <v>4427</v>
      </c>
    </row>
    <row r="453" customFormat="false" ht="15" hidden="false" customHeight="false" outlineLevel="0" collapsed="false">
      <c r="A453" s="9" t="s">
        <v>4441</v>
      </c>
      <c r="B453" s="9" t="s">
        <v>3805</v>
      </c>
      <c r="C453" s="10" t="s">
        <v>4425</v>
      </c>
      <c r="D453" s="9" t="s">
        <v>4426</v>
      </c>
      <c r="E453" s="10" t="s">
        <v>4427</v>
      </c>
    </row>
    <row r="454" customFormat="false" ht="15" hidden="false" customHeight="false" outlineLevel="0" collapsed="false">
      <c r="A454" s="9" t="s">
        <v>4442</v>
      </c>
      <c r="B454" s="9" t="s">
        <v>4443</v>
      </c>
      <c r="C454" s="10" t="s">
        <v>3721</v>
      </c>
      <c r="D454" s="9" t="s">
        <v>71</v>
      </c>
      <c r="E454" s="9" t="s">
        <v>4444</v>
      </c>
    </row>
    <row r="455" customFormat="false" ht="15" hidden="false" customHeight="false" outlineLevel="0" collapsed="false">
      <c r="A455" s="9" t="s">
        <v>4445</v>
      </c>
      <c r="B455" s="9" t="s">
        <v>4446</v>
      </c>
      <c r="C455" s="10" t="s">
        <v>3721</v>
      </c>
      <c r="D455" s="9" t="s">
        <v>71</v>
      </c>
      <c r="E455" s="9" t="s">
        <v>4447</v>
      </c>
    </row>
    <row r="456" customFormat="false" ht="15" hidden="false" customHeight="false" outlineLevel="0" collapsed="false">
      <c r="A456" s="9" t="s">
        <v>4448</v>
      </c>
      <c r="B456" s="9" t="s">
        <v>4449</v>
      </c>
      <c r="C456" s="10" t="s">
        <v>3721</v>
      </c>
      <c r="D456" s="9" t="s">
        <v>71</v>
      </c>
      <c r="E456" s="9" t="s">
        <v>4447</v>
      </c>
    </row>
    <row r="457" customFormat="false" ht="15" hidden="false" customHeight="false" outlineLevel="0" collapsed="false">
      <c r="A457" s="9" t="s">
        <v>4450</v>
      </c>
      <c r="B457" s="9" t="s">
        <v>4451</v>
      </c>
      <c r="C457" s="10" t="s">
        <v>3721</v>
      </c>
      <c r="D457" s="9" t="s">
        <v>71</v>
      </c>
      <c r="E457" s="9" t="s">
        <v>4447</v>
      </c>
    </row>
    <row r="458" customFormat="false" ht="15" hidden="false" customHeight="false" outlineLevel="0" collapsed="false">
      <c r="A458" s="9" t="s">
        <v>4452</v>
      </c>
      <c r="B458" s="9" t="s">
        <v>4453</v>
      </c>
      <c r="C458" s="10" t="s">
        <v>3721</v>
      </c>
      <c r="D458" s="9" t="s">
        <v>71</v>
      </c>
      <c r="E458" s="10" t="s">
        <v>4454</v>
      </c>
    </row>
    <row r="459" customFormat="false" ht="15" hidden="false" customHeight="false" outlineLevel="0" collapsed="false">
      <c r="A459" s="9" t="s">
        <v>4455</v>
      </c>
      <c r="B459" s="9" t="s">
        <v>4456</v>
      </c>
      <c r="C459" s="9" t="s">
        <v>6</v>
      </c>
      <c r="D459" s="9" t="s">
        <v>285</v>
      </c>
      <c r="E459" s="9"/>
    </row>
    <row r="460" customFormat="false" ht="15" hidden="false" customHeight="false" outlineLevel="0" collapsed="false">
      <c r="A460" s="9" t="s">
        <v>4457</v>
      </c>
      <c r="B460" s="9" t="s">
        <v>4458</v>
      </c>
      <c r="C460" s="9" t="s">
        <v>6</v>
      </c>
      <c r="D460" s="9" t="s">
        <v>292</v>
      </c>
      <c r="E460" s="9"/>
    </row>
    <row r="461" customFormat="false" ht="15" hidden="false" customHeight="false" outlineLevel="0" collapsed="false">
      <c r="A461" s="9" t="s">
        <v>4459</v>
      </c>
      <c r="B461" s="9" t="s">
        <v>4460</v>
      </c>
      <c r="C461" s="9" t="s">
        <v>6</v>
      </c>
      <c r="D461" s="9" t="s">
        <v>295</v>
      </c>
      <c r="E461" s="9"/>
    </row>
    <row r="462" customFormat="false" ht="15" hidden="false" customHeight="false" outlineLevel="0" collapsed="false">
      <c r="A462" s="9" t="s">
        <v>4461</v>
      </c>
      <c r="B462" s="9" t="s">
        <v>3749</v>
      </c>
      <c r="C462" s="9" t="s">
        <v>6</v>
      </c>
      <c r="D462" s="9" t="s">
        <v>285</v>
      </c>
      <c r="E462" s="10" t="s">
        <v>3750</v>
      </c>
    </row>
    <row r="463" customFormat="false" ht="15" hidden="false" customHeight="false" outlineLevel="0" collapsed="false">
      <c r="A463" s="9" t="s">
        <v>4462</v>
      </c>
      <c r="B463" s="9" t="s">
        <v>4463</v>
      </c>
      <c r="C463" s="9" t="s">
        <v>6</v>
      </c>
      <c r="D463" s="9" t="s">
        <v>285</v>
      </c>
      <c r="E463" s="10" t="s">
        <v>3750</v>
      </c>
    </row>
    <row r="464" customFormat="false" ht="15" hidden="false" customHeight="false" outlineLevel="0" collapsed="false">
      <c r="A464" s="9" t="s">
        <v>4464</v>
      </c>
      <c r="B464" s="9" t="s">
        <v>4465</v>
      </c>
      <c r="C464" s="10" t="s">
        <v>3791</v>
      </c>
      <c r="D464" s="9" t="s">
        <v>4466</v>
      </c>
      <c r="E464" s="9" t="s">
        <v>4467</v>
      </c>
    </row>
    <row r="465" customFormat="false" ht="15" hidden="false" customHeight="false" outlineLevel="0" collapsed="false">
      <c r="A465" s="9" t="s">
        <v>4468</v>
      </c>
      <c r="B465" s="9" t="s">
        <v>4469</v>
      </c>
      <c r="C465" s="10" t="s">
        <v>3791</v>
      </c>
      <c r="D465" s="9" t="s">
        <v>4466</v>
      </c>
      <c r="E465" s="9" t="s">
        <v>4467</v>
      </c>
    </row>
    <row r="466" customFormat="false" ht="15" hidden="false" customHeight="false" outlineLevel="0" collapsed="false">
      <c r="A466" s="9" t="s">
        <v>4470</v>
      </c>
      <c r="B466" s="9" t="s">
        <v>4456</v>
      </c>
      <c r="C466" s="10" t="s">
        <v>3791</v>
      </c>
      <c r="D466" s="9" t="s">
        <v>4466</v>
      </c>
      <c r="E466" s="9" t="s">
        <v>4467</v>
      </c>
    </row>
    <row r="467" customFormat="false" ht="15" hidden="false" customHeight="false" outlineLevel="0" collapsed="false">
      <c r="A467" s="9" t="s">
        <v>4471</v>
      </c>
      <c r="B467" s="9" t="s">
        <v>3801</v>
      </c>
      <c r="C467" s="10" t="s">
        <v>3791</v>
      </c>
      <c r="D467" s="9" t="s">
        <v>4466</v>
      </c>
      <c r="E467" s="9" t="s">
        <v>4467</v>
      </c>
    </row>
    <row r="468" customFormat="false" ht="15" hidden="false" customHeight="false" outlineLevel="0" collapsed="false">
      <c r="A468" s="9" t="s">
        <v>4472</v>
      </c>
      <c r="B468" s="9" t="s">
        <v>4473</v>
      </c>
      <c r="C468" s="10" t="s">
        <v>3791</v>
      </c>
      <c r="D468" s="9" t="s">
        <v>4466</v>
      </c>
      <c r="E468" s="9" t="s">
        <v>4467</v>
      </c>
    </row>
    <row r="469" customFormat="false" ht="15" hidden="false" customHeight="false" outlineLevel="0" collapsed="false">
      <c r="A469" s="9" t="s">
        <v>4474</v>
      </c>
      <c r="B469" s="9" t="s">
        <v>4475</v>
      </c>
      <c r="C469" s="9" t="s">
        <v>6</v>
      </c>
      <c r="D469" s="9" t="s">
        <v>297</v>
      </c>
      <c r="E469" s="9"/>
    </row>
    <row r="470" customFormat="false" ht="15" hidden="false" customHeight="false" outlineLevel="0" collapsed="false">
      <c r="A470" s="9" t="s">
        <v>4476</v>
      </c>
      <c r="B470" s="9" t="s">
        <v>3737</v>
      </c>
      <c r="C470" s="9" t="s">
        <v>6</v>
      </c>
      <c r="D470" s="9" t="s">
        <v>297</v>
      </c>
      <c r="E470" s="10" t="s">
        <v>3750</v>
      </c>
    </row>
    <row r="471" customFormat="false" ht="15" hidden="false" customHeight="false" outlineLevel="0" collapsed="false">
      <c r="A471" s="9" t="s">
        <v>4477</v>
      </c>
      <c r="B471" s="9" t="s">
        <v>3749</v>
      </c>
      <c r="C471" s="9" t="s">
        <v>6</v>
      </c>
      <c r="D471" s="9" t="s">
        <v>297</v>
      </c>
      <c r="E471" s="10" t="s">
        <v>3750</v>
      </c>
    </row>
    <row r="472" customFormat="false" ht="15" hidden="false" customHeight="false" outlineLevel="0" collapsed="false">
      <c r="A472" s="9" t="s">
        <v>4478</v>
      </c>
      <c r="B472" s="9" t="s">
        <v>4479</v>
      </c>
      <c r="C472" s="9" t="s">
        <v>6</v>
      </c>
      <c r="D472" s="9" t="s">
        <v>297</v>
      </c>
      <c r="E472" s="10" t="s">
        <v>3750</v>
      </c>
    </row>
    <row r="473" customFormat="false" ht="15" hidden="false" customHeight="false" outlineLevel="0" collapsed="false">
      <c r="A473" s="9" t="s">
        <v>4480</v>
      </c>
      <c r="B473" s="9" t="s">
        <v>4481</v>
      </c>
      <c r="C473" s="9" t="s">
        <v>14</v>
      </c>
      <c r="D473" s="9" t="s">
        <v>4482</v>
      </c>
      <c r="E473" s="10" t="s">
        <v>4483</v>
      </c>
    </row>
    <row r="474" customFormat="false" ht="15" hidden="false" customHeight="false" outlineLevel="0" collapsed="false">
      <c r="A474" s="9" t="s">
        <v>1369</v>
      </c>
      <c r="B474" s="9" t="s">
        <v>4062</v>
      </c>
      <c r="C474" s="9" t="s">
        <v>14</v>
      </c>
      <c r="D474" s="9" t="s">
        <v>1367</v>
      </c>
      <c r="E474" s="9"/>
    </row>
    <row r="475" customFormat="false" ht="15" hidden="false" customHeight="false" outlineLevel="0" collapsed="false">
      <c r="A475" s="9" t="s">
        <v>1373</v>
      </c>
      <c r="B475" s="9" t="s">
        <v>3955</v>
      </c>
      <c r="C475" s="9" t="s">
        <v>14</v>
      </c>
      <c r="D475" s="9" t="s">
        <v>1371</v>
      </c>
      <c r="E475" s="9"/>
    </row>
    <row r="476" customFormat="false" ht="15" hidden="false" customHeight="false" outlineLevel="0" collapsed="false">
      <c r="A476" s="9" t="s">
        <v>1379</v>
      </c>
      <c r="B476" s="9" t="s">
        <v>3953</v>
      </c>
      <c r="C476" s="9" t="s">
        <v>14</v>
      </c>
      <c r="D476" s="9" t="s">
        <v>1377</v>
      </c>
      <c r="E476" s="9"/>
    </row>
    <row r="477" customFormat="false" ht="15" hidden="false" customHeight="false" outlineLevel="0" collapsed="false">
      <c r="A477" s="9" t="s">
        <v>1382</v>
      </c>
      <c r="B477" s="9" t="s">
        <v>3960</v>
      </c>
      <c r="C477" s="9" t="s">
        <v>14</v>
      </c>
      <c r="D477" s="9" t="s">
        <v>1380</v>
      </c>
      <c r="E477" s="9"/>
    </row>
    <row r="478" customFormat="false" ht="15" hidden="false" customHeight="false" outlineLevel="0" collapsed="false">
      <c r="A478" s="9" t="s">
        <v>1385</v>
      </c>
      <c r="B478" s="9" t="s">
        <v>3960</v>
      </c>
      <c r="C478" s="9" t="s">
        <v>14</v>
      </c>
      <c r="D478" s="9" t="s">
        <v>1383</v>
      </c>
      <c r="E478" s="9"/>
    </row>
    <row r="479" customFormat="false" ht="15" hidden="false" customHeight="false" outlineLevel="0" collapsed="false">
      <c r="A479" s="9" t="s">
        <v>1376</v>
      </c>
      <c r="B479" s="9" t="s">
        <v>3976</v>
      </c>
      <c r="C479" s="9" t="s">
        <v>14</v>
      </c>
      <c r="D479" s="9" t="s">
        <v>1374</v>
      </c>
      <c r="E479" s="9"/>
    </row>
    <row r="480" customFormat="false" ht="15" hidden="false" customHeight="false" outlineLevel="0" collapsed="false">
      <c r="A480" s="9" t="s">
        <v>1388</v>
      </c>
      <c r="B480" s="9" t="s">
        <v>4058</v>
      </c>
      <c r="C480" s="9" t="s">
        <v>14</v>
      </c>
      <c r="D480" s="9" t="s">
        <v>1386</v>
      </c>
      <c r="E480" s="9"/>
    </row>
    <row r="481" customFormat="false" ht="15" hidden="false" customHeight="false" outlineLevel="0" collapsed="false">
      <c r="A481" s="9" t="s">
        <v>1391</v>
      </c>
      <c r="B481" s="9" t="s">
        <v>3951</v>
      </c>
      <c r="C481" s="9" t="s">
        <v>14</v>
      </c>
      <c r="D481" s="9" t="s">
        <v>1389</v>
      </c>
      <c r="E481" s="9"/>
    </row>
    <row r="482" customFormat="false" ht="15" hidden="false" customHeight="false" outlineLevel="0" collapsed="false">
      <c r="A482" s="9" t="s">
        <v>1397</v>
      </c>
      <c r="B482" s="9" t="s">
        <v>3951</v>
      </c>
      <c r="C482" s="9" t="s">
        <v>14</v>
      </c>
      <c r="D482" s="9" t="s">
        <v>1395</v>
      </c>
      <c r="E482" s="9"/>
    </row>
    <row r="483" customFormat="false" ht="15" hidden="false" customHeight="false" outlineLevel="0" collapsed="false">
      <c r="A483" s="9" t="s">
        <v>1400</v>
      </c>
      <c r="B483" s="9" t="s">
        <v>3958</v>
      </c>
      <c r="C483" s="9" t="s">
        <v>14</v>
      </c>
      <c r="D483" s="9" t="s">
        <v>1398</v>
      </c>
      <c r="E483" s="9"/>
    </row>
    <row r="484" customFormat="false" ht="15" hidden="false" customHeight="false" outlineLevel="0" collapsed="false">
      <c r="A484" s="9" t="s">
        <v>1403</v>
      </c>
      <c r="B484" s="9" t="s">
        <v>3958</v>
      </c>
      <c r="C484" s="9" t="s">
        <v>14</v>
      </c>
      <c r="D484" s="9" t="s">
        <v>1401</v>
      </c>
      <c r="E484" s="9"/>
    </row>
    <row r="485" customFormat="false" ht="15" hidden="false" customHeight="false" outlineLevel="0" collapsed="false">
      <c r="A485" s="9" t="s">
        <v>1394</v>
      </c>
      <c r="B485" s="9" t="s">
        <v>3974</v>
      </c>
      <c r="C485" s="9" t="s">
        <v>14</v>
      </c>
      <c r="D485" s="9" t="s">
        <v>1392</v>
      </c>
      <c r="E485" s="9"/>
    </row>
    <row r="486" customFormat="false" ht="15" hidden="false" customHeight="false" outlineLevel="0" collapsed="false">
      <c r="A486" s="9" t="s">
        <v>1406</v>
      </c>
      <c r="B486" s="9" t="s">
        <v>4060</v>
      </c>
      <c r="C486" s="9" t="s">
        <v>14</v>
      </c>
      <c r="D486" s="9" t="s">
        <v>1404</v>
      </c>
      <c r="E486" s="9"/>
    </row>
    <row r="487" customFormat="false" ht="15" hidden="false" customHeight="false" outlineLevel="0" collapsed="false">
      <c r="A487" s="9" t="s">
        <v>1409</v>
      </c>
      <c r="B487" s="9" t="s">
        <v>3953</v>
      </c>
      <c r="C487" s="9" t="s">
        <v>14</v>
      </c>
      <c r="D487" s="9" t="s">
        <v>1407</v>
      </c>
      <c r="E487" s="9"/>
    </row>
    <row r="488" customFormat="false" ht="15" hidden="false" customHeight="false" outlineLevel="0" collapsed="false">
      <c r="A488" s="9" t="s">
        <v>1415</v>
      </c>
      <c r="B488" s="9" t="s">
        <v>3951</v>
      </c>
      <c r="C488" s="9" t="s">
        <v>14</v>
      </c>
      <c r="D488" s="9" t="s">
        <v>1413</v>
      </c>
      <c r="E488" s="9"/>
    </row>
    <row r="489" customFormat="false" ht="15" hidden="false" customHeight="false" outlineLevel="0" collapsed="false">
      <c r="A489" s="9" t="s">
        <v>1418</v>
      </c>
      <c r="B489" s="9" t="s">
        <v>3958</v>
      </c>
      <c r="C489" s="9" t="s">
        <v>14</v>
      </c>
      <c r="D489" s="9" t="s">
        <v>1416</v>
      </c>
      <c r="E489" s="9"/>
    </row>
    <row r="490" customFormat="false" ht="15" hidden="false" customHeight="false" outlineLevel="0" collapsed="false">
      <c r="A490" s="9" t="s">
        <v>1421</v>
      </c>
      <c r="B490" s="9" t="s">
        <v>3958</v>
      </c>
      <c r="C490" s="9" t="s">
        <v>14</v>
      </c>
      <c r="D490" s="9" t="s">
        <v>1419</v>
      </c>
      <c r="E490" s="9"/>
    </row>
    <row r="491" customFormat="false" ht="15" hidden="false" customHeight="false" outlineLevel="0" collapsed="false">
      <c r="A491" s="9" t="s">
        <v>1412</v>
      </c>
      <c r="B491" s="9" t="s">
        <v>3859</v>
      </c>
      <c r="C491" s="9" t="s">
        <v>14</v>
      </c>
      <c r="D491" s="9" t="s">
        <v>1410</v>
      </c>
      <c r="E491" s="9"/>
    </row>
    <row r="492" customFormat="false" ht="15" hidden="false" customHeight="false" outlineLevel="0" collapsed="false">
      <c r="A492" s="9" t="s">
        <v>4484</v>
      </c>
      <c r="B492" s="9" t="s">
        <v>4485</v>
      </c>
      <c r="C492" s="10" t="s">
        <v>3721</v>
      </c>
      <c r="D492" s="9" t="s">
        <v>71</v>
      </c>
      <c r="E492" s="10" t="s">
        <v>3949</v>
      </c>
    </row>
    <row r="493" customFormat="false" ht="15" hidden="false" customHeight="false" outlineLevel="0" collapsed="false">
      <c r="A493" s="9" t="s">
        <v>4486</v>
      </c>
      <c r="B493" s="9" t="s">
        <v>4487</v>
      </c>
      <c r="C493" s="10" t="s">
        <v>4425</v>
      </c>
      <c r="D493" s="9" t="s">
        <v>4488</v>
      </c>
      <c r="E493" s="10" t="s">
        <v>4489</v>
      </c>
    </row>
    <row r="494" customFormat="false" ht="15" hidden="false" customHeight="false" outlineLevel="0" collapsed="false">
      <c r="A494" s="9" t="s">
        <v>4490</v>
      </c>
      <c r="B494" s="9" t="s">
        <v>4491</v>
      </c>
      <c r="C494" s="10" t="s">
        <v>4425</v>
      </c>
      <c r="D494" s="9" t="s">
        <v>4488</v>
      </c>
      <c r="E494" s="10" t="s">
        <v>4489</v>
      </c>
    </row>
    <row r="495" customFormat="false" ht="15" hidden="false" customHeight="false" outlineLevel="0" collapsed="false">
      <c r="A495" s="9" t="s">
        <v>4492</v>
      </c>
      <c r="B495" s="9" t="s">
        <v>4493</v>
      </c>
      <c r="C495" s="10" t="s">
        <v>4425</v>
      </c>
      <c r="D495" s="9" t="s">
        <v>4488</v>
      </c>
      <c r="E495" s="10" t="s">
        <v>4489</v>
      </c>
    </row>
    <row r="496" customFormat="false" ht="15" hidden="false" customHeight="false" outlineLevel="0" collapsed="false">
      <c r="A496" s="9" t="s">
        <v>4494</v>
      </c>
      <c r="B496" s="9" t="s">
        <v>3988</v>
      </c>
      <c r="C496" s="10" t="s">
        <v>4425</v>
      </c>
      <c r="D496" s="9" t="s">
        <v>4488</v>
      </c>
      <c r="E496" s="10" t="s">
        <v>4489</v>
      </c>
    </row>
    <row r="497" customFormat="false" ht="15" hidden="false" customHeight="false" outlineLevel="0" collapsed="false">
      <c r="A497" s="9" t="s">
        <v>4495</v>
      </c>
      <c r="B497" s="9" t="s">
        <v>4496</v>
      </c>
      <c r="C497" s="10" t="s">
        <v>4425</v>
      </c>
      <c r="D497" s="9" t="s">
        <v>4488</v>
      </c>
      <c r="E497" s="10" t="s">
        <v>4489</v>
      </c>
    </row>
    <row r="498" customFormat="false" ht="15" hidden="false" customHeight="false" outlineLevel="0" collapsed="false">
      <c r="A498" s="9" t="s">
        <v>4497</v>
      </c>
      <c r="B498" s="9" t="s">
        <v>4498</v>
      </c>
      <c r="C498" s="10" t="s">
        <v>4425</v>
      </c>
      <c r="D498" s="9" t="s">
        <v>4488</v>
      </c>
      <c r="E498" s="10" t="s">
        <v>4489</v>
      </c>
    </row>
    <row r="499" customFormat="false" ht="15" hidden="false" customHeight="false" outlineLevel="0" collapsed="false">
      <c r="A499" s="9" t="s">
        <v>4499</v>
      </c>
      <c r="B499" s="9" t="s">
        <v>4297</v>
      </c>
      <c r="C499" s="10" t="s">
        <v>4425</v>
      </c>
      <c r="D499" s="9" t="s">
        <v>4488</v>
      </c>
      <c r="E499" s="10" t="s">
        <v>4489</v>
      </c>
    </row>
    <row r="500" customFormat="false" ht="15" hidden="false" customHeight="false" outlineLevel="0" collapsed="false">
      <c r="A500" s="9" t="s">
        <v>4500</v>
      </c>
      <c r="B500" s="9" t="s">
        <v>4501</v>
      </c>
      <c r="C500" s="10" t="s">
        <v>4425</v>
      </c>
      <c r="D500" s="9" t="s">
        <v>4488</v>
      </c>
      <c r="E500" s="10" t="s">
        <v>4489</v>
      </c>
    </row>
    <row r="501" customFormat="false" ht="15" hidden="false" customHeight="false" outlineLevel="0" collapsed="false">
      <c r="A501" s="9" t="s">
        <v>4502</v>
      </c>
      <c r="B501" s="9" t="s">
        <v>3778</v>
      </c>
      <c r="C501" s="10" t="s">
        <v>4425</v>
      </c>
      <c r="D501" s="9" t="s">
        <v>4488</v>
      </c>
      <c r="E501" s="10" t="s">
        <v>4489</v>
      </c>
    </row>
    <row r="502" customFormat="false" ht="15" hidden="false" customHeight="false" outlineLevel="0" collapsed="false">
      <c r="A502" s="9" t="s">
        <v>4503</v>
      </c>
      <c r="B502" s="9" t="s">
        <v>3910</v>
      </c>
      <c r="C502" s="10" t="s">
        <v>4425</v>
      </c>
      <c r="D502" s="9" t="s">
        <v>4488</v>
      </c>
      <c r="E502" s="10" t="s">
        <v>4489</v>
      </c>
    </row>
    <row r="503" customFormat="false" ht="15" hidden="false" customHeight="false" outlineLevel="0" collapsed="false">
      <c r="A503" s="9" t="s">
        <v>4504</v>
      </c>
      <c r="B503" s="9" t="s">
        <v>3913</v>
      </c>
      <c r="C503" s="10" t="s">
        <v>4425</v>
      </c>
      <c r="D503" s="9" t="s">
        <v>4488</v>
      </c>
      <c r="E503" s="10" t="s">
        <v>4489</v>
      </c>
    </row>
    <row r="504" customFormat="false" ht="15" hidden="false" customHeight="false" outlineLevel="0" collapsed="false">
      <c r="A504" s="9" t="s">
        <v>4505</v>
      </c>
      <c r="B504" s="9" t="s">
        <v>3823</v>
      </c>
      <c r="C504" s="10" t="s">
        <v>4425</v>
      </c>
      <c r="D504" s="9" t="s">
        <v>4488</v>
      </c>
      <c r="E504" s="10" t="s">
        <v>4489</v>
      </c>
    </row>
    <row r="505" customFormat="false" ht="15" hidden="false" customHeight="false" outlineLevel="0" collapsed="false">
      <c r="A505" s="9" t="s">
        <v>4506</v>
      </c>
      <c r="B505" s="9" t="s">
        <v>3801</v>
      </c>
      <c r="C505" s="10" t="s">
        <v>4425</v>
      </c>
      <c r="D505" s="9" t="s">
        <v>4488</v>
      </c>
      <c r="E505" s="10" t="s">
        <v>4489</v>
      </c>
    </row>
    <row r="506" customFormat="false" ht="15" hidden="false" customHeight="false" outlineLevel="0" collapsed="false">
      <c r="A506" s="9" t="s">
        <v>4507</v>
      </c>
      <c r="B506" s="9" t="s">
        <v>4508</v>
      </c>
      <c r="C506" s="10" t="s">
        <v>4425</v>
      </c>
      <c r="D506" s="9" t="s">
        <v>4488</v>
      </c>
      <c r="E506" s="10" t="s">
        <v>4489</v>
      </c>
    </row>
    <row r="507" customFormat="false" ht="15" hidden="false" customHeight="false" outlineLevel="0" collapsed="false">
      <c r="A507" s="9" t="s">
        <v>4509</v>
      </c>
      <c r="B507" s="9" t="s">
        <v>3805</v>
      </c>
      <c r="C507" s="10" t="s">
        <v>4425</v>
      </c>
      <c r="D507" s="9" t="s">
        <v>4488</v>
      </c>
      <c r="E507" s="10" t="s">
        <v>4489</v>
      </c>
    </row>
    <row r="508" customFormat="false" ht="15" hidden="false" customHeight="false" outlineLevel="0" collapsed="false">
      <c r="A508" s="9" t="s">
        <v>4510</v>
      </c>
      <c r="B508" s="9" t="s">
        <v>4511</v>
      </c>
      <c r="C508" s="10" t="s">
        <v>4425</v>
      </c>
      <c r="D508" s="9" t="s">
        <v>4488</v>
      </c>
      <c r="E508" s="10" t="s">
        <v>4489</v>
      </c>
    </row>
    <row r="509" customFormat="false" ht="15" hidden="false" customHeight="false" outlineLevel="0" collapsed="false">
      <c r="A509" s="9" t="s">
        <v>4512</v>
      </c>
      <c r="B509" s="9" t="s">
        <v>4513</v>
      </c>
      <c r="C509" s="10" t="s">
        <v>4425</v>
      </c>
      <c r="D509" s="9" t="s">
        <v>4488</v>
      </c>
      <c r="E509" s="10" t="s">
        <v>4489</v>
      </c>
    </row>
    <row r="510" customFormat="false" ht="15" hidden="false" customHeight="false" outlineLevel="0" collapsed="false">
      <c r="A510" s="9" t="s">
        <v>4514</v>
      </c>
      <c r="B510" s="9" t="s">
        <v>4515</v>
      </c>
      <c r="C510" s="10" t="s">
        <v>4425</v>
      </c>
      <c r="D510" s="9" t="s">
        <v>4488</v>
      </c>
      <c r="E510" s="10" t="s">
        <v>4489</v>
      </c>
    </row>
    <row r="511" customFormat="false" ht="15" hidden="false" customHeight="false" outlineLevel="0" collapsed="false">
      <c r="A511" s="9" t="s">
        <v>4516</v>
      </c>
      <c r="B511" s="9" t="s">
        <v>4517</v>
      </c>
      <c r="C511" s="10" t="s">
        <v>4425</v>
      </c>
      <c r="D511" s="9" t="s">
        <v>4488</v>
      </c>
      <c r="E511" s="10" t="s">
        <v>4489</v>
      </c>
    </row>
    <row r="512" customFormat="false" ht="15" hidden="false" customHeight="false" outlineLevel="0" collapsed="false">
      <c r="A512" s="9" t="s">
        <v>4518</v>
      </c>
      <c r="B512" s="9" t="s">
        <v>4519</v>
      </c>
      <c r="C512" s="10" t="s">
        <v>4425</v>
      </c>
      <c r="D512" s="9" t="s">
        <v>4488</v>
      </c>
      <c r="E512" s="10" t="s">
        <v>4489</v>
      </c>
    </row>
    <row r="513" customFormat="false" ht="15" hidden="false" customHeight="false" outlineLevel="0" collapsed="false">
      <c r="A513" s="9" t="s">
        <v>4520</v>
      </c>
      <c r="B513" s="9" t="s">
        <v>4521</v>
      </c>
      <c r="C513" s="10" t="s">
        <v>4425</v>
      </c>
      <c r="D513" s="9" t="s">
        <v>4488</v>
      </c>
      <c r="E513" s="10" t="s">
        <v>4489</v>
      </c>
    </row>
    <row r="514" customFormat="false" ht="15" hidden="false" customHeight="false" outlineLevel="0" collapsed="false">
      <c r="A514" s="9" t="s">
        <v>4522</v>
      </c>
      <c r="B514" s="9" t="s">
        <v>4523</v>
      </c>
      <c r="C514" s="10" t="s">
        <v>4425</v>
      </c>
      <c r="D514" s="9" t="s">
        <v>4524</v>
      </c>
      <c r="E514" s="10" t="s">
        <v>4489</v>
      </c>
    </row>
    <row r="515" customFormat="false" ht="15" hidden="false" customHeight="false" outlineLevel="0" collapsed="false">
      <c r="A515" s="9" t="s">
        <v>4525</v>
      </c>
      <c r="B515" s="9" t="s">
        <v>4526</v>
      </c>
      <c r="C515" s="10" t="s">
        <v>4425</v>
      </c>
      <c r="D515" s="9" t="s">
        <v>4524</v>
      </c>
      <c r="E515" s="10" t="s">
        <v>4489</v>
      </c>
    </row>
    <row r="516" customFormat="false" ht="15" hidden="false" customHeight="false" outlineLevel="0" collapsed="false">
      <c r="A516" s="9" t="s">
        <v>4527</v>
      </c>
      <c r="B516" s="9" t="s">
        <v>4528</v>
      </c>
      <c r="C516" s="10" t="s">
        <v>4425</v>
      </c>
      <c r="D516" s="9" t="s">
        <v>4524</v>
      </c>
      <c r="E516" s="10" t="s">
        <v>4489</v>
      </c>
    </row>
    <row r="517" customFormat="false" ht="15" hidden="false" customHeight="false" outlineLevel="0" collapsed="false">
      <c r="A517" s="9" t="s">
        <v>4529</v>
      </c>
      <c r="B517" s="9" t="s">
        <v>4530</v>
      </c>
      <c r="C517" s="10" t="s">
        <v>4425</v>
      </c>
      <c r="D517" s="9" t="s">
        <v>4524</v>
      </c>
      <c r="E517" s="10" t="s">
        <v>4489</v>
      </c>
    </row>
    <row r="518" customFormat="false" ht="15" hidden="false" customHeight="false" outlineLevel="0" collapsed="false">
      <c r="A518" s="9" t="s">
        <v>4531</v>
      </c>
      <c r="B518" s="9" t="s">
        <v>4532</v>
      </c>
      <c r="C518" s="10" t="s">
        <v>4425</v>
      </c>
      <c r="D518" s="9" t="s">
        <v>4524</v>
      </c>
      <c r="E518" s="10" t="s">
        <v>4489</v>
      </c>
    </row>
    <row r="519" customFormat="false" ht="15" hidden="false" customHeight="false" outlineLevel="0" collapsed="false">
      <c r="A519" s="9" t="s">
        <v>4533</v>
      </c>
      <c r="B519" s="9" t="s">
        <v>4534</v>
      </c>
      <c r="C519" s="10" t="s">
        <v>4425</v>
      </c>
      <c r="D519" s="9" t="s">
        <v>4524</v>
      </c>
      <c r="E519" s="10" t="s">
        <v>4489</v>
      </c>
    </row>
    <row r="520" customFormat="false" ht="15" hidden="false" customHeight="false" outlineLevel="0" collapsed="false">
      <c r="A520" s="9" t="s">
        <v>4535</v>
      </c>
      <c r="B520" s="9" t="s">
        <v>4536</v>
      </c>
      <c r="C520" s="10" t="s">
        <v>4425</v>
      </c>
      <c r="D520" s="9" t="s">
        <v>4524</v>
      </c>
      <c r="E520" s="10" t="s">
        <v>4489</v>
      </c>
    </row>
    <row r="521" customFormat="false" ht="15" hidden="false" customHeight="false" outlineLevel="0" collapsed="false">
      <c r="A521" s="9" t="s">
        <v>4537</v>
      </c>
      <c r="B521" s="9" t="s">
        <v>4538</v>
      </c>
      <c r="C521" s="10" t="s">
        <v>4425</v>
      </c>
      <c r="D521" s="9" t="s">
        <v>4524</v>
      </c>
      <c r="E521" s="10" t="s">
        <v>4489</v>
      </c>
    </row>
    <row r="522" customFormat="false" ht="15" hidden="false" customHeight="false" outlineLevel="0" collapsed="false">
      <c r="A522" s="9" t="s">
        <v>4539</v>
      </c>
      <c r="B522" s="9" t="s">
        <v>4540</v>
      </c>
      <c r="C522" s="10" t="s">
        <v>4425</v>
      </c>
      <c r="D522" s="9" t="s">
        <v>4524</v>
      </c>
      <c r="E522" s="10" t="s">
        <v>4489</v>
      </c>
    </row>
    <row r="523" customFormat="false" ht="15" hidden="false" customHeight="false" outlineLevel="0" collapsed="false">
      <c r="A523" s="9" t="s">
        <v>4541</v>
      </c>
      <c r="B523" s="9" t="s">
        <v>4542</v>
      </c>
      <c r="C523" s="10" t="s">
        <v>4425</v>
      </c>
      <c r="D523" s="9" t="s">
        <v>4524</v>
      </c>
      <c r="E523" s="10" t="s">
        <v>4489</v>
      </c>
    </row>
    <row r="524" customFormat="false" ht="15" hidden="false" customHeight="false" outlineLevel="0" collapsed="false">
      <c r="A524" s="9" t="s">
        <v>4543</v>
      </c>
      <c r="B524" s="9" t="s">
        <v>4544</v>
      </c>
      <c r="C524" s="10" t="s">
        <v>4425</v>
      </c>
      <c r="D524" s="9" t="s">
        <v>4524</v>
      </c>
      <c r="E524" s="10" t="s">
        <v>4489</v>
      </c>
    </row>
    <row r="525" customFormat="false" ht="15" hidden="false" customHeight="false" outlineLevel="0" collapsed="false">
      <c r="A525" s="9" t="s">
        <v>4545</v>
      </c>
      <c r="B525" s="9" t="s">
        <v>4546</v>
      </c>
      <c r="C525" s="10" t="s">
        <v>4425</v>
      </c>
      <c r="D525" s="9" t="s">
        <v>4524</v>
      </c>
      <c r="E525" s="10" t="s">
        <v>4489</v>
      </c>
    </row>
    <row r="526" customFormat="false" ht="15" hidden="false" customHeight="false" outlineLevel="0" collapsed="false">
      <c r="A526" s="9" t="s">
        <v>4547</v>
      </c>
      <c r="B526" s="9" t="s">
        <v>4548</v>
      </c>
      <c r="C526" s="10" t="s">
        <v>4425</v>
      </c>
      <c r="D526" s="9" t="s">
        <v>4524</v>
      </c>
      <c r="E526" s="10" t="s">
        <v>4489</v>
      </c>
    </row>
    <row r="527" customFormat="false" ht="15" hidden="false" customHeight="false" outlineLevel="0" collapsed="false">
      <c r="A527" s="9" t="s">
        <v>4549</v>
      </c>
      <c r="B527" s="9" t="s">
        <v>4550</v>
      </c>
      <c r="C527" s="10" t="s">
        <v>4425</v>
      </c>
      <c r="D527" s="9" t="s">
        <v>4524</v>
      </c>
      <c r="E527" s="10" t="s">
        <v>4489</v>
      </c>
    </row>
    <row r="528" customFormat="false" ht="15" hidden="false" customHeight="false" outlineLevel="0" collapsed="false">
      <c r="A528" s="9" t="s">
        <v>4551</v>
      </c>
      <c r="B528" s="9" t="s">
        <v>4552</v>
      </c>
      <c r="C528" s="10" t="s">
        <v>4425</v>
      </c>
      <c r="D528" s="9" t="s">
        <v>4524</v>
      </c>
      <c r="E528" s="10" t="s">
        <v>4489</v>
      </c>
    </row>
    <row r="529" customFormat="false" ht="15" hidden="false" customHeight="false" outlineLevel="0" collapsed="false">
      <c r="A529" s="9" t="s">
        <v>4553</v>
      </c>
      <c r="B529" s="9" t="s">
        <v>4554</v>
      </c>
      <c r="C529" s="10" t="s">
        <v>4425</v>
      </c>
      <c r="D529" s="9" t="s">
        <v>4524</v>
      </c>
      <c r="E529" s="10" t="s">
        <v>4489</v>
      </c>
    </row>
    <row r="530" customFormat="false" ht="15" hidden="false" customHeight="false" outlineLevel="0" collapsed="false">
      <c r="A530" s="9" t="s">
        <v>4555</v>
      </c>
      <c r="B530" s="9" t="s">
        <v>4008</v>
      </c>
      <c r="C530" s="10" t="s">
        <v>4425</v>
      </c>
      <c r="D530" s="9" t="s">
        <v>4524</v>
      </c>
      <c r="E530" s="10" t="s">
        <v>4489</v>
      </c>
    </row>
    <row r="531" customFormat="false" ht="15" hidden="false" customHeight="false" outlineLevel="0" collapsed="false">
      <c r="A531" s="9" t="s">
        <v>4556</v>
      </c>
      <c r="B531" s="9" t="s">
        <v>3805</v>
      </c>
      <c r="C531" s="10" t="s">
        <v>4425</v>
      </c>
      <c r="D531" s="9" t="s">
        <v>4524</v>
      </c>
      <c r="E531" s="10" t="s">
        <v>4489</v>
      </c>
    </row>
    <row r="532" customFormat="false" ht="15" hidden="false" customHeight="false" outlineLevel="0" collapsed="false">
      <c r="A532" s="9" t="s">
        <v>4557</v>
      </c>
      <c r="B532" s="9" t="s">
        <v>4558</v>
      </c>
      <c r="C532" s="10" t="s">
        <v>4425</v>
      </c>
      <c r="D532" s="9" t="s">
        <v>4559</v>
      </c>
      <c r="E532" s="10" t="s">
        <v>4489</v>
      </c>
    </row>
    <row r="533" customFormat="false" ht="15" hidden="false" customHeight="false" outlineLevel="0" collapsed="false">
      <c r="A533" s="9" t="s">
        <v>4560</v>
      </c>
      <c r="B533" s="9" t="s">
        <v>4166</v>
      </c>
      <c r="C533" s="10" t="s">
        <v>4425</v>
      </c>
      <c r="D533" s="9" t="s">
        <v>4559</v>
      </c>
      <c r="E533" s="10" t="s">
        <v>4489</v>
      </c>
    </row>
    <row r="534" customFormat="false" ht="15" hidden="false" customHeight="false" outlineLevel="0" collapsed="false">
      <c r="A534" s="9" t="s">
        <v>4561</v>
      </c>
      <c r="B534" s="9" t="s">
        <v>4562</v>
      </c>
      <c r="C534" s="10" t="s">
        <v>4425</v>
      </c>
      <c r="D534" s="9" t="s">
        <v>4559</v>
      </c>
      <c r="E534" s="10" t="s">
        <v>4489</v>
      </c>
    </row>
    <row r="535" customFormat="false" ht="15" hidden="false" customHeight="false" outlineLevel="0" collapsed="false">
      <c r="A535" s="9" t="s">
        <v>4563</v>
      </c>
      <c r="B535" s="9" t="s">
        <v>3823</v>
      </c>
      <c r="C535" s="10" t="s">
        <v>4425</v>
      </c>
      <c r="D535" s="9" t="s">
        <v>4559</v>
      </c>
      <c r="E535" s="10" t="s">
        <v>4489</v>
      </c>
    </row>
    <row r="536" customFormat="false" ht="15" hidden="false" customHeight="false" outlineLevel="0" collapsed="false">
      <c r="A536" s="9" t="s">
        <v>4564</v>
      </c>
      <c r="B536" s="9" t="s">
        <v>4099</v>
      </c>
      <c r="C536" s="10" t="s">
        <v>4425</v>
      </c>
      <c r="D536" s="9" t="s">
        <v>4559</v>
      </c>
      <c r="E536" s="10" t="s">
        <v>4489</v>
      </c>
    </row>
    <row r="537" customFormat="false" ht="15" hidden="false" customHeight="false" outlineLevel="0" collapsed="false">
      <c r="A537" s="9" t="s">
        <v>4565</v>
      </c>
      <c r="B537" s="9" t="s">
        <v>4227</v>
      </c>
      <c r="C537" s="10" t="s">
        <v>4425</v>
      </c>
      <c r="D537" s="9" t="s">
        <v>4559</v>
      </c>
      <c r="E537" s="10" t="s">
        <v>4489</v>
      </c>
    </row>
    <row r="538" customFormat="false" ht="15" hidden="false" customHeight="false" outlineLevel="0" collapsed="false">
      <c r="A538" s="9" t="s">
        <v>4566</v>
      </c>
      <c r="B538" s="9" t="s">
        <v>4567</v>
      </c>
      <c r="C538" s="10" t="s">
        <v>4425</v>
      </c>
      <c r="D538" s="9" t="s">
        <v>4559</v>
      </c>
      <c r="E538" s="10" t="s">
        <v>4489</v>
      </c>
    </row>
    <row r="539" customFormat="false" ht="15" hidden="false" customHeight="false" outlineLevel="0" collapsed="false">
      <c r="A539" s="9" t="s">
        <v>4568</v>
      </c>
      <c r="B539" s="9" t="s">
        <v>3823</v>
      </c>
      <c r="C539" s="10" t="s">
        <v>4425</v>
      </c>
      <c r="D539" s="9" t="s">
        <v>4559</v>
      </c>
      <c r="E539" s="10" t="s">
        <v>4489</v>
      </c>
    </row>
    <row r="540" customFormat="false" ht="15" hidden="false" customHeight="false" outlineLevel="0" collapsed="false">
      <c r="A540" s="9" t="s">
        <v>4569</v>
      </c>
      <c r="B540" s="9" t="s">
        <v>4570</v>
      </c>
      <c r="C540" s="10" t="s">
        <v>4425</v>
      </c>
      <c r="D540" s="9" t="s">
        <v>4559</v>
      </c>
      <c r="E540" s="10" t="s">
        <v>4489</v>
      </c>
    </row>
    <row r="541" customFormat="false" ht="15" hidden="false" customHeight="false" outlineLevel="0" collapsed="false">
      <c r="A541" s="9" t="s">
        <v>4571</v>
      </c>
      <c r="B541" s="9" t="s">
        <v>3823</v>
      </c>
      <c r="C541" s="10" t="s">
        <v>4425</v>
      </c>
      <c r="D541" s="9" t="s">
        <v>4559</v>
      </c>
      <c r="E541" s="10" t="s">
        <v>4489</v>
      </c>
    </row>
    <row r="542" customFormat="false" ht="15" hidden="false" customHeight="false" outlineLevel="0" collapsed="false">
      <c r="A542" s="9" t="s">
        <v>4572</v>
      </c>
      <c r="B542" s="9" t="s">
        <v>3859</v>
      </c>
      <c r="C542" s="10" t="s">
        <v>4425</v>
      </c>
      <c r="D542" s="9" t="s">
        <v>4559</v>
      </c>
      <c r="E542" s="10" t="s">
        <v>4489</v>
      </c>
    </row>
    <row r="543" customFormat="false" ht="15" hidden="false" customHeight="false" outlineLevel="0" collapsed="false">
      <c r="A543" s="9" t="s">
        <v>4573</v>
      </c>
      <c r="B543" s="9" t="s">
        <v>4317</v>
      </c>
      <c r="C543" s="10" t="s">
        <v>4425</v>
      </c>
      <c r="D543" s="9" t="s">
        <v>4559</v>
      </c>
      <c r="E543" s="10" t="s">
        <v>4489</v>
      </c>
    </row>
    <row r="544" customFormat="false" ht="15" hidden="false" customHeight="false" outlineLevel="0" collapsed="false">
      <c r="A544" s="9" t="s">
        <v>4574</v>
      </c>
      <c r="B544" s="9" t="s">
        <v>3807</v>
      </c>
      <c r="C544" s="10" t="s">
        <v>4425</v>
      </c>
      <c r="D544" s="9" t="s">
        <v>4559</v>
      </c>
      <c r="E544" s="10" t="s">
        <v>4489</v>
      </c>
    </row>
    <row r="545" customFormat="false" ht="15" hidden="false" customHeight="false" outlineLevel="0" collapsed="false">
      <c r="A545" s="9" t="s">
        <v>4575</v>
      </c>
      <c r="B545" s="9" t="s">
        <v>4008</v>
      </c>
      <c r="C545" s="10" t="s">
        <v>4425</v>
      </c>
      <c r="D545" s="9" t="s">
        <v>4559</v>
      </c>
      <c r="E545" s="10" t="s">
        <v>4489</v>
      </c>
    </row>
    <row r="546" customFormat="false" ht="15" hidden="false" customHeight="false" outlineLevel="0" collapsed="false">
      <c r="A546" s="9" t="s">
        <v>4576</v>
      </c>
      <c r="B546" s="9" t="s">
        <v>4577</v>
      </c>
      <c r="C546" s="10" t="s">
        <v>4425</v>
      </c>
      <c r="D546" s="9" t="s">
        <v>4559</v>
      </c>
      <c r="E546" s="10" t="s">
        <v>4489</v>
      </c>
    </row>
    <row r="547" customFormat="false" ht="15" hidden="false" customHeight="false" outlineLevel="0" collapsed="false">
      <c r="A547" s="9" t="s">
        <v>4578</v>
      </c>
      <c r="B547" s="9" t="s">
        <v>4579</v>
      </c>
      <c r="C547" s="9" t="s">
        <v>14</v>
      </c>
      <c r="D547" s="9" t="s">
        <v>4580</v>
      </c>
      <c r="E547" s="10" t="s">
        <v>3949</v>
      </c>
    </row>
    <row r="548" customFormat="false" ht="15" hidden="false" customHeight="false" outlineLevel="0" collapsed="false">
      <c r="A548" s="9" t="s">
        <v>4581</v>
      </c>
      <c r="B548" s="9" t="s">
        <v>4582</v>
      </c>
      <c r="C548" s="9" t="s">
        <v>14</v>
      </c>
      <c r="D548" s="9" t="s">
        <v>1422</v>
      </c>
      <c r="E548" s="9"/>
    </row>
    <row r="549" customFormat="false" ht="15" hidden="false" customHeight="false" outlineLevel="0" collapsed="false">
      <c r="A549" s="9" t="s">
        <v>4583</v>
      </c>
      <c r="B549" s="9" t="s">
        <v>3859</v>
      </c>
      <c r="C549" s="9" t="s">
        <v>14</v>
      </c>
      <c r="D549" s="9" t="s">
        <v>1427</v>
      </c>
      <c r="E549" s="9"/>
    </row>
    <row r="550" customFormat="false" ht="15" hidden="false" customHeight="false" outlineLevel="0" collapsed="false">
      <c r="A550" s="9" t="s">
        <v>4584</v>
      </c>
      <c r="B550" s="9" t="s">
        <v>4348</v>
      </c>
      <c r="C550" s="9" t="s">
        <v>14</v>
      </c>
      <c r="D550" s="9" t="s">
        <v>1429</v>
      </c>
      <c r="E550" s="9"/>
    </row>
    <row r="551" customFormat="false" ht="15" hidden="false" customHeight="false" outlineLevel="0" collapsed="false">
      <c r="A551" s="9" t="s">
        <v>4585</v>
      </c>
      <c r="B551" s="9" t="s">
        <v>3976</v>
      </c>
      <c r="C551" s="9" t="s">
        <v>14</v>
      </c>
      <c r="D551" s="9" t="s">
        <v>1431</v>
      </c>
      <c r="E551" s="9"/>
    </row>
    <row r="552" customFormat="false" ht="15" hidden="false" customHeight="false" outlineLevel="0" collapsed="false">
      <c r="A552" s="9" t="s">
        <v>4586</v>
      </c>
      <c r="B552" s="9" t="s">
        <v>3910</v>
      </c>
      <c r="C552" s="9" t="s">
        <v>14</v>
      </c>
      <c r="D552" s="9" t="s">
        <v>1433</v>
      </c>
      <c r="E552" s="9"/>
    </row>
    <row r="553" customFormat="false" ht="15" hidden="false" customHeight="false" outlineLevel="0" collapsed="false">
      <c r="A553" s="9" t="s">
        <v>4587</v>
      </c>
      <c r="B553" s="9" t="s">
        <v>4168</v>
      </c>
      <c r="C553" s="9" t="s">
        <v>14</v>
      </c>
      <c r="D553" s="9" t="s">
        <v>1435</v>
      </c>
      <c r="E553" s="9"/>
    </row>
    <row r="554" customFormat="false" ht="15" hidden="false" customHeight="false" outlineLevel="0" collapsed="false">
      <c r="A554" s="9" t="s">
        <v>4588</v>
      </c>
      <c r="B554" s="9" t="s">
        <v>3974</v>
      </c>
      <c r="C554" s="9" t="s">
        <v>14</v>
      </c>
      <c r="D554" s="9" t="s">
        <v>1438</v>
      </c>
      <c r="E554" s="9"/>
    </row>
    <row r="555" customFormat="false" ht="15" hidden="false" customHeight="false" outlineLevel="0" collapsed="false">
      <c r="A555" s="9" t="s">
        <v>4589</v>
      </c>
      <c r="B555" s="9" t="s">
        <v>4348</v>
      </c>
      <c r="C555" s="9" t="s">
        <v>14</v>
      </c>
      <c r="D555" s="9" t="s">
        <v>1439</v>
      </c>
      <c r="E555" s="9"/>
    </row>
    <row r="556" customFormat="false" ht="15" hidden="false" customHeight="false" outlineLevel="0" collapsed="false">
      <c r="A556" s="9" t="s">
        <v>4590</v>
      </c>
      <c r="B556" s="9" t="s">
        <v>3976</v>
      </c>
      <c r="C556" s="9" t="s">
        <v>14</v>
      </c>
      <c r="D556" s="9" t="s">
        <v>1440</v>
      </c>
      <c r="E556" s="9"/>
    </row>
    <row r="557" customFormat="false" ht="15" hidden="false" customHeight="false" outlineLevel="0" collapsed="false">
      <c r="A557" s="9" t="s">
        <v>4591</v>
      </c>
      <c r="B557" s="9" t="s">
        <v>3910</v>
      </c>
      <c r="C557" s="9" t="s">
        <v>14</v>
      </c>
      <c r="D557" s="9" t="s">
        <v>1441</v>
      </c>
      <c r="E557" s="9"/>
    </row>
    <row r="558" customFormat="false" ht="15" hidden="false" customHeight="false" outlineLevel="0" collapsed="false">
      <c r="A558" s="9" t="s">
        <v>4592</v>
      </c>
      <c r="B558" s="9" t="s">
        <v>3988</v>
      </c>
      <c r="C558" s="9" t="s">
        <v>14</v>
      </c>
      <c r="D558" s="9" t="s">
        <v>1442</v>
      </c>
      <c r="E558" s="9"/>
    </row>
    <row r="559" customFormat="false" ht="15" hidden="false" customHeight="false" outlineLevel="0" collapsed="false">
      <c r="A559" s="9" t="s">
        <v>4593</v>
      </c>
      <c r="B559" s="9" t="s">
        <v>3778</v>
      </c>
      <c r="C559" s="9" t="s">
        <v>14</v>
      </c>
      <c r="D559" s="9" t="s">
        <v>1445</v>
      </c>
      <c r="E559" s="9"/>
    </row>
    <row r="560" customFormat="false" ht="15" hidden="false" customHeight="false" outlineLevel="0" collapsed="false">
      <c r="A560" s="9" t="s">
        <v>4594</v>
      </c>
      <c r="B560" s="9" t="s">
        <v>4317</v>
      </c>
      <c r="C560" s="9" t="s">
        <v>14</v>
      </c>
      <c r="D560" s="9" t="s">
        <v>1446</v>
      </c>
      <c r="E560" s="9"/>
    </row>
    <row r="561" customFormat="false" ht="15" hidden="false" customHeight="false" outlineLevel="0" collapsed="false">
      <c r="A561" s="9" t="s">
        <v>4595</v>
      </c>
      <c r="B561" s="9" t="s">
        <v>3910</v>
      </c>
      <c r="C561" s="9" t="s">
        <v>14</v>
      </c>
      <c r="D561" s="9" t="s">
        <v>1447</v>
      </c>
      <c r="E561" s="9"/>
    </row>
    <row r="562" customFormat="false" ht="15" hidden="false" customHeight="false" outlineLevel="0" collapsed="false">
      <c r="A562" s="9" t="s">
        <v>4596</v>
      </c>
      <c r="B562" s="9" t="s">
        <v>3863</v>
      </c>
      <c r="C562" s="9" t="s">
        <v>14</v>
      </c>
      <c r="D562" s="9" t="s">
        <v>1448</v>
      </c>
      <c r="E562" s="9"/>
    </row>
    <row r="563" customFormat="false" ht="15" hidden="false" customHeight="false" outlineLevel="0" collapsed="false">
      <c r="A563" s="9" t="s">
        <v>4597</v>
      </c>
      <c r="B563" s="9" t="s">
        <v>3859</v>
      </c>
      <c r="C563" s="9" t="s">
        <v>14</v>
      </c>
      <c r="D563" s="9" t="s">
        <v>1449</v>
      </c>
      <c r="E563" s="9"/>
    </row>
    <row r="564" customFormat="false" ht="15" hidden="false" customHeight="false" outlineLevel="0" collapsed="false">
      <c r="A564" s="9" t="s">
        <v>4598</v>
      </c>
      <c r="B564" s="9" t="s">
        <v>3863</v>
      </c>
      <c r="C564" s="9" t="s">
        <v>14</v>
      </c>
      <c r="D564" s="9" t="s">
        <v>1452</v>
      </c>
      <c r="E564" s="9"/>
    </row>
    <row r="565" customFormat="false" ht="15" hidden="false" customHeight="false" outlineLevel="0" collapsed="false">
      <c r="A565" s="9" t="s">
        <v>4599</v>
      </c>
      <c r="B565" s="9" t="s">
        <v>3910</v>
      </c>
      <c r="C565" s="9" t="s">
        <v>14</v>
      </c>
      <c r="D565" s="9" t="s">
        <v>1453</v>
      </c>
      <c r="E565" s="9"/>
    </row>
    <row r="566" customFormat="false" ht="15" hidden="false" customHeight="false" outlineLevel="0" collapsed="false">
      <c r="A566" s="9" t="s">
        <v>4600</v>
      </c>
      <c r="B566" s="9" t="s">
        <v>3863</v>
      </c>
      <c r="C566" s="9" t="s">
        <v>14</v>
      </c>
      <c r="D566" s="9" t="s">
        <v>1454</v>
      </c>
      <c r="E566" s="9"/>
    </row>
    <row r="567" customFormat="false" ht="15" hidden="false" customHeight="false" outlineLevel="0" collapsed="false">
      <c r="A567" s="9" t="s">
        <v>4601</v>
      </c>
      <c r="B567" s="9" t="s">
        <v>3778</v>
      </c>
      <c r="C567" s="9" t="s">
        <v>14</v>
      </c>
      <c r="D567" s="9" t="s">
        <v>1455</v>
      </c>
      <c r="E567" s="9"/>
    </row>
    <row r="568" customFormat="false" ht="15" hidden="false" customHeight="false" outlineLevel="0" collapsed="false">
      <c r="A568" s="9" t="s">
        <v>4602</v>
      </c>
      <c r="B568" s="9" t="s">
        <v>3986</v>
      </c>
      <c r="C568" s="9" t="s">
        <v>14</v>
      </c>
      <c r="D568" s="9" t="s">
        <v>1456</v>
      </c>
      <c r="E568" s="9"/>
    </row>
    <row r="569" customFormat="false" ht="15" hidden="false" customHeight="false" outlineLevel="0" collapsed="false">
      <c r="A569" s="9" t="s">
        <v>4603</v>
      </c>
      <c r="B569" s="9" t="s">
        <v>4378</v>
      </c>
      <c r="C569" s="9" t="s">
        <v>14</v>
      </c>
      <c r="D569" s="9" t="s">
        <v>1459</v>
      </c>
      <c r="E569" s="9"/>
    </row>
    <row r="570" customFormat="false" ht="15" hidden="false" customHeight="false" outlineLevel="0" collapsed="false">
      <c r="A570" s="9" t="s">
        <v>4604</v>
      </c>
      <c r="B570" s="9" t="s">
        <v>4317</v>
      </c>
      <c r="C570" s="9" t="s">
        <v>14</v>
      </c>
      <c r="D570" s="9" t="s">
        <v>1460</v>
      </c>
      <c r="E570" s="9"/>
    </row>
    <row r="571" customFormat="false" ht="15" hidden="false" customHeight="false" outlineLevel="0" collapsed="false">
      <c r="A571" s="9" t="s">
        <v>4605</v>
      </c>
      <c r="B571" s="9" t="s">
        <v>3988</v>
      </c>
      <c r="C571" s="9" t="s">
        <v>14</v>
      </c>
      <c r="D571" s="9" t="s">
        <v>1461</v>
      </c>
      <c r="E571" s="9"/>
    </row>
    <row r="572" customFormat="false" ht="15" hidden="false" customHeight="false" outlineLevel="0" collapsed="false">
      <c r="A572" s="9" t="s">
        <v>4606</v>
      </c>
      <c r="B572" s="9" t="s">
        <v>3991</v>
      </c>
      <c r="C572" s="9" t="s">
        <v>14</v>
      </c>
      <c r="D572" s="9" t="s">
        <v>1462</v>
      </c>
      <c r="E572" s="9"/>
    </row>
    <row r="573" customFormat="false" ht="15" hidden="false" customHeight="false" outlineLevel="0" collapsed="false">
      <c r="A573" s="9" t="s">
        <v>4607</v>
      </c>
      <c r="B573" s="9" t="s">
        <v>3823</v>
      </c>
      <c r="C573" s="9" t="s">
        <v>14</v>
      </c>
      <c r="D573" s="9" t="s">
        <v>4608</v>
      </c>
      <c r="E573" s="10" t="s">
        <v>3750</v>
      </c>
    </row>
    <row r="574" customFormat="false" ht="15" hidden="false" customHeight="false" outlineLevel="0" collapsed="false">
      <c r="A574" s="9" t="s">
        <v>4609</v>
      </c>
      <c r="B574" s="9" t="s">
        <v>4231</v>
      </c>
      <c r="C574" s="9" t="s">
        <v>14</v>
      </c>
      <c r="D574" s="9" t="s">
        <v>4608</v>
      </c>
      <c r="E574" s="10" t="s">
        <v>3750</v>
      </c>
    </row>
    <row r="575" customFormat="false" ht="15" hidden="false" customHeight="false" outlineLevel="0" collapsed="false">
      <c r="A575" s="9" t="s">
        <v>4610</v>
      </c>
      <c r="B575" s="9" t="s">
        <v>4611</v>
      </c>
      <c r="C575" s="9" t="s">
        <v>6</v>
      </c>
      <c r="D575" s="9" t="s">
        <v>302</v>
      </c>
      <c r="E575" s="9"/>
    </row>
    <row r="576" customFormat="false" ht="15" hidden="false" customHeight="false" outlineLevel="0" collapsed="false">
      <c r="A576" s="9" t="s">
        <v>4612</v>
      </c>
      <c r="B576" s="9" t="s">
        <v>3749</v>
      </c>
      <c r="C576" s="9" t="s">
        <v>6</v>
      </c>
      <c r="D576" s="9" t="s">
        <v>302</v>
      </c>
      <c r="E576" s="10" t="s">
        <v>3750</v>
      </c>
    </row>
    <row r="577" customFormat="false" ht="15" hidden="false" customHeight="false" outlineLevel="0" collapsed="false">
      <c r="A577" s="9" t="s">
        <v>4613</v>
      </c>
      <c r="B577" s="9" t="s">
        <v>4614</v>
      </c>
      <c r="C577" s="9" t="s">
        <v>6</v>
      </c>
      <c r="D577" s="9" t="s">
        <v>302</v>
      </c>
      <c r="E577" s="10" t="s">
        <v>3750</v>
      </c>
    </row>
    <row r="578" customFormat="false" ht="15" hidden="false" customHeight="false" outlineLevel="0" collapsed="false">
      <c r="A578" s="9" t="s">
        <v>4615</v>
      </c>
      <c r="B578" s="9" t="s">
        <v>4137</v>
      </c>
      <c r="C578" s="9" t="s">
        <v>6</v>
      </c>
      <c r="D578" s="9" t="s">
        <v>302</v>
      </c>
      <c r="E578" s="10" t="s">
        <v>3750</v>
      </c>
    </row>
    <row r="579" customFormat="false" ht="15" hidden="false" customHeight="false" outlineLevel="0" collapsed="false">
      <c r="A579" s="9" t="s">
        <v>4616</v>
      </c>
      <c r="B579" s="9" t="s">
        <v>4617</v>
      </c>
      <c r="C579" s="9" t="s">
        <v>6</v>
      </c>
      <c r="D579" s="9" t="s">
        <v>310</v>
      </c>
      <c r="E579" s="9"/>
    </row>
    <row r="580" customFormat="false" ht="15" hidden="false" customHeight="false" outlineLevel="0" collapsed="false">
      <c r="A580" s="9" t="s">
        <v>4618</v>
      </c>
      <c r="B580" s="9" t="s">
        <v>3749</v>
      </c>
      <c r="C580" s="9" t="s">
        <v>6</v>
      </c>
      <c r="D580" s="9" t="s">
        <v>310</v>
      </c>
      <c r="E580" s="10" t="s">
        <v>3750</v>
      </c>
    </row>
    <row r="581" customFormat="false" ht="15" hidden="false" customHeight="false" outlineLevel="0" collapsed="false">
      <c r="A581" s="9" t="s">
        <v>4619</v>
      </c>
      <c r="B581" s="9" t="s">
        <v>4620</v>
      </c>
      <c r="C581" s="9" t="s">
        <v>6</v>
      </c>
      <c r="D581" s="9" t="s">
        <v>310</v>
      </c>
      <c r="E581" s="10" t="s">
        <v>3750</v>
      </c>
    </row>
    <row r="582" customFormat="false" ht="15" hidden="false" customHeight="false" outlineLevel="0" collapsed="false">
      <c r="A582" s="9" t="s">
        <v>4621</v>
      </c>
      <c r="B582" s="9" t="s">
        <v>4137</v>
      </c>
      <c r="C582" s="9" t="s">
        <v>6</v>
      </c>
      <c r="D582" s="9" t="s">
        <v>310</v>
      </c>
      <c r="E582" s="10" t="s">
        <v>3750</v>
      </c>
    </row>
    <row r="583" customFormat="false" ht="15" hidden="false" customHeight="false" outlineLevel="0" collapsed="false">
      <c r="A583" s="9" t="s">
        <v>4622</v>
      </c>
      <c r="B583" s="9" t="s">
        <v>4387</v>
      </c>
      <c r="C583" s="9" t="s">
        <v>6</v>
      </c>
      <c r="D583" s="9" t="s">
        <v>316</v>
      </c>
      <c r="E583" s="9"/>
    </row>
    <row r="584" customFormat="false" ht="15" hidden="false" customHeight="false" outlineLevel="0" collapsed="false">
      <c r="A584" s="9" t="s">
        <v>4623</v>
      </c>
      <c r="B584" s="9" t="s">
        <v>3749</v>
      </c>
      <c r="C584" s="9" t="s">
        <v>6</v>
      </c>
      <c r="D584" s="9" t="s">
        <v>316</v>
      </c>
      <c r="E584" s="10" t="s">
        <v>3750</v>
      </c>
    </row>
    <row r="585" customFormat="false" ht="15" hidden="false" customHeight="false" outlineLevel="0" collapsed="false">
      <c r="A585" s="9" t="s">
        <v>4624</v>
      </c>
      <c r="B585" s="9" t="s">
        <v>4625</v>
      </c>
      <c r="C585" s="9" t="s">
        <v>6</v>
      </c>
      <c r="D585" s="9" t="s">
        <v>316</v>
      </c>
      <c r="E585" s="10" t="s">
        <v>3750</v>
      </c>
    </row>
    <row r="586" customFormat="false" ht="15" hidden="false" customHeight="false" outlineLevel="0" collapsed="false">
      <c r="A586" s="9" t="s">
        <v>4626</v>
      </c>
      <c r="B586" s="9" t="s">
        <v>4137</v>
      </c>
      <c r="C586" s="9" t="s">
        <v>6</v>
      </c>
      <c r="D586" s="9" t="s">
        <v>316</v>
      </c>
      <c r="E586" s="10" t="s">
        <v>3750</v>
      </c>
    </row>
    <row r="587" customFormat="false" ht="15" hidden="false" customHeight="false" outlineLevel="0" collapsed="false">
      <c r="A587" s="9" t="s">
        <v>4627</v>
      </c>
      <c r="B587" s="9" t="s">
        <v>3863</v>
      </c>
      <c r="C587" s="9" t="s">
        <v>14</v>
      </c>
      <c r="D587" s="9" t="s">
        <v>1463</v>
      </c>
      <c r="E587" s="9"/>
    </row>
    <row r="588" customFormat="false" ht="15" hidden="false" customHeight="false" outlineLevel="0" collapsed="false">
      <c r="A588" s="9" t="s">
        <v>4628</v>
      </c>
      <c r="B588" s="9" t="s">
        <v>3986</v>
      </c>
      <c r="C588" s="9" t="s">
        <v>14</v>
      </c>
      <c r="D588" s="9" t="s">
        <v>1463</v>
      </c>
      <c r="E588" s="9"/>
    </row>
    <row r="589" customFormat="false" ht="15" hidden="false" customHeight="false" outlineLevel="0" collapsed="false">
      <c r="A589" s="9" t="s">
        <v>4629</v>
      </c>
      <c r="B589" s="9" t="s">
        <v>4378</v>
      </c>
      <c r="C589" s="9" t="s">
        <v>14</v>
      </c>
      <c r="D589" s="9" t="s">
        <v>1463</v>
      </c>
      <c r="E589" s="9"/>
    </row>
    <row r="590" customFormat="false" ht="15" hidden="false" customHeight="false" outlineLevel="0" collapsed="false">
      <c r="A590" s="9" t="s">
        <v>4630</v>
      </c>
      <c r="B590" s="9" t="s">
        <v>3823</v>
      </c>
      <c r="C590" s="9" t="s">
        <v>14</v>
      </c>
      <c r="D590" s="9" t="s">
        <v>1463</v>
      </c>
      <c r="E590" s="10" t="s">
        <v>3750</v>
      </c>
    </row>
    <row r="591" customFormat="false" ht="15" hidden="false" customHeight="false" outlineLevel="0" collapsed="false">
      <c r="A591" s="9" t="s">
        <v>4631</v>
      </c>
      <c r="B591" s="9" t="s">
        <v>4632</v>
      </c>
      <c r="C591" s="9" t="s">
        <v>14</v>
      </c>
      <c r="D591" s="9" t="s">
        <v>1463</v>
      </c>
      <c r="E591" s="10" t="s">
        <v>3750</v>
      </c>
    </row>
    <row r="592" customFormat="false" ht="15" hidden="false" customHeight="false" outlineLevel="0" collapsed="false">
      <c r="A592" s="9" t="s">
        <v>4633</v>
      </c>
      <c r="B592" s="9" t="s">
        <v>4231</v>
      </c>
      <c r="C592" s="9" t="s">
        <v>14</v>
      </c>
      <c r="D592" s="9" t="s">
        <v>1463</v>
      </c>
      <c r="E592" s="10" t="s">
        <v>3750</v>
      </c>
    </row>
    <row r="593" customFormat="false" ht="15" hidden="false" customHeight="false" outlineLevel="0" collapsed="false">
      <c r="A593" s="9" t="s">
        <v>4634</v>
      </c>
      <c r="B593" s="9" t="s">
        <v>3758</v>
      </c>
      <c r="C593" s="10" t="s">
        <v>4635</v>
      </c>
      <c r="D593" s="9" t="s">
        <v>4636</v>
      </c>
      <c r="E593" s="10" t="s">
        <v>4637</v>
      </c>
    </row>
    <row r="594" customFormat="false" ht="15" hidden="false" customHeight="false" outlineLevel="0" collapsed="false">
      <c r="A594" s="9" t="s">
        <v>4638</v>
      </c>
      <c r="B594" s="9" t="s">
        <v>3749</v>
      </c>
      <c r="C594" s="10" t="s">
        <v>4635</v>
      </c>
      <c r="D594" s="9" t="s">
        <v>4636</v>
      </c>
      <c r="E594" s="10" t="s">
        <v>4639</v>
      </c>
    </row>
    <row r="595" customFormat="false" ht="15" hidden="false" customHeight="false" outlineLevel="0" collapsed="false">
      <c r="A595" s="9" t="s">
        <v>4640</v>
      </c>
      <c r="B595" s="9" t="s">
        <v>4641</v>
      </c>
      <c r="C595" s="10" t="s">
        <v>4635</v>
      </c>
      <c r="D595" s="9" t="s">
        <v>4636</v>
      </c>
      <c r="E595" s="10" t="s">
        <v>4639</v>
      </c>
    </row>
    <row r="596" customFormat="false" ht="15" hidden="false" customHeight="false" outlineLevel="0" collapsed="false">
      <c r="A596" s="9" t="s">
        <v>4642</v>
      </c>
      <c r="B596" s="9" t="s">
        <v>4137</v>
      </c>
      <c r="C596" s="10" t="s">
        <v>4635</v>
      </c>
      <c r="D596" s="9" t="s">
        <v>4636</v>
      </c>
      <c r="E596" s="10" t="s">
        <v>4639</v>
      </c>
    </row>
    <row r="597" customFormat="false" ht="15" hidden="false" customHeight="false" outlineLevel="0" collapsed="false">
      <c r="A597" s="9" t="s">
        <v>4643</v>
      </c>
      <c r="B597" s="9" t="s">
        <v>4644</v>
      </c>
      <c r="C597" s="9" t="s">
        <v>6</v>
      </c>
      <c r="D597" s="9" t="s">
        <v>321</v>
      </c>
      <c r="E597" s="9"/>
    </row>
    <row r="598" customFormat="false" ht="15" hidden="false" customHeight="false" outlineLevel="0" collapsed="false">
      <c r="A598" s="9" t="s">
        <v>4645</v>
      </c>
      <c r="B598" s="9" t="s">
        <v>4646</v>
      </c>
      <c r="C598" s="9" t="s">
        <v>6</v>
      </c>
      <c r="D598" s="9" t="s">
        <v>321</v>
      </c>
      <c r="E598" s="9"/>
    </row>
    <row r="599" customFormat="false" ht="15" hidden="false" customHeight="false" outlineLevel="0" collapsed="false">
      <c r="A599" s="9" t="s">
        <v>4647</v>
      </c>
      <c r="B599" s="9" t="s">
        <v>3749</v>
      </c>
      <c r="C599" s="9" t="s">
        <v>6</v>
      </c>
      <c r="D599" s="9" t="s">
        <v>321</v>
      </c>
      <c r="E599" s="10" t="s">
        <v>3750</v>
      </c>
    </row>
    <row r="600" customFormat="false" ht="15" hidden="false" customHeight="false" outlineLevel="0" collapsed="false">
      <c r="A600" s="9" t="s">
        <v>4648</v>
      </c>
      <c r="B600" s="9" t="s">
        <v>4649</v>
      </c>
      <c r="C600" s="9" t="s">
        <v>6</v>
      </c>
      <c r="D600" s="9" t="s">
        <v>321</v>
      </c>
      <c r="E600" s="10" t="s">
        <v>3750</v>
      </c>
    </row>
    <row r="601" customFormat="false" ht="15" hidden="false" customHeight="false" outlineLevel="0" collapsed="false">
      <c r="A601" s="9" t="s">
        <v>4650</v>
      </c>
      <c r="B601" s="9" t="s">
        <v>4651</v>
      </c>
      <c r="C601" s="9" t="s">
        <v>6</v>
      </c>
      <c r="D601" s="9" t="s">
        <v>328</v>
      </c>
      <c r="E601" s="9"/>
    </row>
    <row r="602" customFormat="false" ht="15" hidden="false" customHeight="false" outlineLevel="0" collapsed="false">
      <c r="A602" s="9" t="s">
        <v>4652</v>
      </c>
      <c r="B602" s="9" t="s">
        <v>4653</v>
      </c>
      <c r="C602" s="9" t="s">
        <v>6</v>
      </c>
      <c r="D602" s="9" t="s">
        <v>328</v>
      </c>
      <c r="E602" s="9"/>
    </row>
    <row r="603" customFormat="false" ht="15" hidden="false" customHeight="false" outlineLevel="0" collapsed="false">
      <c r="A603" s="9" t="s">
        <v>4654</v>
      </c>
      <c r="B603" s="9" t="s">
        <v>4655</v>
      </c>
      <c r="C603" s="9" t="s">
        <v>6</v>
      </c>
      <c r="D603" s="9" t="s">
        <v>328</v>
      </c>
      <c r="E603" s="9"/>
    </row>
    <row r="604" customFormat="false" ht="15" hidden="false" customHeight="false" outlineLevel="0" collapsed="false">
      <c r="A604" s="9" t="s">
        <v>4656</v>
      </c>
      <c r="B604" s="9" t="s">
        <v>3749</v>
      </c>
      <c r="C604" s="9" t="s">
        <v>6</v>
      </c>
      <c r="D604" s="9" t="s">
        <v>328</v>
      </c>
      <c r="E604" s="10" t="s">
        <v>3750</v>
      </c>
    </row>
    <row r="605" customFormat="false" ht="15" hidden="false" customHeight="false" outlineLevel="0" collapsed="false">
      <c r="A605" s="9" t="s">
        <v>4657</v>
      </c>
      <c r="B605" s="9" t="s">
        <v>4345</v>
      </c>
      <c r="C605" s="9" t="s">
        <v>6</v>
      </c>
      <c r="D605" s="9" t="s">
        <v>328</v>
      </c>
      <c r="E605" s="10" t="s">
        <v>3750</v>
      </c>
    </row>
    <row r="606" customFormat="false" ht="15" hidden="false" customHeight="false" outlineLevel="0" collapsed="false">
      <c r="A606" s="9" t="s">
        <v>4658</v>
      </c>
      <c r="B606" s="9" t="s">
        <v>4659</v>
      </c>
      <c r="C606" s="10" t="s">
        <v>3791</v>
      </c>
      <c r="D606" s="9" t="s">
        <v>4660</v>
      </c>
      <c r="E606" s="9" t="s">
        <v>4661</v>
      </c>
    </row>
    <row r="607" customFormat="false" ht="15" hidden="false" customHeight="false" outlineLevel="0" collapsed="false">
      <c r="A607" s="9" t="s">
        <v>4662</v>
      </c>
      <c r="B607" s="9" t="s">
        <v>3801</v>
      </c>
      <c r="C607" s="10" t="s">
        <v>3791</v>
      </c>
      <c r="D607" s="9" t="s">
        <v>4660</v>
      </c>
      <c r="E607" s="9" t="s">
        <v>4661</v>
      </c>
    </row>
    <row r="608" customFormat="false" ht="15" hidden="false" customHeight="false" outlineLevel="0" collapsed="false">
      <c r="A608" s="9" t="s">
        <v>4663</v>
      </c>
      <c r="B608" s="9" t="s">
        <v>4664</v>
      </c>
      <c r="C608" s="10" t="s">
        <v>3721</v>
      </c>
      <c r="D608" s="9" t="s">
        <v>71</v>
      </c>
      <c r="E608" s="10" t="s">
        <v>4665</v>
      </c>
    </row>
    <row r="609" customFormat="false" ht="15" hidden="false" customHeight="false" outlineLevel="0" collapsed="false">
      <c r="A609" s="9" t="s">
        <v>4666</v>
      </c>
      <c r="B609" s="9" t="s">
        <v>4667</v>
      </c>
      <c r="C609" s="10" t="s">
        <v>3721</v>
      </c>
      <c r="D609" s="9" t="s">
        <v>71</v>
      </c>
      <c r="E609" s="10" t="s">
        <v>4668</v>
      </c>
    </row>
    <row r="610" customFormat="false" ht="15" hidden="false" customHeight="false" outlineLevel="0" collapsed="false">
      <c r="A610" s="9" t="s">
        <v>4669</v>
      </c>
      <c r="B610" s="9" t="s">
        <v>4670</v>
      </c>
      <c r="C610" s="9" t="s">
        <v>6</v>
      </c>
      <c r="D610" s="10" t="s">
        <v>4671</v>
      </c>
      <c r="E610" s="10" t="s">
        <v>4672</v>
      </c>
    </row>
    <row r="611" customFormat="false" ht="15" hidden="false" customHeight="false" outlineLevel="0" collapsed="false">
      <c r="A611" s="9" t="s">
        <v>4673</v>
      </c>
      <c r="B611" s="9" t="s">
        <v>3657</v>
      </c>
      <c r="C611" s="10" t="s">
        <v>4635</v>
      </c>
      <c r="D611" s="9" t="s">
        <v>4674</v>
      </c>
      <c r="E611" s="9" t="s">
        <v>4675</v>
      </c>
    </row>
    <row r="612" customFormat="false" ht="15" hidden="false" customHeight="false" outlineLevel="0" collapsed="false">
      <c r="A612" s="9" t="s">
        <v>4676</v>
      </c>
      <c r="B612" s="9" t="s">
        <v>4456</v>
      </c>
      <c r="C612" s="10" t="s">
        <v>4635</v>
      </c>
      <c r="D612" s="9" t="s">
        <v>285</v>
      </c>
      <c r="E612" s="9" t="s">
        <v>4677</v>
      </c>
    </row>
    <row r="613" customFormat="false" ht="15" hidden="false" customHeight="false" outlineLevel="0" collapsed="false">
      <c r="A613" s="9" t="s">
        <v>4678</v>
      </c>
      <c r="B613" s="9" t="s">
        <v>4679</v>
      </c>
      <c r="C613" s="9" t="s">
        <v>14</v>
      </c>
      <c r="D613" s="9" t="s">
        <v>1725</v>
      </c>
      <c r="E613" s="9"/>
    </row>
    <row r="614" customFormat="false" ht="15" hidden="false" customHeight="false" outlineLevel="0" collapsed="false">
      <c r="A614" s="9" t="s">
        <v>4680</v>
      </c>
      <c r="B614" s="9" t="s">
        <v>4681</v>
      </c>
      <c r="C614" s="9" t="s">
        <v>14</v>
      </c>
      <c r="D614" s="9" t="s">
        <v>1731</v>
      </c>
      <c r="E614" s="9"/>
    </row>
    <row r="615" customFormat="false" ht="15" hidden="false" customHeight="false" outlineLevel="0" collapsed="false">
      <c r="A615" s="9" t="s">
        <v>4682</v>
      </c>
      <c r="B615" s="9" t="s">
        <v>4683</v>
      </c>
      <c r="C615" s="10" t="s">
        <v>3791</v>
      </c>
      <c r="D615" s="9" t="s">
        <v>4684</v>
      </c>
      <c r="E615" s="9" t="s">
        <v>4685</v>
      </c>
    </row>
    <row r="616" customFormat="false" ht="15" hidden="false" customHeight="false" outlineLevel="0" collapsed="false">
      <c r="A616" s="9" t="s">
        <v>4686</v>
      </c>
      <c r="B616" s="9" t="s">
        <v>4458</v>
      </c>
      <c r="C616" s="10" t="s">
        <v>4635</v>
      </c>
      <c r="D616" s="9" t="s">
        <v>292</v>
      </c>
      <c r="E616" s="9" t="s">
        <v>4687</v>
      </c>
    </row>
    <row r="617" customFormat="false" ht="15" hidden="false" customHeight="false" outlineLevel="0" collapsed="false">
      <c r="A617" s="9" t="s">
        <v>4688</v>
      </c>
      <c r="B617" s="9" t="s">
        <v>4689</v>
      </c>
      <c r="C617" s="10" t="s">
        <v>4635</v>
      </c>
      <c r="D617" s="9" t="s">
        <v>285</v>
      </c>
      <c r="E617" s="10" t="s">
        <v>4639</v>
      </c>
    </row>
    <row r="618" customFormat="false" ht="15" hidden="false" customHeight="false" outlineLevel="0" collapsed="false">
      <c r="A618" s="9" t="s">
        <v>4690</v>
      </c>
      <c r="B618" s="9" t="s">
        <v>4691</v>
      </c>
      <c r="C618" s="10" t="s">
        <v>4635</v>
      </c>
      <c r="D618" s="9" t="s">
        <v>285</v>
      </c>
      <c r="E618" s="10" t="s">
        <v>4639</v>
      </c>
    </row>
    <row r="619" customFormat="false" ht="15" hidden="false" customHeight="false" outlineLevel="0" collapsed="false">
      <c r="A619" s="9" t="s">
        <v>4692</v>
      </c>
      <c r="B619" s="9" t="s">
        <v>4693</v>
      </c>
      <c r="C619" s="9" t="s">
        <v>6</v>
      </c>
      <c r="D619" s="9" t="s">
        <v>334</v>
      </c>
      <c r="E619" s="9"/>
    </row>
    <row r="620" customFormat="false" ht="15" hidden="false" customHeight="false" outlineLevel="0" collapsed="false">
      <c r="A620" s="9" t="s">
        <v>4694</v>
      </c>
      <c r="B620" s="9" t="s">
        <v>3749</v>
      </c>
      <c r="C620" s="9" t="s">
        <v>6</v>
      </c>
      <c r="D620" s="9" t="s">
        <v>334</v>
      </c>
      <c r="E620" s="10" t="s">
        <v>3750</v>
      </c>
    </row>
    <row r="621" customFormat="false" ht="15" hidden="false" customHeight="false" outlineLevel="0" collapsed="false">
      <c r="A621" s="9" t="s">
        <v>4695</v>
      </c>
      <c r="B621" s="9" t="s">
        <v>4696</v>
      </c>
      <c r="C621" s="9" t="s">
        <v>6</v>
      </c>
      <c r="D621" s="9" t="s">
        <v>334</v>
      </c>
      <c r="E621" s="10" t="s">
        <v>3750</v>
      </c>
    </row>
    <row r="622" customFormat="false" ht="15" hidden="false" customHeight="false" outlineLevel="0" collapsed="false">
      <c r="A622" s="9" t="s">
        <v>4697</v>
      </c>
      <c r="B622" s="9" t="s">
        <v>4698</v>
      </c>
      <c r="C622" s="10" t="s">
        <v>4635</v>
      </c>
      <c r="D622" s="9" t="s">
        <v>339</v>
      </c>
      <c r="E622" s="10" t="s">
        <v>4699</v>
      </c>
    </row>
    <row r="623" customFormat="false" ht="15" hidden="false" customHeight="false" outlineLevel="0" collapsed="false">
      <c r="A623" s="9" t="s">
        <v>4700</v>
      </c>
      <c r="B623" s="9" t="s">
        <v>3749</v>
      </c>
      <c r="C623" s="10" t="s">
        <v>4635</v>
      </c>
      <c r="D623" s="9" t="s">
        <v>339</v>
      </c>
      <c r="E623" s="10" t="s">
        <v>4639</v>
      </c>
    </row>
    <row r="624" customFormat="false" ht="15" hidden="false" customHeight="false" outlineLevel="0" collapsed="false">
      <c r="A624" s="9" t="s">
        <v>4701</v>
      </c>
      <c r="B624" s="9" t="s">
        <v>4696</v>
      </c>
      <c r="C624" s="10" t="s">
        <v>4635</v>
      </c>
      <c r="D624" s="9" t="s">
        <v>339</v>
      </c>
      <c r="E624" s="10" t="s">
        <v>4639</v>
      </c>
    </row>
    <row r="625" customFormat="false" ht="15" hidden="false" customHeight="false" outlineLevel="0" collapsed="false">
      <c r="A625" s="9" t="s">
        <v>4702</v>
      </c>
      <c r="B625" s="9" t="s">
        <v>4703</v>
      </c>
      <c r="C625" s="9" t="s">
        <v>6</v>
      </c>
      <c r="D625" s="9" t="s">
        <v>346</v>
      </c>
      <c r="E625" s="9"/>
    </row>
    <row r="626" customFormat="false" ht="15" hidden="false" customHeight="false" outlineLevel="0" collapsed="false">
      <c r="A626" s="9" t="s">
        <v>4704</v>
      </c>
      <c r="B626" s="9" t="s">
        <v>3749</v>
      </c>
      <c r="C626" s="9" t="s">
        <v>6</v>
      </c>
      <c r="D626" s="9" t="s">
        <v>346</v>
      </c>
      <c r="E626" s="10" t="s">
        <v>3750</v>
      </c>
    </row>
    <row r="627" customFormat="false" ht="15" hidden="false" customHeight="false" outlineLevel="0" collapsed="false">
      <c r="A627" s="9" t="s">
        <v>4705</v>
      </c>
      <c r="B627" s="9" t="s">
        <v>4706</v>
      </c>
      <c r="C627" s="9" t="s">
        <v>6</v>
      </c>
      <c r="D627" s="9" t="s">
        <v>346</v>
      </c>
      <c r="E627" s="10" t="s">
        <v>3750</v>
      </c>
    </row>
    <row r="628" customFormat="false" ht="15" hidden="false" customHeight="false" outlineLevel="0" collapsed="false">
      <c r="A628" s="9" t="s">
        <v>4707</v>
      </c>
      <c r="B628" s="9" t="s">
        <v>4708</v>
      </c>
      <c r="C628" s="10" t="s">
        <v>3721</v>
      </c>
      <c r="D628" s="9" t="s">
        <v>71</v>
      </c>
      <c r="E628" s="10" t="s">
        <v>4709</v>
      </c>
    </row>
    <row r="629" customFormat="false" ht="15" hidden="false" customHeight="false" outlineLevel="0" collapsed="false">
      <c r="A629" s="9" t="s">
        <v>4710</v>
      </c>
      <c r="B629" s="9" t="s">
        <v>4711</v>
      </c>
      <c r="C629" s="10" t="s">
        <v>3721</v>
      </c>
      <c r="D629" s="9" t="s">
        <v>71</v>
      </c>
      <c r="E629" s="10" t="s">
        <v>4709</v>
      </c>
    </row>
    <row r="630" customFormat="false" ht="15" hidden="false" customHeight="false" outlineLevel="0" collapsed="false">
      <c r="A630" s="9" t="s">
        <v>4712</v>
      </c>
      <c r="B630" s="9" t="s">
        <v>4713</v>
      </c>
      <c r="C630" s="10" t="s">
        <v>3721</v>
      </c>
      <c r="D630" s="9" t="s">
        <v>71</v>
      </c>
      <c r="E630" s="10" t="s">
        <v>4709</v>
      </c>
    </row>
    <row r="631" customFormat="false" ht="15" hidden="false" customHeight="false" outlineLevel="0" collapsed="false">
      <c r="A631" s="9" t="s">
        <v>4714</v>
      </c>
      <c r="B631" s="9" t="s">
        <v>4715</v>
      </c>
      <c r="C631" s="10" t="s">
        <v>3721</v>
      </c>
      <c r="D631" s="9" t="s">
        <v>71</v>
      </c>
      <c r="E631" s="10" t="s">
        <v>4716</v>
      </c>
    </row>
    <row r="632" customFormat="false" ht="15" hidden="false" customHeight="false" outlineLevel="0" collapsed="false">
      <c r="A632" s="9" t="s">
        <v>4717</v>
      </c>
      <c r="B632" s="9" t="s">
        <v>3827</v>
      </c>
      <c r="C632" s="10" t="s">
        <v>4635</v>
      </c>
      <c r="D632" s="9" t="s">
        <v>71</v>
      </c>
      <c r="E632" s="9" t="s">
        <v>4718</v>
      </c>
    </row>
    <row r="633" customFormat="false" ht="15" hidden="false" customHeight="false" outlineLevel="0" collapsed="false">
      <c r="A633" s="9" t="s">
        <v>4719</v>
      </c>
      <c r="B633" s="9" t="s">
        <v>3882</v>
      </c>
      <c r="C633" s="10" t="s">
        <v>4635</v>
      </c>
      <c r="D633" s="9" t="s">
        <v>4720</v>
      </c>
      <c r="E633" s="10" t="s">
        <v>4721</v>
      </c>
    </row>
    <row r="634" customFormat="false" ht="15" hidden="false" customHeight="false" outlineLevel="0" collapsed="false">
      <c r="A634" s="9" t="s">
        <v>4722</v>
      </c>
      <c r="B634" s="9" t="s">
        <v>4404</v>
      </c>
      <c r="C634" s="10" t="s">
        <v>4635</v>
      </c>
      <c r="D634" s="9" t="s">
        <v>4723</v>
      </c>
      <c r="E634" s="10" t="s">
        <v>4721</v>
      </c>
    </row>
    <row r="635" customFormat="false" ht="15" hidden="false" customHeight="false" outlineLevel="0" collapsed="false">
      <c r="A635" s="9" t="s">
        <v>4724</v>
      </c>
      <c r="B635" s="9" t="s">
        <v>4108</v>
      </c>
      <c r="C635" s="10" t="s">
        <v>4635</v>
      </c>
      <c r="D635" s="9" t="s">
        <v>4725</v>
      </c>
      <c r="E635" s="10" t="s">
        <v>4721</v>
      </c>
    </row>
    <row r="636" customFormat="false" ht="15" hidden="false" customHeight="false" outlineLevel="0" collapsed="false">
      <c r="A636" s="9" t="s">
        <v>4726</v>
      </c>
      <c r="B636" s="9" t="s">
        <v>4414</v>
      </c>
      <c r="C636" s="10" t="s">
        <v>4635</v>
      </c>
      <c r="D636" s="9" t="s">
        <v>4727</v>
      </c>
      <c r="E636" s="10" t="s">
        <v>4721</v>
      </c>
    </row>
    <row r="637" customFormat="false" ht="15" hidden="false" customHeight="false" outlineLevel="0" collapsed="false">
      <c r="A637" s="9" t="s">
        <v>4728</v>
      </c>
      <c r="B637" s="9" t="s">
        <v>4103</v>
      </c>
      <c r="C637" s="10" t="s">
        <v>4635</v>
      </c>
      <c r="D637" s="9" t="s">
        <v>4729</v>
      </c>
      <c r="E637" s="10" t="s">
        <v>4721</v>
      </c>
    </row>
    <row r="638" customFormat="false" ht="15" hidden="false" customHeight="false" outlineLevel="0" collapsed="false">
      <c r="A638" s="9" t="s">
        <v>4730</v>
      </c>
      <c r="B638" s="9" t="s">
        <v>3749</v>
      </c>
      <c r="C638" s="10" t="s">
        <v>4635</v>
      </c>
      <c r="D638" s="9" t="s">
        <v>4731</v>
      </c>
      <c r="E638" s="10" t="s">
        <v>4639</v>
      </c>
    </row>
    <row r="639" customFormat="false" ht="15" hidden="false" customHeight="false" outlineLevel="0" collapsed="false">
      <c r="A639" s="9" t="s">
        <v>4732</v>
      </c>
      <c r="B639" s="9" t="s">
        <v>4733</v>
      </c>
      <c r="C639" s="10" t="s">
        <v>4635</v>
      </c>
      <c r="D639" s="9" t="s">
        <v>4731</v>
      </c>
      <c r="E639" s="10" t="s">
        <v>4639</v>
      </c>
    </row>
    <row r="640" customFormat="false" ht="15" hidden="false" customHeight="false" outlineLevel="0" collapsed="false">
      <c r="A640" s="9" t="s">
        <v>4734</v>
      </c>
      <c r="B640" s="9" t="s">
        <v>4735</v>
      </c>
      <c r="C640" s="10" t="s">
        <v>3721</v>
      </c>
      <c r="D640" s="9" t="s">
        <v>71</v>
      </c>
      <c r="E640" s="10" t="s">
        <v>4736</v>
      </c>
    </row>
    <row r="641" customFormat="false" ht="15" hidden="false" customHeight="false" outlineLevel="0" collapsed="false">
      <c r="A641" s="9" t="s">
        <v>4737</v>
      </c>
      <c r="B641" s="9" t="s">
        <v>4738</v>
      </c>
      <c r="C641" s="9" t="s">
        <v>14</v>
      </c>
      <c r="D641" s="9" t="s">
        <v>1467</v>
      </c>
      <c r="E641" s="9"/>
    </row>
    <row r="642" customFormat="false" ht="15" hidden="false" customHeight="false" outlineLevel="0" collapsed="false">
      <c r="A642" s="9" t="s">
        <v>4739</v>
      </c>
      <c r="B642" s="9" t="s">
        <v>4740</v>
      </c>
      <c r="C642" s="10" t="s">
        <v>3721</v>
      </c>
      <c r="D642" s="9" t="s">
        <v>71</v>
      </c>
      <c r="E642" s="10" t="s">
        <v>4741</v>
      </c>
    </row>
    <row r="643" customFormat="false" ht="15" hidden="false" customHeight="false" outlineLevel="0" collapsed="false">
      <c r="A643" s="9" t="s">
        <v>4742</v>
      </c>
      <c r="B643" s="9" t="s">
        <v>4738</v>
      </c>
      <c r="C643" s="10" t="s">
        <v>3721</v>
      </c>
      <c r="D643" s="9" t="s">
        <v>71</v>
      </c>
      <c r="E643" s="10" t="s">
        <v>4741</v>
      </c>
    </row>
    <row r="644" customFormat="false" ht="15" hidden="false" customHeight="false" outlineLevel="0" collapsed="false">
      <c r="A644" s="9" t="s">
        <v>4743</v>
      </c>
      <c r="B644" s="9" t="s">
        <v>4076</v>
      </c>
      <c r="C644" s="9" t="s">
        <v>14</v>
      </c>
      <c r="D644" s="9" t="s">
        <v>1467</v>
      </c>
      <c r="E644" s="10" t="s">
        <v>3750</v>
      </c>
    </row>
    <row r="645" customFormat="false" ht="15" hidden="false" customHeight="false" outlineLevel="0" collapsed="false">
      <c r="A645" s="9" t="s">
        <v>4744</v>
      </c>
      <c r="B645" s="9" t="s">
        <v>4745</v>
      </c>
      <c r="C645" s="9" t="s">
        <v>14</v>
      </c>
      <c r="D645" s="9" t="s">
        <v>1467</v>
      </c>
      <c r="E645" s="10" t="s">
        <v>3750</v>
      </c>
    </row>
    <row r="646" customFormat="false" ht="15" hidden="false" customHeight="false" outlineLevel="0" collapsed="false">
      <c r="A646" s="9" t="s">
        <v>4746</v>
      </c>
      <c r="B646" s="9" t="s">
        <v>4747</v>
      </c>
      <c r="C646" s="9" t="s">
        <v>6</v>
      </c>
      <c r="D646" s="9" t="s">
        <v>352</v>
      </c>
      <c r="E646" s="9"/>
    </row>
    <row r="647" customFormat="false" ht="15" hidden="false" customHeight="false" outlineLevel="0" collapsed="false">
      <c r="A647" s="9" t="s">
        <v>4748</v>
      </c>
      <c r="B647" s="9" t="s">
        <v>411</v>
      </c>
      <c r="C647" s="9" t="s">
        <v>14</v>
      </c>
      <c r="D647" s="9" t="s">
        <v>1474</v>
      </c>
      <c r="E647" s="9"/>
    </row>
    <row r="648" customFormat="false" ht="15" hidden="false" customHeight="false" outlineLevel="0" collapsed="false">
      <c r="A648" s="9" t="s">
        <v>4749</v>
      </c>
      <c r="B648" s="9" t="s">
        <v>1176</v>
      </c>
      <c r="C648" s="9" t="s">
        <v>14</v>
      </c>
      <c r="D648" s="9" t="s">
        <v>1478</v>
      </c>
      <c r="E648" s="9"/>
    </row>
    <row r="649" customFormat="false" ht="15" hidden="false" customHeight="false" outlineLevel="0" collapsed="false">
      <c r="A649" s="9" t="s">
        <v>4750</v>
      </c>
      <c r="B649" s="9" t="s">
        <v>4446</v>
      </c>
      <c r="C649" s="10" t="s">
        <v>3721</v>
      </c>
      <c r="D649" s="9" t="s">
        <v>71</v>
      </c>
      <c r="E649" s="9" t="s">
        <v>4751</v>
      </c>
    </row>
    <row r="650" customFormat="false" ht="15" hidden="false" customHeight="false" outlineLevel="0" collapsed="false">
      <c r="A650" s="9" t="s">
        <v>4752</v>
      </c>
      <c r="B650" s="9" t="s">
        <v>4753</v>
      </c>
      <c r="C650" s="9" t="s">
        <v>6</v>
      </c>
      <c r="D650" s="9" t="s">
        <v>352</v>
      </c>
      <c r="E650" s="10" t="s">
        <v>3750</v>
      </c>
    </row>
    <row r="651" customFormat="false" ht="15" hidden="false" customHeight="false" outlineLevel="0" collapsed="false">
      <c r="A651" s="9" t="s">
        <v>4754</v>
      </c>
      <c r="B651" s="9" t="s">
        <v>4755</v>
      </c>
      <c r="C651" s="9" t="s">
        <v>6</v>
      </c>
      <c r="D651" s="9" t="s">
        <v>352</v>
      </c>
      <c r="E651" s="10" t="s">
        <v>3750</v>
      </c>
    </row>
    <row r="652" customFormat="false" ht="15" hidden="false" customHeight="false" outlineLevel="0" collapsed="false">
      <c r="A652" s="9" t="s">
        <v>4756</v>
      </c>
      <c r="B652" s="9" t="s">
        <v>4757</v>
      </c>
      <c r="C652" s="9" t="s">
        <v>6</v>
      </c>
      <c r="D652" s="9" t="s">
        <v>358</v>
      </c>
      <c r="E652" s="9"/>
    </row>
    <row r="653" customFormat="false" ht="15" hidden="false" customHeight="false" outlineLevel="0" collapsed="false">
      <c r="A653" s="9" t="s">
        <v>4758</v>
      </c>
      <c r="B653" s="9" t="s">
        <v>1170</v>
      </c>
      <c r="C653" s="9" t="s">
        <v>6</v>
      </c>
      <c r="D653" s="9" t="s">
        <v>366</v>
      </c>
      <c r="E653" s="9"/>
    </row>
    <row r="654" customFormat="false" ht="15" hidden="false" customHeight="false" outlineLevel="0" collapsed="false">
      <c r="A654" s="9" t="s">
        <v>4759</v>
      </c>
      <c r="B654" s="9" t="s">
        <v>4760</v>
      </c>
      <c r="C654" s="9" t="s">
        <v>6</v>
      </c>
      <c r="D654" s="9" t="s">
        <v>370</v>
      </c>
      <c r="E654" s="9"/>
    </row>
    <row r="655" customFormat="false" ht="15" hidden="false" customHeight="false" outlineLevel="0" collapsed="false">
      <c r="A655" s="9" t="s">
        <v>4761</v>
      </c>
      <c r="B655" s="9" t="s">
        <v>4762</v>
      </c>
      <c r="C655" s="10" t="s">
        <v>3791</v>
      </c>
      <c r="D655" s="9" t="s">
        <v>4763</v>
      </c>
      <c r="E655" s="9" t="s">
        <v>4764</v>
      </c>
    </row>
    <row r="656" customFormat="false" ht="15" hidden="false" customHeight="false" outlineLevel="0" collapsed="false">
      <c r="A656" s="9" t="s">
        <v>4765</v>
      </c>
      <c r="B656" s="9" t="s">
        <v>3749</v>
      </c>
      <c r="C656" s="9" t="s">
        <v>6</v>
      </c>
      <c r="D656" s="9" t="s">
        <v>358</v>
      </c>
      <c r="E656" s="10" t="s">
        <v>3750</v>
      </c>
    </row>
    <row r="657" customFormat="false" ht="15" hidden="false" customHeight="false" outlineLevel="0" collapsed="false">
      <c r="A657" s="9" t="s">
        <v>4766</v>
      </c>
      <c r="B657" s="9" t="s">
        <v>4767</v>
      </c>
      <c r="C657" s="9" t="s">
        <v>6</v>
      </c>
      <c r="D657" s="9" t="s">
        <v>358</v>
      </c>
      <c r="E657" s="10" t="s">
        <v>3750</v>
      </c>
    </row>
    <row r="658" customFormat="false" ht="15" hidden="false" customHeight="false" outlineLevel="0" collapsed="false">
      <c r="A658" s="9" t="s">
        <v>4768</v>
      </c>
      <c r="B658" s="9" t="s">
        <v>4387</v>
      </c>
      <c r="C658" s="9" t="s">
        <v>6</v>
      </c>
      <c r="D658" s="9" t="s">
        <v>373</v>
      </c>
      <c r="E658" s="9"/>
    </row>
    <row r="659" customFormat="false" ht="15" hidden="false" customHeight="false" outlineLevel="0" collapsed="false">
      <c r="A659" s="9" t="s">
        <v>4769</v>
      </c>
      <c r="B659" s="9" t="s">
        <v>3812</v>
      </c>
      <c r="C659" s="9" t="s">
        <v>6</v>
      </c>
      <c r="D659" s="9" t="s">
        <v>378</v>
      </c>
      <c r="E659" s="9"/>
    </row>
    <row r="660" customFormat="false" ht="15" hidden="false" customHeight="false" outlineLevel="0" collapsed="false">
      <c r="A660" s="9" t="s">
        <v>4770</v>
      </c>
      <c r="B660" s="9" t="s">
        <v>411</v>
      </c>
      <c r="C660" s="9" t="s">
        <v>6</v>
      </c>
      <c r="D660" s="9" t="s">
        <v>386</v>
      </c>
      <c r="E660" s="9"/>
    </row>
    <row r="661" customFormat="false" ht="15" hidden="false" customHeight="false" outlineLevel="0" collapsed="false">
      <c r="A661" s="9" t="s">
        <v>4771</v>
      </c>
      <c r="B661" s="9" t="s">
        <v>4760</v>
      </c>
      <c r="C661" s="9" t="s">
        <v>6</v>
      </c>
      <c r="D661" s="9" t="s">
        <v>389</v>
      </c>
      <c r="E661" s="9"/>
    </row>
    <row r="662" customFormat="false" ht="15" hidden="false" customHeight="false" outlineLevel="0" collapsed="false">
      <c r="A662" s="9" t="s">
        <v>4772</v>
      </c>
      <c r="B662" s="9" t="s">
        <v>4446</v>
      </c>
      <c r="C662" s="10" t="s">
        <v>3721</v>
      </c>
      <c r="D662" s="9" t="s">
        <v>71</v>
      </c>
      <c r="E662" s="9" t="s">
        <v>4773</v>
      </c>
    </row>
    <row r="663" customFormat="false" ht="15" hidden="false" customHeight="false" outlineLevel="0" collapsed="false">
      <c r="A663" s="9" t="s">
        <v>4774</v>
      </c>
      <c r="B663" s="9" t="s">
        <v>3818</v>
      </c>
      <c r="C663" s="9" t="s">
        <v>6</v>
      </c>
      <c r="D663" s="9" t="s">
        <v>378</v>
      </c>
      <c r="E663" s="10" t="s">
        <v>3750</v>
      </c>
    </row>
    <row r="664" customFormat="false" ht="15" hidden="false" customHeight="false" outlineLevel="0" collapsed="false">
      <c r="A664" s="9" t="s">
        <v>4775</v>
      </c>
      <c r="B664" s="9" t="s">
        <v>4776</v>
      </c>
      <c r="C664" s="9" t="s">
        <v>6</v>
      </c>
      <c r="D664" s="9" t="s">
        <v>378</v>
      </c>
      <c r="E664" s="10" t="s">
        <v>3750</v>
      </c>
    </row>
    <row r="665" customFormat="false" ht="15" hidden="false" customHeight="false" outlineLevel="0" collapsed="false">
      <c r="A665" s="9" t="s">
        <v>4777</v>
      </c>
      <c r="B665" s="9" t="s">
        <v>4103</v>
      </c>
      <c r="C665" s="9" t="s">
        <v>6</v>
      </c>
      <c r="D665" s="9" t="s">
        <v>392</v>
      </c>
      <c r="E665" s="9"/>
    </row>
    <row r="666" customFormat="false" ht="15" hidden="false" customHeight="false" outlineLevel="0" collapsed="false">
      <c r="A666" s="9" t="s">
        <v>4778</v>
      </c>
      <c r="B666" s="9" t="s">
        <v>423</v>
      </c>
      <c r="C666" s="9" t="s">
        <v>6</v>
      </c>
      <c r="D666" s="9" t="s">
        <v>397</v>
      </c>
      <c r="E666" s="9"/>
    </row>
    <row r="667" customFormat="false" ht="15" hidden="false" customHeight="false" outlineLevel="0" collapsed="false">
      <c r="A667" s="9" t="s">
        <v>4779</v>
      </c>
      <c r="B667" s="9" t="s">
        <v>4780</v>
      </c>
      <c r="C667" s="9" t="s">
        <v>6</v>
      </c>
      <c r="D667" s="9" t="s">
        <v>399</v>
      </c>
      <c r="E667" s="9"/>
    </row>
    <row r="668" customFormat="false" ht="15" hidden="false" customHeight="false" outlineLevel="0" collapsed="false">
      <c r="A668" s="9" t="s">
        <v>4781</v>
      </c>
      <c r="B668" s="9" t="s">
        <v>4446</v>
      </c>
      <c r="C668" s="10" t="s">
        <v>3721</v>
      </c>
      <c r="D668" s="9" t="s">
        <v>71</v>
      </c>
      <c r="E668" s="9" t="s">
        <v>4773</v>
      </c>
    </row>
    <row r="669" customFormat="false" ht="15" hidden="false" customHeight="false" outlineLevel="0" collapsed="false">
      <c r="A669" s="9" t="s">
        <v>4782</v>
      </c>
      <c r="B669" s="9" t="s">
        <v>3818</v>
      </c>
      <c r="C669" s="9" t="s">
        <v>6</v>
      </c>
      <c r="D669" s="9" t="s">
        <v>392</v>
      </c>
      <c r="E669" s="10" t="s">
        <v>3750</v>
      </c>
    </row>
    <row r="670" customFormat="false" ht="15" hidden="false" customHeight="false" outlineLevel="0" collapsed="false">
      <c r="A670" s="9" t="s">
        <v>4783</v>
      </c>
      <c r="B670" s="9" t="s">
        <v>4784</v>
      </c>
      <c r="C670" s="9" t="s">
        <v>6</v>
      </c>
      <c r="D670" s="9" t="s">
        <v>392</v>
      </c>
      <c r="E670" s="10" t="s">
        <v>3750</v>
      </c>
    </row>
    <row r="671" customFormat="false" ht="15" hidden="false" customHeight="false" outlineLevel="0" collapsed="false">
      <c r="A671" s="9" t="s">
        <v>4785</v>
      </c>
      <c r="B671" s="9" t="s">
        <v>3855</v>
      </c>
      <c r="C671" s="9" t="s">
        <v>6</v>
      </c>
      <c r="D671" s="9" t="s">
        <v>402</v>
      </c>
      <c r="E671" s="9"/>
    </row>
    <row r="672" customFormat="false" ht="15" hidden="false" customHeight="false" outlineLevel="0" collapsed="false">
      <c r="A672" s="9" t="s">
        <v>4786</v>
      </c>
      <c r="B672" s="9" t="s">
        <v>4787</v>
      </c>
      <c r="C672" s="9" t="s">
        <v>6</v>
      </c>
      <c r="D672" s="9" t="s">
        <v>392</v>
      </c>
      <c r="E672" s="10" t="s">
        <v>3750</v>
      </c>
    </row>
    <row r="673" customFormat="false" ht="15" hidden="false" customHeight="false" outlineLevel="0" collapsed="false">
      <c r="A673" s="9" t="s">
        <v>4788</v>
      </c>
      <c r="B673" s="9" t="s">
        <v>4789</v>
      </c>
      <c r="C673" s="9" t="s">
        <v>6</v>
      </c>
      <c r="D673" s="9" t="s">
        <v>407</v>
      </c>
      <c r="E673" s="9"/>
    </row>
    <row r="674" customFormat="false" ht="15" hidden="false" customHeight="false" outlineLevel="0" collapsed="false">
      <c r="A674" s="9" t="s">
        <v>4790</v>
      </c>
      <c r="B674" s="9" t="s">
        <v>411</v>
      </c>
      <c r="C674" s="9" t="s">
        <v>6</v>
      </c>
      <c r="D674" s="9" t="s">
        <v>414</v>
      </c>
      <c r="E674" s="9"/>
    </row>
    <row r="675" customFormat="false" ht="15" hidden="false" customHeight="false" outlineLevel="0" collapsed="false">
      <c r="A675" s="9" t="s">
        <v>4791</v>
      </c>
      <c r="B675" s="9" t="s">
        <v>1174</v>
      </c>
      <c r="C675" s="9" t="s">
        <v>6</v>
      </c>
      <c r="D675" s="9" t="s">
        <v>417</v>
      </c>
      <c r="E675" s="9"/>
    </row>
    <row r="676" customFormat="false" ht="15" hidden="false" customHeight="false" outlineLevel="0" collapsed="false">
      <c r="A676" s="9" t="s">
        <v>4792</v>
      </c>
      <c r="B676" s="9" t="s">
        <v>4446</v>
      </c>
      <c r="C676" s="10" t="s">
        <v>3721</v>
      </c>
      <c r="D676" s="9" t="s">
        <v>71</v>
      </c>
      <c r="E676" s="9" t="s">
        <v>4773</v>
      </c>
    </row>
    <row r="677" customFormat="false" ht="15" hidden="false" customHeight="false" outlineLevel="0" collapsed="false">
      <c r="A677" s="9" t="s">
        <v>4793</v>
      </c>
      <c r="B677" s="9" t="s">
        <v>3818</v>
      </c>
      <c r="C677" s="9" t="s">
        <v>6</v>
      </c>
      <c r="D677" s="9" t="s">
        <v>407</v>
      </c>
      <c r="E677" s="10" t="s">
        <v>3750</v>
      </c>
    </row>
    <row r="678" customFormat="false" ht="15" hidden="false" customHeight="false" outlineLevel="0" collapsed="false">
      <c r="A678" s="9" t="s">
        <v>4794</v>
      </c>
      <c r="B678" s="9" t="s">
        <v>4795</v>
      </c>
      <c r="C678" s="9" t="s">
        <v>6</v>
      </c>
      <c r="D678" s="9" t="s">
        <v>407</v>
      </c>
      <c r="E678" s="10" t="s">
        <v>3750</v>
      </c>
    </row>
    <row r="679" customFormat="false" ht="15" hidden="false" customHeight="false" outlineLevel="0" collapsed="false">
      <c r="A679" s="9" t="s">
        <v>4796</v>
      </c>
      <c r="B679" s="9" t="s">
        <v>4101</v>
      </c>
      <c r="C679" s="9" t="s">
        <v>6</v>
      </c>
      <c r="D679" s="9" t="s">
        <v>419</v>
      </c>
      <c r="E679" s="9"/>
    </row>
    <row r="680" customFormat="false" ht="15" hidden="false" customHeight="false" outlineLevel="0" collapsed="false">
      <c r="A680" s="9" t="s">
        <v>4797</v>
      </c>
      <c r="B680" s="9" t="s">
        <v>4101</v>
      </c>
      <c r="C680" s="9" t="s">
        <v>6</v>
      </c>
      <c r="D680" s="9" t="s">
        <v>419</v>
      </c>
      <c r="E680" s="9"/>
    </row>
    <row r="681" customFormat="false" ht="15" hidden="false" customHeight="false" outlineLevel="0" collapsed="false">
      <c r="A681" s="9" t="s">
        <v>4798</v>
      </c>
      <c r="B681" s="9" t="s">
        <v>4108</v>
      </c>
      <c r="C681" s="9" t="s">
        <v>14</v>
      </c>
      <c r="D681" s="9" t="s">
        <v>1482</v>
      </c>
      <c r="E681" s="9"/>
    </row>
    <row r="682" customFormat="false" ht="15" hidden="false" customHeight="false" outlineLevel="0" collapsed="false">
      <c r="A682" s="9" t="s">
        <v>4799</v>
      </c>
      <c r="B682" s="9" t="s">
        <v>423</v>
      </c>
      <c r="C682" s="9" t="s">
        <v>6</v>
      </c>
      <c r="D682" s="9" t="s">
        <v>427</v>
      </c>
      <c r="E682" s="9"/>
    </row>
    <row r="683" customFormat="false" ht="15" hidden="false" customHeight="false" outlineLevel="0" collapsed="false">
      <c r="A683" s="9" t="s">
        <v>4800</v>
      </c>
      <c r="B683" s="9" t="s">
        <v>4760</v>
      </c>
      <c r="C683" s="9" t="s">
        <v>14</v>
      </c>
      <c r="D683" s="9" t="s">
        <v>1485</v>
      </c>
      <c r="E683" s="9"/>
    </row>
    <row r="684" customFormat="false" ht="15" hidden="false" customHeight="false" outlineLevel="0" collapsed="false">
      <c r="A684" s="9" t="s">
        <v>4801</v>
      </c>
      <c r="B684" s="9" t="s">
        <v>4446</v>
      </c>
      <c r="C684" s="10" t="s">
        <v>3721</v>
      </c>
      <c r="D684" s="9" t="s">
        <v>71</v>
      </c>
      <c r="E684" s="9" t="s">
        <v>4773</v>
      </c>
    </row>
    <row r="685" customFormat="false" ht="15" hidden="false" customHeight="false" outlineLevel="0" collapsed="false">
      <c r="A685" s="9" t="s">
        <v>4802</v>
      </c>
      <c r="B685" s="9" t="s">
        <v>4753</v>
      </c>
      <c r="C685" s="9" t="s">
        <v>6</v>
      </c>
      <c r="D685" s="9" t="s">
        <v>419</v>
      </c>
      <c r="E685" s="10" t="s">
        <v>3750</v>
      </c>
    </row>
    <row r="686" customFormat="false" ht="15" hidden="false" customHeight="false" outlineLevel="0" collapsed="false">
      <c r="A686" s="9" t="s">
        <v>4803</v>
      </c>
      <c r="B686" s="9" t="s">
        <v>4804</v>
      </c>
      <c r="C686" s="9" t="s">
        <v>6</v>
      </c>
      <c r="D686" s="9" t="s">
        <v>419</v>
      </c>
      <c r="E686" s="10" t="s">
        <v>3750</v>
      </c>
    </row>
    <row r="687" customFormat="false" ht="15" hidden="false" customHeight="false" outlineLevel="0" collapsed="false">
      <c r="A687" s="9" t="s">
        <v>4805</v>
      </c>
      <c r="B687" s="9" t="s">
        <v>4014</v>
      </c>
      <c r="C687" s="9" t="s">
        <v>6</v>
      </c>
      <c r="D687" s="9" t="s">
        <v>430</v>
      </c>
      <c r="E687" s="9"/>
    </row>
    <row r="688" customFormat="false" ht="15" hidden="false" customHeight="false" outlineLevel="0" collapsed="false">
      <c r="A688" s="9" t="s">
        <v>4806</v>
      </c>
      <c r="B688" s="9" t="s">
        <v>4807</v>
      </c>
      <c r="C688" s="9" t="s">
        <v>6</v>
      </c>
      <c r="D688" s="9" t="s">
        <v>582</v>
      </c>
      <c r="E688" s="9"/>
    </row>
    <row r="689" customFormat="false" ht="15" hidden="false" customHeight="false" outlineLevel="0" collapsed="false">
      <c r="A689" s="9" t="s">
        <v>4808</v>
      </c>
      <c r="B689" s="9" t="s">
        <v>4809</v>
      </c>
      <c r="C689" s="9" t="s">
        <v>6</v>
      </c>
      <c r="D689" s="9" t="s">
        <v>596</v>
      </c>
      <c r="E689" s="9"/>
    </row>
    <row r="690" customFormat="false" ht="15" hidden="false" customHeight="false" outlineLevel="0" collapsed="false">
      <c r="A690" s="9" t="s">
        <v>4810</v>
      </c>
      <c r="B690" s="9" t="s">
        <v>4811</v>
      </c>
      <c r="C690" s="10" t="s">
        <v>3721</v>
      </c>
      <c r="D690" s="9" t="s">
        <v>71</v>
      </c>
      <c r="E690" s="10" t="s">
        <v>4812</v>
      </c>
    </row>
    <row r="691" customFormat="false" ht="15" hidden="false" customHeight="false" outlineLevel="0" collapsed="false">
      <c r="A691" s="9" t="s">
        <v>4813</v>
      </c>
      <c r="B691" s="9" t="s">
        <v>3827</v>
      </c>
      <c r="C691" s="9" t="s">
        <v>14</v>
      </c>
      <c r="D691" s="9" t="s">
        <v>1488</v>
      </c>
      <c r="E691" s="9"/>
    </row>
    <row r="692" customFormat="false" ht="15" hidden="false" customHeight="false" outlineLevel="0" collapsed="false">
      <c r="A692" s="9" t="s">
        <v>4814</v>
      </c>
      <c r="B692" s="9" t="s">
        <v>4101</v>
      </c>
      <c r="C692" s="9" t="s">
        <v>14</v>
      </c>
      <c r="D692" s="9" t="s">
        <v>1491</v>
      </c>
      <c r="E692" s="9"/>
    </row>
    <row r="693" customFormat="false" ht="15" hidden="false" customHeight="false" outlineLevel="0" collapsed="false">
      <c r="A693" s="9" t="s">
        <v>4815</v>
      </c>
      <c r="B693" s="9" t="s">
        <v>4027</v>
      </c>
      <c r="C693" s="9" t="s">
        <v>14</v>
      </c>
      <c r="D693" s="9" t="s">
        <v>1493</v>
      </c>
      <c r="E693" s="9"/>
    </row>
    <row r="694" customFormat="false" ht="15" hidden="false" customHeight="false" outlineLevel="0" collapsed="false">
      <c r="A694" s="9" t="s">
        <v>4816</v>
      </c>
      <c r="B694" s="9" t="s">
        <v>4145</v>
      </c>
      <c r="C694" s="9" t="s">
        <v>14</v>
      </c>
      <c r="D694" s="9" t="s">
        <v>1494</v>
      </c>
      <c r="E694" s="9"/>
    </row>
    <row r="695" customFormat="false" ht="15" hidden="false" customHeight="false" outlineLevel="0" collapsed="false">
      <c r="A695" s="9" t="s">
        <v>4817</v>
      </c>
      <c r="B695" s="9" t="s">
        <v>4762</v>
      </c>
      <c r="C695" s="9" t="s">
        <v>14</v>
      </c>
      <c r="D695" s="9" t="s">
        <v>1495</v>
      </c>
      <c r="E695" s="9"/>
    </row>
    <row r="696" customFormat="false" ht="15" hidden="false" customHeight="false" outlineLevel="0" collapsed="false">
      <c r="A696" s="9" t="s">
        <v>4818</v>
      </c>
      <c r="B696" s="9" t="s">
        <v>4819</v>
      </c>
      <c r="C696" s="9" t="s">
        <v>14</v>
      </c>
      <c r="D696" s="9" t="s">
        <v>1496</v>
      </c>
      <c r="E696" s="9"/>
    </row>
    <row r="697" customFormat="false" ht="15" hidden="false" customHeight="false" outlineLevel="0" collapsed="false">
      <c r="A697" s="9" t="s">
        <v>4820</v>
      </c>
      <c r="B697" s="9" t="s">
        <v>3778</v>
      </c>
      <c r="C697" s="9" t="s">
        <v>14</v>
      </c>
      <c r="D697" s="9" t="s">
        <v>1497</v>
      </c>
      <c r="E697" s="9"/>
    </row>
    <row r="698" customFormat="false" ht="15" hidden="false" customHeight="false" outlineLevel="0" collapsed="false">
      <c r="A698" s="9" t="s">
        <v>4821</v>
      </c>
      <c r="B698" s="9" t="s">
        <v>3888</v>
      </c>
      <c r="C698" s="9" t="s">
        <v>14</v>
      </c>
      <c r="D698" s="9" t="s">
        <v>1499</v>
      </c>
      <c r="E698" s="9"/>
    </row>
    <row r="699" customFormat="false" ht="15" hidden="false" customHeight="false" outlineLevel="0" collapsed="false">
      <c r="A699" s="9" t="s">
        <v>4822</v>
      </c>
      <c r="B699" s="9" t="s">
        <v>3823</v>
      </c>
      <c r="C699" s="9" t="s">
        <v>14</v>
      </c>
      <c r="D699" s="9" t="s">
        <v>1499</v>
      </c>
      <c r="E699" s="10" t="s">
        <v>3750</v>
      </c>
    </row>
    <row r="700" customFormat="false" ht="15" hidden="false" customHeight="false" outlineLevel="0" collapsed="false">
      <c r="A700" s="9" t="s">
        <v>4823</v>
      </c>
      <c r="B700" s="9" t="s">
        <v>4824</v>
      </c>
      <c r="C700" s="9" t="s">
        <v>14</v>
      </c>
      <c r="D700" s="9" t="s">
        <v>1499</v>
      </c>
      <c r="E700" s="10" t="s">
        <v>3750</v>
      </c>
    </row>
    <row r="701" customFormat="false" ht="15" hidden="false" customHeight="false" outlineLevel="0" collapsed="false">
      <c r="A701" s="9" t="s">
        <v>4825</v>
      </c>
      <c r="B701" s="9" t="s">
        <v>4348</v>
      </c>
      <c r="C701" s="9" t="s">
        <v>14</v>
      </c>
      <c r="D701" s="9" t="s">
        <v>1501</v>
      </c>
      <c r="E701" s="9"/>
    </row>
    <row r="702" customFormat="false" ht="15" hidden="false" customHeight="false" outlineLevel="0" collapsed="false">
      <c r="A702" s="9" t="s">
        <v>4826</v>
      </c>
      <c r="B702" s="9" t="s">
        <v>4348</v>
      </c>
      <c r="C702" s="9" t="s">
        <v>14</v>
      </c>
      <c r="D702" s="9" t="s">
        <v>1501</v>
      </c>
      <c r="E702" s="9"/>
    </row>
    <row r="703" customFormat="false" ht="15" hidden="false" customHeight="false" outlineLevel="0" collapsed="false">
      <c r="A703" s="9" t="s">
        <v>4827</v>
      </c>
      <c r="B703" s="9" t="s">
        <v>3986</v>
      </c>
      <c r="C703" s="9" t="s">
        <v>14</v>
      </c>
      <c r="D703" s="9" t="s">
        <v>1501</v>
      </c>
      <c r="E703" s="9"/>
    </row>
    <row r="704" customFormat="false" ht="15" hidden="false" customHeight="false" outlineLevel="0" collapsed="false">
      <c r="A704" s="9" t="s">
        <v>4828</v>
      </c>
      <c r="B704" s="9" t="s">
        <v>3823</v>
      </c>
      <c r="C704" s="9" t="s">
        <v>14</v>
      </c>
      <c r="D704" s="9" t="s">
        <v>1501</v>
      </c>
      <c r="E704" s="10" t="s">
        <v>3750</v>
      </c>
    </row>
    <row r="705" customFormat="false" ht="15" hidden="false" customHeight="false" outlineLevel="0" collapsed="false">
      <c r="A705" s="9" t="s">
        <v>4829</v>
      </c>
      <c r="B705" s="9" t="s">
        <v>4830</v>
      </c>
      <c r="C705" s="9" t="s">
        <v>14</v>
      </c>
      <c r="D705" s="9" t="s">
        <v>1501</v>
      </c>
      <c r="E705" s="10" t="s">
        <v>3750</v>
      </c>
    </row>
    <row r="706" customFormat="false" ht="15" hidden="false" customHeight="false" outlineLevel="0" collapsed="false">
      <c r="A706" s="9" t="s">
        <v>4831</v>
      </c>
      <c r="B706" s="9" t="s">
        <v>4446</v>
      </c>
      <c r="C706" s="10" t="s">
        <v>3721</v>
      </c>
      <c r="D706" s="9" t="s">
        <v>71</v>
      </c>
      <c r="E706" s="9" t="s">
        <v>4832</v>
      </c>
    </row>
    <row r="707" customFormat="false" ht="15" hidden="false" customHeight="false" outlineLevel="0" collapsed="false">
      <c r="A707" s="9" t="s">
        <v>4833</v>
      </c>
      <c r="B707" s="9" t="s">
        <v>4449</v>
      </c>
      <c r="C707" s="10" t="s">
        <v>3721</v>
      </c>
      <c r="D707" s="9" t="s">
        <v>71</v>
      </c>
      <c r="E707" s="9" t="s">
        <v>4832</v>
      </c>
    </row>
    <row r="708" customFormat="false" ht="15" hidden="false" customHeight="false" outlineLevel="0" collapsed="false">
      <c r="A708" s="9" t="s">
        <v>4834</v>
      </c>
      <c r="B708" s="9" t="s">
        <v>4835</v>
      </c>
      <c r="C708" s="10" t="s">
        <v>3721</v>
      </c>
      <c r="D708" s="9" t="s">
        <v>71</v>
      </c>
      <c r="E708" s="9" t="s">
        <v>4832</v>
      </c>
    </row>
    <row r="709" customFormat="false" ht="15" hidden="false" customHeight="false" outlineLevel="0" collapsed="false">
      <c r="A709" s="9" t="s">
        <v>4836</v>
      </c>
      <c r="B709" s="9" t="s">
        <v>4837</v>
      </c>
      <c r="C709" s="10" t="s">
        <v>3791</v>
      </c>
      <c r="D709" s="9" t="s">
        <v>4838</v>
      </c>
      <c r="E709" s="9" t="s">
        <v>4839</v>
      </c>
    </row>
    <row r="710" customFormat="false" ht="15" hidden="false" customHeight="false" outlineLevel="0" collapsed="false">
      <c r="A710" s="9" t="s">
        <v>4840</v>
      </c>
      <c r="B710" s="9" t="s">
        <v>4841</v>
      </c>
      <c r="C710" s="9" t="s">
        <v>14</v>
      </c>
      <c r="D710" s="9" t="s">
        <v>1506</v>
      </c>
      <c r="E710" s="9"/>
    </row>
    <row r="711" customFormat="false" ht="15" hidden="false" customHeight="false" outlineLevel="0" collapsed="false">
      <c r="A711" s="9" t="s">
        <v>4842</v>
      </c>
      <c r="B711" s="9" t="s">
        <v>4843</v>
      </c>
      <c r="C711" s="9" t="s">
        <v>14</v>
      </c>
      <c r="D711" s="9" t="s">
        <v>1511</v>
      </c>
      <c r="E711" s="9"/>
    </row>
    <row r="712" customFormat="false" ht="15" hidden="false" customHeight="false" outlineLevel="0" collapsed="false">
      <c r="A712" s="9" t="s">
        <v>4844</v>
      </c>
      <c r="B712" s="9" t="s">
        <v>4845</v>
      </c>
      <c r="C712" s="9" t="s">
        <v>14</v>
      </c>
      <c r="D712" s="9" t="s">
        <v>1512</v>
      </c>
      <c r="E712" s="9"/>
    </row>
    <row r="713" customFormat="false" ht="15" hidden="false" customHeight="false" outlineLevel="0" collapsed="false">
      <c r="A713" s="9" t="s">
        <v>4846</v>
      </c>
      <c r="B713" s="9" t="s">
        <v>4847</v>
      </c>
      <c r="C713" s="9" t="s">
        <v>14</v>
      </c>
      <c r="D713" s="9" t="s">
        <v>1513</v>
      </c>
      <c r="E713" s="9"/>
    </row>
    <row r="714" customFormat="false" ht="15" hidden="false" customHeight="false" outlineLevel="0" collapsed="false">
      <c r="A714" s="9" t="s">
        <v>4848</v>
      </c>
      <c r="B714" s="9" t="s">
        <v>4849</v>
      </c>
      <c r="C714" s="9" t="s">
        <v>14</v>
      </c>
      <c r="D714" s="9" t="s">
        <v>1514</v>
      </c>
      <c r="E714" s="9"/>
    </row>
    <row r="715" customFormat="false" ht="15" hidden="false" customHeight="false" outlineLevel="0" collapsed="false">
      <c r="A715" s="9" t="s">
        <v>4850</v>
      </c>
      <c r="B715" s="9" t="s">
        <v>3913</v>
      </c>
      <c r="C715" s="9" t="s">
        <v>14</v>
      </c>
      <c r="D715" s="9" t="s">
        <v>1515</v>
      </c>
      <c r="E715" s="9"/>
    </row>
    <row r="716" customFormat="false" ht="15" hidden="false" customHeight="false" outlineLevel="0" collapsed="false">
      <c r="A716" s="9" t="s">
        <v>4851</v>
      </c>
      <c r="B716" s="9" t="s">
        <v>4218</v>
      </c>
      <c r="C716" s="9" t="s">
        <v>14</v>
      </c>
      <c r="D716" s="9" t="s">
        <v>1518</v>
      </c>
      <c r="E716" s="9"/>
    </row>
    <row r="717" customFormat="false" ht="15" hidden="false" customHeight="false" outlineLevel="0" collapsed="false">
      <c r="A717" s="9" t="s">
        <v>4852</v>
      </c>
      <c r="B717" s="9" t="s">
        <v>3823</v>
      </c>
      <c r="C717" s="9" t="s">
        <v>14</v>
      </c>
      <c r="D717" s="9" t="s">
        <v>1518</v>
      </c>
      <c r="E717" s="10" t="s">
        <v>3750</v>
      </c>
    </row>
    <row r="718" customFormat="false" ht="15" hidden="false" customHeight="false" outlineLevel="0" collapsed="false">
      <c r="A718" s="9" t="s">
        <v>4853</v>
      </c>
      <c r="B718" s="9" t="s">
        <v>4854</v>
      </c>
      <c r="C718" s="9" t="s">
        <v>14</v>
      </c>
      <c r="D718" s="9" t="s">
        <v>1518</v>
      </c>
      <c r="E718" s="10" t="s">
        <v>3750</v>
      </c>
    </row>
    <row r="719" customFormat="false" ht="15" hidden="false" customHeight="false" outlineLevel="0" collapsed="false">
      <c r="A719" s="9" t="s">
        <v>4855</v>
      </c>
      <c r="B719" s="9" t="s">
        <v>4856</v>
      </c>
      <c r="C719" s="9" t="s">
        <v>6</v>
      </c>
      <c r="D719" s="9" t="s">
        <v>433</v>
      </c>
      <c r="E719" s="9"/>
    </row>
    <row r="720" customFormat="false" ht="15" hidden="false" customHeight="false" outlineLevel="0" collapsed="false">
      <c r="A720" s="9" t="s">
        <v>4857</v>
      </c>
      <c r="B720" s="9" t="s">
        <v>3749</v>
      </c>
      <c r="C720" s="9" t="s">
        <v>6</v>
      </c>
      <c r="D720" s="9" t="s">
        <v>433</v>
      </c>
      <c r="E720" s="10" t="s">
        <v>3750</v>
      </c>
    </row>
    <row r="721" customFormat="false" ht="15" hidden="false" customHeight="false" outlineLevel="0" collapsed="false">
      <c r="A721" s="9" t="s">
        <v>4858</v>
      </c>
      <c r="B721" s="9" t="s">
        <v>4859</v>
      </c>
      <c r="C721" s="9" t="s">
        <v>6</v>
      </c>
      <c r="D721" s="9" t="s">
        <v>433</v>
      </c>
      <c r="E721" s="10" t="s">
        <v>3750</v>
      </c>
    </row>
    <row r="722" customFormat="false" ht="15" hidden="false" customHeight="false" outlineLevel="0" collapsed="false">
      <c r="A722" s="9" t="s">
        <v>4860</v>
      </c>
      <c r="B722" s="9" t="s">
        <v>4698</v>
      </c>
      <c r="C722" s="10" t="s">
        <v>4635</v>
      </c>
      <c r="D722" s="9" t="s">
        <v>339</v>
      </c>
      <c r="E722" s="10" t="s">
        <v>4699</v>
      </c>
    </row>
    <row r="723" customFormat="false" ht="15" hidden="false" customHeight="false" outlineLevel="0" collapsed="false">
      <c r="A723" s="9" t="s">
        <v>4861</v>
      </c>
      <c r="B723" s="9" t="s">
        <v>3749</v>
      </c>
      <c r="C723" s="10" t="s">
        <v>4635</v>
      </c>
      <c r="D723" s="9" t="s">
        <v>339</v>
      </c>
      <c r="E723" s="10" t="s">
        <v>4639</v>
      </c>
    </row>
    <row r="724" customFormat="false" ht="15" hidden="false" customHeight="false" outlineLevel="0" collapsed="false">
      <c r="A724" s="9" t="s">
        <v>4862</v>
      </c>
      <c r="B724" s="9" t="s">
        <v>4696</v>
      </c>
      <c r="C724" s="10" t="s">
        <v>4635</v>
      </c>
      <c r="D724" s="9" t="s">
        <v>339</v>
      </c>
      <c r="E724" s="10" t="s">
        <v>4639</v>
      </c>
    </row>
    <row r="725" customFormat="false" ht="15" hidden="false" customHeight="false" outlineLevel="0" collapsed="false">
      <c r="A725" s="9" t="s">
        <v>4863</v>
      </c>
      <c r="B725" s="9" t="s">
        <v>4864</v>
      </c>
      <c r="C725" s="9" t="s">
        <v>6</v>
      </c>
      <c r="D725" s="9" t="s">
        <v>439</v>
      </c>
      <c r="E725" s="9"/>
    </row>
    <row r="726" customFormat="false" ht="15" hidden="false" customHeight="false" outlineLevel="0" collapsed="false">
      <c r="A726" s="9" t="s">
        <v>4865</v>
      </c>
      <c r="B726" s="9" t="s">
        <v>3749</v>
      </c>
      <c r="C726" s="9" t="s">
        <v>6</v>
      </c>
      <c r="D726" s="9" t="s">
        <v>439</v>
      </c>
      <c r="E726" s="10" t="s">
        <v>3750</v>
      </c>
    </row>
    <row r="727" customFormat="false" ht="15" hidden="false" customHeight="false" outlineLevel="0" collapsed="false">
      <c r="A727" s="9" t="s">
        <v>4866</v>
      </c>
      <c r="B727" s="9" t="s">
        <v>4867</v>
      </c>
      <c r="C727" s="9" t="s">
        <v>6</v>
      </c>
      <c r="D727" s="9" t="s">
        <v>439</v>
      </c>
      <c r="E727" s="10" t="s">
        <v>3750</v>
      </c>
    </row>
    <row r="728" customFormat="false" ht="15" hidden="false" customHeight="false" outlineLevel="0" collapsed="false">
      <c r="A728" s="9" t="s">
        <v>4868</v>
      </c>
      <c r="B728" s="9" t="s">
        <v>4869</v>
      </c>
      <c r="C728" s="9" t="s">
        <v>6</v>
      </c>
      <c r="D728" s="9" t="s">
        <v>443</v>
      </c>
      <c r="E728" s="9"/>
    </row>
    <row r="729" customFormat="false" ht="15" hidden="false" customHeight="false" outlineLevel="0" collapsed="false">
      <c r="A729" s="9" t="s">
        <v>4870</v>
      </c>
      <c r="B729" s="9" t="s">
        <v>3749</v>
      </c>
      <c r="C729" s="9" t="s">
        <v>6</v>
      </c>
      <c r="D729" s="9" t="s">
        <v>443</v>
      </c>
      <c r="E729" s="10" t="s">
        <v>3750</v>
      </c>
    </row>
    <row r="730" customFormat="false" ht="15" hidden="false" customHeight="false" outlineLevel="0" collapsed="false">
      <c r="A730" s="9" t="s">
        <v>4871</v>
      </c>
      <c r="B730" s="9" t="s">
        <v>4872</v>
      </c>
      <c r="C730" s="9" t="s">
        <v>6</v>
      </c>
      <c r="D730" s="9" t="s">
        <v>443</v>
      </c>
      <c r="E730" s="10" t="s">
        <v>3750</v>
      </c>
    </row>
    <row r="731" customFormat="false" ht="15" hidden="false" customHeight="false" outlineLevel="0" collapsed="false">
      <c r="A731" s="9" t="s">
        <v>4873</v>
      </c>
      <c r="B731" s="9" t="s">
        <v>4874</v>
      </c>
      <c r="C731" s="10" t="s">
        <v>3721</v>
      </c>
      <c r="D731" s="9" t="s">
        <v>71</v>
      </c>
      <c r="E731" s="10" t="s">
        <v>4875</v>
      </c>
    </row>
    <row r="732" customFormat="false" ht="15" hidden="false" customHeight="false" outlineLevel="0" collapsed="false">
      <c r="A732" s="9" t="s">
        <v>4876</v>
      </c>
      <c r="B732" s="9" t="s">
        <v>3773</v>
      </c>
      <c r="C732" s="9" t="s">
        <v>6</v>
      </c>
      <c r="D732" s="9" t="s">
        <v>447</v>
      </c>
      <c r="E732" s="9"/>
    </row>
    <row r="733" customFormat="false" ht="15" hidden="false" customHeight="false" outlineLevel="0" collapsed="false">
      <c r="A733" s="9" t="s">
        <v>4877</v>
      </c>
      <c r="B733" s="9" t="s">
        <v>4143</v>
      </c>
      <c r="C733" s="9" t="s">
        <v>6</v>
      </c>
      <c r="D733" s="9" t="s">
        <v>447</v>
      </c>
      <c r="E733" s="9"/>
    </row>
    <row r="734" customFormat="false" ht="15" hidden="false" customHeight="false" outlineLevel="0" collapsed="false">
      <c r="A734" s="9" t="s">
        <v>4878</v>
      </c>
      <c r="B734" s="9" t="s">
        <v>4145</v>
      </c>
      <c r="C734" s="9" t="s">
        <v>6</v>
      </c>
      <c r="D734" s="9" t="s">
        <v>447</v>
      </c>
      <c r="E734" s="9"/>
    </row>
    <row r="735" customFormat="false" ht="15" hidden="false" customHeight="false" outlineLevel="0" collapsed="false">
      <c r="A735" s="9" t="s">
        <v>4879</v>
      </c>
      <c r="B735" s="9" t="s">
        <v>3749</v>
      </c>
      <c r="C735" s="9" t="s">
        <v>6</v>
      </c>
      <c r="D735" s="9" t="s">
        <v>447</v>
      </c>
      <c r="E735" s="10" t="s">
        <v>3750</v>
      </c>
    </row>
    <row r="736" customFormat="false" ht="15" hidden="false" customHeight="false" outlineLevel="0" collapsed="false">
      <c r="A736" s="9" t="s">
        <v>4880</v>
      </c>
      <c r="B736" s="9" t="s">
        <v>4881</v>
      </c>
      <c r="C736" s="9" t="s">
        <v>6</v>
      </c>
      <c r="D736" s="9" t="s">
        <v>447</v>
      </c>
      <c r="E736" s="10" t="s">
        <v>3750</v>
      </c>
    </row>
    <row r="737" customFormat="false" ht="15" hidden="false" customHeight="false" outlineLevel="0" collapsed="false">
      <c r="A737" s="9" t="s">
        <v>4882</v>
      </c>
      <c r="B737" s="9" t="s">
        <v>4883</v>
      </c>
      <c r="C737" s="9" t="s">
        <v>6</v>
      </c>
      <c r="D737" s="9" t="s">
        <v>452</v>
      </c>
      <c r="E737" s="9"/>
    </row>
    <row r="738" customFormat="false" ht="15" hidden="false" customHeight="false" outlineLevel="0" collapsed="false">
      <c r="A738" s="9" t="s">
        <v>4884</v>
      </c>
      <c r="B738" s="9" t="s">
        <v>4885</v>
      </c>
      <c r="C738" s="10" t="s">
        <v>3791</v>
      </c>
      <c r="D738" s="9" t="s">
        <v>4886</v>
      </c>
      <c r="E738" s="9" t="s">
        <v>4887</v>
      </c>
    </row>
    <row r="739" customFormat="false" ht="15" hidden="false" customHeight="false" outlineLevel="0" collapsed="false">
      <c r="A739" s="9" t="s">
        <v>4888</v>
      </c>
      <c r="B739" s="9" t="s">
        <v>3749</v>
      </c>
      <c r="C739" s="10" t="s">
        <v>3791</v>
      </c>
      <c r="D739" s="9" t="s">
        <v>4886</v>
      </c>
      <c r="E739" s="9" t="s">
        <v>4887</v>
      </c>
    </row>
    <row r="740" customFormat="false" ht="15" hidden="false" customHeight="false" outlineLevel="0" collapsed="false">
      <c r="A740" s="9" t="s">
        <v>4889</v>
      </c>
      <c r="B740" s="9" t="s">
        <v>4890</v>
      </c>
      <c r="C740" s="10" t="s">
        <v>3791</v>
      </c>
      <c r="D740" s="9" t="s">
        <v>4886</v>
      </c>
      <c r="E740" s="9" t="s">
        <v>4887</v>
      </c>
    </row>
    <row r="741" customFormat="false" ht="15" hidden="false" customHeight="false" outlineLevel="0" collapsed="false">
      <c r="A741" s="9" t="s">
        <v>4891</v>
      </c>
      <c r="B741" s="9" t="s">
        <v>4143</v>
      </c>
      <c r="C741" s="9" t="s">
        <v>6</v>
      </c>
      <c r="D741" s="9" t="s">
        <v>459</v>
      </c>
      <c r="E741" s="9"/>
    </row>
    <row r="742" customFormat="false" ht="15" hidden="false" customHeight="false" outlineLevel="0" collapsed="false">
      <c r="A742" s="9" t="s">
        <v>4892</v>
      </c>
      <c r="B742" s="9" t="s">
        <v>3818</v>
      </c>
      <c r="C742" s="9" t="s">
        <v>6</v>
      </c>
      <c r="D742" s="9" t="s">
        <v>459</v>
      </c>
      <c r="E742" s="10" t="s">
        <v>3750</v>
      </c>
    </row>
    <row r="743" customFormat="false" ht="15" hidden="false" customHeight="false" outlineLevel="0" collapsed="false">
      <c r="A743" s="9" t="s">
        <v>4893</v>
      </c>
      <c r="B743" s="9" t="s">
        <v>4894</v>
      </c>
      <c r="C743" s="9" t="s">
        <v>6</v>
      </c>
      <c r="D743" s="9" t="s">
        <v>459</v>
      </c>
      <c r="E743" s="10" t="s">
        <v>3750</v>
      </c>
    </row>
    <row r="744" customFormat="false" ht="15" hidden="false" customHeight="false" outlineLevel="0" collapsed="false">
      <c r="A744" s="9" t="s">
        <v>4895</v>
      </c>
      <c r="B744" s="9" t="s">
        <v>4023</v>
      </c>
      <c r="C744" s="9" t="s">
        <v>14</v>
      </c>
      <c r="D744" s="9" t="s">
        <v>1520</v>
      </c>
      <c r="E744" s="9"/>
    </row>
    <row r="745" customFormat="false" ht="15" hidden="false" customHeight="false" outlineLevel="0" collapsed="false">
      <c r="A745" s="9" t="s">
        <v>4896</v>
      </c>
      <c r="B745" s="9" t="s">
        <v>4025</v>
      </c>
      <c r="C745" s="9" t="s">
        <v>14</v>
      </c>
      <c r="D745" s="9" t="s">
        <v>1520</v>
      </c>
      <c r="E745" s="9"/>
    </row>
    <row r="746" customFormat="false" ht="15" hidden="false" customHeight="false" outlineLevel="0" collapsed="false">
      <c r="A746" s="9" t="s">
        <v>4897</v>
      </c>
      <c r="B746" s="9" t="s">
        <v>4101</v>
      </c>
      <c r="C746" s="9" t="s">
        <v>14</v>
      </c>
      <c r="D746" s="9" t="s">
        <v>1520</v>
      </c>
      <c r="E746" s="9"/>
    </row>
    <row r="747" customFormat="false" ht="15" hidden="false" customHeight="false" outlineLevel="0" collapsed="false">
      <c r="A747" s="9" t="s">
        <v>4898</v>
      </c>
      <c r="B747" s="9" t="s">
        <v>3823</v>
      </c>
      <c r="C747" s="9" t="s">
        <v>14</v>
      </c>
      <c r="D747" s="9" t="s">
        <v>1520</v>
      </c>
      <c r="E747" s="10" t="s">
        <v>3750</v>
      </c>
    </row>
    <row r="748" customFormat="false" ht="15" hidden="false" customHeight="false" outlineLevel="0" collapsed="false">
      <c r="A748" s="9" t="s">
        <v>4899</v>
      </c>
      <c r="B748" s="9" t="s">
        <v>4747</v>
      </c>
      <c r="C748" s="9" t="s">
        <v>6</v>
      </c>
      <c r="D748" s="9" t="s">
        <v>465</v>
      </c>
      <c r="E748" s="9"/>
    </row>
    <row r="749" customFormat="false" ht="15" hidden="false" customHeight="false" outlineLevel="0" collapsed="false">
      <c r="A749" s="9" t="s">
        <v>4900</v>
      </c>
      <c r="B749" s="9" t="s">
        <v>3749</v>
      </c>
      <c r="C749" s="9" t="s">
        <v>6</v>
      </c>
      <c r="D749" s="9" t="s">
        <v>465</v>
      </c>
      <c r="E749" s="10" t="s">
        <v>3750</v>
      </c>
    </row>
    <row r="750" customFormat="false" ht="15" hidden="false" customHeight="false" outlineLevel="0" collapsed="false">
      <c r="A750" s="9" t="s">
        <v>4901</v>
      </c>
      <c r="B750" s="9" t="s">
        <v>4902</v>
      </c>
      <c r="C750" s="9" t="s">
        <v>6</v>
      </c>
      <c r="D750" s="9" t="s">
        <v>465</v>
      </c>
      <c r="E750" s="10" t="s">
        <v>3750</v>
      </c>
    </row>
    <row r="751" customFormat="false" ht="15" hidden="false" customHeight="false" outlineLevel="0" collapsed="false">
      <c r="A751" s="9" t="s">
        <v>4903</v>
      </c>
      <c r="B751" s="9" t="s">
        <v>4458</v>
      </c>
      <c r="C751" s="9" t="s">
        <v>6</v>
      </c>
      <c r="D751" s="9" t="s">
        <v>470</v>
      </c>
      <c r="E751" s="9"/>
    </row>
    <row r="752" customFormat="false" ht="15" hidden="false" customHeight="false" outlineLevel="0" collapsed="false">
      <c r="A752" s="9" t="s">
        <v>4904</v>
      </c>
      <c r="B752" s="9" t="s">
        <v>3749</v>
      </c>
      <c r="C752" s="9" t="s">
        <v>6</v>
      </c>
      <c r="D752" s="9" t="s">
        <v>470</v>
      </c>
      <c r="E752" s="10" t="s">
        <v>3750</v>
      </c>
    </row>
    <row r="753" customFormat="false" ht="15" hidden="false" customHeight="false" outlineLevel="0" collapsed="false">
      <c r="A753" s="9" t="s">
        <v>4905</v>
      </c>
      <c r="B753" s="9" t="s">
        <v>4906</v>
      </c>
      <c r="C753" s="9" t="s">
        <v>6</v>
      </c>
      <c r="D753" s="9" t="s">
        <v>470</v>
      </c>
      <c r="E753" s="10" t="s">
        <v>3750</v>
      </c>
    </row>
    <row r="754" customFormat="false" ht="15" hidden="false" customHeight="false" outlineLevel="0" collapsed="false">
      <c r="A754" s="9" t="s">
        <v>4907</v>
      </c>
      <c r="B754" s="9" t="s">
        <v>4908</v>
      </c>
      <c r="C754" s="10" t="s">
        <v>3721</v>
      </c>
      <c r="D754" s="9" t="s">
        <v>71</v>
      </c>
      <c r="E754" s="10" t="s">
        <v>4909</v>
      </c>
    </row>
    <row r="755" customFormat="false" ht="15" hidden="false" customHeight="false" outlineLevel="0" collapsed="false">
      <c r="A755" s="9" t="s">
        <v>4910</v>
      </c>
      <c r="B755" s="9" t="s">
        <v>4911</v>
      </c>
      <c r="C755" s="10" t="s">
        <v>3721</v>
      </c>
      <c r="D755" s="9" t="s">
        <v>71</v>
      </c>
      <c r="E755" s="10" t="s">
        <v>4912</v>
      </c>
    </row>
    <row r="756" customFormat="false" ht="15" hidden="false" customHeight="false" outlineLevel="0" collapsed="false">
      <c r="A756" s="9" t="s">
        <v>4913</v>
      </c>
      <c r="B756" s="9" t="s">
        <v>4914</v>
      </c>
      <c r="C756" s="10" t="s">
        <v>3721</v>
      </c>
      <c r="D756" s="9" t="s">
        <v>71</v>
      </c>
      <c r="E756" s="10" t="s">
        <v>3949</v>
      </c>
    </row>
    <row r="757" customFormat="false" ht="15" hidden="false" customHeight="false" outlineLevel="0" collapsed="false">
      <c r="A757" s="9" t="s">
        <v>4915</v>
      </c>
      <c r="B757" s="9" t="s">
        <v>4191</v>
      </c>
      <c r="C757" s="9" t="s">
        <v>6</v>
      </c>
      <c r="D757" s="9" t="s">
        <v>475</v>
      </c>
      <c r="E757" s="9"/>
    </row>
    <row r="758" customFormat="false" ht="15" hidden="false" customHeight="false" outlineLevel="0" collapsed="false">
      <c r="A758" s="9" t="s">
        <v>4916</v>
      </c>
      <c r="B758" s="9" t="s">
        <v>3749</v>
      </c>
      <c r="C758" s="9" t="s">
        <v>6</v>
      </c>
      <c r="D758" s="9" t="s">
        <v>475</v>
      </c>
      <c r="E758" s="10" t="s">
        <v>3750</v>
      </c>
    </row>
    <row r="759" customFormat="false" ht="15" hidden="false" customHeight="false" outlineLevel="0" collapsed="false">
      <c r="A759" s="9" t="s">
        <v>4917</v>
      </c>
      <c r="B759" s="9" t="s">
        <v>4918</v>
      </c>
      <c r="C759" s="9" t="s">
        <v>6</v>
      </c>
      <c r="D759" s="9" t="s">
        <v>475</v>
      </c>
      <c r="E759" s="10" t="s">
        <v>3750</v>
      </c>
    </row>
    <row r="760" customFormat="false" ht="15" hidden="false" customHeight="false" outlineLevel="0" collapsed="false">
      <c r="A760" s="9" t="s">
        <v>4919</v>
      </c>
      <c r="B760" s="9" t="s">
        <v>4137</v>
      </c>
      <c r="C760" s="9" t="s">
        <v>6</v>
      </c>
      <c r="D760" s="9" t="s">
        <v>475</v>
      </c>
      <c r="E760" s="10" t="s">
        <v>3750</v>
      </c>
    </row>
    <row r="761" customFormat="false" ht="15" hidden="false" customHeight="false" outlineLevel="0" collapsed="false">
      <c r="A761" s="9" t="s">
        <v>4920</v>
      </c>
      <c r="B761" s="9" t="s">
        <v>4921</v>
      </c>
      <c r="C761" s="10" t="s">
        <v>3791</v>
      </c>
      <c r="D761" s="10" t="s">
        <v>4922</v>
      </c>
      <c r="E761" s="9" t="s">
        <v>4923</v>
      </c>
    </row>
    <row r="762" customFormat="false" ht="15" hidden="false" customHeight="false" outlineLevel="0" collapsed="false">
      <c r="A762" s="9" t="s">
        <v>4924</v>
      </c>
      <c r="B762" s="9" t="s">
        <v>4925</v>
      </c>
      <c r="C762" s="10" t="s">
        <v>3791</v>
      </c>
      <c r="D762" s="10" t="s">
        <v>4922</v>
      </c>
      <c r="E762" s="9" t="s">
        <v>4923</v>
      </c>
    </row>
    <row r="763" customFormat="false" ht="15" hidden="false" customHeight="false" outlineLevel="0" collapsed="false">
      <c r="A763" s="9" t="s">
        <v>4926</v>
      </c>
      <c r="B763" s="9" t="s">
        <v>4927</v>
      </c>
      <c r="C763" s="10" t="s">
        <v>3791</v>
      </c>
      <c r="D763" s="10" t="s">
        <v>4922</v>
      </c>
      <c r="E763" s="9" t="s">
        <v>4923</v>
      </c>
    </row>
    <row r="764" customFormat="false" ht="15" hidden="false" customHeight="false" outlineLevel="0" collapsed="false">
      <c r="A764" s="9" t="s">
        <v>4928</v>
      </c>
      <c r="B764" s="9" t="s">
        <v>3801</v>
      </c>
      <c r="C764" s="10" t="s">
        <v>3791</v>
      </c>
      <c r="D764" s="10" t="s">
        <v>4922</v>
      </c>
      <c r="E764" s="9" t="s">
        <v>4923</v>
      </c>
    </row>
    <row r="765" customFormat="false" ht="15" hidden="false" customHeight="false" outlineLevel="0" collapsed="false">
      <c r="A765" s="9" t="s">
        <v>4929</v>
      </c>
      <c r="B765" s="9" t="s">
        <v>4930</v>
      </c>
      <c r="C765" s="10" t="s">
        <v>3791</v>
      </c>
      <c r="D765" s="10" t="s">
        <v>4922</v>
      </c>
      <c r="E765" s="9" t="s">
        <v>4923</v>
      </c>
    </row>
    <row r="766" customFormat="false" ht="15" hidden="false" customHeight="false" outlineLevel="0" collapsed="false">
      <c r="A766" s="9" t="s">
        <v>4931</v>
      </c>
      <c r="B766" s="9" t="s">
        <v>4137</v>
      </c>
      <c r="C766" s="10" t="s">
        <v>3791</v>
      </c>
      <c r="D766" s="10" t="s">
        <v>4922</v>
      </c>
      <c r="E766" s="9" t="s">
        <v>4923</v>
      </c>
    </row>
    <row r="767" customFormat="false" ht="15" hidden="false" customHeight="false" outlineLevel="0" collapsed="false">
      <c r="A767" s="9" t="s">
        <v>4932</v>
      </c>
      <c r="B767" s="9" t="s">
        <v>4933</v>
      </c>
      <c r="C767" s="9" t="s">
        <v>6</v>
      </c>
      <c r="D767" s="9" t="s">
        <v>480</v>
      </c>
      <c r="E767" s="9"/>
    </row>
    <row r="768" customFormat="false" ht="15" hidden="false" customHeight="false" outlineLevel="0" collapsed="false">
      <c r="A768" s="9" t="s">
        <v>4934</v>
      </c>
      <c r="B768" s="9" t="s">
        <v>3749</v>
      </c>
      <c r="C768" s="9" t="s">
        <v>6</v>
      </c>
      <c r="D768" s="9" t="s">
        <v>480</v>
      </c>
      <c r="E768" s="10" t="s">
        <v>3750</v>
      </c>
    </row>
    <row r="769" customFormat="false" ht="15" hidden="false" customHeight="false" outlineLevel="0" collapsed="false">
      <c r="A769" s="9" t="s">
        <v>4935</v>
      </c>
      <c r="B769" s="9" t="s">
        <v>4936</v>
      </c>
      <c r="C769" s="9" t="s">
        <v>6</v>
      </c>
      <c r="D769" s="9" t="s">
        <v>480</v>
      </c>
      <c r="E769" s="10" t="s">
        <v>3750</v>
      </c>
    </row>
    <row r="770" customFormat="false" ht="15" hidden="false" customHeight="false" outlineLevel="0" collapsed="false">
      <c r="A770" s="9" t="s">
        <v>4937</v>
      </c>
      <c r="B770" s="9" t="s">
        <v>4698</v>
      </c>
      <c r="C770" s="9" t="s">
        <v>6</v>
      </c>
      <c r="D770" s="9" t="s">
        <v>339</v>
      </c>
      <c r="E770" s="9"/>
    </row>
    <row r="771" customFormat="false" ht="15" hidden="false" customHeight="false" outlineLevel="0" collapsed="false">
      <c r="A771" s="9" t="s">
        <v>4938</v>
      </c>
      <c r="B771" s="9" t="s">
        <v>4117</v>
      </c>
      <c r="C771" s="9" t="s">
        <v>6</v>
      </c>
      <c r="D771" s="9" t="s">
        <v>339</v>
      </c>
      <c r="E771" s="9"/>
    </row>
    <row r="772" customFormat="false" ht="15" hidden="false" customHeight="false" outlineLevel="0" collapsed="false">
      <c r="A772" s="9" t="s">
        <v>4939</v>
      </c>
      <c r="B772" s="9" t="s">
        <v>4698</v>
      </c>
      <c r="C772" s="9" t="s">
        <v>6</v>
      </c>
      <c r="D772" s="9" t="s">
        <v>339</v>
      </c>
      <c r="E772" s="9"/>
    </row>
    <row r="773" customFormat="false" ht="15" hidden="false" customHeight="false" outlineLevel="0" collapsed="false">
      <c r="A773" s="9" t="s">
        <v>4940</v>
      </c>
      <c r="B773" s="9" t="s">
        <v>3749</v>
      </c>
      <c r="C773" s="9" t="s">
        <v>6</v>
      </c>
      <c r="D773" s="9" t="s">
        <v>339</v>
      </c>
      <c r="E773" s="10" t="s">
        <v>3750</v>
      </c>
    </row>
    <row r="774" customFormat="false" ht="15" hidden="false" customHeight="false" outlineLevel="0" collapsed="false">
      <c r="A774" s="9" t="s">
        <v>4941</v>
      </c>
      <c r="B774" s="9" t="s">
        <v>4942</v>
      </c>
      <c r="C774" s="9" t="s">
        <v>6</v>
      </c>
      <c r="D774" s="9" t="s">
        <v>339</v>
      </c>
      <c r="E774" s="10" t="s">
        <v>3750</v>
      </c>
    </row>
    <row r="775" customFormat="false" ht="15" hidden="false" customHeight="false" outlineLevel="0" collapsed="false">
      <c r="A775" s="9" t="s">
        <v>4943</v>
      </c>
      <c r="B775" s="9" t="s">
        <v>4137</v>
      </c>
      <c r="C775" s="9" t="s">
        <v>6</v>
      </c>
      <c r="D775" s="9" t="s">
        <v>339</v>
      </c>
      <c r="E775" s="10" t="s">
        <v>3750</v>
      </c>
    </row>
    <row r="776" customFormat="false" ht="15" hidden="false" customHeight="false" outlineLevel="0" collapsed="false">
      <c r="A776" s="9" t="s">
        <v>4944</v>
      </c>
      <c r="B776" s="9" t="s">
        <v>4644</v>
      </c>
      <c r="C776" s="10" t="s">
        <v>4635</v>
      </c>
      <c r="D776" s="9" t="s">
        <v>4945</v>
      </c>
      <c r="E776" s="10" t="s">
        <v>4946</v>
      </c>
    </row>
    <row r="777" customFormat="false" ht="15" hidden="false" customHeight="false" outlineLevel="0" collapsed="false">
      <c r="A777" s="9" t="s">
        <v>4947</v>
      </c>
      <c r="B777" s="9" t="s">
        <v>4651</v>
      </c>
      <c r="C777" s="10" t="s">
        <v>4635</v>
      </c>
      <c r="D777" s="9" t="s">
        <v>4948</v>
      </c>
      <c r="E777" s="10" t="s">
        <v>4949</v>
      </c>
    </row>
    <row r="778" customFormat="false" ht="15" hidden="false" customHeight="false" outlineLevel="0" collapsed="false">
      <c r="A778" s="9" t="s">
        <v>4950</v>
      </c>
      <c r="B778" s="9" t="s">
        <v>3749</v>
      </c>
      <c r="C778" s="10" t="s">
        <v>4635</v>
      </c>
      <c r="D778" s="9" t="s">
        <v>4951</v>
      </c>
      <c r="E778" s="10" t="s">
        <v>4639</v>
      </c>
    </row>
    <row r="779" customFormat="false" ht="15" hidden="false" customHeight="false" outlineLevel="0" collapsed="false">
      <c r="A779" s="9" t="s">
        <v>4952</v>
      </c>
      <c r="B779" s="9" t="s">
        <v>4953</v>
      </c>
      <c r="C779" s="10" t="s">
        <v>4635</v>
      </c>
      <c r="D779" s="9" t="s">
        <v>4951</v>
      </c>
      <c r="E779" s="10" t="s">
        <v>4954</v>
      </c>
    </row>
    <row r="780" customFormat="false" ht="15" hidden="false" customHeight="false" outlineLevel="0" collapsed="false">
      <c r="A780" s="9" t="s">
        <v>4955</v>
      </c>
      <c r="B780" s="9" t="s">
        <v>4956</v>
      </c>
      <c r="C780" s="10" t="s">
        <v>3721</v>
      </c>
      <c r="D780" s="9" t="s">
        <v>71</v>
      </c>
      <c r="E780" s="10" t="s">
        <v>4957</v>
      </c>
    </row>
    <row r="781" customFormat="false" ht="15" hidden="false" customHeight="false" outlineLevel="0" collapsed="false">
      <c r="A781" s="9" t="s">
        <v>4958</v>
      </c>
      <c r="B781" s="9" t="s">
        <v>4959</v>
      </c>
      <c r="C781" s="10" t="s">
        <v>3721</v>
      </c>
      <c r="D781" s="9" t="s">
        <v>71</v>
      </c>
      <c r="E781" s="10" t="s">
        <v>4960</v>
      </c>
    </row>
    <row r="782" customFormat="false" ht="15" hidden="false" customHeight="false" outlineLevel="0" collapsed="false">
      <c r="A782" s="9" t="s">
        <v>4961</v>
      </c>
      <c r="B782" s="9" t="s">
        <v>4962</v>
      </c>
      <c r="C782" s="10" t="s">
        <v>3721</v>
      </c>
      <c r="D782" s="9" t="s">
        <v>71</v>
      </c>
      <c r="E782" s="10" t="s">
        <v>4963</v>
      </c>
    </row>
    <row r="783" customFormat="false" ht="15" hidden="false" customHeight="false" outlineLevel="0" collapsed="false">
      <c r="A783" s="9" t="s">
        <v>4964</v>
      </c>
      <c r="B783" s="9" t="s">
        <v>4965</v>
      </c>
      <c r="C783" s="10" t="s">
        <v>4425</v>
      </c>
      <c r="D783" s="9" t="s">
        <v>4966</v>
      </c>
      <c r="E783" s="10" t="s">
        <v>4967</v>
      </c>
    </row>
    <row r="784" customFormat="false" ht="15" hidden="false" customHeight="false" outlineLevel="0" collapsed="false">
      <c r="A784" s="9" t="s">
        <v>4968</v>
      </c>
      <c r="B784" s="9" t="s">
        <v>4969</v>
      </c>
      <c r="C784" s="10" t="s">
        <v>4425</v>
      </c>
      <c r="D784" s="9" t="s">
        <v>4966</v>
      </c>
      <c r="E784" s="10" t="s">
        <v>4967</v>
      </c>
    </row>
    <row r="785" customFormat="false" ht="15" hidden="false" customHeight="false" outlineLevel="0" collapsed="false">
      <c r="A785" s="9" t="s">
        <v>4970</v>
      </c>
      <c r="B785" s="9" t="s">
        <v>4971</v>
      </c>
      <c r="C785" s="10" t="s">
        <v>4425</v>
      </c>
      <c r="D785" s="9" t="s">
        <v>4966</v>
      </c>
      <c r="E785" s="10" t="s">
        <v>4967</v>
      </c>
    </row>
    <row r="786" customFormat="false" ht="15" hidden="false" customHeight="false" outlineLevel="0" collapsed="false">
      <c r="A786" s="9" t="s">
        <v>4972</v>
      </c>
      <c r="B786" s="9" t="s">
        <v>4973</v>
      </c>
      <c r="C786" s="10" t="s">
        <v>4425</v>
      </c>
      <c r="D786" s="9" t="s">
        <v>4966</v>
      </c>
      <c r="E786" s="10" t="s">
        <v>4967</v>
      </c>
    </row>
    <row r="787" customFormat="false" ht="15" hidden="false" customHeight="false" outlineLevel="0" collapsed="false">
      <c r="A787" s="9" t="s">
        <v>4974</v>
      </c>
      <c r="B787" s="9" t="s">
        <v>4975</v>
      </c>
      <c r="C787" s="10" t="s">
        <v>4425</v>
      </c>
      <c r="D787" s="9" t="s">
        <v>4966</v>
      </c>
      <c r="E787" s="10" t="s">
        <v>4967</v>
      </c>
    </row>
    <row r="788" customFormat="false" ht="15" hidden="false" customHeight="false" outlineLevel="0" collapsed="false">
      <c r="A788" s="9" t="s">
        <v>4976</v>
      </c>
      <c r="B788" s="9" t="s">
        <v>4977</v>
      </c>
      <c r="C788" s="10" t="s">
        <v>4425</v>
      </c>
      <c r="D788" s="9" t="s">
        <v>4966</v>
      </c>
      <c r="E788" s="10" t="s">
        <v>4967</v>
      </c>
    </row>
    <row r="789" customFormat="false" ht="15" hidden="false" customHeight="false" outlineLevel="0" collapsed="false">
      <c r="A789" s="9" t="s">
        <v>4978</v>
      </c>
      <c r="B789" s="9" t="s">
        <v>4979</v>
      </c>
      <c r="C789" s="10" t="s">
        <v>4425</v>
      </c>
      <c r="D789" s="9" t="s">
        <v>4966</v>
      </c>
      <c r="E789" s="10" t="s">
        <v>4967</v>
      </c>
    </row>
    <row r="790" customFormat="false" ht="15" hidden="false" customHeight="false" outlineLevel="0" collapsed="false">
      <c r="A790" s="9" t="s">
        <v>4980</v>
      </c>
      <c r="B790" s="9" t="s">
        <v>4981</v>
      </c>
      <c r="C790" s="10" t="s">
        <v>4425</v>
      </c>
      <c r="D790" s="9" t="s">
        <v>4966</v>
      </c>
      <c r="E790" s="10" t="s">
        <v>4967</v>
      </c>
    </row>
    <row r="791" customFormat="false" ht="15" hidden="false" customHeight="false" outlineLevel="0" collapsed="false">
      <c r="A791" s="9" t="s">
        <v>4982</v>
      </c>
      <c r="B791" s="9" t="s">
        <v>4983</v>
      </c>
      <c r="C791" s="10" t="s">
        <v>4425</v>
      </c>
      <c r="D791" s="9" t="s">
        <v>4966</v>
      </c>
      <c r="E791" s="10" t="s">
        <v>4967</v>
      </c>
    </row>
    <row r="792" customFormat="false" ht="15" hidden="false" customHeight="false" outlineLevel="0" collapsed="false">
      <c r="A792" s="9" t="s">
        <v>4984</v>
      </c>
      <c r="B792" s="9" t="s">
        <v>4985</v>
      </c>
      <c r="C792" s="10" t="s">
        <v>4425</v>
      </c>
      <c r="D792" s="9" t="s">
        <v>4966</v>
      </c>
      <c r="E792" s="10" t="s">
        <v>4967</v>
      </c>
    </row>
    <row r="793" customFormat="false" ht="15" hidden="false" customHeight="false" outlineLevel="0" collapsed="false">
      <c r="A793" s="9" t="s">
        <v>4986</v>
      </c>
      <c r="B793" s="9" t="s">
        <v>3801</v>
      </c>
      <c r="C793" s="10" t="s">
        <v>4425</v>
      </c>
      <c r="D793" s="9" t="s">
        <v>4966</v>
      </c>
      <c r="E793" s="10" t="s">
        <v>4967</v>
      </c>
    </row>
    <row r="794" customFormat="false" ht="15" hidden="false" customHeight="false" outlineLevel="0" collapsed="false">
      <c r="A794" s="9" t="s">
        <v>4987</v>
      </c>
      <c r="B794" s="9" t="s">
        <v>3805</v>
      </c>
      <c r="C794" s="10" t="s">
        <v>4425</v>
      </c>
      <c r="D794" s="9" t="s">
        <v>4966</v>
      </c>
      <c r="E794" s="10" t="s">
        <v>4967</v>
      </c>
    </row>
    <row r="795" customFormat="false" ht="15" hidden="false" customHeight="false" outlineLevel="0" collapsed="false">
      <c r="A795" s="9" t="s">
        <v>4988</v>
      </c>
      <c r="B795" s="9" t="s">
        <v>3974</v>
      </c>
      <c r="C795" s="10" t="s">
        <v>4425</v>
      </c>
      <c r="D795" s="9" t="s">
        <v>4989</v>
      </c>
      <c r="E795" s="10" t="s">
        <v>4427</v>
      </c>
    </row>
    <row r="796" customFormat="false" ht="15" hidden="false" customHeight="false" outlineLevel="0" collapsed="false">
      <c r="A796" s="9" t="s">
        <v>4990</v>
      </c>
      <c r="B796" s="9" t="s">
        <v>3859</v>
      </c>
      <c r="C796" s="10" t="s">
        <v>4425</v>
      </c>
      <c r="D796" s="9" t="s">
        <v>4989</v>
      </c>
      <c r="E796" s="10" t="s">
        <v>4427</v>
      </c>
    </row>
    <row r="797" customFormat="false" ht="15" hidden="false" customHeight="false" outlineLevel="0" collapsed="false">
      <c r="A797" s="9" t="s">
        <v>4991</v>
      </c>
      <c r="B797" s="9" t="s">
        <v>3976</v>
      </c>
      <c r="C797" s="10" t="s">
        <v>4425</v>
      </c>
      <c r="D797" s="9" t="s">
        <v>4989</v>
      </c>
      <c r="E797" s="10" t="s">
        <v>4427</v>
      </c>
    </row>
    <row r="798" customFormat="false" ht="15" hidden="false" customHeight="false" outlineLevel="0" collapsed="false">
      <c r="A798" s="9" t="s">
        <v>4992</v>
      </c>
      <c r="B798" s="9" t="s">
        <v>4008</v>
      </c>
      <c r="C798" s="10" t="s">
        <v>4425</v>
      </c>
      <c r="D798" s="9" t="s">
        <v>4989</v>
      </c>
      <c r="E798" s="10" t="s">
        <v>4427</v>
      </c>
    </row>
    <row r="799" customFormat="false" ht="15" hidden="false" customHeight="false" outlineLevel="0" collapsed="false">
      <c r="A799" s="9" t="s">
        <v>4993</v>
      </c>
      <c r="B799" s="9" t="s">
        <v>3778</v>
      </c>
      <c r="C799" s="9" t="s">
        <v>14</v>
      </c>
      <c r="D799" s="9" t="s">
        <v>1524</v>
      </c>
      <c r="E799" s="9"/>
    </row>
    <row r="800" customFormat="false" ht="15" hidden="false" customHeight="false" outlineLevel="0" collapsed="false">
      <c r="A800" s="9" t="s">
        <v>4994</v>
      </c>
      <c r="B800" s="9" t="s">
        <v>3910</v>
      </c>
      <c r="C800" s="9" t="s">
        <v>14</v>
      </c>
      <c r="D800" s="9" t="s">
        <v>1524</v>
      </c>
      <c r="E800" s="9"/>
    </row>
    <row r="801" customFormat="false" ht="15" hidden="false" customHeight="false" outlineLevel="0" collapsed="false">
      <c r="A801" s="9" t="s">
        <v>4995</v>
      </c>
      <c r="B801" s="9" t="s">
        <v>3851</v>
      </c>
      <c r="C801" s="9" t="s">
        <v>14</v>
      </c>
      <c r="D801" s="9" t="s">
        <v>1524</v>
      </c>
      <c r="E801" s="9"/>
    </row>
    <row r="802" customFormat="false" ht="15" hidden="false" customHeight="false" outlineLevel="0" collapsed="false">
      <c r="A802" s="9" t="s">
        <v>4996</v>
      </c>
      <c r="B802" s="9" t="s">
        <v>3823</v>
      </c>
      <c r="C802" s="9" t="s">
        <v>14</v>
      </c>
      <c r="D802" s="9" t="s">
        <v>1524</v>
      </c>
      <c r="E802" s="10" t="s">
        <v>3750</v>
      </c>
    </row>
    <row r="803" customFormat="false" ht="15" hidden="false" customHeight="false" outlineLevel="0" collapsed="false">
      <c r="A803" s="9" t="s">
        <v>4997</v>
      </c>
      <c r="B803" s="9" t="s">
        <v>4998</v>
      </c>
      <c r="C803" s="9" t="s">
        <v>14</v>
      </c>
      <c r="D803" s="9" t="s">
        <v>1524</v>
      </c>
      <c r="E803" s="10" t="s">
        <v>3750</v>
      </c>
    </row>
    <row r="804" customFormat="false" ht="15" hidden="false" customHeight="false" outlineLevel="0" collapsed="false">
      <c r="A804" s="9" t="s">
        <v>4999</v>
      </c>
      <c r="B804" s="9" t="s">
        <v>5000</v>
      </c>
      <c r="C804" s="10" t="s">
        <v>4425</v>
      </c>
      <c r="D804" s="9" t="s">
        <v>5001</v>
      </c>
      <c r="E804" s="10" t="s">
        <v>4427</v>
      </c>
    </row>
    <row r="805" customFormat="false" ht="15" hidden="false" customHeight="false" outlineLevel="0" collapsed="false">
      <c r="A805" s="9" t="s">
        <v>5002</v>
      </c>
      <c r="B805" s="9" t="s">
        <v>4218</v>
      </c>
      <c r="C805" s="10" t="s">
        <v>4425</v>
      </c>
      <c r="D805" s="9" t="s">
        <v>5001</v>
      </c>
      <c r="E805" s="10" t="s">
        <v>4427</v>
      </c>
    </row>
    <row r="806" customFormat="false" ht="15" hidden="false" customHeight="false" outlineLevel="0" collapsed="false">
      <c r="A806" s="9" t="s">
        <v>5003</v>
      </c>
      <c r="B806" s="9" t="s">
        <v>3882</v>
      </c>
      <c r="C806" s="10" t="s">
        <v>4425</v>
      </c>
      <c r="D806" s="9" t="s">
        <v>5001</v>
      </c>
      <c r="E806" s="10" t="s">
        <v>4427</v>
      </c>
    </row>
    <row r="807" customFormat="false" ht="15" hidden="false" customHeight="false" outlineLevel="0" collapsed="false">
      <c r="A807" s="9" t="s">
        <v>5004</v>
      </c>
      <c r="B807" s="9" t="s">
        <v>3823</v>
      </c>
      <c r="C807" s="10" t="s">
        <v>4425</v>
      </c>
      <c r="D807" s="9" t="s">
        <v>5001</v>
      </c>
      <c r="E807" s="10" t="s">
        <v>4427</v>
      </c>
    </row>
    <row r="808" customFormat="false" ht="15" hidden="false" customHeight="false" outlineLevel="0" collapsed="false">
      <c r="A808" s="9" t="s">
        <v>5005</v>
      </c>
      <c r="B808" s="9" t="s">
        <v>5006</v>
      </c>
      <c r="C808" s="10" t="s">
        <v>4425</v>
      </c>
      <c r="D808" s="9" t="s">
        <v>5001</v>
      </c>
      <c r="E808" s="10" t="s">
        <v>4427</v>
      </c>
    </row>
    <row r="809" customFormat="false" ht="15" hidden="false" customHeight="false" outlineLevel="0" collapsed="false">
      <c r="A809" s="9" t="s">
        <v>5007</v>
      </c>
      <c r="B809" s="9" t="s">
        <v>5008</v>
      </c>
      <c r="C809" s="9" t="s">
        <v>14</v>
      </c>
      <c r="D809" s="9" t="s">
        <v>5009</v>
      </c>
      <c r="E809" s="10" t="s">
        <v>5010</v>
      </c>
    </row>
    <row r="810" customFormat="false" ht="15" hidden="false" customHeight="false" outlineLevel="0" collapsed="false">
      <c r="A810" s="9" t="s">
        <v>5011</v>
      </c>
      <c r="B810" s="9" t="s">
        <v>3778</v>
      </c>
      <c r="C810" s="9" t="s">
        <v>14</v>
      </c>
      <c r="D810" s="9" t="s">
        <v>1529</v>
      </c>
      <c r="E810" s="9"/>
    </row>
    <row r="811" customFormat="false" ht="15" hidden="false" customHeight="false" outlineLevel="0" collapsed="false">
      <c r="A811" s="9" t="s">
        <v>5012</v>
      </c>
      <c r="B811" s="9" t="s">
        <v>3988</v>
      </c>
      <c r="C811" s="9" t="s">
        <v>14</v>
      </c>
      <c r="D811" s="9" t="s">
        <v>1534</v>
      </c>
      <c r="E811" s="9"/>
    </row>
    <row r="812" customFormat="false" ht="15" hidden="false" customHeight="false" outlineLevel="0" collapsed="false">
      <c r="A812" s="9" t="s">
        <v>5013</v>
      </c>
      <c r="B812" s="9" t="s">
        <v>3974</v>
      </c>
      <c r="C812" s="9" t="s">
        <v>14</v>
      </c>
      <c r="D812" s="9" t="s">
        <v>1535</v>
      </c>
      <c r="E812" s="9"/>
    </row>
    <row r="813" customFormat="false" ht="15" hidden="false" customHeight="false" outlineLevel="0" collapsed="false">
      <c r="A813" s="9" t="s">
        <v>5014</v>
      </c>
      <c r="B813" s="9" t="s">
        <v>4317</v>
      </c>
      <c r="C813" s="9" t="s">
        <v>14</v>
      </c>
      <c r="D813" s="9" t="s">
        <v>1536</v>
      </c>
      <c r="E813" s="9"/>
    </row>
    <row r="814" customFormat="false" ht="15" hidden="false" customHeight="false" outlineLevel="0" collapsed="false">
      <c r="A814" s="9" t="s">
        <v>5015</v>
      </c>
      <c r="B814" s="9" t="s">
        <v>3827</v>
      </c>
      <c r="C814" s="9" t="s">
        <v>14</v>
      </c>
      <c r="D814" s="9" t="s">
        <v>1537</v>
      </c>
      <c r="E814" s="9"/>
    </row>
    <row r="815" customFormat="false" ht="15" hidden="false" customHeight="false" outlineLevel="0" collapsed="false">
      <c r="A815" s="9" t="s">
        <v>5016</v>
      </c>
      <c r="B815" s="9" t="s">
        <v>3827</v>
      </c>
      <c r="C815" s="9" t="s">
        <v>14</v>
      </c>
      <c r="D815" s="9" t="s">
        <v>1538</v>
      </c>
      <c r="E815" s="9"/>
    </row>
    <row r="816" customFormat="false" ht="15" hidden="false" customHeight="false" outlineLevel="0" collapsed="false">
      <c r="A816" s="9" t="s">
        <v>5017</v>
      </c>
      <c r="B816" s="9" t="s">
        <v>3910</v>
      </c>
      <c r="C816" s="9" t="s">
        <v>14</v>
      </c>
      <c r="D816" s="9" t="s">
        <v>1539</v>
      </c>
      <c r="E816" s="9"/>
    </row>
    <row r="817" customFormat="false" ht="15" hidden="false" customHeight="false" outlineLevel="0" collapsed="false">
      <c r="A817" s="9" t="s">
        <v>5018</v>
      </c>
      <c r="B817" s="9" t="s">
        <v>3991</v>
      </c>
      <c r="C817" s="9" t="s">
        <v>14</v>
      </c>
      <c r="D817" s="9" t="s">
        <v>1543</v>
      </c>
      <c r="E817" s="9"/>
    </row>
    <row r="818" customFormat="false" ht="15" hidden="false" customHeight="false" outlineLevel="0" collapsed="false">
      <c r="A818" s="9" t="s">
        <v>5019</v>
      </c>
      <c r="B818" s="9" t="s">
        <v>3984</v>
      </c>
      <c r="C818" s="9" t="s">
        <v>14</v>
      </c>
      <c r="D818" s="9" t="s">
        <v>1544</v>
      </c>
      <c r="E818" s="9"/>
    </row>
    <row r="819" customFormat="false" ht="15" hidden="false" customHeight="false" outlineLevel="0" collapsed="false">
      <c r="A819" s="9" t="s">
        <v>5020</v>
      </c>
      <c r="B819" s="9" t="s">
        <v>3986</v>
      </c>
      <c r="C819" s="9" t="s">
        <v>14</v>
      </c>
      <c r="D819" s="9" t="s">
        <v>1545</v>
      </c>
      <c r="E819" s="9"/>
    </row>
    <row r="820" customFormat="false" ht="15" hidden="false" customHeight="false" outlineLevel="0" collapsed="false">
      <c r="A820" s="9" t="s">
        <v>5021</v>
      </c>
      <c r="B820" s="9" t="s">
        <v>3807</v>
      </c>
      <c r="C820" s="9" t="s">
        <v>14</v>
      </c>
      <c r="D820" s="9" t="s">
        <v>1546</v>
      </c>
      <c r="E820" s="9"/>
    </row>
    <row r="821" customFormat="false" ht="15" hidden="false" customHeight="false" outlineLevel="0" collapsed="false">
      <c r="A821" s="9" t="s">
        <v>5022</v>
      </c>
      <c r="B821" s="9" t="s">
        <v>3859</v>
      </c>
      <c r="C821" s="9" t="s">
        <v>14</v>
      </c>
      <c r="D821" s="9" t="s">
        <v>1547</v>
      </c>
      <c r="E821" s="9"/>
    </row>
    <row r="822" customFormat="false" ht="15" hidden="false" customHeight="false" outlineLevel="0" collapsed="false">
      <c r="A822" s="9" t="s">
        <v>5023</v>
      </c>
      <c r="B822" s="9" t="s">
        <v>3827</v>
      </c>
      <c r="C822" s="9" t="s">
        <v>14</v>
      </c>
      <c r="D822" s="9" t="s">
        <v>1548</v>
      </c>
      <c r="E822" s="9"/>
    </row>
    <row r="823" customFormat="false" ht="15" hidden="false" customHeight="false" outlineLevel="0" collapsed="false">
      <c r="A823" s="9" t="s">
        <v>5024</v>
      </c>
      <c r="B823" s="9" t="s">
        <v>4317</v>
      </c>
      <c r="C823" s="9" t="s">
        <v>14</v>
      </c>
      <c r="D823" s="9" t="s">
        <v>1551</v>
      </c>
      <c r="E823" s="9"/>
    </row>
    <row r="824" customFormat="false" ht="15" hidden="false" customHeight="false" outlineLevel="0" collapsed="false">
      <c r="A824" s="9" t="s">
        <v>5025</v>
      </c>
      <c r="B824" s="9" t="s">
        <v>3986</v>
      </c>
      <c r="C824" s="9" t="s">
        <v>14</v>
      </c>
      <c r="D824" s="9" t="s">
        <v>1552</v>
      </c>
      <c r="E824" s="9"/>
    </row>
    <row r="825" customFormat="false" ht="15" hidden="false" customHeight="false" outlineLevel="0" collapsed="false">
      <c r="A825" s="9" t="s">
        <v>5026</v>
      </c>
      <c r="B825" s="9" t="s">
        <v>3984</v>
      </c>
      <c r="C825" s="9" t="s">
        <v>14</v>
      </c>
      <c r="D825" s="9" t="s">
        <v>1553</v>
      </c>
      <c r="E825" s="9"/>
    </row>
    <row r="826" customFormat="false" ht="15" hidden="false" customHeight="false" outlineLevel="0" collapsed="false">
      <c r="A826" s="9" t="s">
        <v>5027</v>
      </c>
      <c r="B826" s="9" t="s">
        <v>3863</v>
      </c>
      <c r="C826" s="9" t="s">
        <v>14</v>
      </c>
      <c r="D826" s="9" t="s">
        <v>1554</v>
      </c>
      <c r="E826" s="9"/>
    </row>
    <row r="827" customFormat="false" ht="15" hidden="false" customHeight="false" outlineLevel="0" collapsed="false">
      <c r="A827" s="9" t="s">
        <v>5028</v>
      </c>
      <c r="B827" s="9" t="s">
        <v>3984</v>
      </c>
      <c r="C827" s="9" t="s">
        <v>14</v>
      </c>
      <c r="D827" s="9" t="s">
        <v>1555</v>
      </c>
      <c r="E827" s="9"/>
    </row>
    <row r="828" customFormat="false" ht="15" hidden="false" customHeight="false" outlineLevel="0" collapsed="false">
      <c r="A828" s="9" t="s">
        <v>5029</v>
      </c>
      <c r="B828" s="9" t="s">
        <v>3827</v>
      </c>
      <c r="C828" s="9" t="s">
        <v>14</v>
      </c>
      <c r="D828" s="9" t="s">
        <v>1556</v>
      </c>
      <c r="E828" s="9"/>
    </row>
    <row r="829" customFormat="false" ht="15" hidden="false" customHeight="false" outlineLevel="0" collapsed="false">
      <c r="A829" s="9" t="s">
        <v>5030</v>
      </c>
      <c r="B829" s="9" t="s">
        <v>3827</v>
      </c>
      <c r="C829" s="9" t="s">
        <v>14</v>
      </c>
      <c r="D829" s="9" t="s">
        <v>1559</v>
      </c>
      <c r="E829" s="9"/>
    </row>
    <row r="830" customFormat="false" ht="15" hidden="false" customHeight="false" outlineLevel="0" collapsed="false">
      <c r="A830" s="9" t="s">
        <v>5031</v>
      </c>
      <c r="B830" s="9" t="s">
        <v>3827</v>
      </c>
      <c r="C830" s="9" t="s">
        <v>14</v>
      </c>
      <c r="D830" s="9" t="s">
        <v>1560</v>
      </c>
      <c r="E830" s="9"/>
    </row>
    <row r="831" customFormat="false" ht="15" hidden="false" customHeight="false" outlineLevel="0" collapsed="false">
      <c r="A831" s="9" t="s">
        <v>5032</v>
      </c>
      <c r="B831" s="9" t="s">
        <v>4317</v>
      </c>
      <c r="C831" s="9" t="s">
        <v>14</v>
      </c>
      <c r="D831" s="9" t="s">
        <v>1561</v>
      </c>
      <c r="E831" s="9"/>
    </row>
    <row r="832" customFormat="false" ht="15" hidden="false" customHeight="false" outlineLevel="0" collapsed="false">
      <c r="A832" s="9" t="s">
        <v>5033</v>
      </c>
      <c r="B832" s="9" t="s">
        <v>3859</v>
      </c>
      <c r="C832" s="9" t="s">
        <v>14</v>
      </c>
      <c r="D832" s="9" t="s">
        <v>1562</v>
      </c>
      <c r="E832" s="9"/>
    </row>
    <row r="833" customFormat="false" ht="15" hidden="false" customHeight="false" outlineLevel="0" collapsed="false">
      <c r="A833" s="9" t="s">
        <v>5034</v>
      </c>
      <c r="B833" s="9" t="s">
        <v>3807</v>
      </c>
      <c r="C833" s="9" t="s">
        <v>14</v>
      </c>
      <c r="D833" s="9" t="s">
        <v>1563</v>
      </c>
      <c r="E833" s="9"/>
    </row>
    <row r="834" customFormat="false" ht="15" hidden="false" customHeight="false" outlineLevel="0" collapsed="false">
      <c r="A834" s="9" t="s">
        <v>5035</v>
      </c>
      <c r="B834" s="9" t="s">
        <v>3823</v>
      </c>
      <c r="C834" s="9" t="s">
        <v>14</v>
      </c>
      <c r="D834" s="9" t="s">
        <v>5036</v>
      </c>
      <c r="E834" s="10" t="s">
        <v>3750</v>
      </c>
    </row>
    <row r="835" customFormat="false" ht="15" hidden="false" customHeight="false" outlineLevel="0" collapsed="false">
      <c r="A835" s="9" t="s">
        <v>5037</v>
      </c>
      <c r="B835" s="9" t="s">
        <v>4231</v>
      </c>
      <c r="C835" s="9" t="s">
        <v>14</v>
      </c>
      <c r="D835" s="9" t="s">
        <v>5036</v>
      </c>
      <c r="E835" s="10" t="s">
        <v>3750</v>
      </c>
    </row>
    <row r="836" customFormat="false" ht="15" hidden="false" customHeight="false" outlineLevel="0" collapsed="false">
      <c r="A836" s="9" t="s">
        <v>490</v>
      </c>
      <c r="B836" s="9" t="s">
        <v>3807</v>
      </c>
      <c r="C836" s="9" t="s">
        <v>6</v>
      </c>
      <c r="D836" s="9" t="s">
        <v>485</v>
      </c>
      <c r="E836" s="9"/>
    </row>
    <row r="837" customFormat="false" ht="15" hidden="false" customHeight="false" outlineLevel="0" collapsed="false">
      <c r="A837" s="9" t="s">
        <v>494</v>
      </c>
      <c r="B837" s="9" t="s">
        <v>3778</v>
      </c>
      <c r="C837" s="9" t="s">
        <v>6</v>
      </c>
      <c r="D837" s="9" t="s">
        <v>492</v>
      </c>
      <c r="E837" s="9"/>
    </row>
    <row r="838" customFormat="false" ht="15" hidden="false" customHeight="false" outlineLevel="0" collapsed="false">
      <c r="A838" s="9" t="s">
        <v>499</v>
      </c>
      <c r="B838" s="9" t="s">
        <v>5038</v>
      </c>
      <c r="C838" s="9" t="s">
        <v>6</v>
      </c>
      <c r="D838" s="9" t="s">
        <v>496</v>
      </c>
      <c r="E838" s="9"/>
    </row>
    <row r="839" customFormat="false" ht="15" hidden="false" customHeight="false" outlineLevel="0" collapsed="false">
      <c r="A839" s="9" t="s">
        <v>504</v>
      </c>
      <c r="B839" s="9" t="s">
        <v>4101</v>
      </c>
      <c r="C839" s="9" t="s">
        <v>6</v>
      </c>
      <c r="D839" s="9" t="s">
        <v>501</v>
      </c>
      <c r="E839" s="9"/>
    </row>
    <row r="840" customFormat="false" ht="15" hidden="false" customHeight="false" outlineLevel="0" collapsed="false">
      <c r="A840" s="9" t="s">
        <v>5039</v>
      </c>
      <c r="B840" s="9" t="s">
        <v>3749</v>
      </c>
      <c r="C840" s="9" t="s">
        <v>6</v>
      </c>
      <c r="D840" s="10" t="s">
        <v>5040</v>
      </c>
      <c r="E840" s="10" t="s">
        <v>3750</v>
      </c>
    </row>
    <row r="841" customFormat="false" ht="15" hidden="false" customHeight="false" outlineLevel="0" collapsed="false">
      <c r="A841" s="9" t="s">
        <v>5041</v>
      </c>
      <c r="B841" s="9" t="s">
        <v>5042</v>
      </c>
      <c r="C841" s="9" t="s">
        <v>6</v>
      </c>
      <c r="D841" s="10" t="s">
        <v>5040</v>
      </c>
      <c r="E841" s="10" t="s">
        <v>3750</v>
      </c>
    </row>
    <row r="842" customFormat="false" ht="15" hidden="false" customHeight="false" outlineLevel="0" collapsed="false">
      <c r="A842" s="9" t="s">
        <v>5043</v>
      </c>
      <c r="B842" s="9" t="s">
        <v>4137</v>
      </c>
      <c r="C842" s="9" t="s">
        <v>6</v>
      </c>
      <c r="D842" s="10" t="s">
        <v>5040</v>
      </c>
      <c r="E842" s="10" t="s">
        <v>3750</v>
      </c>
    </row>
    <row r="843" customFormat="false" ht="15" hidden="false" customHeight="false" outlineLevel="0" collapsed="false">
      <c r="A843" s="9" t="s">
        <v>5044</v>
      </c>
      <c r="B843" s="9" t="s">
        <v>3727</v>
      </c>
      <c r="C843" s="9" t="s">
        <v>14</v>
      </c>
      <c r="D843" s="9" t="s">
        <v>1564</v>
      </c>
      <c r="E843" s="9"/>
    </row>
    <row r="844" customFormat="false" ht="15" hidden="false" customHeight="false" outlineLevel="0" collapsed="false">
      <c r="A844" s="9" t="s">
        <v>5045</v>
      </c>
      <c r="B844" s="9" t="s">
        <v>4099</v>
      </c>
      <c r="C844" s="9" t="s">
        <v>14</v>
      </c>
      <c r="D844" s="9" t="s">
        <v>1564</v>
      </c>
      <c r="E844" s="9"/>
    </row>
    <row r="845" customFormat="false" ht="15" hidden="false" customHeight="false" outlineLevel="0" collapsed="false">
      <c r="A845" s="9" t="s">
        <v>5046</v>
      </c>
      <c r="B845" s="9" t="s">
        <v>5047</v>
      </c>
      <c r="C845" s="9" t="s">
        <v>14</v>
      </c>
      <c r="D845" s="9" t="s">
        <v>1564</v>
      </c>
      <c r="E845" s="9"/>
    </row>
    <row r="846" customFormat="false" ht="15" hidden="false" customHeight="false" outlineLevel="0" collapsed="false">
      <c r="A846" s="9" t="s">
        <v>5048</v>
      </c>
      <c r="B846" s="9" t="s">
        <v>4008</v>
      </c>
      <c r="C846" s="9" t="s">
        <v>14</v>
      </c>
      <c r="D846" s="9" t="s">
        <v>1564</v>
      </c>
      <c r="E846" s="10" t="s">
        <v>3750</v>
      </c>
    </row>
    <row r="847" customFormat="false" ht="15" hidden="false" customHeight="false" outlineLevel="0" collapsed="false">
      <c r="A847" s="9" t="s">
        <v>5049</v>
      </c>
      <c r="B847" s="9" t="s">
        <v>5050</v>
      </c>
      <c r="C847" s="9" t="s">
        <v>14</v>
      </c>
      <c r="D847" s="9" t="s">
        <v>1564</v>
      </c>
      <c r="E847" s="10" t="s">
        <v>3750</v>
      </c>
    </row>
    <row r="848" customFormat="false" ht="15" hidden="false" customHeight="false" outlineLevel="0" collapsed="false">
      <c r="A848" s="9" t="s">
        <v>5051</v>
      </c>
      <c r="B848" s="9" t="s">
        <v>3859</v>
      </c>
      <c r="C848" s="9" t="s">
        <v>14</v>
      </c>
      <c r="D848" s="9" t="s">
        <v>1577</v>
      </c>
      <c r="E848" s="9"/>
    </row>
    <row r="849" customFormat="false" ht="15" hidden="false" customHeight="false" outlineLevel="0" collapsed="false">
      <c r="A849" s="9" t="s">
        <v>5052</v>
      </c>
      <c r="B849" s="9" t="s">
        <v>3823</v>
      </c>
      <c r="C849" s="9" t="s">
        <v>14</v>
      </c>
      <c r="D849" s="9" t="s">
        <v>1577</v>
      </c>
      <c r="E849" s="10" t="s">
        <v>3750</v>
      </c>
    </row>
    <row r="850" customFormat="false" ht="15" hidden="false" customHeight="false" outlineLevel="0" collapsed="false">
      <c r="A850" s="9" t="s">
        <v>5053</v>
      </c>
      <c r="B850" s="9" t="s">
        <v>3986</v>
      </c>
      <c r="C850" s="9" t="s">
        <v>14</v>
      </c>
      <c r="D850" s="9" t="s">
        <v>1580</v>
      </c>
      <c r="E850" s="9"/>
    </row>
    <row r="851" customFormat="false" ht="15" hidden="false" customHeight="false" outlineLevel="0" collapsed="false">
      <c r="A851" s="9" t="s">
        <v>5054</v>
      </c>
      <c r="B851" s="9" t="s">
        <v>3823</v>
      </c>
      <c r="C851" s="9" t="s">
        <v>14</v>
      </c>
      <c r="D851" s="9" t="s">
        <v>1580</v>
      </c>
      <c r="E851" s="10" t="s">
        <v>3750</v>
      </c>
    </row>
    <row r="852" customFormat="false" ht="15" hidden="false" customHeight="false" outlineLevel="0" collapsed="false">
      <c r="A852" s="9" t="s">
        <v>5055</v>
      </c>
      <c r="B852" s="9" t="s">
        <v>5056</v>
      </c>
      <c r="C852" s="9" t="s">
        <v>14</v>
      </c>
      <c r="D852" s="9" t="s">
        <v>1580</v>
      </c>
      <c r="E852" s="10" t="s">
        <v>3750</v>
      </c>
    </row>
    <row r="853" customFormat="false" ht="15" hidden="false" customHeight="false" outlineLevel="0" collapsed="false">
      <c r="A853" s="9" t="s">
        <v>5057</v>
      </c>
      <c r="B853" s="9" t="s">
        <v>5058</v>
      </c>
      <c r="C853" s="10" t="s">
        <v>3721</v>
      </c>
      <c r="D853" s="9" t="s">
        <v>71</v>
      </c>
      <c r="E853" s="10" t="s">
        <v>5059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5060</v>
      </c>
      <c r="B1" s="0" t="s">
        <v>5061</v>
      </c>
      <c r="C1" s="0" t="s">
        <v>5062</v>
      </c>
      <c r="D1" s="0" t="s">
        <v>5063</v>
      </c>
    </row>
    <row r="2" customFormat="false" ht="15" hidden="false" customHeight="false" outlineLevel="0" collapsed="false">
      <c r="A2" s="0" t="s">
        <v>6</v>
      </c>
      <c r="B2" s="0" t="s">
        <v>66</v>
      </c>
      <c r="C2" s="0" t="s">
        <v>5064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66</v>
      </c>
      <c r="C3" s="0" t="s">
        <v>5065</v>
      </c>
    </row>
    <row r="4" customFormat="false" ht="15" hidden="false" customHeight="false" outlineLevel="0" collapsed="false">
      <c r="A4" s="0" t="s">
        <v>6</v>
      </c>
      <c r="B4" s="0" t="s">
        <v>66</v>
      </c>
      <c r="C4" s="0" t="s">
        <v>5066</v>
      </c>
    </row>
    <row r="5" customFormat="false" ht="15" hidden="false" customHeight="false" outlineLevel="0" collapsed="false">
      <c r="A5" s="0" t="s">
        <v>6</v>
      </c>
      <c r="B5" s="0" t="s">
        <v>82</v>
      </c>
      <c r="C5" s="0" t="s">
        <v>5064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82</v>
      </c>
      <c r="C6" s="0" t="s">
        <v>5065</v>
      </c>
    </row>
    <row r="7" customFormat="false" ht="15" hidden="false" customHeight="false" outlineLevel="0" collapsed="false">
      <c r="A7" s="0" t="s">
        <v>6</v>
      </c>
      <c r="B7" s="0" t="s">
        <v>82</v>
      </c>
      <c r="C7" s="0" t="s">
        <v>5066</v>
      </c>
    </row>
    <row r="8" customFormat="false" ht="15" hidden="false" customHeight="false" outlineLevel="0" collapsed="false">
      <c r="A8" s="0" t="s">
        <v>6</v>
      </c>
      <c r="B8" s="0" t="s">
        <v>90</v>
      </c>
      <c r="C8" s="0" t="s">
        <v>5064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90</v>
      </c>
      <c r="C9" s="0" t="s">
        <v>5065</v>
      </c>
    </row>
    <row r="10" customFormat="false" ht="15" hidden="false" customHeight="false" outlineLevel="0" collapsed="false">
      <c r="A10" s="0" t="s">
        <v>6</v>
      </c>
      <c r="B10" s="0" t="s">
        <v>90</v>
      </c>
      <c r="C10" s="0" t="s">
        <v>5066</v>
      </c>
    </row>
    <row r="11" customFormat="false" ht="15" hidden="false" customHeight="false" outlineLevel="0" collapsed="false">
      <c r="A11" s="0" t="s">
        <v>6</v>
      </c>
      <c r="B11" s="0" t="s">
        <v>96</v>
      </c>
      <c r="C11" s="0" t="s">
        <v>5064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96</v>
      </c>
      <c r="C12" s="0" t="s">
        <v>5065</v>
      </c>
    </row>
    <row r="13" customFormat="false" ht="15" hidden="false" customHeight="false" outlineLevel="0" collapsed="false">
      <c r="A13" s="0" t="s">
        <v>6</v>
      </c>
      <c r="B13" s="0" t="s">
        <v>96</v>
      </c>
      <c r="C13" s="0" t="s">
        <v>5066</v>
      </c>
    </row>
    <row r="14" customFormat="false" ht="15" hidden="false" customHeight="false" outlineLevel="0" collapsed="false">
      <c r="A14" s="0" t="s">
        <v>6</v>
      </c>
      <c r="B14" s="0" t="s">
        <v>104</v>
      </c>
      <c r="C14" s="0" t="s">
        <v>5064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104</v>
      </c>
      <c r="C15" s="0" t="s">
        <v>5065</v>
      </c>
    </row>
    <row r="16" customFormat="false" ht="15" hidden="false" customHeight="false" outlineLevel="0" collapsed="false">
      <c r="A16" s="0" t="s">
        <v>6</v>
      </c>
      <c r="B16" s="0" t="s">
        <v>104</v>
      </c>
      <c r="C16" s="0" t="s">
        <v>5066</v>
      </c>
    </row>
    <row r="17" customFormat="false" ht="15" hidden="false" customHeight="false" outlineLevel="0" collapsed="false">
      <c r="A17" s="0" t="s">
        <v>6</v>
      </c>
      <c r="B17" s="0" t="s">
        <v>111</v>
      </c>
      <c r="C17" s="0" t="s">
        <v>5064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111</v>
      </c>
      <c r="C18" s="0" t="s">
        <v>5065</v>
      </c>
    </row>
    <row r="19" customFormat="false" ht="15" hidden="false" customHeight="false" outlineLevel="0" collapsed="false">
      <c r="A19" s="0" t="s">
        <v>6</v>
      </c>
      <c r="B19" s="0" t="s">
        <v>111</v>
      </c>
      <c r="C19" s="0" t="s">
        <v>5066</v>
      </c>
    </row>
    <row r="20" customFormat="false" ht="15" hidden="false" customHeight="false" outlineLevel="0" collapsed="false">
      <c r="A20" s="0" t="s">
        <v>6</v>
      </c>
      <c r="B20" s="0" t="s">
        <v>118</v>
      </c>
      <c r="C20" s="0" t="s">
        <v>5064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118</v>
      </c>
      <c r="C21" s="0" t="s">
        <v>5065</v>
      </c>
    </row>
    <row r="22" customFormat="false" ht="15" hidden="false" customHeight="false" outlineLevel="0" collapsed="false">
      <c r="A22" s="0" t="s">
        <v>6</v>
      </c>
      <c r="B22" s="0" t="s">
        <v>118</v>
      </c>
      <c r="C22" s="0" t="s">
        <v>5066</v>
      </c>
    </row>
    <row r="23" customFormat="false" ht="15" hidden="false" customHeight="false" outlineLevel="0" collapsed="false">
      <c r="A23" s="0" t="s">
        <v>6</v>
      </c>
      <c r="B23" s="0" t="s">
        <v>125</v>
      </c>
      <c r="C23" s="0" t="s">
        <v>5064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125</v>
      </c>
      <c r="C24" s="0" t="s">
        <v>5065</v>
      </c>
    </row>
    <row r="25" customFormat="false" ht="15" hidden="false" customHeight="false" outlineLevel="0" collapsed="false">
      <c r="A25" s="0" t="s">
        <v>6</v>
      </c>
      <c r="B25" s="0" t="s">
        <v>125</v>
      </c>
      <c r="C25" s="0" t="s">
        <v>5066</v>
      </c>
    </row>
    <row r="26" customFormat="false" ht="15" hidden="false" customHeight="false" outlineLevel="0" collapsed="false">
      <c r="A26" s="0" t="s">
        <v>6</v>
      </c>
      <c r="B26" s="0" t="s">
        <v>135</v>
      </c>
      <c r="C26" s="0" t="s">
        <v>5064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135</v>
      </c>
      <c r="C27" s="0" t="s">
        <v>5065</v>
      </c>
    </row>
    <row r="28" customFormat="false" ht="15" hidden="false" customHeight="false" outlineLevel="0" collapsed="false">
      <c r="A28" s="0" t="s">
        <v>6</v>
      </c>
      <c r="B28" s="0" t="s">
        <v>135</v>
      </c>
      <c r="C28" s="0" t="s">
        <v>5066</v>
      </c>
    </row>
    <row r="29" customFormat="false" ht="15" hidden="false" customHeight="false" outlineLevel="0" collapsed="false">
      <c r="A29" s="0" t="s">
        <v>6</v>
      </c>
      <c r="B29" s="0" t="s">
        <v>144</v>
      </c>
      <c r="C29" s="0" t="s">
        <v>5064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144</v>
      </c>
      <c r="C30" s="0" t="s">
        <v>5065</v>
      </c>
    </row>
    <row r="31" customFormat="false" ht="15" hidden="false" customHeight="false" outlineLevel="0" collapsed="false">
      <c r="A31" s="0" t="s">
        <v>6</v>
      </c>
      <c r="B31" s="0" t="s">
        <v>144</v>
      </c>
      <c r="C31" s="0" t="s">
        <v>5066</v>
      </c>
    </row>
    <row r="32" customFormat="false" ht="15" hidden="false" customHeight="false" outlineLevel="0" collapsed="false">
      <c r="A32" s="0" t="s">
        <v>6</v>
      </c>
      <c r="B32" s="0" t="s">
        <v>150</v>
      </c>
      <c r="C32" s="0" t="s">
        <v>5064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150</v>
      </c>
      <c r="C33" s="0" t="s">
        <v>5065</v>
      </c>
    </row>
    <row r="34" customFormat="false" ht="15" hidden="false" customHeight="false" outlineLevel="0" collapsed="false">
      <c r="A34" s="0" t="s">
        <v>6</v>
      </c>
      <c r="B34" s="0" t="s">
        <v>150</v>
      </c>
      <c r="C34" s="0" t="s">
        <v>5066</v>
      </c>
    </row>
    <row r="35" customFormat="false" ht="15" hidden="false" customHeight="false" outlineLevel="0" collapsed="false">
      <c r="A35" s="0" t="s">
        <v>6</v>
      </c>
      <c r="B35" s="0" t="s">
        <v>158</v>
      </c>
      <c r="C35" s="0" t="s">
        <v>5064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158</v>
      </c>
      <c r="C36" s="0" t="s">
        <v>5065</v>
      </c>
    </row>
    <row r="37" customFormat="false" ht="15" hidden="false" customHeight="false" outlineLevel="0" collapsed="false">
      <c r="A37" s="0" t="s">
        <v>6</v>
      </c>
      <c r="B37" s="0" t="s">
        <v>158</v>
      </c>
      <c r="C37" s="0" t="s">
        <v>5066</v>
      </c>
    </row>
    <row r="38" customFormat="false" ht="15" hidden="false" customHeight="false" outlineLevel="0" collapsed="false">
      <c r="A38" s="0" t="s">
        <v>6</v>
      </c>
      <c r="B38" s="0" t="s">
        <v>163</v>
      </c>
      <c r="C38" s="0" t="s">
        <v>5064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163</v>
      </c>
      <c r="C39" s="0" t="s">
        <v>5065</v>
      </c>
    </row>
    <row r="40" customFormat="false" ht="15" hidden="false" customHeight="false" outlineLevel="0" collapsed="false">
      <c r="A40" s="0" t="s">
        <v>6</v>
      </c>
      <c r="B40" s="0" t="s">
        <v>163</v>
      </c>
      <c r="C40" s="0" t="s">
        <v>5066</v>
      </c>
    </row>
    <row r="41" customFormat="false" ht="15" hidden="false" customHeight="false" outlineLevel="0" collapsed="false">
      <c r="A41" s="0" t="s">
        <v>6</v>
      </c>
      <c r="B41" s="0" t="s">
        <v>172</v>
      </c>
      <c r="C41" s="0" t="s">
        <v>5064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172</v>
      </c>
      <c r="C42" s="0" t="s">
        <v>5065</v>
      </c>
    </row>
    <row r="43" customFormat="false" ht="15" hidden="false" customHeight="false" outlineLevel="0" collapsed="false">
      <c r="A43" s="0" t="s">
        <v>6</v>
      </c>
      <c r="B43" s="0" t="s">
        <v>172</v>
      </c>
      <c r="C43" s="0" t="s">
        <v>5066</v>
      </c>
    </row>
    <row r="44" customFormat="false" ht="15" hidden="false" customHeight="false" outlineLevel="0" collapsed="false">
      <c r="A44" s="0" t="s">
        <v>6</v>
      </c>
      <c r="B44" s="0" t="s">
        <v>174</v>
      </c>
      <c r="C44" s="0" t="s">
        <v>5064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174</v>
      </c>
      <c r="C45" s="0" t="s">
        <v>5065</v>
      </c>
    </row>
    <row r="46" customFormat="false" ht="15" hidden="false" customHeight="false" outlineLevel="0" collapsed="false">
      <c r="A46" s="0" t="s">
        <v>6</v>
      </c>
      <c r="B46" s="0" t="s">
        <v>174</v>
      </c>
      <c r="C46" s="0" t="s">
        <v>5066</v>
      </c>
    </row>
    <row r="47" customFormat="false" ht="15" hidden="false" customHeight="false" outlineLevel="0" collapsed="false">
      <c r="A47" s="0" t="s">
        <v>6</v>
      </c>
      <c r="B47" s="0" t="s">
        <v>176</v>
      </c>
      <c r="C47" s="0" t="s">
        <v>5064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176</v>
      </c>
      <c r="C48" s="0" t="s">
        <v>5065</v>
      </c>
    </row>
    <row r="49" customFormat="false" ht="15" hidden="false" customHeight="false" outlineLevel="0" collapsed="false">
      <c r="A49" s="0" t="s">
        <v>6</v>
      </c>
      <c r="B49" s="0" t="s">
        <v>176</v>
      </c>
      <c r="C49" s="0" t="s">
        <v>5066</v>
      </c>
    </row>
    <row r="50" customFormat="false" ht="15" hidden="false" customHeight="false" outlineLevel="0" collapsed="false">
      <c r="A50" s="0" t="s">
        <v>6</v>
      </c>
      <c r="B50" s="0" t="s">
        <v>179</v>
      </c>
      <c r="C50" s="0" t="s">
        <v>5064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179</v>
      </c>
      <c r="C51" s="0" t="s">
        <v>5065</v>
      </c>
    </row>
    <row r="52" customFormat="false" ht="15" hidden="false" customHeight="false" outlineLevel="0" collapsed="false">
      <c r="A52" s="0" t="s">
        <v>6</v>
      </c>
      <c r="B52" s="0" t="s">
        <v>179</v>
      </c>
      <c r="C52" s="0" t="s">
        <v>5066</v>
      </c>
    </row>
    <row r="53" customFormat="false" ht="15" hidden="false" customHeight="false" outlineLevel="0" collapsed="false">
      <c r="A53" s="0" t="s">
        <v>6</v>
      </c>
      <c r="B53" s="0" t="s">
        <v>181</v>
      </c>
      <c r="C53" s="0" t="s">
        <v>5064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181</v>
      </c>
      <c r="C54" s="0" t="s">
        <v>5065</v>
      </c>
    </row>
    <row r="55" customFormat="false" ht="15" hidden="false" customHeight="false" outlineLevel="0" collapsed="false">
      <c r="A55" s="0" t="s">
        <v>6</v>
      </c>
      <c r="B55" s="0" t="s">
        <v>181</v>
      </c>
      <c r="C55" s="0" t="s">
        <v>5066</v>
      </c>
    </row>
    <row r="56" customFormat="false" ht="15" hidden="false" customHeight="false" outlineLevel="0" collapsed="false">
      <c r="A56" s="0" t="s">
        <v>6</v>
      </c>
      <c r="B56" s="0" t="s">
        <v>183</v>
      </c>
      <c r="C56" s="0" t="s">
        <v>5064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183</v>
      </c>
      <c r="C57" s="0" t="s">
        <v>5065</v>
      </c>
    </row>
    <row r="58" customFormat="false" ht="15" hidden="false" customHeight="false" outlineLevel="0" collapsed="false">
      <c r="A58" s="0" t="s">
        <v>6</v>
      </c>
      <c r="B58" s="0" t="s">
        <v>183</v>
      </c>
      <c r="C58" s="0" t="s">
        <v>5066</v>
      </c>
    </row>
    <row r="59" customFormat="false" ht="15" hidden="false" customHeight="false" outlineLevel="0" collapsed="false">
      <c r="A59" s="0" t="s">
        <v>6</v>
      </c>
      <c r="B59" s="0" t="s">
        <v>186</v>
      </c>
      <c r="C59" s="0" t="s">
        <v>5064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186</v>
      </c>
      <c r="C60" s="0" t="s">
        <v>5065</v>
      </c>
    </row>
    <row r="61" customFormat="false" ht="15" hidden="false" customHeight="false" outlineLevel="0" collapsed="false">
      <c r="A61" s="0" t="s">
        <v>6</v>
      </c>
      <c r="B61" s="0" t="s">
        <v>186</v>
      </c>
      <c r="C61" s="0" t="s">
        <v>5066</v>
      </c>
    </row>
    <row r="62" customFormat="false" ht="15" hidden="false" customHeight="false" outlineLevel="0" collapsed="false">
      <c r="A62" s="0" t="s">
        <v>6</v>
      </c>
      <c r="B62" s="0" t="s">
        <v>188</v>
      </c>
      <c r="C62" s="0" t="s">
        <v>5064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188</v>
      </c>
      <c r="C63" s="0" t="s">
        <v>5065</v>
      </c>
    </row>
    <row r="64" customFormat="false" ht="15" hidden="false" customHeight="false" outlineLevel="0" collapsed="false">
      <c r="A64" s="0" t="s">
        <v>6</v>
      </c>
      <c r="B64" s="0" t="s">
        <v>188</v>
      </c>
      <c r="C64" s="0" t="s">
        <v>5066</v>
      </c>
    </row>
    <row r="65" customFormat="false" ht="15" hidden="false" customHeight="false" outlineLevel="0" collapsed="false">
      <c r="A65" s="0" t="s">
        <v>6</v>
      </c>
      <c r="B65" s="0" t="s">
        <v>190</v>
      </c>
      <c r="C65" s="0" t="s">
        <v>5064</v>
      </c>
      <c r="D65" s="0" t="s">
        <v>192</v>
      </c>
    </row>
    <row r="66" customFormat="false" ht="15" hidden="false" customHeight="false" outlineLevel="0" collapsed="false">
      <c r="A66" s="0" t="s">
        <v>6</v>
      </c>
      <c r="B66" s="0" t="s">
        <v>190</v>
      </c>
      <c r="C66" s="0" t="s">
        <v>5065</v>
      </c>
    </row>
    <row r="67" customFormat="false" ht="15" hidden="false" customHeight="false" outlineLevel="0" collapsed="false">
      <c r="A67" s="0" t="s">
        <v>6</v>
      </c>
      <c r="B67" s="0" t="s">
        <v>190</v>
      </c>
      <c r="C67" s="0" t="s">
        <v>5066</v>
      </c>
    </row>
    <row r="68" customFormat="false" ht="15" hidden="false" customHeight="false" outlineLevel="0" collapsed="false">
      <c r="A68" s="0" t="s">
        <v>6</v>
      </c>
      <c r="B68" s="0" t="s">
        <v>199</v>
      </c>
      <c r="C68" s="0" t="s">
        <v>5064</v>
      </c>
      <c r="D68" s="0" t="s">
        <v>201</v>
      </c>
    </row>
    <row r="69" customFormat="false" ht="15" hidden="false" customHeight="false" outlineLevel="0" collapsed="false">
      <c r="A69" s="0" t="s">
        <v>6</v>
      </c>
      <c r="B69" s="0" t="s">
        <v>199</v>
      </c>
      <c r="C69" s="0" t="s">
        <v>5065</v>
      </c>
    </row>
    <row r="70" customFormat="false" ht="15" hidden="false" customHeight="false" outlineLevel="0" collapsed="false">
      <c r="A70" s="0" t="s">
        <v>6</v>
      </c>
      <c r="B70" s="0" t="s">
        <v>199</v>
      </c>
      <c r="C70" s="0" t="s">
        <v>5066</v>
      </c>
    </row>
    <row r="71" customFormat="false" ht="15" hidden="false" customHeight="false" outlineLevel="0" collapsed="false">
      <c r="A71" s="0" t="s">
        <v>6</v>
      </c>
      <c r="B71" s="0" t="s">
        <v>203</v>
      </c>
      <c r="C71" s="0" t="s">
        <v>5064</v>
      </c>
      <c r="D71" s="0" t="s">
        <v>205</v>
      </c>
    </row>
    <row r="72" customFormat="false" ht="15" hidden="false" customHeight="false" outlineLevel="0" collapsed="false">
      <c r="A72" s="0" t="s">
        <v>6</v>
      </c>
      <c r="B72" s="0" t="s">
        <v>203</v>
      </c>
      <c r="C72" s="0" t="s">
        <v>5065</v>
      </c>
    </row>
    <row r="73" customFormat="false" ht="15" hidden="false" customHeight="false" outlineLevel="0" collapsed="false">
      <c r="A73" s="0" t="s">
        <v>6</v>
      </c>
      <c r="B73" s="0" t="s">
        <v>203</v>
      </c>
      <c r="C73" s="0" t="s">
        <v>5066</v>
      </c>
    </row>
    <row r="74" customFormat="false" ht="17.15" hidden="false" customHeight="false" outlineLevel="0" collapsed="false">
      <c r="A74" s="0" t="s">
        <v>6</v>
      </c>
      <c r="B74" s="0" t="s">
        <v>207</v>
      </c>
      <c r="C74" s="0" t="s">
        <v>5064</v>
      </c>
      <c r="D74" s="0" t="s">
        <v>5067</v>
      </c>
    </row>
    <row r="75" customFormat="false" ht="15" hidden="false" customHeight="false" outlineLevel="0" collapsed="false">
      <c r="A75" s="0" t="s">
        <v>6</v>
      </c>
      <c r="B75" s="0" t="s">
        <v>207</v>
      </c>
      <c r="C75" s="0" t="s">
        <v>5065</v>
      </c>
    </row>
    <row r="76" customFormat="false" ht="15" hidden="false" customHeight="false" outlineLevel="0" collapsed="false">
      <c r="A76" s="0" t="s">
        <v>6</v>
      </c>
      <c r="B76" s="0" t="s">
        <v>207</v>
      </c>
      <c r="C76" s="0" t="s">
        <v>5066</v>
      </c>
    </row>
    <row r="77" customFormat="false" ht="17.15" hidden="false" customHeight="false" outlineLevel="0" collapsed="false">
      <c r="A77" s="0" t="s">
        <v>6</v>
      </c>
      <c r="B77" s="0" t="s">
        <v>215</v>
      </c>
      <c r="C77" s="0" t="s">
        <v>5064</v>
      </c>
      <c r="D77" s="0" t="s">
        <v>5068</v>
      </c>
    </row>
    <row r="78" customFormat="false" ht="15" hidden="false" customHeight="false" outlineLevel="0" collapsed="false">
      <c r="A78" s="0" t="s">
        <v>6</v>
      </c>
      <c r="B78" s="0" t="s">
        <v>215</v>
      </c>
      <c r="C78" s="0" t="s">
        <v>5065</v>
      </c>
    </row>
    <row r="79" customFormat="false" ht="15" hidden="false" customHeight="false" outlineLevel="0" collapsed="false">
      <c r="A79" s="0" t="s">
        <v>6</v>
      </c>
      <c r="B79" s="0" t="s">
        <v>215</v>
      </c>
      <c r="C79" s="0" t="s">
        <v>5066</v>
      </c>
    </row>
    <row r="80" customFormat="false" ht="17.15" hidden="false" customHeight="false" outlineLevel="0" collapsed="false">
      <c r="A80" s="0" t="s">
        <v>6</v>
      </c>
      <c r="B80" s="0" t="s">
        <v>219</v>
      </c>
      <c r="C80" s="0" t="s">
        <v>5064</v>
      </c>
      <c r="D80" s="0" t="s">
        <v>5069</v>
      </c>
    </row>
    <row r="81" customFormat="false" ht="15" hidden="false" customHeight="false" outlineLevel="0" collapsed="false">
      <c r="A81" s="0" t="s">
        <v>6</v>
      </c>
      <c r="B81" s="0" t="s">
        <v>219</v>
      </c>
      <c r="C81" s="0" t="s">
        <v>5065</v>
      </c>
    </row>
    <row r="82" customFormat="false" ht="15" hidden="false" customHeight="false" outlineLevel="0" collapsed="false">
      <c r="A82" s="0" t="s">
        <v>6</v>
      </c>
      <c r="B82" s="0" t="s">
        <v>219</v>
      </c>
      <c r="C82" s="0" t="s">
        <v>5066</v>
      </c>
    </row>
    <row r="83" customFormat="false" ht="17.15" hidden="false" customHeight="false" outlineLevel="0" collapsed="false">
      <c r="A83" s="0" t="s">
        <v>6</v>
      </c>
      <c r="B83" s="0" t="s">
        <v>223</v>
      </c>
      <c r="C83" s="0" t="s">
        <v>5064</v>
      </c>
      <c r="D83" s="0" t="s">
        <v>5070</v>
      </c>
    </row>
    <row r="84" customFormat="false" ht="15" hidden="false" customHeight="false" outlineLevel="0" collapsed="false">
      <c r="A84" s="0" t="s">
        <v>6</v>
      </c>
      <c r="B84" s="0" t="s">
        <v>223</v>
      </c>
      <c r="C84" s="0" t="s">
        <v>5065</v>
      </c>
    </row>
    <row r="85" customFormat="false" ht="15" hidden="false" customHeight="false" outlineLevel="0" collapsed="false">
      <c r="A85" s="0" t="s">
        <v>6</v>
      </c>
      <c r="B85" s="0" t="s">
        <v>223</v>
      </c>
      <c r="C85" s="0" t="s">
        <v>5066</v>
      </c>
    </row>
    <row r="86" customFormat="false" ht="17.15" hidden="false" customHeight="false" outlineLevel="0" collapsed="false">
      <c r="A86" s="0" t="s">
        <v>6</v>
      </c>
      <c r="B86" s="0" t="s">
        <v>227</v>
      </c>
      <c r="C86" s="0" t="s">
        <v>5064</v>
      </c>
      <c r="D86" s="0" t="s">
        <v>5071</v>
      </c>
    </row>
    <row r="87" customFormat="false" ht="15" hidden="false" customHeight="false" outlineLevel="0" collapsed="false">
      <c r="A87" s="0" t="s">
        <v>6</v>
      </c>
      <c r="B87" s="0" t="s">
        <v>227</v>
      </c>
      <c r="C87" s="0" t="s">
        <v>5065</v>
      </c>
    </row>
    <row r="88" customFormat="false" ht="15" hidden="false" customHeight="false" outlineLevel="0" collapsed="false">
      <c r="A88" s="0" t="s">
        <v>6</v>
      </c>
      <c r="B88" s="0" t="s">
        <v>227</v>
      </c>
      <c r="C88" s="0" t="s">
        <v>5066</v>
      </c>
    </row>
    <row r="89" customFormat="false" ht="15" hidden="false" customHeight="false" outlineLevel="0" collapsed="false">
      <c r="A89" s="0" t="s">
        <v>6</v>
      </c>
      <c r="B89" s="0" t="s">
        <v>231</v>
      </c>
      <c r="C89" s="0" t="s">
        <v>5064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231</v>
      </c>
      <c r="C90" s="0" t="s">
        <v>5065</v>
      </c>
    </row>
    <row r="91" customFormat="false" ht="15" hidden="false" customHeight="false" outlineLevel="0" collapsed="false">
      <c r="A91" s="0" t="s">
        <v>6</v>
      </c>
      <c r="B91" s="0" t="s">
        <v>231</v>
      </c>
      <c r="C91" s="0" t="s">
        <v>5066</v>
      </c>
    </row>
    <row r="92" customFormat="false" ht="15" hidden="false" customHeight="false" outlineLevel="0" collapsed="false">
      <c r="A92" s="0" t="s">
        <v>6</v>
      </c>
      <c r="B92" s="0" t="s">
        <v>238</v>
      </c>
      <c r="C92" s="0" t="s">
        <v>5064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238</v>
      </c>
      <c r="C93" s="0" t="s">
        <v>5065</v>
      </c>
    </row>
    <row r="94" customFormat="false" ht="15" hidden="false" customHeight="false" outlineLevel="0" collapsed="false">
      <c r="A94" s="0" t="s">
        <v>6</v>
      </c>
      <c r="B94" s="0" t="s">
        <v>238</v>
      </c>
      <c r="C94" s="0" t="s">
        <v>5066</v>
      </c>
    </row>
    <row r="95" customFormat="false" ht="15" hidden="false" customHeight="false" outlineLevel="0" collapsed="false">
      <c r="A95" s="0" t="s">
        <v>6</v>
      </c>
      <c r="B95" s="0" t="s">
        <v>245</v>
      </c>
      <c r="C95" s="0" t="s">
        <v>5064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245</v>
      </c>
      <c r="C96" s="0" t="s">
        <v>5065</v>
      </c>
    </row>
    <row r="97" customFormat="false" ht="15" hidden="false" customHeight="false" outlineLevel="0" collapsed="false">
      <c r="A97" s="0" t="s">
        <v>6</v>
      </c>
      <c r="B97" s="0" t="s">
        <v>245</v>
      </c>
      <c r="C97" s="0" t="s">
        <v>5066</v>
      </c>
    </row>
    <row r="98" customFormat="false" ht="15" hidden="false" customHeight="false" outlineLevel="0" collapsed="false">
      <c r="A98" s="0" t="s">
        <v>6</v>
      </c>
      <c r="B98" s="0" t="s">
        <v>247</v>
      </c>
      <c r="C98" s="0" t="s">
        <v>5064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247</v>
      </c>
      <c r="C99" s="0" t="s">
        <v>5065</v>
      </c>
    </row>
    <row r="100" customFormat="false" ht="15" hidden="false" customHeight="false" outlineLevel="0" collapsed="false">
      <c r="A100" s="0" t="s">
        <v>6</v>
      </c>
      <c r="B100" s="0" t="s">
        <v>247</v>
      </c>
      <c r="C100" s="0" t="s">
        <v>5066</v>
      </c>
    </row>
    <row r="101" customFormat="false" ht="15" hidden="false" customHeight="false" outlineLevel="0" collapsed="false">
      <c r="A101" s="0" t="s">
        <v>6</v>
      </c>
      <c r="B101" s="0" t="s">
        <v>250</v>
      </c>
      <c r="C101" s="0" t="s">
        <v>5064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250</v>
      </c>
      <c r="C102" s="0" t="s">
        <v>5065</v>
      </c>
    </row>
    <row r="103" customFormat="false" ht="15" hidden="false" customHeight="false" outlineLevel="0" collapsed="false">
      <c r="A103" s="0" t="s">
        <v>6</v>
      </c>
      <c r="B103" s="0" t="s">
        <v>250</v>
      </c>
      <c r="C103" s="0" t="s">
        <v>5066</v>
      </c>
    </row>
    <row r="104" customFormat="false" ht="15" hidden="false" customHeight="false" outlineLevel="0" collapsed="false">
      <c r="A104" s="0" t="s">
        <v>6</v>
      </c>
      <c r="B104" s="0" t="s">
        <v>252</v>
      </c>
      <c r="C104" s="0" t="s">
        <v>5064</v>
      </c>
    </row>
    <row r="105" customFormat="false" ht="15" hidden="false" customHeight="false" outlineLevel="0" collapsed="false">
      <c r="A105" s="0" t="s">
        <v>6</v>
      </c>
      <c r="B105" s="0" t="s">
        <v>252</v>
      </c>
      <c r="C105" s="0" t="s">
        <v>5065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252</v>
      </c>
      <c r="C106" s="0" t="s">
        <v>5066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256</v>
      </c>
      <c r="C107" s="0" t="s">
        <v>5064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256</v>
      </c>
      <c r="C108" s="0" t="s">
        <v>5065</v>
      </c>
    </row>
    <row r="109" customFormat="false" ht="15" hidden="false" customHeight="false" outlineLevel="0" collapsed="false">
      <c r="A109" s="0" t="s">
        <v>6</v>
      </c>
      <c r="B109" s="0" t="s">
        <v>256</v>
      </c>
      <c r="C109" s="0" t="s">
        <v>5066</v>
      </c>
    </row>
    <row r="110" customFormat="false" ht="15" hidden="false" customHeight="false" outlineLevel="0" collapsed="false">
      <c r="A110" s="0" t="s">
        <v>6</v>
      </c>
      <c r="B110" s="0" t="s">
        <v>266</v>
      </c>
      <c r="C110" s="0" t="s">
        <v>5064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266</v>
      </c>
      <c r="C111" s="0" t="s">
        <v>5065</v>
      </c>
    </row>
    <row r="112" customFormat="false" ht="15" hidden="false" customHeight="false" outlineLevel="0" collapsed="false">
      <c r="A112" s="0" t="s">
        <v>6</v>
      </c>
      <c r="B112" s="0" t="s">
        <v>266</v>
      </c>
      <c r="C112" s="0" t="s">
        <v>5066</v>
      </c>
    </row>
    <row r="113" customFormat="false" ht="15" hidden="false" customHeight="false" outlineLevel="0" collapsed="false">
      <c r="A113" s="0" t="s">
        <v>6</v>
      </c>
      <c r="B113" s="0" t="s">
        <v>270</v>
      </c>
      <c r="C113" s="0" t="s">
        <v>5064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270</v>
      </c>
      <c r="C114" s="0" t="s">
        <v>5065</v>
      </c>
    </row>
    <row r="115" customFormat="false" ht="15" hidden="false" customHeight="false" outlineLevel="0" collapsed="false">
      <c r="A115" s="0" t="s">
        <v>6</v>
      </c>
      <c r="B115" s="0" t="s">
        <v>270</v>
      </c>
      <c r="C115" s="0" t="s">
        <v>5066</v>
      </c>
    </row>
    <row r="116" customFormat="false" ht="15" hidden="false" customHeight="false" outlineLevel="0" collapsed="false">
      <c r="A116" s="0" t="s">
        <v>6</v>
      </c>
      <c r="B116" s="0" t="s">
        <v>277</v>
      </c>
      <c r="C116" s="0" t="s">
        <v>5064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277</v>
      </c>
      <c r="C117" s="0" t="s">
        <v>5065</v>
      </c>
    </row>
    <row r="118" customFormat="false" ht="15" hidden="false" customHeight="false" outlineLevel="0" collapsed="false">
      <c r="A118" s="0" t="s">
        <v>6</v>
      </c>
      <c r="B118" s="0" t="s">
        <v>277</v>
      </c>
      <c r="C118" s="0" t="s">
        <v>5066</v>
      </c>
    </row>
    <row r="119" customFormat="false" ht="15" hidden="false" customHeight="false" outlineLevel="0" collapsed="false">
      <c r="A119" s="0" t="s">
        <v>6</v>
      </c>
      <c r="B119" s="0" t="s">
        <v>279</v>
      </c>
      <c r="C119" s="0" t="s">
        <v>5064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279</v>
      </c>
      <c r="C120" s="0" t="s">
        <v>5065</v>
      </c>
    </row>
    <row r="121" customFormat="false" ht="15" hidden="false" customHeight="false" outlineLevel="0" collapsed="false">
      <c r="A121" s="0" t="s">
        <v>6</v>
      </c>
      <c r="B121" s="0" t="s">
        <v>279</v>
      </c>
      <c r="C121" s="0" t="s">
        <v>5066</v>
      </c>
    </row>
    <row r="122" customFormat="false" ht="15" hidden="false" customHeight="false" outlineLevel="0" collapsed="false">
      <c r="A122" s="0" t="s">
        <v>6</v>
      </c>
      <c r="B122" s="0" t="s">
        <v>281</v>
      </c>
      <c r="C122" s="0" t="s">
        <v>5064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281</v>
      </c>
      <c r="C123" s="0" t="s">
        <v>5065</v>
      </c>
    </row>
    <row r="124" customFormat="false" ht="15" hidden="false" customHeight="false" outlineLevel="0" collapsed="false">
      <c r="A124" s="0" t="s">
        <v>6</v>
      </c>
      <c r="B124" s="0" t="s">
        <v>281</v>
      </c>
      <c r="C124" s="0" t="s">
        <v>5066</v>
      </c>
    </row>
    <row r="125" customFormat="false" ht="15" hidden="false" customHeight="false" outlineLevel="0" collapsed="false">
      <c r="A125" s="0" t="s">
        <v>6</v>
      </c>
      <c r="B125" s="0" t="s">
        <v>283</v>
      </c>
      <c r="C125" s="0" t="s">
        <v>5064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283</v>
      </c>
      <c r="C126" s="0" t="s">
        <v>5065</v>
      </c>
    </row>
    <row r="127" customFormat="false" ht="15" hidden="false" customHeight="false" outlineLevel="0" collapsed="false">
      <c r="A127" s="0" t="s">
        <v>6</v>
      </c>
      <c r="B127" s="0" t="s">
        <v>283</v>
      </c>
      <c r="C127" s="0" t="s">
        <v>5066</v>
      </c>
    </row>
    <row r="128" customFormat="false" ht="15" hidden="false" customHeight="false" outlineLevel="0" collapsed="false">
      <c r="A128" s="0" t="s">
        <v>6</v>
      </c>
      <c r="B128" s="0" t="s">
        <v>285</v>
      </c>
      <c r="C128" s="0" t="s">
        <v>5064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285</v>
      </c>
      <c r="C129" s="0" t="s">
        <v>5065</v>
      </c>
    </row>
    <row r="130" customFormat="false" ht="15" hidden="false" customHeight="false" outlineLevel="0" collapsed="false">
      <c r="A130" s="0" t="s">
        <v>6</v>
      </c>
      <c r="B130" s="0" t="s">
        <v>285</v>
      </c>
      <c r="C130" s="0" t="s">
        <v>5066</v>
      </c>
    </row>
    <row r="131" customFormat="false" ht="15" hidden="false" customHeight="false" outlineLevel="0" collapsed="false">
      <c r="A131" s="0" t="s">
        <v>6</v>
      </c>
      <c r="B131" s="0" t="s">
        <v>292</v>
      </c>
      <c r="C131" s="0" t="s">
        <v>5064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292</v>
      </c>
      <c r="C132" s="0" t="s">
        <v>5065</v>
      </c>
    </row>
    <row r="133" customFormat="false" ht="15" hidden="false" customHeight="false" outlineLevel="0" collapsed="false">
      <c r="A133" s="0" t="s">
        <v>6</v>
      </c>
      <c r="B133" s="0" t="s">
        <v>292</v>
      </c>
      <c r="C133" s="0" t="s">
        <v>5066</v>
      </c>
    </row>
    <row r="134" customFormat="false" ht="15" hidden="false" customHeight="false" outlineLevel="0" collapsed="false">
      <c r="A134" s="0" t="s">
        <v>6</v>
      </c>
      <c r="B134" s="0" t="s">
        <v>295</v>
      </c>
      <c r="C134" s="0" t="s">
        <v>5064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295</v>
      </c>
      <c r="C135" s="0" t="s">
        <v>5065</v>
      </c>
    </row>
    <row r="136" customFormat="false" ht="15" hidden="false" customHeight="false" outlineLevel="0" collapsed="false">
      <c r="A136" s="0" t="s">
        <v>6</v>
      </c>
      <c r="B136" s="0" t="s">
        <v>295</v>
      </c>
      <c r="C136" s="0" t="s">
        <v>5066</v>
      </c>
    </row>
    <row r="137" customFormat="false" ht="15" hidden="false" customHeight="false" outlineLevel="0" collapsed="false">
      <c r="A137" s="0" t="s">
        <v>6</v>
      </c>
      <c r="B137" s="0" t="s">
        <v>297</v>
      </c>
      <c r="C137" s="0" t="s">
        <v>5064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297</v>
      </c>
      <c r="C138" s="0" t="s">
        <v>5065</v>
      </c>
    </row>
    <row r="139" customFormat="false" ht="15" hidden="false" customHeight="false" outlineLevel="0" collapsed="false">
      <c r="A139" s="0" t="s">
        <v>6</v>
      </c>
      <c r="B139" s="0" t="s">
        <v>297</v>
      </c>
      <c r="C139" s="0" t="s">
        <v>5066</v>
      </c>
    </row>
    <row r="140" customFormat="false" ht="15" hidden="false" customHeight="false" outlineLevel="0" collapsed="false">
      <c r="A140" s="0" t="s">
        <v>6</v>
      </c>
      <c r="B140" s="0" t="s">
        <v>302</v>
      </c>
      <c r="C140" s="0" t="s">
        <v>5064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302</v>
      </c>
      <c r="C141" s="0" t="s">
        <v>5065</v>
      </c>
    </row>
    <row r="142" customFormat="false" ht="15" hidden="false" customHeight="false" outlineLevel="0" collapsed="false">
      <c r="A142" s="0" t="s">
        <v>6</v>
      </c>
      <c r="B142" s="0" t="s">
        <v>302</v>
      </c>
      <c r="C142" s="0" t="s">
        <v>5066</v>
      </c>
    </row>
    <row r="143" customFormat="false" ht="15" hidden="false" customHeight="false" outlineLevel="0" collapsed="false">
      <c r="A143" s="0" t="s">
        <v>6</v>
      </c>
      <c r="B143" s="0" t="s">
        <v>310</v>
      </c>
      <c r="C143" s="0" t="s">
        <v>5064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310</v>
      </c>
      <c r="C144" s="0" t="s">
        <v>5065</v>
      </c>
    </row>
    <row r="145" customFormat="false" ht="15" hidden="false" customHeight="false" outlineLevel="0" collapsed="false">
      <c r="A145" s="0" t="s">
        <v>6</v>
      </c>
      <c r="B145" s="0" t="s">
        <v>310</v>
      </c>
      <c r="C145" s="0" t="s">
        <v>5066</v>
      </c>
    </row>
    <row r="146" customFormat="false" ht="15" hidden="false" customHeight="false" outlineLevel="0" collapsed="false">
      <c r="A146" s="0" t="s">
        <v>6</v>
      </c>
      <c r="B146" s="0" t="s">
        <v>316</v>
      </c>
      <c r="C146" s="0" t="s">
        <v>5064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316</v>
      </c>
      <c r="C147" s="0" t="s">
        <v>5065</v>
      </c>
    </row>
    <row r="148" customFormat="false" ht="15" hidden="false" customHeight="false" outlineLevel="0" collapsed="false">
      <c r="A148" s="0" t="s">
        <v>6</v>
      </c>
      <c r="B148" s="0" t="s">
        <v>316</v>
      </c>
      <c r="C148" s="0" t="s">
        <v>5066</v>
      </c>
    </row>
    <row r="149" customFormat="false" ht="15" hidden="false" customHeight="false" outlineLevel="0" collapsed="false">
      <c r="A149" s="0" t="s">
        <v>6</v>
      </c>
      <c r="B149" s="0" t="s">
        <v>321</v>
      </c>
      <c r="C149" s="0" t="s">
        <v>5064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321</v>
      </c>
      <c r="C150" s="0" t="s">
        <v>5065</v>
      </c>
    </row>
    <row r="151" customFormat="false" ht="15" hidden="false" customHeight="false" outlineLevel="0" collapsed="false">
      <c r="A151" s="0" t="s">
        <v>6</v>
      </c>
      <c r="B151" s="0" t="s">
        <v>321</v>
      </c>
      <c r="C151" s="0" t="s">
        <v>5066</v>
      </c>
    </row>
    <row r="152" customFormat="false" ht="15" hidden="false" customHeight="false" outlineLevel="0" collapsed="false">
      <c r="A152" s="0" t="s">
        <v>6</v>
      </c>
      <c r="B152" s="0" t="s">
        <v>328</v>
      </c>
      <c r="C152" s="0" t="s">
        <v>5064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328</v>
      </c>
      <c r="C153" s="0" t="s">
        <v>5065</v>
      </c>
    </row>
    <row r="154" customFormat="false" ht="15" hidden="false" customHeight="false" outlineLevel="0" collapsed="false">
      <c r="A154" s="0" t="s">
        <v>6</v>
      </c>
      <c r="B154" s="0" t="s">
        <v>328</v>
      </c>
      <c r="C154" s="0" t="s">
        <v>5066</v>
      </c>
    </row>
    <row r="155" customFormat="false" ht="15" hidden="false" customHeight="false" outlineLevel="0" collapsed="false">
      <c r="A155" s="0" t="s">
        <v>6</v>
      </c>
      <c r="B155" s="0" t="s">
        <v>334</v>
      </c>
      <c r="C155" s="0" t="s">
        <v>5064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334</v>
      </c>
      <c r="C156" s="0" t="s">
        <v>5065</v>
      </c>
    </row>
    <row r="157" customFormat="false" ht="15" hidden="false" customHeight="false" outlineLevel="0" collapsed="false">
      <c r="A157" s="0" t="s">
        <v>6</v>
      </c>
      <c r="B157" s="0" t="s">
        <v>334</v>
      </c>
      <c r="C157" s="0" t="s">
        <v>5066</v>
      </c>
    </row>
    <row r="158" customFormat="false" ht="15" hidden="false" customHeight="false" outlineLevel="0" collapsed="false">
      <c r="A158" s="0" t="s">
        <v>6</v>
      </c>
      <c r="B158" s="0" t="s">
        <v>339</v>
      </c>
      <c r="C158" s="0" t="s">
        <v>5064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339</v>
      </c>
      <c r="C159" s="0" t="s">
        <v>5065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339</v>
      </c>
      <c r="C160" s="0" t="s">
        <v>5066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346</v>
      </c>
      <c r="C161" s="0" t="s">
        <v>5064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346</v>
      </c>
      <c r="C162" s="0" t="s">
        <v>5065</v>
      </c>
    </row>
    <row r="163" customFormat="false" ht="15" hidden="false" customHeight="false" outlineLevel="0" collapsed="false">
      <c r="A163" s="0" t="s">
        <v>6</v>
      </c>
      <c r="B163" s="0" t="s">
        <v>346</v>
      </c>
      <c r="C163" s="0" t="s">
        <v>5066</v>
      </c>
    </row>
    <row r="164" customFormat="false" ht="15" hidden="false" customHeight="false" outlineLevel="0" collapsed="false">
      <c r="A164" s="0" t="s">
        <v>6</v>
      </c>
      <c r="B164" s="0" t="s">
        <v>352</v>
      </c>
      <c r="C164" s="0" t="s">
        <v>5064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352</v>
      </c>
      <c r="C165" s="0" t="s">
        <v>5065</v>
      </c>
    </row>
    <row r="166" customFormat="false" ht="15" hidden="false" customHeight="false" outlineLevel="0" collapsed="false">
      <c r="A166" s="0" t="s">
        <v>6</v>
      </c>
      <c r="B166" s="0" t="s">
        <v>352</v>
      </c>
      <c r="C166" s="0" t="s">
        <v>5066</v>
      </c>
    </row>
    <row r="167" customFormat="false" ht="15" hidden="false" customHeight="false" outlineLevel="0" collapsed="false">
      <c r="A167" s="0" t="s">
        <v>6</v>
      </c>
      <c r="B167" s="0" t="s">
        <v>358</v>
      </c>
      <c r="C167" s="0" t="s">
        <v>5064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358</v>
      </c>
      <c r="C168" s="0" t="s">
        <v>5065</v>
      </c>
    </row>
    <row r="169" customFormat="false" ht="15" hidden="false" customHeight="false" outlineLevel="0" collapsed="false">
      <c r="A169" s="0" t="s">
        <v>6</v>
      </c>
      <c r="B169" s="0" t="s">
        <v>358</v>
      </c>
      <c r="C169" s="0" t="s">
        <v>5066</v>
      </c>
    </row>
    <row r="170" customFormat="false" ht="15" hidden="false" customHeight="false" outlineLevel="0" collapsed="false">
      <c r="A170" s="0" t="s">
        <v>6</v>
      </c>
      <c r="B170" s="0" t="s">
        <v>366</v>
      </c>
      <c r="C170" s="0" t="s">
        <v>5064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366</v>
      </c>
      <c r="C171" s="0" t="s">
        <v>5065</v>
      </c>
    </row>
    <row r="172" customFormat="false" ht="15" hidden="false" customHeight="false" outlineLevel="0" collapsed="false">
      <c r="A172" s="0" t="s">
        <v>6</v>
      </c>
      <c r="B172" s="0" t="s">
        <v>366</v>
      </c>
      <c r="C172" s="0" t="s">
        <v>5066</v>
      </c>
    </row>
    <row r="173" customFormat="false" ht="15" hidden="false" customHeight="false" outlineLevel="0" collapsed="false">
      <c r="A173" s="0" t="s">
        <v>6</v>
      </c>
      <c r="B173" s="0" t="s">
        <v>370</v>
      </c>
      <c r="C173" s="0" t="s">
        <v>5064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370</v>
      </c>
      <c r="C174" s="0" t="s">
        <v>5065</v>
      </c>
    </row>
    <row r="175" customFormat="false" ht="15" hidden="false" customHeight="false" outlineLevel="0" collapsed="false">
      <c r="A175" s="0" t="s">
        <v>6</v>
      </c>
      <c r="B175" s="0" t="s">
        <v>370</v>
      </c>
      <c r="C175" s="0" t="s">
        <v>5066</v>
      </c>
    </row>
    <row r="176" customFormat="false" ht="15" hidden="false" customHeight="false" outlineLevel="0" collapsed="false">
      <c r="A176" s="0" t="s">
        <v>6</v>
      </c>
      <c r="B176" s="0" t="s">
        <v>373</v>
      </c>
      <c r="C176" s="0" t="s">
        <v>5064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373</v>
      </c>
      <c r="C177" s="0" t="s">
        <v>5065</v>
      </c>
    </row>
    <row r="178" customFormat="false" ht="15" hidden="false" customHeight="false" outlineLevel="0" collapsed="false">
      <c r="A178" s="0" t="s">
        <v>6</v>
      </c>
      <c r="B178" s="0" t="s">
        <v>373</v>
      </c>
      <c r="C178" s="0" t="s">
        <v>5066</v>
      </c>
    </row>
    <row r="179" customFormat="false" ht="15" hidden="false" customHeight="false" outlineLevel="0" collapsed="false">
      <c r="A179" s="0" t="s">
        <v>6</v>
      </c>
      <c r="B179" s="0" t="s">
        <v>378</v>
      </c>
      <c r="C179" s="0" t="s">
        <v>5064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378</v>
      </c>
      <c r="C180" s="0" t="s">
        <v>5065</v>
      </c>
    </row>
    <row r="181" customFormat="false" ht="15" hidden="false" customHeight="false" outlineLevel="0" collapsed="false">
      <c r="A181" s="0" t="s">
        <v>6</v>
      </c>
      <c r="B181" s="0" t="s">
        <v>378</v>
      </c>
      <c r="C181" s="0" t="s">
        <v>5066</v>
      </c>
    </row>
    <row r="182" customFormat="false" ht="15" hidden="false" customHeight="false" outlineLevel="0" collapsed="false">
      <c r="A182" s="0" t="s">
        <v>6</v>
      </c>
      <c r="B182" s="0" t="s">
        <v>386</v>
      </c>
      <c r="C182" s="0" t="s">
        <v>5064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386</v>
      </c>
      <c r="C183" s="0" t="s">
        <v>5065</v>
      </c>
    </row>
    <row r="184" customFormat="false" ht="15" hidden="false" customHeight="false" outlineLevel="0" collapsed="false">
      <c r="A184" s="0" t="s">
        <v>6</v>
      </c>
      <c r="B184" s="0" t="s">
        <v>386</v>
      </c>
      <c r="C184" s="0" t="s">
        <v>5066</v>
      </c>
    </row>
    <row r="185" customFormat="false" ht="15" hidden="false" customHeight="false" outlineLevel="0" collapsed="false">
      <c r="A185" s="0" t="s">
        <v>6</v>
      </c>
      <c r="B185" s="0" t="s">
        <v>389</v>
      </c>
      <c r="C185" s="0" t="s">
        <v>5064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389</v>
      </c>
      <c r="C186" s="0" t="s">
        <v>5065</v>
      </c>
    </row>
    <row r="187" customFormat="false" ht="15" hidden="false" customHeight="false" outlineLevel="0" collapsed="false">
      <c r="A187" s="0" t="s">
        <v>6</v>
      </c>
      <c r="B187" s="0" t="s">
        <v>389</v>
      </c>
      <c r="C187" s="0" t="s">
        <v>5066</v>
      </c>
    </row>
    <row r="188" customFormat="false" ht="15" hidden="false" customHeight="false" outlineLevel="0" collapsed="false">
      <c r="A188" s="0" t="s">
        <v>6</v>
      </c>
      <c r="B188" s="0" t="s">
        <v>392</v>
      </c>
      <c r="C188" s="0" t="s">
        <v>5064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392</v>
      </c>
      <c r="C189" s="0" t="s">
        <v>5065</v>
      </c>
    </row>
    <row r="190" customFormat="false" ht="15" hidden="false" customHeight="false" outlineLevel="0" collapsed="false">
      <c r="A190" s="0" t="s">
        <v>6</v>
      </c>
      <c r="B190" s="0" t="s">
        <v>392</v>
      </c>
      <c r="C190" s="0" t="s">
        <v>5066</v>
      </c>
    </row>
    <row r="191" customFormat="false" ht="15" hidden="false" customHeight="false" outlineLevel="0" collapsed="false">
      <c r="A191" s="0" t="s">
        <v>6</v>
      </c>
      <c r="B191" s="0" t="s">
        <v>397</v>
      </c>
      <c r="C191" s="0" t="s">
        <v>5064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397</v>
      </c>
      <c r="C192" s="0" t="s">
        <v>5065</v>
      </c>
    </row>
    <row r="193" customFormat="false" ht="15" hidden="false" customHeight="false" outlineLevel="0" collapsed="false">
      <c r="A193" s="0" t="s">
        <v>6</v>
      </c>
      <c r="B193" s="0" t="s">
        <v>397</v>
      </c>
      <c r="C193" s="0" t="s">
        <v>5066</v>
      </c>
    </row>
    <row r="194" customFormat="false" ht="15" hidden="false" customHeight="false" outlineLevel="0" collapsed="false">
      <c r="A194" s="0" t="s">
        <v>6</v>
      </c>
      <c r="B194" s="0" t="s">
        <v>399</v>
      </c>
      <c r="C194" s="0" t="s">
        <v>5064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399</v>
      </c>
      <c r="C195" s="0" t="s">
        <v>5065</v>
      </c>
    </row>
    <row r="196" customFormat="false" ht="15" hidden="false" customHeight="false" outlineLevel="0" collapsed="false">
      <c r="A196" s="0" t="s">
        <v>6</v>
      </c>
      <c r="B196" s="0" t="s">
        <v>399</v>
      </c>
      <c r="C196" s="0" t="s">
        <v>5066</v>
      </c>
    </row>
    <row r="197" customFormat="false" ht="15" hidden="false" customHeight="false" outlineLevel="0" collapsed="false">
      <c r="A197" s="0" t="s">
        <v>6</v>
      </c>
      <c r="B197" s="0" t="s">
        <v>402</v>
      </c>
      <c r="C197" s="0" t="s">
        <v>5064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402</v>
      </c>
      <c r="C198" s="0" t="s">
        <v>5065</v>
      </c>
    </row>
    <row r="199" customFormat="false" ht="15" hidden="false" customHeight="false" outlineLevel="0" collapsed="false">
      <c r="A199" s="0" t="s">
        <v>6</v>
      </c>
      <c r="B199" s="0" t="s">
        <v>402</v>
      </c>
      <c r="C199" s="0" t="s">
        <v>5066</v>
      </c>
    </row>
    <row r="200" customFormat="false" ht="15" hidden="false" customHeight="false" outlineLevel="0" collapsed="false">
      <c r="A200" s="0" t="s">
        <v>6</v>
      </c>
      <c r="B200" s="0" t="s">
        <v>407</v>
      </c>
      <c r="C200" s="0" t="s">
        <v>5064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407</v>
      </c>
      <c r="C201" s="0" t="s">
        <v>5065</v>
      </c>
    </row>
    <row r="202" customFormat="false" ht="15" hidden="false" customHeight="false" outlineLevel="0" collapsed="false">
      <c r="A202" s="0" t="s">
        <v>6</v>
      </c>
      <c r="B202" s="0" t="s">
        <v>407</v>
      </c>
      <c r="C202" s="0" t="s">
        <v>5066</v>
      </c>
    </row>
    <row r="203" customFormat="false" ht="15" hidden="false" customHeight="false" outlineLevel="0" collapsed="false">
      <c r="A203" s="0" t="s">
        <v>6</v>
      </c>
      <c r="B203" s="0" t="s">
        <v>414</v>
      </c>
      <c r="C203" s="0" t="s">
        <v>5064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414</v>
      </c>
      <c r="C204" s="0" t="s">
        <v>5065</v>
      </c>
    </row>
    <row r="205" customFormat="false" ht="15" hidden="false" customHeight="false" outlineLevel="0" collapsed="false">
      <c r="A205" s="0" t="s">
        <v>6</v>
      </c>
      <c r="B205" s="0" t="s">
        <v>414</v>
      </c>
      <c r="C205" s="0" t="s">
        <v>5066</v>
      </c>
    </row>
    <row r="206" customFormat="false" ht="15" hidden="false" customHeight="false" outlineLevel="0" collapsed="false">
      <c r="A206" s="0" t="s">
        <v>6</v>
      </c>
      <c r="B206" s="0" t="s">
        <v>417</v>
      </c>
      <c r="C206" s="0" t="s">
        <v>5064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417</v>
      </c>
      <c r="C207" s="0" t="s">
        <v>5065</v>
      </c>
    </row>
    <row r="208" customFormat="false" ht="15" hidden="false" customHeight="false" outlineLevel="0" collapsed="false">
      <c r="A208" s="0" t="s">
        <v>6</v>
      </c>
      <c r="B208" s="0" t="s">
        <v>417</v>
      </c>
      <c r="C208" s="0" t="s">
        <v>5066</v>
      </c>
    </row>
    <row r="209" customFormat="false" ht="15" hidden="false" customHeight="false" outlineLevel="0" collapsed="false">
      <c r="A209" s="0" t="s">
        <v>6</v>
      </c>
      <c r="B209" s="0" t="s">
        <v>419</v>
      </c>
      <c r="C209" s="0" t="s">
        <v>5064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419</v>
      </c>
      <c r="C210" s="0" t="s">
        <v>5065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419</v>
      </c>
      <c r="C211" s="0" t="s">
        <v>5066</v>
      </c>
    </row>
    <row r="212" customFormat="false" ht="15" hidden="false" customHeight="false" outlineLevel="0" collapsed="false">
      <c r="A212" s="0" t="s">
        <v>6</v>
      </c>
      <c r="B212" s="0" t="s">
        <v>427</v>
      </c>
      <c r="C212" s="0" t="s">
        <v>5064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427</v>
      </c>
      <c r="C213" s="0" t="s">
        <v>5065</v>
      </c>
    </row>
    <row r="214" customFormat="false" ht="15" hidden="false" customHeight="false" outlineLevel="0" collapsed="false">
      <c r="A214" s="0" t="s">
        <v>6</v>
      </c>
      <c r="B214" s="0" t="s">
        <v>427</v>
      </c>
      <c r="C214" s="0" t="s">
        <v>5066</v>
      </c>
    </row>
    <row r="215" customFormat="false" ht="15" hidden="false" customHeight="false" outlineLevel="0" collapsed="false">
      <c r="A215" s="0" t="s">
        <v>6</v>
      </c>
      <c r="B215" s="0" t="s">
        <v>430</v>
      </c>
      <c r="C215" s="0" t="s">
        <v>5064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430</v>
      </c>
      <c r="C216" s="0" t="s">
        <v>5065</v>
      </c>
    </row>
    <row r="217" customFormat="false" ht="15" hidden="false" customHeight="false" outlineLevel="0" collapsed="false">
      <c r="A217" s="0" t="s">
        <v>6</v>
      </c>
      <c r="B217" s="0" t="s">
        <v>430</v>
      </c>
      <c r="C217" s="0" t="s">
        <v>5066</v>
      </c>
    </row>
    <row r="218" customFormat="false" ht="15" hidden="false" customHeight="false" outlineLevel="0" collapsed="false">
      <c r="A218" s="0" t="s">
        <v>6</v>
      </c>
      <c r="B218" s="0" t="s">
        <v>433</v>
      </c>
      <c r="C218" s="0" t="s">
        <v>5064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433</v>
      </c>
      <c r="C219" s="0" t="s">
        <v>5065</v>
      </c>
    </row>
    <row r="220" customFormat="false" ht="15" hidden="false" customHeight="false" outlineLevel="0" collapsed="false">
      <c r="A220" s="0" t="s">
        <v>6</v>
      </c>
      <c r="B220" s="0" t="s">
        <v>433</v>
      </c>
      <c r="C220" s="0" t="s">
        <v>5066</v>
      </c>
    </row>
    <row r="221" customFormat="false" ht="15" hidden="false" customHeight="false" outlineLevel="0" collapsed="false">
      <c r="A221" s="0" t="s">
        <v>6</v>
      </c>
      <c r="B221" s="0" t="s">
        <v>439</v>
      </c>
      <c r="C221" s="0" t="s">
        <v>5064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439</v>
      </c>
      <c r="C222" s="0" t="s">
        <v>5065</v>
      </c>
    </row>
    <row r="223" customFormat="false" ht="15" hidden="false" customHeight="false" outlineLevel="0" collapsed="false">
      <c r="A223" s="0" t="s">
        <v>6</v>
      </c>
      <c r="B223" s="0" t="s">
        <v>439</v>
      </c>
      <c r="C223" s="0" t="s">
        <v>5066</v>
      </c>
    </row>
    <row r="224" customFormat="false" ht="15" hidden="false" customHeight="false" outlineLevel="0" collapsed="false">
      <c r="A224" s="0" t="s">
        <v>6</v>
      </c>
      <c r="B224" s="0" t="s">
        <v>443</v>
      </c>
      <c r="C224" s="0" t="s">
        <v>5064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443</v>
      </c>
      <c r="C225" s="0" t="s">
        <v>5065</v>
      </c>
    </row>
    <row r="226" customFormat="false" ht="15" hidden="false" customHeight="false" outlineLevel="0" collapsed="false">
      <c r="A226" s="0" t="s">
        <v>6</v>
      </c>
      <c r="B226" s="0" t="s">
        <v>443</v>
      </c>
      <c r="C226" s="0" t="s">
        <v>5066</v>
      </c>
    </row>
    <row r="227" customFormat="false" ht="15" hidden="false" customHeight="false" outlineLevel="0" collapsed="false">
      <c r="A227" s="0" t="s">
        <v>6</v>
      </c>
      <c r="B227" s="0" t="s">
        <v>447</v>
      </c>
      <c r="C227" s="0" t="s">
        <v>5064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447</v>
      </c>
      <c r="C228" s="0" t="s">
        <v>5065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447</v>
      </c>
      <c r="C229" s="0" t="s">
        <v>5066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452</v>
      </c>
      <c r="C230" s="0" t="s">
        <v>5064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452</v>
      </c>
      <c r="C231" s="0" t="s">
        <v>5065</v>
      </c>
    </row>
    <row r="232" customFormat="false" ht="15" hidden="false" customHeight="false" outlineLevel="0" collapsed="false">
      <c r="A232" s="0" t="s">
        <v>6</v>
      </c>
      <c r="B232" s="0" t="s">
        <v>452</v>
      </c>
      <c r="C232" s="0" t="s">
        <v>5066</v>
      </c>
    </row>
    <row r="233" customFormat="false" ht="15" hidden="false" customHeight="false" outlineLevel="0" collapsed="false">
      <c r="A233" s="0" t="s">
        <v>6</v>
      </c>
      <c r="B233" s="0" t="s">
        <v>459</v>
      </c>
      <c r="C233" s="0" t="s">
        <v>5064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459</v>
      </c>
      <c r="C234" s="0" t="s">
        <v>5065</v>
      </c>
    </row>
    <row r="235" customFormat="false" ht="15" hidden="false" customHeight="false" outlineLevel="0" collapsed="false">
      <c r="A235" s="0" t="s">
        <v>6</v>
      </c>
      <c r="B235" s="0" t="s">
        <v>459</v>
      </c>
      <c r="C235" s="0" t="s">
        <v>5066</v>
      </c>
    </row>
    <row r="236" customFormat="false" ht="15" hidden="false" customHeight="false" outlineLevel="0" collapsed="false">
      <c r="A236" s="0" t="s">
        <v>6</v>
      </c>
      <c r="B236" s="0" t="s">
        <v>465</v>
      </c>
      <c r="C236" s="0" t="s">
        <v>5064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465</v>
      </c>
      <c r="C237" s="0" t="s">
        <v>5065</v>
      </c>
    </row>
    <row r="238" customFormat="false" ht="15" hidden="false" customHeight="false" outlineLevel="0" collapsed="false">
      <c r="A238" s="0" t="s">
        <v>6</v>
      </c>
      <c r="B238" s="0" t="s">
        <v>465</v>
      </c>
      <c r="C238" s="0" t="s">
        <v>5066</v>
      </c>
    </row>
    <row r="239" customFormat="false" ht="15" hidden="false" customHeight="false" outlineLevel="0" collapsed="false">
      <c r="A239" s="0" t="s">
        <v>6</v>
      </c>
      <c r="B239" s="0" t="s">
        <v>470</v>
      </c>
      <c r="C239" s="0" t="s">
        <v>5064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470</v>
      </c>
      <c r="C240" s="0" t="s">
        <v>5065</v>
      </c>
    </row>
    <row r="241" customFormat="false" ht="15" hidden="false" customHeight="false" outlineLevel="0" collapsed="false">
      <c r="A241" s="0" t="s">
        <v>6</v>
      </c>
      <c r="B241" s="0" t="s">
        <v>470</v>
      </c>
      <c r="C241" s="0" t="s">
        <v>5066</v>
      </c>
    </row>
    <row r="242" customFormat="false" ht="15" hidden="false" customHeight="false" outlineLevel="0" collapsed="false">
      <c r="A242" s="0" t="s">
        <v>6</v>
      </c>
      <c r="B242" s="0" t="s">
        <v>475</v>
      </c>
      <c r="C242" s="0" t="s">
        <v>5064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475</v>
      </c>
      <c r="C243" s="0" t="s">
        <v>5065</v>
      </c>
    </row>
    <row r="244" customFormat="false" ht="15" hidden="false" customHeight="false" outlineLevel="0" collapsed="false">
      <c r="A244" s="0" t="s">
        <v>6</v>
      </c>
      <c r="B244" s="0" t="s">
        <v>475</v>
      </c>
      <c r="C244" s="0" t="s">
        <v>5066</v>
      </c>
    </row>
    <row r="245" customFormat="false" ht="15" hidden="false" customHeight="false" outlineLevel="0" collapsed="false">
      <c r="A245" s="0" t="s">
        <v>6</v>
      </c>
      <c r="B245" s="0" t="s">
        <v>480</v>
      </c>
      <c r="C245" s="0" t="s">
        <v>5064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480</v>
      </c>
      <c r="C246" s="0" t="s">
        <v>5065</v>
      </c>
    </row>
    <row r="247" customFormat="false" ht="15" hidden="false" customHeight="false" outlineLevel="0" collapsed="false">
      <c r="A247" s="0" t="s">
        <v>6</v>
      </c>
      <c r="B247" s="0" t="s">
        <v>480</v>
      </c>
      <c r="C247" s="0" t="s">
        <v>5066</v>
      </c>
    </row>
    <row r="248" customFormat="false" ht="15" hidden="false" customHeight="false" outlineLevel="0" collapsed="false">
      <c r="A248" s="0" t="s">
        <v>6</v>
      </c>
      <c r="B248" s="0" t="s">
        <v>485</v>
      </c>
      <c r="C248" s="0" t="s">
        <v>5064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485</v>
      </c>
      <c r="C249" s="0" t="s">
        <v>5065</v>
      </c>
    </row>
    <row r="250" customFormat="false" ht="15" hidden="false" customHeight="false" outlineLevel="0" collapsed="false">
      <c r="A250" s="0" t="s">
        <v>6</v>
      </c>
      <c r="B250" s="0" t="s">
        <v>485</v>
      </c>
      <c r="C250" s="0" t="s">
        <v>5066</v>
      </c>
    </row>
    <row r="251" customFormat="false" ht="15" hidden="false" customHeight="false" outlineLevel="0" collapsed="false">
      <c r="A251" s="0" t="s">
        <v>6</v>
      </c>
      <c r="B251" s="0" t="s">
        <v>492</v>
      </c>
      <c r="C251" s="0" t="s">
        <v>5064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492</v>
      </c>
      <c r="C252" s="0" t="s">
        <v>5065</v>
      </c>
    </row>
    <row r="253" customFormat="false" ht="15" hidden="false" customHeight="false" outlineLevel="0" collapsed="false">
      <c r="A253" s="0" t="s">
        <v>6</v>
      </c>
      <c r="B253" s="0" t="s">
        <v>492</v>
      </c>
      <c r="C253" s="0" t="s">
        <v>5066</v>
      </c>
    </row>
    <row r="254" customFormat="false" ht="15" hidden="false" customHeight="false" outlineLevel="0" collapsed="false">
      <c r="A254" s="0" t="s">
        <v>6</v>
      </c>
      <c r="B254" s="0" t="s">
        <v>496</v>
      </c>
      <c r="C254" s="0" t="s">
        <v>5064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496</v>
      </c>
      <c r="C255" s="0" t="s">
        <v>5065</v>
      </c>
    </row>
    <row r="256" customFormat="false" ht="15" hidden="false" customHeight="false" outlineLevel="0" collapsed="false">
      <c r="A256" s="0" t="s">
        <v>6</v>
      </c>
      <c r="B256" s="0" t="s">
        <v>496</v>
      </c>
      <c r="C256" s="0" t="s">
        <v>5066</v>
      </c>
    </row>
    <row r="257" customFormat="false" ht="15" hidden="false" customHeight="false" outlineLevel="0" collapsed="false">
      <c r="A257" s="0" t="s">
        <v>6</v>
      </c>
      <c r="B257" s="0" t="s">
        <v>501</v>
      </c>
      <c r="C257" s="0" t="s">
        <v>5064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501</v>
      </c>
      <c r="C258" s="0" t="s">
        <v>5065</v>
      </c>
    </row>
    <row r="259" customFormat="false" ht="15" hidden="false" customHeight="false" outlineLevel="0" collapsed="false">
      <c r="A259" s="0" t="s">
        <v>6</v>
      </c>
      <c r="B259" s="0" t="s">
        <v>501</v>
      </c>
      <c r="C259" s="0" t="s">
        <v>5066</v>
      </c>
    </row>
    <row r="260" customFormat="false" ht="15" hidden="false" customHeight="false" outlineLevel="0" collapsed="false">
      <c r="A260" s="0" t="s">
        <v>6</v>
      </c>
      <c r="B260" s="0" t="s">
        <v>505</v>
      </c>
      <c r="C260" s="0" t="s">
        <v>5064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505</v>
      </c>
      <c r="C261" s="0" t="s">
        <v>5065</v>
      </c>
    </row>
    <row r="262" customFormat="false" ht="15" hidden="false" customHeight="false" outlineLevel="0" collapsed="false">
      <c r="A262" s="0" t="s">
        <v>6</v>
      </c>
      <c r="B262" s="0" t="s">
        <v>505</v>
      </c>
      <c r="C262" s="0" t="s">
        <v>5066</v>
      </c>
    </row>
    <row r="263" customFormat="false" ht="15" hidden="false" customHeight="false" outlineLevel="0" collapsed="false">
      <c r="A263" s="0" t="s">
        <v>6</v>
      </c>
      <c r="B263" s="0" t="s">
        <v>512</v>
      </c>
      <c r="C263" s="0" t="s">
        <v>5064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512</v>
      </c>
      <c r="C264" s="0" t="s">
        <v>5065</v>
      </c>
    </row>
    <row r="265" customFormat="false" ht="15" hidden="false" customHeight="false" outlineLevel="0" collapsed="false">
      <c r="A265" s="0" t="s">
        <v>6</v>
      </c>
      <c r="B265" s="0" t="s">
        <v>512</v>
      </c>
      <c r="C265" s="0" t="s">
        <v>5066</v>
      </c>
    </row>
    <row r="266" customFormat="false" ht="15" hidden="false" customHeight="false" outlineLevel="0" collapsed="false">
      <c r="A266" s="0" t="s">
        <v>6</v>
      </c>
      <c r="B266" s="0" t="s">
        <v>519</v>
      </c>
      <c r="C266" s="0" t="s">
        <v>5064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519</v>
      </c>
      <c r="C267" s="0" t="s">
        <v>5065</v>
      </c>
    </row>
    <row r="268" customFormat="false" ht="15" hidden="false" customHeight="false" outlineLevel="0" collapsed="false">
      <c r="A268" s="0" t="s">
        <v>6</v>
      </c>
      <c r="B268" s="0" t="s">
        <v>519</v>
      </c>
      <c r="C268" s="0" t="s">
        <v>5066</v>
      </c>
    </row>
    <row r="269" customFormat="false" ht="15" hidden="false" customHeight="false" outlineLevel="0" collapsed="false">
      <c r="A269" s="0" t="s">
        <v>6</v>
      </c>
      <c r="B269" s="0" t="s">
        <v>526</v>
      </c>
      <c r="C269" s="0" t="s">
        <v>5064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526</v>
      </c>
      <c r="C270" s="0" t="s">
        <v>5065</v>
      </c>
    </row>
    <row r="271" customFormat="false" ht="15" hidden="false" customHeight="false" outlineLevel="0" collapsed="false">
      <c r="A271" s="0" t="s">
        <v>6</v>
      </c>
      <c r="B271" s="0" t="s">
        <v>526</v>
      </c>
      <c r="C271" s="0" t="s">
        <v>5066</v>
      </c>
    </row>
    <row r="272" customFormat="false" ht="15" hidden="false" customHeight="false" outlineLevel="0" collapsed="false">
      <c r="A272" s="0" t="s">
        <v>6</v>
      </c>
      <c r="B272" s="0" t="s">
        <v>530</v>
      </c>
      <c r="C272" s="0" t="s">
        <v>5064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530</v>
      </c>
      <c r="C273" s="0" t="s">
        <v>5065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530</v>
      </c>
      <c r="C274" s="0" t="s">
        <v>5066</v>
      </c>
    </row>
    <row r="275" customFormat="false" ht="15" hidden="false" customHeight="false" outlineLevel="0" collapsed="false">
      <c r="A275" s="0" t="s">
        <v>6</v>
      </c>
      <c r="B275" s="0" t="s">
        <v>536</v>
      </c>
      <c r="C275" s="0" t="s">
        <v>5064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536</v>
      </c>
      <c r="C276" s="0" t="s">
        <v>5065</v>
      </c>
    </row>
    <row r="277" customFormat="false" ht="15" hidden="false" customHeight="false" outlineLevel="0" collapsed="false">
      <c r="A277" s="0" t="s">
        <v>6</v>
      </c>
      <c r="B277" s="0" t="s">
        <v>536</v>
      </c>
      <c r="C277" s="0" t="s">
        <v>5066</v>
      </c>
    </row>
    <row r="278" customFormat="false" ht="15" hidden="false" customHeight="false" outlineLevel="0" collapsed="false">
      <c r="A278" s="0" t="s">
        <v>6</v>
      </c>
      <c r="B278" s="0" t="s">
        <v>543</v>
      </c>
      <c r="C278" s="0" t="s">
        <v>5064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543</v>
      </c>
      <c r="C279" s="0" t="s">
        <v>5065</v>
      </c>
    </row>
    <row r="280" customFormat="false" ht="15" hidden="false" customHeight="false" outlineLevel="0" collapsed="false">
      <c r="A280" s="0" t="s">
        <v>6</v>
      </c>
      <c r="B280" s="0" t="s">
        <v>543</v>
      </c>
      <c r="C280" s="0" t="s">
        <v>5066</v>
      </c>
    </row>
    <row r="281" customFormat="false" ht="15" hidden="false" customHeight="false" outlineLevel="0" collapsed="false">
      <c r="A281" s="0" t="s">
        <v>6</v>
      </c>
      <c r="B281" s="0" t="s">
        <v>550</v>
      </c>
      <c r="C281" s="0" t="s">
        <v>5064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550</v>
      </c>
      <c r="C282" s="0" t="s">
        <v>5065</v>
      </c>
    </row>
    <row r="283" customFormat="false" ht="15" hidden="false" customHeight="false" outlineLevel="0" collapsed="false">
      <c r="A283" s="0" t="s">
        <v>6</v>
      </c>
      <c r="B283" s="0" t="s">
        <v>550</v>
      </c>
      <c r="C283" s="0" t="s">
        <v>5066</v>
      </c>
    </row>
    <row r="284" customFormat="false" ht="15" hidden="false" customHeight="false" outlineLevel="0" collapsed="false">
      <c r="A284" s="0" t="s">
        <v>6</v>
      </c>
      <c r="B284" s="0" t="s">
        <v>558</v>
      </c>
      <c r="C284" s="0" t="s">
        <v>5064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558</v>
      </c>
      <c r="C285" s="0" t="s">
        <v>5065</v>
      </c>
    </row>
    <row r="286" customFormat="false" ht="15" hidden="false" customHeight="false" outlineLevel="0" collapsed="false">
      <c r="A286" s="0" t="s">
        <v>6</v>
      </c>
      <c r="B286" s="0" t="s">
        <v>558</v>
      </c>
      <c r="C286" s="0" t="s">
        <v>5066</v>
      </c>
    </row>
    <row r="287" customFormat="false" ht="15" hidden="false" customHeight="false" outlineLevel="0" collapsed="false">
      <c r="A287" s="0" t="s">
        <v>6</v>
      </c>
      <c r="B287" s="0" t="s">
        <v>565</v>
      </c>
      <c r="C287" s="0" t="s">
        <v>5064</v>
      </c>
    </row>
    <row r="288" customFormat="false" ht="15" hidden="false" customHeight="false" outlineLevel="0" collapsed="false">
      <c r="A288" s="0" t="s">
        <v>6</v>
      </c>
      <c r="B288" s="0" t="s">
        <v>565</v>
      </c>
      <c r="C288" s="0" t="s">
        <v>5065</v>
      </c>
    </row>
    <row r="289" customFormat="false" ht="15" hidden="false" customHeight="false" outlineLevel="0" collapsed="false">
      <c r="A289" s="0" t="s">
        <v>6</v>
      </c>
      <c r="B289" s="0" t="s">
        <v>565</v>
      </c>
      <c r="C289" s="0" t="s">
        <v>5066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569</v>
      </c>
      <c r="C290" s="0" t="s">
        <v>5064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569</v>
      </c>
      <c r="C291" s="0" t="s">
        <v>5065</v>
      </c>
    </row>
    <row r="292" customFormat="false" ht="15" hidden="false" customHeight="false" outlineLevel="0" collapsed="false">
      <c r="A292" s="0" t="s">
        <v>6</v>
      </c>
      <c r="B292" s="0" t="s">
        <v>569</v>
      </c>
      <c r="C292" s="0" t="s">
        <v>5066</v>
      </c>
    </row>
    <row r="293" customFormat="false" ht="15" hidden="false" customHeight="false" outlineLevel="0" collapsed="false">
      <c r="A293" s="0" t="s">
        <v>6</v>
      </c>
      <c r="B293" s="0" t="s">
        <v>578</v>
      </c>
      <c r="C293" s="0" t="s">
        <v>5064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578</v>
      </c>
      <c r="C294" s="0" t="s">
        <v>5065</v>
      </c>
    </row>
    <row r="295" customFormat="false" ht="15" hidden="false" customHeight="false" outlineLevel="0" collapsed="false">
      <c r="A295" s="0" t="s">
        <v>6</v>
      </c>
      <c r="B295" s="0" t="s">
        <v>578</v>
      </c>
      <c r="C295" s="0" t="s">
        <v>5066</v>
      </c>
    </row>
    <row r="296" customFormat="false" ht="15" hidden="false" customHeight="false" outlineLevel="0" collapsed="false">
      <c r="A296" s="0" t="s">
        <v>6</v>
      </c>
      <c r="B296" s="0" t="s">
        <v>582</v>
      </c>
      <c r="C296" s="0" t="s">
        <v>5064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582</v>
      </c>
      <c r="C297" s="0" t="s">
        <v>5065</v>
      </c>
    </row>
    <row r="298" customFormat="false" ht="15" hidden="false" customHeight="false" outlineLevel="0" collapsed="false">
      <c r="A298" s="0" t="s">
        <v>6</v>
      </c>
      <c r="B298" s="0" t="s">
        <v>582</v>
      </c>
      <c r="C298" s="0" t="s">
        <v>5066</v>
      </c>
    </row>
    <row r="299" customFormat="false" ht="15" hidden="false" customHeight="false" outlineLevel="0" collapsed="false">
      <c r="A299" s="0" t="s">
        <v>6</v>
      </c>
      <c r="B299" s="0" t="s">
        <v>593</v>
      </c>
      <c r="C299" s="0" t="s">
        <v>5064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593</v>
      </c>
      <c r="C300" s="0" t="s">
        <v>5065</v>
      </c>
    </row>
    <row r="301" customFormat="false" ht="15" hidden="false" customHeight="false" outlineLevel="0" collapsed="false">
      <c r="A301" s="0" t="s">
        <v>6</v>
      </c>
      <c r="B301" s="0" t="s">
        <v>593</v>
      </c>
      <c r="C301" s="0" t="s">
        <v>5066</v>
      </c>
    </row>
    <row r="302" customFormat="false" ht="15" hidden="false" customHeight="false" outlineLevel="0" collapsed="false">
      <c r="A302" s="0" t="s">
        <v>6</v>
      </c>
      <c r="B302" s="0" t="s">
        <v>596</v>
      </c>
      <c r="C302" s="0" t="s">
        <v>5064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596</v>
      </c>
      <c r="C303" s="0" t="s">
        <v>5065</v>
      </c>
    </row>
    <row r="304" customFormat="false" ht="15" hidden="false" customHeight="false" outlineLevel="0" collapsed="false">
      <c r="A304" s="0" t="s">
        <v>6</v>
      </c>
      <c r="B304" s="0" t="s">
        <v>596</v>
      </c>
      <c r="C304" s="0" t="s">
        <v>5066</v>
      </c>
    </row>
    <row r="305" customFormat="false" ht="15" hidden="false" customHeight="false" outlineLevel="0" collapsed="false">
      <c r="A305" s="0" t="s">
        <v>6</v>
      </c>
      <c r="B305" s="0" t="s">
        <v>603</v>
      </c>
      <c r="C305" s="0" t="s">
        <v>5064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603</v>
      </c>
      <c r="C306" s="0" t="s">
        <v>5065</v>
      </c>
    </row>
    <row r="307" customFormat="false" ht="15" hidden="false" customHeight="false" outlineLevel="0" collapsed="false">
      <c r="A307" s="0" t="s">
        <v>6</v>
      </c>
      <c r="B307" s="0" t="s">
        <v>603</v>
      </c>
      <c r="C307" s="0" t="s">
        <v>5066</v>
      </c>
    </row>
    <row r="308" customFormat="false" ht="15" hidden="false" customHeight="false" outlineLevel="0" collapsed="false">
      <c r="A308" s="0" t="s">
        <v>6</v>
      </c>
      <c r="B308" s="0" t="s">
        <v>610</v>
      </c>
      <c r="C308" s="0" t="s">
        <v>5064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610</v>
      </c>
      <c r="C309" s="0" t="s">
        <v>5065</v>
      </c>
    </row>
    <row r="310" customFormat="false" ht="15" hidden="false" customHeight="false" outlineLevel="0" collapsed="false">
      <c r="A310" s="0" t="s">
        <v>6</v>
      </c>
      <c r="B310" s="0" t="s">
        <v>610</v>
      </c>
      <c r="C310" s="0" t="s">
        <v>5066</v>
      </c>
    </row>
    <row r="311" customFormat="false" ht="15" hidden="false" customHeight="false" outlineLevel="0" collapsed="false">
      <c r="A311" s="0" t="s">
        <v>6</v>
      </c>
      <c r="B311" s="0" t="s">
        <v>616</v>
      </c>
      <c r="C311" s="0" t="s">
        <v>5064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616</v>
      </c>
      <c r="C312" s="0" t="s">
        <v>5065</v>
      </c>
    </row>
    <row r="313" customFormat="false" ht="15" hidden="false" customHeight="false" outlineLevel="0" collapsed="false">
      <c r="A313" s="0" t="s">
        <v>6</v>
      </c>
      <c r="B313" s="0" t="s">
        <v>616</v>
      </c>
      <c r="C313" s="0" t="s">
        <v>5066</v>
      </c>
    </row>
    <row r="314" customFormat="false" ht="15" hidden="false" customHeight="false" outlineLevel="0" collapsed="false">
      <c r="A314" s="0" t="s">
        <v>6</v>
      </c>
      <c r="B314" s="0" t="s">
        <v>618</v>
      </c>
      <c r="C314" s="0" t="s">
        <v>5064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618</v>
      </c>
      <c r="C315" s="0" t="s">
        <v>5065</v>
      </c>
    </row>
    <row r="316" customFormat="false" ht="15" hidden="false" customHeight="false" outlineLevel="0" collapsed="false">
      <c r="A316" s="0" t="s">
        <v>6</v>
      </c>
      <c r="B316" s="0" t="s">
        <v>618</v>
      </c>
      <c r="C316" s="0" t="s">
        <v>5066</v>
      </c>
    </row>
    <row r="317" customFormat="false" ht="15" hidden="false" customHeight="false" outlineLevel="0" collapsed="false">
      <c r="A317" s="0" t="s">
        <v>6</v>
      </c>
      <c r="B317" s="0" t="s">
        <v>621</v>
      </c>
      <c r="C317" s="0" t="s">
        <v>5064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621</v>
      </c>
      <c r="C318" s="0" t="s">
        <v>5065</v>
      </c>
    </row>
    <row r="319" customFormat="false" ht="15" hidden="false" customHeight="false" outlineLevel="0" collapsed="false">
      <c r="A319" s="0" t="s">
        <v>6</v>
      </c>
      <c r="B319" s="0" t="s">
        <v>621</v>
      </c>
      <c r="C319" s="0" t="s">
        <v>5066</v>
      </c>
    </row>
    <row r="320" customFormat="false" ht="15" hidden="false" customHeight="false" outlineLevel="0" collapsed="false">
      <c r="A320" s="0" t="s">
        <v>6</v>
      </c>
      <c r="B320" s="0" t="s">
        <v>624</v>
      </c>
      <c r="C320" s="0" t="s">
        <v>5064</v>
      </c>
      <c r="D320" s="0" t="n">
        <v>5</v>
      </c>
    </row>
    <row r="321" customFormat="false" ht="15" hidden="false" customHeight="false" outlineLevel="0" collapsed="false">
      <c r="A321" s="0" t="s">
        <v>6</v>
      </c>
      <c r="B321" s="0" t="s">
        <v>624</v>
      </c>
      <c r="C321" s="0" t="s">
        <v>5065</v>
      </c>
    </row>
    <row r="322" customFormat="false" ht="15" hidden="false" customHeight="false" outlineLevel="0" collapsed="false">
      <c r="A322" s="0" t="s">
        <v>6</v>
      </c>
      <c r="B322" s="0" t="s">
        <v>624</v>
      </c>
      <c r="C322" s="0" t="s">
        <v>5066</v>
      </c>
    </row>
    <row r="323" customFormat="false" ht="15" hidden="false" customHeight="false" outlineLevel="0" collapsed="false">
      <c r="A323" s="0" t="s">
        <v>6</v>
      </c>
      <c r="B323" s="0" t="s">
        <v>630</v>
      </c>
      <c r="C323" s="0" t="s">
        <v>5064</v>
      </c>
      <c r="D323" s="0" t="n">
        <v>30</v>
      </c>
    </row>
    <row r="324" customFormat="false" ht="15" hidden="false" customHeight="false" outlineLevel="0" collapsed="false">
      <c r="A324" s="0" t="s">
        <v>6</v>
      </c>
      <c r="B324" s="0" t="s">
        <v>630</v>
      </c>
      <c r="C324" s="0" t="s">
        <v>5065</v>
      </c>
    </row>
    <row r="325" customFormat="false" ht="15" hidden="false" customHeight="false" outlineLevel="0" collapsed="false">
      <c r="A325" s="0" t="s">
        <v>6</v>
      </c>
      <c r="B325" s="0" t="s">
        <v>630</v>
      </c>
      <c r="C325" s="0" t="s">
        <v>5066</v>
      </c>
    </row>
    <row r="326" customFormat="false" ht="15" hidden="false" customHeight="false" outlineLevel="0" collapsed="false">
      <c r="A326" s="0" t="s">
        <v>6</v>
      </c>
      <c r="B326" s="0" t="s">
        <v>633</v>
      </c>
      <c r="C326" s="0" t="s">
        <v>5064</v>
      </c>
      <c r="D326" s="0" t="n">
        <v>2.5</v>
      </c>
    </row>
    <row r="327" customFormat="false" ht="15" hidden="false" customHeight="false" outlineLevel="0" collapsed="false">
      <c r="A327" s="0" t="s">
        <v>6</v>
      </c>
      <c r="B327" s="0" t="s">
        <v>633</v>
      </c>
      <c r="C327" s="0" t="s">
        <v>5065</v>
      </c>
    </row>
    <row r="328" customFormat="false" ht="15" hidden="false" customHeight="false" outlineLevel="0" collapsed="false">
      <c r="A328" s="0" t="s">
        <v>6</v>
      </c>
      <c r="B328" s="0" t="s">
        <v>633</v>
      </c>
      <c r="C328" s="0" t="s">
        <v>5066</v>
      </c>
    </row>
    <row r="329" customFormat="false" ht="15" hidden="false" customHeight="false" outlineLevel="0" collapsed="false">
      <c r="A329" s="0" t="s">
        <v>6</v>
      </c>
      <c r="B329" s="0" t="s">
        <v>636</v>
      </c>
      <c r="C329" s="0" t="s">
        <v>5064</v>
      </c>
      <c r="D329" s="0" t="n">
        <v>15</v>
      </c>
    </row>
    <row r="330" customFormat="false" ht="15" hidden="false" customHeight="false" outlineLevel="0" collapsed="false">
      <c r="A330" s="0" t="s">
        <v>6</v>
      </c>
      <c r="B330" s="0" t="s">
        <v>636</v>
      </c>
      <c r="C330" s="0" t="s">
        <v>5065</v>
      </c>
    </row>
    <row r="331" customFormat="false" ht="15" hidden="false" customHeight="false" outlineLevel="0" collapsed="false">
      <c r="A331" s="0" t="s">
        <v>6</v>
      </c>
      <c r="B331" s="0" t="s">
        <v>636</v>
      </c>
      <c r="C331" s="0" t="s">
        <v>5066</v>
      </c>
    </row>
    <row r="332" customFormat="false" ht="15" hidden="false" customHeight="false" outlineLevel="0" collapsed="false">
      <c r="A332" s="0" t="s">
        <v>6</v>
      </c>
      <c r="B332" s="0" t="s">
        <v>639</v>
      </c>
      <c r="C332" s="0" t="s">
        <v>5064</v>
      </c>
      <c r="D332" s="0" t="n">
        <v>1</v>
      </c>
    </row>
    <row r="333" customFormat="false" ht="15" hidden="false" customHeight="false" outlineLevel="0" collapsed="false">
      <c r="A333" s="0" t="s">
        <v>6</v>
      </c>
      <c r="B333" s="0" t="s">
        <v>639</v>
      </c>
      <c r="C333" s="0" t="s">
        <v>5065</v>
      </c>
    </row>
    <row r="334" customFormat="false" ht="15" hidden="false" customHeight="false" outlineLevel="0" collapsed="false">
      <c r="A334" s="0" t="s">
        <v>6</v>
      </c>
      <c r="B334" s="0" t="s">
        <v>639</v>
      </c>
      <c r="C334" s="0" t="s">
        <v>5066</v>
      </c>
    </row>
    <row r="335" customFormat="false" ht="15" hidden="false" customHeight="false" outlineLevel="0" collapsed="false">
      <c r="A335" s="0" t="s">
        <v>6</v>
      </c>
      <c r="B335" s="0" t="s">
        <v>642</v>
      </c>
      <c r="C335" s="0" t="s">
        <v>5064</v>
      </c>
      <c r="D335" s="0" t="n">
        <v>6</v>
      </c>
    </row>
    <row r="336" customFormat="false" ht="15" hidden="false" customHeight="false" outlineLevel="0" collapsed="false">
      <c r="A336" s="0" t="s">
        <v>6</v>
      </c>
      <c r="B336" s="0" t="s">
        <v>642</v>
      </c>
      <c r="C336" s="0" t="s">
        <v>5065</v>
      </c>
    </row>
    <row r="337" customFormat="false" ht="15" hidden="false" customHeight="false" outlineLevel="0" collapsed="false">
      <c r="A337" s="0" t="s">
        <v>6</v>
      </c>
      <c r="B337" s="0" t="s">
        <v>642</v>
      </c>
      <c r="C337" s="0" t="s">
        <v>5066</v>
      </c>
    </row>
    <row r="338" customFormat="false" ht="15" hidden="false" customHeight="false" outlineLevel="0" collapsed="false">
      <c r="A338" s="0" t="s">
        <v>6</v>
      </c>
      <c r="B338" s="0" t="s">
        <v>645</v>
      </c>
      <c r="C338" s="0" t="s">
        <v>5064</v>
      </c>
      <c r="D338" s="0" t="n">
        <v>2</v>
      </c>
    </row>
    <row r="339" customFormat="false" ht="15" hidden="false" customHeight="false" outlineLevel="0" collapsed="false">
      <c r="A339" s="0" t="s">
        <v>6</v>
      </c>
      <c r="B339" s="0" t="s">
        <v>645</v>
      </c>
      <c r="C339" s="0" t="s">
        <v>5065</v>
      </c>
    </row>
    <row r="340" customFormat="false" ht="15" hidden="false" customHeight="false" outlineLevel="0" collapsed="false">
      <c r="A340" s="0" t="s">
        <v>6</v>
      </c>
      <c r="B340" s="0" t="s">
        <v>645</v>
      </c>
      <c r="C340" s="0" t="s">
        <v>5066</v>
      </c>
    </row>
    <row r="341" customFormat="false" ht="15" hidden="false" customHeight="false" outlineLevel="0" collapsed="false">
      <c r="A341" s="0" t="s">
        <v>6</v>
      </c>
      <c r="B341" s="0" t="s">
        <v>648</v>
      </c>
      <c r="C341" s="0" t="s">
        <v>5064</v>
      </c>
      <c r="D341" s="0" t="n">
        <v>12</v>
      </c>
    </row>
    <row r="342" customFormat="false" ht="15" hidden="false" customHeight="false" outlineLevel="0" collapsed="false">
      <c r="A342" s="0" t="s">
        <v>6</v>
      </c>
      <c r="B342" s="0" t="s">
        <v>648</v>
      </c>
      <c r="C342" s="0" t="s">
        <v>5065</v>
      </c>
    </row>
    <row r="343" customFormat="false" ht="15" hidden="false" customHeight="false" outlineLevel="0" collapsed="false">
      <c r="A343" s="0" t="s">
        <v>6</v>
      </c>
      <c r="B343" s="0" t="s">
        <v>648</v>
      </c>
      <c r="C343" s="0" t="s">
        <v>5066</v>
      </c>
    </row>
    <row r="344" customFormat="false" ht="15" hidden="false" customHeight="false" outlineLevel="0" collapsed="false">
      <c r="A344" s="0" t="s">
        <v>6</v>
      </c>
      <c r="B344" s="0" t="s">
        <v>651</v>
      </c>
      <c r="C344" s="0" t="s">
        <v>5064</v>
      </c>
      <c r="D344" s="0" t="n">
        <v>0.2</v>
      </c>
    </row>
    <row r="345" customFormat="false" ht="15" hidden="false" customHeight="false" outlineLevel="0" collapsed="false">
      <c r="A345" s="0" t="s">
        <v>6</v>
      </c>
      <c r="B345" s="0" t="s">
        <v>651</v>
      </c>
      <c r="C345" s="0" t="s">
        <v>5065</v>
      </c>
    </row>
    <row r="346" customFormat="false" ht="15" hidden="false" customHeight="false" outlineLevel="0" collapsed="false">
      <c r="A346" s="0" t="s">
        <v>6</v>
      </c>
      <c r="B346" s="0" t="s">
        <v>651</v>
      </c>
      <c r="C346" s="0" t="s">
        <v>5066</v>
      </c>
    </row>
    <row r="347" customFormat="false" ht="15" hidden="false" customHeight="false" outlineLevel="0" collapsed="false">
      <c r="A347" s="0" t="s">
        <v>6</v>
      </c>
      <c r="B347" s="0" t="s">
        <v>654</v>
      </c>
      <c r="C347" s="0" t="s">
        <v>5064</v>
      </c>
      <c r="D347" s="0" t="n">
        <v>1.2</v>
      </c>
    </row>
    <row r="348" customFormat="false" ht="15" hidden="false" customHeight="false" outlineLevel="0" collapsed="false">
      <c r="A348" s="0" t="s">
        <v>6</v>
      </c>
      <c r="B348" s="0" t="s">
        <v>654</v>
      </c>
      <c r="C348" s="0" t="s">
        <v>5065</v>
      </c>
    </row>
    <row r="349" customFormat="false" ht="15" hidden="false" customHeight="false" outlineLevel="0" collapsed="false">
      <c r="A349" s="0" t="s">
        <v>6</v>
      </c>
      <c r="B349" s="0" t="s">
        <v>654</v>
      </c>
      <c r="C349" s="0" t="s">
        <v>5066</v>
      </c>
    </row>
    <row r="350" customFormat="false" ht="15" hidden="false" customHeight="false" outlineLevel="0" collapsed="false">
      <c r="A350" s="0" t="s">
        <v>6</v>
      </c>
      <c r="B350" s="0" t="s">
        <v>657</v>
      </c>
      <c r="C350" s="0" t="s">
        <v>5064</v>
      </c>
      <c r="D350" s="0" t="n">
        <v>4</v>
      </c>
    </row>
    <row r="351" customFormat="false" ht="15" hidden="false" customHeight="false" outlineLevel="0" collapsed="false">
      <c r="A351" s="0" t="s">
        <v>6</v>
      </c>
      <c r="B351" s="0" t="s">
        <v>657</v>
      </c>
      <c r="C351" s="0" t="s">
        <v>5065</v>
      </c>
    </row>
    <row r="352" customFormat="false" ht="15" hidden="false" customHeight="false" outlineLevel="0" collapsed="false">
      <c r="A352" s="0" t="s">
        <v>6</v>
      </c>
      <c r="B352" s="0" t="s">
        <v>657</v>
      </c>
      <c r="C352" s="0" t="s">
        <v>5066</v>
      </c>
    </row>
    <row r="353" customFormat="false" ht="15" hidden="false" customHeight="false" outlineLevel="0" collapsed="false">
      <c r="A353" s="0" t="s">
        <v>6</v>
      </c>
      <c r="B353" s="0" t="s">
        <v>660</v>
      </c>
      <c r="C353" s="0" t="s">
        <v>5064</v>
      </c>
      <c r="D353" s="0" t="n">
        <v>20</v>
      </c>
    </row>
    <row r="354" customFormat="false" ht="15" hidden="false" customHeight="false" outlineLevel="0" collapsed="false">
      <c r="A354" s="0" t="s">
        <v>6</v>
      </c>
      <c r="B354" s="0" t="s">
        <v>660</v>
      </c>
      <c r="C354" s="0" t="s">
        <v>5065</v>
      </c>
    </row>
    <row r="355" customFormat="false" ht="15" hidden="false" customHeight="false" outlineLevel="0" collapsed="false">
      <c r="A355" s="0" t="s">
        <v>6</v>
      </c>
      <c r="B355" s="0" t="s">
        <v>660</v>
      </c>
      <c r="C355" s="0" t="s">
        <v>5066</v>
      </c>
    </row>
    <row r="356" customFormat="false" ht="15" hidden="false" customHeight="false" outlineLevel="0" collapsed="false">
      <c r="A356" s="0" t="s">
        <v>6</v>
      </c>
      <c r="B356" s="0" t="s">
        <v>663</v>
      </c>
      <c r="C356" s="0" t="s">
        <v>5064</v>
      </c>
      <c r="D356" s="0" t="n">
        <v>46233</v>
      </c>
    </row>
    <row r="357" customFormat="false" ht="15" hidden="false" customHeight="false" outlineLevel="0" collapsed="false">
      <c r="A357" s="0" t="s">
        <v>6</v>
      </c>
      <c r="B357" s="0" t="s">
        <v>663</v>
      </c>
      <c r="C357" s="0" t="s">
        <v>5065</v>
      </c>
    </row>
    <row r="358" customFormat="false" ht="15" hidden="false" customHeight="false" outlineLevel="0" collapsed="false">
      <c r="A358" s="0" t="s">
        <v>6</v>
      </c>
      <c r="B358" s="0" t="s">
        <v>663</v>
      </c>
      <c r="C358" s="0" t="s">
        <v>5066</v>
      </c>
    </row>
    <row r="359" customFormat="false" ht="15" hidden="false" customHeight="false" outlineLevel="0" collapsed="false">
      <c r="A359" s="0" t="s">
        <v>6</v>
      </c>
      <c r="B359" s="0" t="s">
        <v>669</v>
      </c>
      <c r="C359" s="0" t="s">
        <v>5064</v>
      </c>
      <c r="D359" s="0" t="n">
        <v>46256</v>
      </c>
    </row>
    <row r="360" customFormat="false" ht="15" hidden="false" customHeight="false" outlineLevel="0" collapsed="false">
      <c r="A360" s="0" t="s">
        <v>6</v>
      </c>
      <c r="B360" s="0" t="s">
        <v>669</v>
      </c>
      <c r="C360" s="0" t="s">
        <v>5065</v>
      </c>
    </row>
    <row r="361" customFormat="false" ht="15" hidden="false" customHeight="false" outlineLevel="0" collapsed="false">
      <c r="A361" s="0" t="s">
        <v>6</v>
      </c>
      <c r="B361" s="0" t="s">
        <v>669</v>
      </c>
      <c r="C361" s="0" t="s">
        <v>5066</v>
      </c>
    </row>
    <row r="362" customFormat="false" ht="15" hidden="false" customHeight="false" outlineLevel="0" collapsed="false">
      <c r="A362" s="0" t="s">
        <v>6</v>
      </c>
      <c r="B362" s="0" t="s">
        <v>672</v>
      </c>
      <c r="C362" s="0" t="s">
        <v>5064</v>
      </c>
      <c r="D362" s="0" t="n">
        <v>46268</v>
      </c>
    </row>
    <row r="363" customFormat="false" ht="15" hidden="false" customHeight="false" outlineLevel="0" collapsed="false">
      <c r="A363" s="0" t="s">
        <v>6</v>
      </c>
      <c r="B363" s="0" t="s">
        <v>672</v>
      </c>
      <c r="C363" s="0" t="s">
        <v>5065</v>
      </c>
    </row>
    <row r="364" customFormat="false" ht="15" hidden="false" customHeight="false" outlineLevel="0" collapsed="false">
      <c r="A364" s="0" t="s">
        <v>6</v>
      </c>
      <c r="B364" s="0" t="s">
        <v>672</v>
      </c>
      <c r="C364" s="0" t="s">
        <v>5066</v>
      </c>
    </row>
    <row r="365" customFormat="false" ht="15" hidden="false" customHeight="false" outlineLevel="0" collapsed="false">
      <c r="A365" s="0" t="s">
        <v>6</v>
      </c>
      <c r="B365" s="0" t="s">
        <v>675</v>
      </c>
      <c r="C365" s="0" t="s">
        <v>5064</v>
      </c>
      <c r="D365" s="0" t="n">
        <v>46287</v>
      </c>
    </row>
    <row r="366" customFormat="false" ht="15" hidden="false" customHeight="false" outlineLevel="0" collapsed="false">
      <c r="A366" s="0" t="s">
        <v>6</v>
      </c>
      <c r="B366" s="0" t="s">
        <v>675</v>
      </c>
      <c r="C366" s="0" t="s">
        <v>5065</v>
      </c>
    </row>
    <row r="367" customFormat="false" ht="15" hidden="false" customHeight="false" outlineLevel="0" collapsed="false">
      <c r="A367" s="0" t="s">
        <v>6</v>
      </c>
      <c r="B367" s="0" t="s">
        <v>675</v>
      </c>
      <c r="C367" s="0" t="s">
        <v>5066</v>
      </c>
    </row>
    <row r="368" customFormat="false" ht="15" hidden="false" customHeight="false" outlineLevel="0" collapsed="false">
      <c r="A368" s="0" t="s">
        <v>6</v>
      </c>
      <c r="B368" s="0" t="s">
        <v>678</v>
      </c>
      <c r="C368" s="0" t="s">
        <v>5064</v>
      </c>
      <c r="D368" s="0" t="n">
        <v>5.73</v>
      </c>
    </row>
    <row r="369" customFormat="false" ht="15" hidden="false" customHeight="false" outlineLevel="0" collapsed="false">
      <c r="A369" s="0" t="s">
        <v>6</v>
      </c>
      <c r="B369" s="0" t="s">
        <v>678</v>
      </c>
      <c r="C369" s="0" t="s">
        <v>5065</v>
      </c>
    </row>
    <row r="370" customFormat="false" ht="15" hidden="false" customHeight="false" outlineLevel="0" collapsed="false">
      <c r="A370" s="0" t="s">
        <v>6</v>
      </c>
      <c r="B370" s="0" t="s">
        <v>678</v>
      </c>
      <c r="C370" s="0" t="s">
        <v>5066</v>
      </c>
    </row>
    <row r="371" customFormat="false" ht="15" hidden="false" customHeight="false" outlineLevel="0" collapsed="false">
      <c r="A371" s="0" t="s">
        <v>6</v>
      </c>
      <c r="B371" s="0" t="s">
        <v>686</v>
      </c>
      <c r="C371" s="0" t="s">
        <v>5064</v>
      </c>
      <c r="D371" s="0" t="n">
        <v>1.57</v>
      </c>
    </row>
    <row r="372" customFormat="false" ht="15" hidden="false" customHeight="false" outlineLevel="0" collapsed="false">
      <c r="A372" s="0" t="s">
        <v>6</v>
      </c>
      <c r="B372" s="0" t="s">
        <v>686</v>
      </c>
      <c r="C372" s="0" t="s">
        <v>5065</v>
      </c>
    </row>
    <row r="373" customFormat="false" ht="15" hidden="false" customHeight="false" outlineLevel="0" collapsed="false">
      <c r="A373" s="0" t="s">
        <v>6</v>
      </c>
      <c r="B373" s="0" t="s">
        <v>686</v>
      </c>
      <c r="C373" s="0" t="s">
        <v>5066</v>
      </c>
    </row>
    <row r="374" customFormat="false" ht="15" hidden="false" customHeight="false" outlineLevel="0" collapsed="false">
      <c r="A374" s="0" t="s">
        <v>6</v>
      </c>
      <c r="B374" s="0" t="s">
        <v>689</v>
      </c>
      <c r="C374" s="0" t="s">
        <v>5064</v>
      </c>
      <c r="D374" s="0" t="n">
        <v>20.92</v>
      </c>
    </row>
    <row r="375" customFormat="false" ht="15" hidden="false" customHeight="false" outlineLevel="0" collapsed="false">
      <c r="A375" s="0" t="s">
        <v>6</v>
      </c>
      <c r="B375" s="0" t="s">
        <v>689</v>
      </c>
      <c r="C375" s="0" t="s">
        <v>5065</v>
      </c>
    </row>
    <row r="376" customFormat="false" ht="15" hidden="false" customHeight="false" outlineLevel="0" collapsed="false">
      <c r="A376" s="0" t="s">
        <v>6</v>
      </c>
      <c r="B376" s="0" t="s">
        <v>689</v>
      </c>
      <c r="C376" s="0" t="s">
        <v>5066</v>
      </c>
    </row>
    <row r="377" customFormat="false" ht="15" hidden="false" customHeight="false" outlineLevel="0" collapsed="false">
      <c r="A377" s="0" t="s">
        <v>6</v>
      </c>
      <c r="B377" s="0" t="s">
        <v>693</v>
      </c>
      <c r="C377" s="0" t="s">
        <v>5064</v>
      </c>
      <c r="D377" s="0" t="n">
        <v>4000</v>
      </c>
    </row>
    <row r="378" customFormat="false" ht="15" hidden="false" customHeight="false" outlineLevel="0" collapsed="false">
      <c r="A378" s="0" t="s">
        <v>6</v>
      </c>
      <c r="B378" s="0" t="s">
        <v>693</v>
      </c>
      <c r="C378" s="0" t="s">
        <v>5065</v>
      </c>
    </row>
    <row r="379" customFormat="false" ht="15" hidden="false" customHeight="false" outlineLevel="0" collapsed="false">
      <c r="A379" s="0" t="s">
        <v>6</v>
      </c>
      <c r="B379" s="0" t="s">
        <v>693</v>
      </c>
      <c r="C379" s="0" t="s">
        <v>5066</v>
      </c>
    </row>
    <row r="380" customFormat="false" ht="15" hidden="false" customHeight="false" outlineLevel="0" collapsed="false">
      <c r="A380" s="0" t="s">
        <v>6</v>
      </c>
      <c r="B380" s="0" t="s">
        <v>702</v>
      </c>
      <c r="C380" s="0" t="s">
        <v>5064</v>
      </c>
      <c r="D380" s="0" t="n">
        <v>1.5</v>
      </c>
    </row>
    <row r="381" customFormat="false" ht="15" hidden="false" customHeight="false" outlineLevel="0" collapsed="false">
      <c r="A381" s="0" t="s">
        <v>6</v>
      </c>
      <c r="B381" s="0" t="s">
        <v>702</v>
      </c>
      <c r="C381" s="0" t="s">
        <v>5065</v>
      </c>
    </row>
    <row r="382" customFormat="false" ht="15" hidden="false" customHeight="false" outlineLevel="0" collapsed="false">
      <c r="A382" s="0" t="s">
        <v>6</v>
      </c>
      <c r="B382" s="0" t="s">
        <v>702</v>
      </c>
      <c r="C382" s="0" t="s">
        <v>5066</v>
      </c>
    </row>
    <row r="383" customFormat="false" ht="15" hidden="false" customHeight="false" outlineLevel="0" collapsed="false">
      <c r="A383" s="0" t="s">
        <v>6</v>
      </c>
      <c r="B383" s="0" t="s">
        <v>707</v>
      </c>
      <c r="C383" s="0" t="s">
        <v>5064</v>
      </c>
      <c r="D383" s="0" t="n">
        <v>0.462</v>
      </c>
    </row>
    <row r="384" customFormat="false" ht="15" hidden="false" customHeight="false" outlineLevel="0" collapsed="false">
      <c r="A384" s="0" t="s">
        <v>6</v>
      </c>
      <c r="B384" s="0" t="s">
        <v>707</v>
      </c>
      <c r="C384" s="0" t="s">
        <v>5065</v>
      </c>
    </row>
    <row r="385" customFormat="false" ht="15" hidden="false" customHeight="false" outlineLevel="0" collapsed="false">
      <c r="A385" s="0" t="s">
        <v>6</v>
      </c>
      <c r="B385" s="0" t="s">
        <v>707</v>
      </c>
      <c r="C385" s="0" t="s">
        <v>5066</v>
      </c>
    </row>
    <row r="386" customFormat="false" ht="15" hidden="false" customHeight="false" outlineLevel="0" collapsed="false">
      <c r="A386" s="0" t="s">
        <v>6</v>
      </c>
      <c r="B386" s="0" t="s">
        <v>711</v>
      </c>
      <c r="C386" s="0" t="s">
        <v>5064</v>
      </c>
      <c r="D386" s="0" t="n">
        <v>3</v>
      </c>
    </row>
    <row r="387" customFormat="false" ht="15" hidden="false" customHeight="false" outlineLevel="0" collapsed="false">
      <c r="A387" s="0" t="s">
        <v>6</v>
      </c>
      <c r="B387" s="0" t="s">
        <v>711</v>
      </c>
      <c r="C387" s="0" t="s">
        <v>5065</v>
      </c>
    </row>
    <row r="388" customFormat="false" ht="15" hidden="false" customHeight="false" outlineLevel="0" collapsed="false">
      <c r="A388" s="0" t="s">
        <v>6</v>
      </c>
      <c r="B388" s="0" t="s">
        <v>711</v>
      </c>
      <c r="C388" s="0" t="s">
        <v>5066</v>
      </c>
    </row>
    <row r="389" customFormat="false" ht="15" hidden="false" customHeight="false" outlineLevel="0" collapsed="false">
      <c r="A389" s="0" t="s">
        <v>6</v>
      </c>
      <c r="B389" s="0" t="s">
        <v>716</v>
      </c>
      <c r="C389" s="0" t="s">
        <v>5064</v>
      </c>
      <c r="D389" s="0" t="n">
        <v>4500</v>
      </c>
    </row>
    <row r="390" customFormat="false" ht="15" hidden="false" customHeight="false" outlineLevel="0" collapsed="false">
      <c r="A390" s="0" t="s">
        <v>6</v>
      </c>
      <c r="B390" s="0" t="s">
        <v>716</v>
      </c>
      <c r="C390" s="0" t="s">
        <v>5065</v>
      </c>
    </row>
    <row r="391" customFormat="false" ht="15" hidden="false" customHeight="false" outlineLevel="0" collapsed="false">
      <c r="A391" s="0" t="s">
        <v>6</v>
      </c>
      <c r="B391" s="0" t="s">
        <v>716</v>
      </c>
      <c r="C391" s="0" t="s">
        <v>5066</v>
      </c>
    </row>
    <row r="392" customFormat="false" ht="15" hidden="false" customHeight="false" outlineLevel="0" collapsed="false">
      <c r="A392" s="0" t="s">
        <v>6</v>
      </c>
      <c r="B392" s="0" t="s">
        <v>724</v>
      </c>
      <c r="C392" s="0" t="s">
        <v>5064</v>
      </c>
      <c r="D392" s="0" t="n">
        <v>8000</v>
      </c>
    </row>
    <row r="393" customFormat="false" ht="15" hidden="false" customHeight="false" outlineLevel="0" collapsed="false">
      <c r="A393" s="0" t="s">
        <v>6</v>
      </c>
      <c r="B393" s="0" t="s">
        <v>724</v>
      </c>
      <c r="C393" s="0" t="s">
        <v>5065</v>
      </c>
    </row>
    <row r="394" customFormat="false" ht="15" hidden="false" customHeight="false" outlineLevel="0" collapsed="false">
      <c r="A394" s="0" t="s">
        <v>6</v>
      </c>
      <c r="B394" s="0" t="s">
        <v>724</v>
      </c>
      <c r="C394" s="0" t="s">
        <v>5066</v>
      </c>
    </row>
    <row r="395" customFormat="false" ht="15" hidden="false" customHeight="false" outlineLevel="0" collapsed="false">
      <c r="A395" s="0" t="s">
        <v>6</v>
      </c>
      <c r="B395" s="0" t="s">
        <v>727</v>
      </c>
      <c r="C395" s="0" t="s">
        <v>5064</v>
      </c>
      <c r="D395" s="0" t="n">
        <v>16</v>
      </c>
    </row>
    <row r="396" customFormat="false" ht="15" hidden="false" customHeight="false" outlineLevel="0" collapsed="false">
      <c r="A396" s="0" t="s">
        <v>6</v>
      </c>
      <c r="B396" s="0" t="s">
        <v>727</v>
      </c>
      <c r="C396" s="0" t="s">
        <v>5065</v>
      </c>
    </row>
    <row r="397" customFormat="false" ht="15" hidden="false" customHeight="false" outlineLevel="0" collapsed="false">
      <c r="A397" s="0" t="s">
        <v>6</v>
      </c>
      <c r="B397" s="0" t="s">
        <v>727</v>
      </c>
      <c r="C397" s="0" t="s">
        <v>5066</v>
      </c>
    </row>
    <row r="398" customFormat="false" ht="15" hidden="false" customHeight="false" outlineLevel="0" collapsed="false">
      <c r="A398" s="0" t="s">
        <v>6</v>
      </c>
      <c r="B398" s="0" t="s">
        <v>737</v>
      </c>
      <c r="C398" s="0" t="s">
        <v>5064</v>
      </c>
      <c r="D398" s="0" t="n">
        <v>50</v>
      </c>
    </row>
    <row r="399" customFormat="false" ht="15" hidden="false" customHeight="false" outlineLevel="0" collapsed="false">
      <c r="A399" s="0" t="s">
        <v>6</v>
      </c>
      <c r="B399" s="0" t="s">
        <v>737</v>
      </c>
      <c r="C399" s="0" t="s">
        <v>5065</v>
      </c>
    </row>
    <row r="400" customFormat="false" ht="15" hidden="false" customHeight="false" outlineLevel="0" collapsed="false">
      <c r="A400" s="0" t="s">
        <v>6</v>
      </c>
      <c r="B400" s="0" t="s">
        <v>737</v>
      </c>
      <c r="C400" s="0" t="s">
        <v>5066</v>
      </c>
    </row>
    <row r="401" customFormat="false" ht="15" hidden="false" customHeight="false" outlineLevel="0" collapsed="false">
      <c r="A401" s="0" t="s">
        <v>6</v>
      </c>
      <c r="B401" s="0" t="s">
        <v>743</v>
      </c>
      <c r="C401" s="0" t="s">
        <v>5064</v>
      </c>
      <c r="D401" s="0" t="n">
        <v>0.5</v>
      </c>
    </row>
    <row r="402" customFormat="false" ht="15" hidden="false" customHeight="false" outlineLevel="0" collapsed="false">
      <c r="A402" s="0" t="s">
        <v>6</v>
      </c>
      <c r="B402" s="0" t="s">
        <v>743</v>
      </c>
      <c r="C402" s="0" t="s">
        <v>5065</v>
      </c>
    </row>
    <row r="403" customFormat="false" ht="15" hidden="false" customHeight="false" outlineLevel="0" collapsed="false">
      <c r="A403" s="0" t="s">
        <v>6</v>
      </c>
      <c r="B403" s="0" t="s">
        <v>743</v>
      </c>
      <c r="C403" s="0" t="s">
        <v>5066</v>
      </c>
    </row>
    <row r="404" customFormat="false" ht="15" hidden="false" customHeight="false" outlineLevel="0" collapsed="false">
      <c r="A404" s="0" t="s">
        <v>14</v>
      </c>
      <c r="B404" s="0" t="s">
        <v>1055</v>
      </c>
      <c r="C404" s="0" t="s">
        <v>5066</v>
      </c>
      <c r="D404" s="0" t="n">
        <v>2025</v>
      </c>
    </row>
    <row r="405" customFormat="false" ht="15" hidden="false" customHeight="false" outlineLevel="0" collapsed="false">
      <c r="A405" s="0" t="s">
        <v>14</v>
      </c>
      <c r="B405" s="0" t="s">
        <v>1055</v>
      </c>
      <c r="C405" s="0" t="s">
        <v>5072</v>
      </c>
    </row>
    <row r="406" customFormat="false" ht="15" hidden="false" customHeight="false" outlineLevel="0" collapsed="false">
      <c r="A406" s="0" t="s">
        <v>14</v>
      </c>
      <c r="B406" s="0" t="s">
        <v>1055</v>
      </c>
      <c r="C406" s="0" t="s">
        <v>5073</v>
      </c>
    </row>
    <row r="407" customFormat="false" ht="15" hidden="false" customHeight="false" outlineLevel="0" collapsed="false">
      <c r="A407" s="0" t="s">
        <v>14</v>
      </c>
      <c r="B407" s="0" t="s">
        <v>1060</v>
      </c>
      <c r="C407" s="0" t="s">
        <v>5066</v>
      </c>
      <c r="D407" s="0" t="n">
        <v>2025</v>
      </c>
    </row>
    <row r="408" customFormat="false" ht="15" hidden="false" customHeight="false" outlineLevel="0" collapsed="false">
      <c r="A408" s="0" t="s">
        <v>14</v>
      </c>
      <c r="B408" s="0" t="s">
        <v>1060</v>
      </c>
      <c r="C408" s="0" t="s">
        <v>5072</v>
      </c>
    </row>
    <row r="409" customFormat="false" ht="15" hidden="false" customHeight="false" outlineLevel="0" collapsed="false">
      <c r="A409" s="0" t="s">
        <v>14</v>
      </c>
      <c r="B409" s="0" t="s">
        <v>1060</v>
      </c>
      <c r="C409" s="0" t="s">
        <v>5073</v>
      </c>
    </row>
    <row r="410" customFormat="false" ht="15" hidden="false" customHeight="false" outlineLevel="0" collapsed="false">
      <c r="A410" s="0" t="s">
        <v>14</v>
      </c>
      <c r="B410" s="0" t="s">
        <v>1064</v>
      </c>
      <c r="C410" s="0" t="s">
        <v>5066</v>
      </c>
      <c r="D410" s="0" t="n">
        <v>2026</v>
      </c>
    </row>
    <row r="411" customFormat="false" ht="15" hidden="false" customHeight="false" outlineLevel="0" collapsed="false">
      <c r="A411" s="0" t="s">
        <v>14</v>
      </c>
      <c r="B411" s="0" t="s">
        <v>1064</v>
      </c>
      <c r="C411" s="0" t="s">
        <v>5072</v>
      </c>
    </row>
    <row r="412" customFormat="false" ht="15" hidden="false" customHeight="false" outlineLevel="0" collapsed="false">
      <c r="A412" s="0" t="s">
        <v>14</v>
      </c>
      <c r="B412" s="0" t="s">
        <v>1064</v>
      </c>
      <c r="C412" s="0" t="s">
        <v>5073</v>
      </c>
    </row>
    <row r="413" customFormat="false" ht="15" hidden="false" customHeight="false" outlineLevel="0" collapsed="false">
      <c r="A413" s="0" t="s">
        <v>14</v>
      </c>
      <c r="B413" s="0" t="s">
        <v>1067</v>
      </c>
      <c r="C413" s="0" t="s">
        <v>5066</v>
      </c>
      <c r="D413" s="0" t="n">
        <v>2027</v>
      </c>
    </row>
    <row r="414" customFormat="false" ht="15" hidden="false" customHeight="false" outlineLevel="0" collapsed="false">
      <c r="A414" s="0" t="s">
        <v>14</v>
      </c>
      <c r="B414" s="0" t="s">
        <v>1067</v>
      </c>
      <c r="C414" s="0" t="s">
        <v>5072</v>
      </c>
    </row>
    <row r="415" customFormat="false" ht="15" hidden="false" customHeight="false" outlineLevel="0" collapsed="false">
      <c r="A415" s="0" t="s">
        <v>14</v>
      </c>
      <c r="B415" s="0" t="s">
        <v>1067</v>
      </c>
      <c r="C415" s="0" t="s">
        <v>5073</v>
      </c>
    </row>
    <row r="416" customFormat="false" ht="15" hidden="false" customHeight="false" outlineLevel="0" collapsed="false">
      <c r="A416" s="0" t="s">
        <v>14</v>
      </c>
      <c r="B416" s="0" t="s">
        <v>1070</v>
      </c>
      <c r="C416" s="0" t="s">
        <v>5066</v>
      </c>
      <c r="D416" s="0" t="n">
        <v>2025</v>
      </c>
    </row>
    <row r="417" customFormat="false" ht="15" hidden="false" customHeight="false" outlineLevel="0" collapsed="false">
      <c r="A417" s="0" t="s">
        <v>14</v>
      </c>
      <c r="B417" s="0" t="s">
        <v>1070</v>
      </c>
      <c r="C417" s="0" t="s">
        <v>5072</v>
      </c>
    </row>
    <row r="418" customFormat="false" ht="15" hidden="false" customHeight="false" outlineLevel="0" collapsed="false">
      <c r="A418" s="0" t="s">
        <v>14</v>
      </c>
      <c r="B418" s="0" t="s">
        <v>1070</v>
      </c>
      <c r="C418" s="0" t="s">
        <v>5073</v>
      </c>
    </row>
    <row r="419" customFormat="false" ht="15" hidden="false" customHeight="false" outlineLevel="0" collapsed="false">
      <c r="A419" s="0" t="s">
        <v>14</v>
      </c>
      <c r="B419" s="0" t="s">
        <v>1076</v>
      </c>
      <c r="C419" s="0" t="s">
        <v>5066</v>
      </c>
      <c r="D419" s="0" t="n">
        <v>2026</v>
      </c>
    </row>
    <row r="420" customFormat="false" ht="15" hidden="false" customHeight="false" outlineLevel="0" collapsed="false">
      <c r="A420" s="0" t="s">
        <v>14</v>
      </c>
      <c r="B420" s="0" t="s">
        <v>1076</v>
      </c>
      <c r="C420" s="0" t="s">
        <v>5072</v>
      </c>
    </row>
    <row r="421" customFormat="false" ht="15" hidden="false" customHeight="false" outlineLevel="0" collapsed="false">
      <c r="A421" s="0" t="s">
        <v>14</v>
      </c>
      <c r="B421" s="0" t="s">
        <v>1076</v>
      </c>
      <c r="C421" s="0" t="s">
        <v>5073</v>
      </c>
    </row>
    <row r="422" customFormat="false" ht="15" hidden="false" customHeight="false" outlineLevel="0" collapsed="false">
      <c r="A422" s="0" t="s">
        <v>14</v>
      </c>
      <c r="B422" s="0" t="s">
        <v>1079</v>
      </c>
      <c r="C422" s="0" t="s">
        <v>5066</v>
      </c>
      <c r="D422" s="0" t="n">
        <v>2027</v>
      </c>
    </row>
    <row r="423" customFormat="false" ht="15" hidden="false" customHeight="false" outlineLevel="0" collapsed="false">
      <c r="A423" s="0" t="s">
        <v>14</v>
      </c>
      <c r="B423" s="0" t="s">
        <v>1079</v>
      </c>
      <c r="C423" s="0" t="s">
        <v>5072</v>
      </c>
    </row>
    <row r="424" customFormat="false" ht="15" hidden="false" customHeight="false" outlineLevel="0" collapsed="false">
      <c r="A424" s="0" t="s">
        <v>14</v>
      </c>
      <c r="B424" s="0" t="s">
        <v>1079</v>
      </c>
      <c r="C424" s="0" t="s">
        <v>5073</v>
      </c>
    </row>
    <row r="425" customFormat="false" ht="15" hidden="false" customHeight="false" outlineLevel="0" collapsed="false">
      <c r="A425" s="0" t="s">
        <v>14</v>
      </c>
      <c r="B425" s="0" t="s">
        <v>1082</v>
      </c>
      <c r="C425" s="0" t="s">
        <v>5066</v>
      </c>
      <c r="D425" s="0" t="n">
        <v>2028</v>
      </c>
    </row>
    <row r="426" customFormat="false" ht="15" hidden="false" customHeight="false" outlineLevel="0" collapsed="false">
      <c r="A426" s="0" t="s">
        <v>14</v>
      </c>
      <c r="B426" s="0" t="s">
        <v>1082</v>
      </c>
      <c r="C426" s="0" t="s">
        <v>5072</v>
      </c>
    </row>
    <row r="427" customFormat="false" ht="15" hidden="false" customHeight="false" outlineLevel="0" collapsed="false">
      <c r="A427" s="0" t="s">
        <v>14</v>
      </c>
      <c r="B427" s="0" t="s">
        <v>1082</v>
      </c>
      <c r="C427" s="0" t="s">
        <v>5073</v>
      </c>
    </row>
    <row r="428" customFormat="false" ht="15" hidden="false" customHeight="false" outlineLevel="0" collapsed="false">
      <c r="A428" s="0" t="s">
        <v>14</v>
      </c>
      <c r="B428" s="0" t="s">
        <v>1085</v>
      </c>
      <c r="C428" s="0" t="s">
        <v>5066</v>
      </c>
      <c r="D428" s="0" t="n">
        <v>2029</v>
      </c>
    </row>
    <row r="429" customFormat="false" ht="15" hidden="false" customHeight="false" outlineLevel="0" collapsed="false">
      <c r="A429" s="0" t="s">
        <v>14</v>
      </c>
      <c r="B429" s="0" t="s">
        <v>1085</v>
      </c>
      <c r="C429" s="0" t="s">
        <v>5072</v>
      </c>
    </row>
    <row r="430" customFormat="false" ht="15" hidden="false" customHeight="false" outlineLevel="0" collapsed="false">
      <c r="A430" s="0" t="s">
        <v>14</v>
      </c>
      <c r="B430" s="0" t="s">
        <v>1085</v>
      </c>
      <c r="C430" s="0" t="s">
        <v>5073</v>
      </c>
    </row>
    <row r="431" customFormat="false" ht="15" hidden="false" customHeight="false" outlineLevel="0" collapsed="false">
      <c r="A431" s="0" t="s">
        <v>14</v>
      </c>
      <c r="B431" s="0" t="s">
        <v>1088</v>
      </c>
      <c r="C431" s="0" t="s">
        <v>5066</v>
      </c>
      <c r="D431" s="0" t="n">
        <v>2030</v>
      </c>
    </row>
    <row r="432" customFormat="false" ht="15" hidden="false" customHeight="false" outlineLevel="0" collapsed="false">
      <c r="A432" s="0" t="s">
        <v>14</v>
      </c>
      <c r="B432" s="0" t="s">
        <v>1088</v>
      </c>
      <c r="C432" s="0" t="s">
        <v>5072</v>
      </c>
    </row>
    <row r="433" customFormat="false" ht="15" hidden="false" customHeight="false" outlineLevel="0" collapsed="false">
      <c r="A433" s="0" t="s">
        <v>14</v>
      </c>
      <c r="B433" s="0" t="s">
        <v>1088</v>
      </c>
      <c r="C433" s="0" t="s">
        <v>5073</v>
      </c>
    </row>
    <row r="434" customFormat="false" ht="15" hidden="false" customHeight="false" outlineLevel="0" collapsed="false">
      <c r="A434" s="0" t="s">
        <v>14</v>
      </c>
      <c r="B434" s="0" t="s">
        <v>1091</v>
      </c>
      <c r="C434" s="0" t="s">
        <v>5066</v>
      </c>
      <c r="D434" s="0" t="n">
        <v>2026</v>
      </c>
    </row>
    <row r="435" customFormat="false" ht="15" hidden="false" customHeight="false" outlineLevel="0" collapsed="false">
      <c r="A435" s="0" t="s">
        <v>14</v>
      </c>
      <c r="B435" s="0" t="s">
        <v>1091</v>
      </c>
      <c r="C435" s="0" t="s">
        <v>5072</v>
      </c>
    </row>
    <row r="436" customFormat="false" ht="15" hidden="false" customHeight="false" outlineLevel="0" collapsed="false">
      <c r="A436" s="0" t="s">
        <v>14</v>
      </c>
      <c r="B436" s="0" t="s">
        <v>1091</v>
      </c>
      <c r="C436" s="0" t="s">
        <v>5073</v>
      </c>
    </row>
    <row r="437" customFormat="false" ht="15" hidden="false" customHeight="false" outlineLevel="0" collapsed="false">
      <c r="A437" s="0" t="s">
        <v>14</v>
      </c>
      <c r="B437" s="0" t="s">
        <v>1097</v>
      </c>
      <c r="C437" s="0" t="s">
        <v>5066</v>
      </c>
      <c r="D437" s="0" t="n">
        <v>0</v>
      </c>
    </row>
    <row r="438" customFormat="false" ht="15" hidden="false" customHeight="false" outlineLevel="0" collapsed="false">
      <c r="A438" s="0" t="s">
        <v>14</v>
      </c>
      <c r="B438" s="0" t="s">
        <v>1097</v>
      </c>
      <c r="C438" s="0" t="s">
        <v>5072</v>
      </c>
    </row>
    <row r="439" customFormat="false" ht="15" hidden="false" customHeight="false" outlineLevel="0" collapsed="false">
      <c r="A439" s="0" t="s">
        <v>14</v>
      </c>
      <c r="B439" s="0" t="s">
        <v>1097</v>
      </c>
      <c r="C439" s="0" t="s">
        <v>5073</v>
      </c>
    </row>
    <row r="440" customFormat="false" ht="15" hidden="false" customHeight="false" outlineLevel="0" collapsed="false">
      <c r="A440" s="0" t="s">
        <v>14</v>
      </c>
      <c r="B440" s="0" t="s">
        <v>1102</v>
      </c>
      <c r="C440" s="0" t="s">
        <v>5066</v>
      </c>
      <c r="D440" s="0" t="n">
        <v>0.3</v>
      </c>
    </row>
    <row r="441" customFormat="false" ht="15" hidden="false" customHeight="false" outlineLevel="0" collapsed="false">
      <c r="A441" s="0" t="s">
        <v>14</v>
      </c>
      <c r="B441" s="0" t="s">
        <v>1102</v>
      </c>
      <c r="C441" s="0" t="s">
        <v>5072</v>
      </c>
    </row>
    <row r="442" customFormat="false" ht="15" hidden="false" customHeight="false" outlineLevel="0" collapsed="false">
      <c r="A442" s="0" t="s">
        <v>14</v>
      </c>
      <c r="B442" s="0" t="s">
        <v>1102</v>
      </c>
      <c r="C442" s="0" t="s">
        <v>5073</v>
      </c>
    </row>
    <row r="443" customFormat="false" ht="15" hidden="false" customHeight="false" outlineLevel="0" collapsed="false">
      <c r="A443" s="0" t="s">
        <v>14</v>
      </c>
      <c r="B443" s="0" t="s">
        <v>1105</v>
      </c>
      <c r="C443" s="0" t="s">
        <v>5066</v>
      </c>
      <c r="D443" s="0" t="n">
        <v>0.8</v>
      </c>
    </row>
    <row r="444" customFormat="false" ht="15" hidden="false" customHeight="false" outlineLevel="0" collapsed="false">
      <c r="A444" s="0" t="s">
        <v>14</v>
      </c>
      <c r="B444" s="0" t="s">
        <v>1105</v>
      </c>
      <c r="C444" s="0" t="s">
        <v>5072</v>
      </c>
    </row>
    <row r="445" customFormat="false" ht="15" hidden="false" customHeight="false" outlineLevel="0" collapsed="false">
      <c r="A445" s="0" t="s">
        <v>14</v>
      </c>
      <c r="B445" s="0" t="s">
        <v>1105</v>
      </c>
      <c r="C445" s="0" t="s">
        <v>5073</v>
      </c>
    </row>
    <row r="446" customFormat="false" ht="15" hidden="false" customHeight="false" outlineLevel="0" collapsed="false">
      <c r="A446" s="0" t="s">
        <v>14</v>
      </c>
      <c r="B446" s="0" t="s">
        <v>1107</v>
      </c>
      <c r="C446" s="0" t="s">
        <v>5066</v>
      </c>
      <c r="D446" s="0" t="n">
        <v>2.5</v>
      </c>
    </row>
    <row r="447" customFormat="false" ht="15" hidden="false" customHeight="false" outlineLevel="0" collapsed="false">
      <c r="A447" s="0" t="s">
        <v>14</v>
      </c>
      <c r="B447" s="0" t="s">
        <v>1107</v>
      </c>
      <c r="C447" s="0" t="s">
        <v>5072</v>
      </c>
      <c r="D447" s="0" t="n">
        <v>1.5</v>
      </c>
    </row>
    <row r="448" customFormat="false" ht="15" hidden="false" customHeight="false" outlineLevel="0" collapsed="false">
      <c r="A448" s="0" t="s">
        <v>14</v>
      </c>
      <c r="B448" s="0" t="s">
        <v>1107</v>
      </c>
      <c r="C448" s="0" t="s">
        <v>5073</v>
      </c>
      <c r="D448" s="0" t="n">
        <v>4</v>
      </c>
    </row>
    <row r="449" customFormat="false" ht="15" hidden="false" customHeight="false" outlineLevel="0" collapsed="false">
      <c r="A449" s="0" t="s">
        <v>14</v>
      </c>
      <c r="B449" s="0" t="s">
        <v>1112</v>
      </c>
      <c r="C449" s="0" t="s">
        <v>5066</v>
      </c>
      <c r="D449" s="0" t="n">
        <v>1.5</v>
      </c>
    </row>
    <row r="450" customFormat="false" ht="15" hidden="false" customHeight="false" outlineLevel="0" collapsed="false">
      <c r="A450" s="0" t="s">
        <v>14</v>
      </c>
      <c r="B450" s="0" t="s">
        <v>1112</v>
      </c>
      <c r="C450" s="0" t="s">
        <v>5072</v>
      </c>
      <c r="D450" s="0" t="n">
        <v>1</v>
      </c>
    </row>
    <row r="451" customFormat="false" ht="15" hidden="false" customHeight="false" outlineLevel="0" collapsed="false">
      <c r="A451" s="0" t="s">
        <v>14</v>
      </c>
      <c r="B451" s="0" t="s">
        <v>1112</v>
      </c>
      <c r="C451" s="0" t="s">
        <v>5073</v>
      </c>
      <c r="D451" s="0" t="n">
        <v>2.5</v>
      </c>
    </row>
    <row r="452" customFormat="false" ht="15" hidden="false" customHeight="false" outlineLevel="0" collapsed="false">
      <c r="A452" s="0" t="s">
        <v>14</v>
      </c>
      <c r="B452" s="0" t="s">
        <v>1115</v>
      </c>
      <c r="C452" s="0" t="s">
        <v>5066</v>
      </c>
      <c r="D452" s="0" t="n">
        <v>0.2</v>
      </c>
    </row>
    <row r="453" customFormat="false" ht="15" hidden="false" customHeight="false" outlineLevel="0" collapsed="false">
      <c r="A453" s="0" t="s">
        <v>14</v>
      </c>
      <c r="B453" s="0" t="s">
        <v>1115</v>
      </c>
      <c r="C453" s="0" t="s">
        <v>5072</v>
      </c>
      <c r="D453" s="0" t="n">
        <v>0.1</v>
      </c>
    </row>
    <row r="454" customFormat="false" ht="15" hidden="false" customHeight="false" outlineLevel="0" collapsed="false">
      <c r="A454" s="0" t="s">
        <v>14</v>
      </c>
      <c r="B454" s="0" t="s">
        <v>1115</v>
      </c>
      <c r="C454" s="0" t="s">
        <v>5073</v>
      </c>
      <c r="D454" s="0" t="n">
        <v>0.4</v>
      </c>
    </row>
    <row r="455" customFormat="false" ht="15" hidden="false" customHeight="false" outlineLevel="0" collapsed="false">
      <c r="A455" s="0" t="s">
        <v>14</v>
      </c>
      <c r="B455" s="0" t="s">
        <v>1118</v>
      </c>
      <c r="C455" s="0" t="s">
        <v>5066</v>
      </c>
      <c r="D455" s="0" t="n">
        <v>14</v>
      </c>
    </row>
    <row r="456" customFormat="false" ht="15" hidden="false" customHeight="false" outlineLevel="0" collapsed="false">
      <c r="A456" s="0" t="s">
        <v>14</v>
      </c>
      <c r="B456" s="0" t="s">
        <v>1118</v>
      </c>
      <c r="C456" s="0" t="s">
        <v>5072</v>
      </c>
      <c r="D456" s="0" t="n">
        <v>8</v>
      </c>
    </row>
    <row r="457" customFormat="false" ht="15" hidden="false" customHeight="false" outlineLevel="0" collapsed="false">
      <c r="A457" s="0" t="s">
        <v>14</v>
      </c>
      <c r="B457" s="0" t="s">
        <v>1118</v>
      </c>
      <c r="C457" s="0" t="s">
        <v>5073</v>
      </c>
      <c r="D457" s="0" t="n">
        <v>20</v>
      </c>
    </row>
    <row r="458" customFormat="false" ht="15" hidden="false" customHeight="false" outlineLevel="0" collapsed="false">
      <c r="A458" s="0" t="s">
        <v>14</v>
      </c>
      <c r="B458" s="0" t="s">
        <v>1121</v>
      </c>
      <c r="C458" s="0" t="s">
        <v>5066</v>
      </c>
      <c r="D458" s="0" t="n">
        <v>8</v>
      </c>
    </row>
    <row r="459" customFormat="false" ht="15" hidden="false" customHeight="false" outlineLevel="0" collapsed="false">
      <c r="A459" s="0" t="s">
        <v>14</v>
      </c>
      <c r="B459" s="0" t="s">
        <v>1121</v>
      </c>
      <c r="C459" s="0" t="s">
        <v>5072</v>
      </c>
      <c r="D459" s="0" t="n">
        <v>5</v>
      </c>
    </row>
    <row r="460" customFormat="false" ht="15" hidden="false" customHeight="false" outlineLevel="0" collapsed="false">
      <c r="A460" s="0" t="s">
        <v>14</v>
      </c>
      <c r="B460" s="0" t="s">
        <v>1121</v>
      </c>
      <c r="C460" s="0" t="s">
        <v>5073</v>
      </c>
      <c r="D460" s="0" t="n">
        <v>10</v>
      </c>
    </row>
    <row r="461" customFormat="false" ht="15" hidden="false" customHeight="false" outlineLevel="0" collapsed="false">
      <c r="A461" s="0" t="s">
        <v>14</v>
      </c>
      <c r="B461" s="0" t="s">
        <v>1124</v>
      </c>
      <c r="C461" s="0" t="s">
        <v>5066</v>
      </c>
      <c r="D461" s="0" t="n">
        <v>1</v>
      </c>
    </row>
    <row r="462" customFormat="false" ht="15" hidden="false" customHeight="false" outlineLevel="0" collapsed="false">
      <c r="A462" s="0" t="s">
        <v>14</v>
      </c>
      <c r="B462" s="0" t="s">
        <v>1124</v>
      </c>
      <c r="C462" s="0" t="s">
        <v>5072</v>
      </c>
      <c r="D462" s="0" t="n">
        <v>0.5</v>
      </c>
    </row>
    <row r="463" customFormat="false" ht="15" hidden="false" customHeight="false" outlineLevel="0" collapsed="false">
      <c r="A463" s="0" t="s">
        <v>14</v>
      </c>
      <c r="B463" s="0" t="s">
        <v>1124</v>
      </c>
      <c r="C463" s="0" t="s">
        <v>5073</v>
      </c>
      <c r="D463" s="0" t="n">
        <v>2</v>
      </c>
    </row>
    <row r="464" customFormat="false" ht="15" hidden="false" customHeight="false" outlineLevel="0" collapsed="false">
      <c r="A464" s="0" t="s">
        <v>14</v>
      </c>
      <c r="B464" s="0" t="s">
        <v>1127</v>
      </c>
      <c r="C464" s="0" t="s">
        <v>5066</v>
      </c>
      <c r="D464" s="0" t="n">
        <v>-0.3</v>
      </c>
    </row>
    <row r="465" customFormat="false" ht="15" hidden="false" customHeight="false" outlineLevel="0" collapsed="false">
      <c r="A465" s="0" t="s">
        <v>14</v>
      </c>
      <c r="B465" s="0" t="s">
        <v>1127</v>
      </c>
      <c r="C465" s="0" t="s">
        <v>5072</v>
      </c>
      <c r="D465" s="0" t="n">
        <v>-0.45</v>
      </c>
    </row>
    <row r="466" customFormat="false" ht="15" hidden="false" customHeight="false" outlineLevel="0" collapsed="false">
      <c r="A466" s="0" t="s">
        <v>14</v>
      </c>
      <c r="B466" s="0" t="s">
        <v>1127</v>
      </c>
      <c r="C466" s="0" t="s">
        <v>5073</v>
      </c>
      <c r="D466" s="0" t="n">
        <v>-0.15</v>
      </c>
    </row>
    <row r="467" customFormat="false" ht="15" hidden="false" customHeight="false" outlineLevel="0" collapsed="false">
      <c r="A467" s="0" t="s">
        <v>14</v>
      </c>
      <c r="B467" s="0" t="s">
        <v>1133</v>
      </c>
      <c r="C467" s="0" t="s">
        <v>5066</v>
      </c>
      <c r="D467" s="0" t="n">
        <v>-0.4</v>
      </c>
    </row>
    <row r="468" customFormat="false" ht="15" hidden="false" customHeight="false" outlineLevel="0" collapsed="false">
      <c r="A468" s="0" t="s">
        <v>14</v>
      </c>
      <c r="B468" s="0" t="s">
        <v>1133</v>
      </c>
      <c r="C468" s="0" t="s">
        <v>5072</v>
      </c>
      <c r="D468" s="0" t="n">
        <v>-0.6</v>
      </c>
    </row>
    <row r="469" customFormat="false" ht="15" hidden="false" customHeight="false" outlineLevel="0" collapsed="false">
      <c r="A469" s="0" t="s">
        <v>14</v>
      </c>
      <c r="B469" s="0" t="s">
        <v>1133</v>
      </c>
      <c r="C469" s="0" t="s">
        <v>5073</v>
      </c>
      <c r="D469" s="0" t="n">
        <v>-0.2</v>
      </c>
    </row>
    <row r="470" customFormat="false" ht="15" hidden="false" customHeight="false" outlineLevel="0" collapsed="false">
      <c r="A470" s="0" t="s">
        <v>14</v>
      </c>
      <c r="B470" s="0" t="s">
        <v>1136</v>
      </c>
      <c r="C470" s="0" t="s">
        <v>5066</v>
      </c>
      <c r="D470" s="0" t="n">
        <v>-0.4</v>
      </c>
    </row>
    <row r="471" customFormat="false" ht="15" hidden="false" customHeight="false" outlineLevel="0" collapsed="false">
      <c r="A471" s="0" t="s">
        <v>14</v>
      </c>
      <c r="B471" s="0" t="s">
        <v>1136</v>
      </c>
      <c r="C471" s="0" t="s">
        <v>5072</v>
      </c>
      <c r="D471" s="0" t="n">
        <v>-0.6</v>
      </c>
    </row>
    <row r="472" customFormat="false" ht="15" hidden="false" customHeight="false" outlineLevel="0" collapsed="false">
      <c r="A472" s="0" t="s">
        <v>14</v>
      </c>
      <c r="B472" s="0" t="s">
        <v>1136</v>
      </c>
      <c r="C472" s="0" t="s">
        <v>5073</v>
      </c>
      <c r="D472" s="0" t="n">
        <v>-0.2</v>
      </c>
    </row>
    <row r="473" customFormat="false" ht="15" hidden="false" customHeight="false" outlineLevel="0" collapsed="false">
      <c r="A473" s="0" t="s">
        <v>14</v>
      </c>
      <c r="B473" s="0" t="s">
        <v>1139</v>
      </c>
      <c r="C473" s="0" t="s">
        <v>5066</v>
      </c>
      <c r="D473" s="0" t="n">
        <v>0.4</v>
      </c>
    </row>
    <row r="474" customFormat="false" ht="15" hidden="false" customHeight="false" outlineLevel="0" collapsed="false">
      <c r="A474" s="0" t="s">
        <v>14</v>
      </c>
      <c r="B474" s="0" t="s">
        <v>1139</v>
      </c>
      <c r="C474" s="0" t="s">
        <v>5072</v>
      </c>
      <c r="D474" s="0" t="n">
        <v>0.25</v>
      </c>
    </row>
    <row r="475" customFormat="false" ht="15" hidden="false" customHeight="false" outlineLevel="0" collapsed="false">
      <c r="A475" s="0" t="s">
        <v>14</v>
      </c>
      <c r="B475" s="0" t="s">
        <v>1139</v>
      </c>
      <c r="C475" s="0" t="s">
        <v>5073</v>
      </c>
      <c r="D475" s="0" t="n">
        <v>0.5</v>
      </c>
    </row>
    <row r="476" customFormat="false" ht="15" hidden="false" customHeight="false" outlineLevel="0" collapsed="false">
      <c r="A476" s="0" t="s">
        <v>14</v>
      </c>
      <c r="B476" s="0" t="s">
        <v>1144</v>
      </c>
      <c r="C476" s="0" t="s">
        <v>5066</v>
      </c>
      <c r="D476" s="0" t="n">
        <v>0.15</v>
      </c>
    </row>
    <row r="477" customFormat="false" ht="15" hidden="false" customHeight="false" outlineLevel="0" collapsed="false">
      <c r="A477" s="0" t="s">
        <v>14</v>
      </c>
      <c r="B477" s="0" t="s">
        <v>1144</v>
      </c>
      <c r="C477" s="0" t="s">
        <v>5072</v>
      </c>
      <c r="D477" s="0" t="n">
        <v>0.08</v>
      </c>
    </row>
    <row r="478" customFormat="false" ht="15" hidden="false" customHeight="false" outlineLevel="0" collapsed="false">
      <c r="A478" s="0" t="s">
        <v>14</v>
      </c>
      <c r="B478" s="0" t="s">
        <v>1144</v>
      </c>
      <c r="C478" s="0" t="s">
        <v>5073</v>
      </c>
      <c r="D478" s="0" t="n">
        <v>0.25</v>
      </c>
    </row>
    <row r="479" customFormat="false" ht="15" hidden="false" customHeight="false" outlineLevel="0" collapsed="false">
      <c r="A479" s="0" t="s">
        <v>14</v>
      </c>
      <c r="B479" s="0" t="s">
        <v>1146</v>
      </c>
      <c r="C479" s="0" t="s">
        <v>5066</v>
      </c>
      <c r="D479" s="0" t="n">
        <v>0.4</v>
      </c>
    </row>
    <row r="480" customFormat="false" ht="15" hidden="false" customHeight="false" outlineLevel="0" collapsed="false">
      <c r="A480" s="0" t="s">
        <v>14</v>
      </c>
      <c r="B480" s="0" t="s">
        <v>1146</v>
      </c>
      <c r="C480" s="0" t="s">
        <v>5072</v>
      </c>
      <c r="D480" s="0" t="n">
        <v>0.3</v>
      </c>
    </row>
    <row r="481" customFormat="false" ht="15" hidden="false" customHeight="false" outlineLevel="0" collapsed="false">
      <c r="A481" s="0" t="s">
        <v>14</v>
      </c>
      <c r="B481" s="0" t="s">
        <v>1146</v>
      </c>
      <c r="C481" s="0" t="s">
        <v>5073</v>
      </c>
      <c r="D481" s="0" t="n">
        <v>0.5</v>
      </c>
    </row>
    <row r="482" customFormat="false" ht="15" hidden="false" customHeight="false" outlineLevel="0" collapsed="false">
      <c r="A482" s="0" t="s">
        <v>14</v>
      </c>
      <c r="B482" s="0" t="s">
        <v>1149</v>
      </c>
      <c r="C482" s="0" t="s">
        <v>5066</v>
      </c>
      <c r="D482" s="0" t="n">
        <v>0.45</v>
      </c>
    </row>
    <row r="483" customFormat="false" ht="15" hidden="false" customHeight="false" outlineLevel="0" collapsed="false">
      <c r="A483" s="0" t="s">
        <v>14</v>
      </c>
      <c r="B483" s="0" t="s">
        <v>1149</v>
      </c>
      <c r="C483" s="0" t="s">
        <v>5072</v>
      </c>
      <c r="D483" s="0" t="n">
        <v>0.35</v>
      </c>
    </row>
    <row r="484" customFormat="false" ht="15" hidden="false" customHeight="false" outlineLevel="0" collapsed="false">
      <c r="A484" s="0" t="s">
        <v>14</v>
      </c>
      <c r="B484" s="0" t="s">
        <v>1149</v>
      </c>
      <c r="C484" s="0" t="s">
        <v>5073</v>
      </c>
      <c r="D484" s="0" t="n">
        <v>0.55</v>
      </c>
    </row>
    <row r="485" customFormat="false" ht="15" hidden="false" customHeight="false" outlineLevel="0" collapsed="false">
      <c r="A485" s="0" t="s">
        <v>14</v>
      </c>
      <c r="B485" s="0" t="s">
        <v>1150</v>
      </c>
      <c r="C485" s="0" t="s">
        <v>5066</v>
      </c>
      <c r="D485" s="0" t="n">
        <v>0.2</v>
      </c>
    </row>
    <row r="486" customFormat="false" ht="15" hidden="false" customHeight="false" outlineLevel="0" collapsed="false">
      <c r="A486" s="0" t="s">
        <v>14</v>
      </c>
      <c r="B486" s="0" t="s">
        <v>1150</v>
      </c>
      <c r="C486" s="0" t="s">
        <v>5072</v>
      </c>
      <c r="D486" s="0" t="n">
        <v>0.1</v>
      </c>
    </row>
    <row r="487" customFormat="false" ht="15" hidden="false" customHeight="false" outlineLevel="0" collapsed="false">
      <c r="A487" s="0" t="s">
        <v>14</v>
      </c>
      <c r="B487" s="0" t="s">
        <v>1150</v>
      </c>
      <c r="C487" s="0" t="s">
        <v>5073</v>
      </c>
      <c r="D487" s="0" t="n">
        <v>0.35</v>
      </c>
    </row>
    <row r="488" customFormat="false" ht="15" hidden="false" customHeight="false" outlineLevel="0" collapsed="false">
      <c r="A488" s="0" t="s">
        <v>14</v>
      </c>
      <c r="B488" s="0" t="s">
        <v>1153</v>
      </c>
      <c r="C488" s="0" t="s">
        <v>5066</v>
      </c>
      <c r="D488" s="0" t="n">
        <v>0.55</v>
      </c>
    </row>
    <row r="489" customFormat="false" ht="15" hidden="false" customHeight="false" outlineLevel="0" collapsed="false">
      <c r="A489" s="0" t="s">
        <v>14</v>
      </c>
      <c r="B489" s="0" t="s">
        <v>1153</v>
      </c>
      <c r="C489" s="0" t="s">
        <v>5072</v>
      </c>
      <c r="D489" s="0" t="n">
        <v>0.3</v>
      </c>
    </row>
    <row r="490" customFormat="false" ht="15" hidden="false" customHeight="false" outlineLevel="0" collapsed="false">
      <c r="A490" s="0" t="s">
        <v>14</v>
      </c>
      <c r="B490" s="0" t="s">
        <v>1153</v>
      </c>
      <c r="C490" s="0" t="s">
        <v>5073</v>
      </c>
      <c r="D490" s="0" t="n">
        <v>0.75</v>
      </c>
    </row>
    <row r="491" customFormat="false" ht="15" hidden="false" customHeight="false" outlineLevel="0" collapsed="false">
      <c r="A491" s="0" t="s">
        <v>14</v>
      </c>
      <c r="B491" s="0" t="s">
        <v>1156</v>
      </c>
      <c r="C491" s="0" t="s">
        <v>5066</v>
      </c>
      <c r="D491" s="0" t="n">
        <v>0.2</v>
      </c>
    </row>
    <row r="492" customFormat="false" ht="15" hidden="false" customHeight="false" outlineLevel="0" collapsed="false">
      <c r="A492" s="0" t="s">
        <v>14</v>
      </c>
      <c r="B492" s="0" t="s">
        <v>1156</v>
      </c>
      <c r="C492" s="0" t="s">
        <v>5072</v>
      </c>
      <c r="D492" s="0" t="n">
        <v>0.1</v>
      </c>
    </row>
    <row r="493" customFormat="false" ht="15" hidden="false" customHeight="false" outlineLevel="0" collapsed="false">
      <c r="A493" s="0" t="s">
        <v>14</v>
      </c>
      <c r="B493" s="0" t="s">
        <v>1156</v>
      </c>
      <c r="C493" s="0" t="s">
        <v>5073</v>
      </c>
      <c r="D493" s="0" t="n">
        <v>0.3</v>
      </c>
    </row>
    <row r="494" customFormat="false" ht="15" hidden="false" customHeight="false" outlineLevel="0" collapsed="false">
      <c r="A494" s="0" t="s">
        <v>14</v>
      </c>
      <c r="B494" s="0" t="s">
        <v>1159</v>
      </c>
      <c r="C494" s="0" t="s">
        <v>5066</v>
      </c>
      <c r="D494" s="0" t="n">
        <v>10</v>
      </c>
    </row>
    <row r="495" customFormat="false" ht="15" hidden="false" customHeight="false" outlineLevel="0" collapsed="false">
      <c r="A495" s="0" t="s">
        <v>14</v>
      </c>
      <c r="B495" s="0" t="s">
        <v>1159</v>
      </c>
      <c r="C495" s="0" t="s">
        <v>5072</v>
      </c>
      <c r="D495" s="0" t="n">
        <v>5</v>
      </c>
    </row>
    <row r="496" customFormat="false" ht="15" hidden="false" customHeight="false" outlineLevel="0" collapsed="false">
      <c r="A496" s="0" t="s">
        <v>14</v>
      </c>
      <c r="B496" s="0" t="s">
        <v>1159</v>
      </c>
      <c r="C496" s="0" t="s">
        <v>5073</v>
      </c>
      <c r="D496" s="0" t="n">
        <v>30</v>
      </c>
    </row>
    <row r="497" customFormat="false" ht="15" hidden="false" customHeight="false" outlineLevel="0" collapsed="false">
      <c r="A497" s="0" t="s">
        <v>14</v>
      </c>
      <c r="B497" s="0" t="s">
        <v>1164</v>
      </c>
      <c r="C497" s="0" t="s">
        <v>5066</v>
      </c>
      <c r="D497" s="0" t="n">
        <v>0</v>
      </c>
    </row>
    <row r="498" customFormat="false" ht="15" hidden="false" customHeight="false" outlineLevel="0" collapsed="false">
      <c r="A498" s="0" t="s">
        <v>14</v>
      </c>
      <c r="B498" s="0" t="s">
        <v>1164</v>
      </c>
      <c r="C498" s="0" t="s">
        <v>5072</v>
      </c>
    </row>
    <row r="499" customFormat="false" ht="15" hidden="false" customHeight="false" outlineLevel="0" collapsed="false">
      <c r="A499" s="0" t="s">
        <v>14</v>
      </c>
      <c r="B499" s="0" t="s">
        <v>1164</v>
      </c>
      <c r="C499" s="0" t="s">
        <v>5073</v>
      </c>
    </row>
    <row r="500" customFormat="false" ht="15" hidden="false" customHeight="false" outlineLevel="0" collapsed="false">
      <c r="A500" s="0" t="s">
        <v>14</v>
      </c>
      <c r="B500" s="0" t="s">
        <v>1168</v>
      </c>
      <c r="C500" s="0" t="s">
        <v>5066</v>
      </c>
      <c r="D500" s="0" t="n">
        <v>1.34</v>
      </c>
    </row>
    <row r="501" customFormat="false" ht="15" hidden="false" customHeight="false" outlineLevel="0" collapsed="false">
      <c r="A501" s="0" t="s">
        <v>14</v>
      </c>
      <c r="B501" s="0" t="s">
        <v>1168</v>
      </c>
      <c r="C501" s="0" t="s">
        <v>5072</v>
      </c>
    </row>
    <row r="502" customFormat="false" ht="15" hidden="false" customHeight="false" outlineLevel="0" collapsed="false">
      <c r="A502" s="0" t="s">
        <v>14</v>
      </c>
      <c r="B502" s="0" t="s">
        <v>1168</v>
      </c>
      <c r="C502" s="0" t="s">
        <v>5073</v>
      </c>
    </row>
    <row r="503" customFormat="false" ht="15" hidden="false" customHeight="false" outlineLevel="0" collapsed="false">
      <c r="A503" s="0" t="s">
        <v>14</v>
      </c>
      <c r="B503" s="0" t="s">
        <v>1169</v>
      </c>
      <c r="C503" s="0" t="s">
        <v>5066</v>
      </c>
      <c r="D503" s="0" t="n">
        <v>0.45</v>
      </c>
    </row>
    <row r="504" customFormat="false" ht="15" hidden="false" customHeight="false" outlineLevel="0" collapsed="false">
      <c r="A504" s="0" t="s">
        <v>14</v>
      </c>
      <c r="B504" s="0" t="s">
        <v>1169</v>
      </c>
      <c r="C504" s="0" t="s">
        <v>5072</v>
      </c>
    </row>
    <row r="505" customFormat="false" ht="15" hidden="false" customHeight="false" outlineLevel="0" collapsed="false">
      <c r="A505" s="0" t="s">
        <v>14</v>
      </c>
      <c r="B505" s="0" t="s">
        <v>1169</v>
      </c>
      <c r="C505" s="0" t="s">
        <v>5073</v>
      </c>
    </row>
    <row r="506" customFormat="false" ht="15" hidden="false" customHeight="false" outlineLevel="0" collapsed="false">
      <c r="A506" s="0" t="s">
        <v>14</v>
      </c>
      <c r="B506" s="0" t="s">
        <v>1171</v>
      </c>
      <c r="C506" s="0" t="s">
        <v>5066</v>
      </c>
      <c r="D506" s="0" t="n">
        <v>0.35</v>
      </c>
    </row>
    <row r="507" customFormat="false" ht="15" hidden="false" customHeight="false" outlineLevel="0" collapsed="false">
      <c r="A507" s="0" t="s">
        <v>14</v>
      </c>
      <c r="B507" s="0" t="s">
        <v>1171</v>
      </c>
      <c r="C507" s="0" t="s">
        <v>5072</v>
      </c>
    </row>
    <row r="508" customFormat="false" ht="15" hidden="false" customHeight="false" outlineLevel="0" collapsed="false">
      <c r="A508" s="0" t="s">
        <v>14</v>
      </c>
      <c r="B508" s="0" t="s">
        <v>1171</v>
      </c>
      <c r="C508" s="0" t="s">
        <v>5073</v>
      </c>
    </row>
    <row r="509" customFormat="false" ht="15" hidden="false" customHeight="false" outlineLevel="0" collapsed="false">
      <c r="A509" s="0" t="s">
        <v>14</v>
      </c>
      <c r="B509" s="0" t="s">
        <v>1173</v>
      </c>
      <c r="C509" s="0" t="s">
        <v>5066</v>
      </c>
      <c r="D509" s="0" t="n">
        <v>0.25</v>
      </c>
    </row>
    <row r="510" customFormat="false" ht="15" hidden="false" customHeight="false" outlineLevel="0" collapsed="false">
      <c r="A510" s="0" t="s">
        <v>14</v>
      </c>
      <c r="B510" s="0" t="s">
        <v>1173</v>
      </c>
      <c r="C510" s="0" t="s">
        <v>5072</v>
      </c>
    </row>
    <row r="511" customFormat="false" ht="15" hidden="false" customHeight="false" outlineLevel="0" collapsed="false">
      <c r="A511" s="0" t="s">
        <v>14</v>
      </c>
      <c r="B511" s="0" t="s">
        <v>1173</v>
      </c>
      <c r="C511" s="0" t="s">
        <v>5073</v>
      </c>
    </row>
    <row r="512" customFormat="false" ht="15" hidden="false" customHeight="false" outlineLevel="0" collapsed="false">
      <c r="A512" s="0" t="s">
        <v>14</v>
      </c>
      <c r="B512" s="0" t="s">
        <v>1175</v>
      </c>
      <c r="C512" s="0" t="s">
        <v>5066</v>
      </c>
      <c r="D512" s="0" t="n">
        <v>0.2</v>
      </c>
    </row>
    <row r="513" customFormat="false" ht="15" hidden="false" customHeight="false" outlineLevel="0" collapsed="false">
      <c r="A513" s="0" t="s">
        <v>14</v>
      </c>
      <c r="B513" s="0" t="s">
        <v>1175</v>
      </c>
      <c r="C513" s="0" t="s">
        <v>5072</v>
      </c>
    </row>
    <row r="514" customFormat="false" ht="15" hidden="false" customHeight="false" outlineLevel="0" collapsed="false">
      <c r="A514" s="0" t="s">
        <v>14</v>
      </c>
      <c r="B514" s="0" t="s">
        <v>1175</v>
      </c>
      <c r="C514" s="0" t="s">
        <v>5073</v>
      </c>
    </row>
    <row r="515" customFormat="false" ht="15" hidden="false" customHeight="false" outlineLevel="0" collapsed="false">
      <c r="A515" s="0" t="s">
        <v>14</v>
      </c>
      <c r="B515" s="0" t="s">
        <v>1177</v>
      </c>
      <c r="C515" s="0" t="s">
        <v>5066</v>
      </c>
      <c r="D515" s="0" t="n">
        <v>0.5</v>
      </c>
    </row>
    <row r="516" customFormat="false" ht="15" hidden="false" customHeight="false" outlineLevel="0" collapsed="false">
      <c r="A516" s="0" t="s">
        <v>14</v>
      </c>
      <c r="B516" s="0" t="s">
        <v>1177</v>
      </c>
      <c r="C516" s="0" t="s">
        <v>5072</v>
      </c>
    </row>
    <row r="517" customFormat="false" ht="15" hidden="false" customHeight="false" outlineLevel="0" collapsed="false">
      <c r="A517" s="0" t="s">
        <v>14</v>
      </c>
      <c r="B517" s="0" t="s">
        <v>1177</v>
      </c>
      <c r="C517" s="0" t="s">
        <v>5073</v>
      </c>
    </row>
    <row r="518" customFormat="false" ht="15" hidden="false" customHeight="false" outlineLevel="0" collapsed="false">
      <c r="A518" s="0" t="s">
        <v>14</v>
      </c>
      <c r="B518" s="0" t="s">
        <v>1180</v>
      </c>
      <c r="C518" s="0" t="s">
        <v>5066</v>
      </c>
      <c r="D518" s="0" t="n">
        <v>1.5</v>
      </c>
    </row>
    <row r="519" customFormat="false" ht="15" hidden="false" customHeight="false" outlineLevel="0" collapsed="false">
      <c r="A519" s="0" t="s">
        <v>14</v>
      </c>
      <c r="B519" s="0" t="s">
        <v>1180</v>
      </c>
      <c r="C519" s="0" t="s">
        <v>5072</v>
      </c>
    </row>
    <row r="520" customFormat="false" ht="15" hidden="false" customHeight="false" outlineLevel="0" collapsed="false">
      <c r="A520" s="0" t="s">
        <v>14</v>
      </c>
      <c r="B520" s="0" t="s">
        <v>1180</v>
      </c>
      <c r="C520" s="0" t="s">
        <v>5073</v>
      </c>
    </row>
    <row r="521" customFormat="false" ht="15" hidden="false" customHeight="false" outlineLevel="0" collapsed="false">
      <c r="A521" s="0" t="s">
        <v>14</v>
      </c>
      <c r="B521" s="0" t="s">
        <v>1182</v>
      </c>
      <c r="C521" s="0" t="s">
        <v>5066</v>
      </c>
      <c r="D521" s="0" t="n">
        <v>0</v>
      </c>
    </row>
    <row r="522" customFormat="false" ht="15" hidden="false" customHeight="false" outlineLevel="0" collapsed="false">
      <c r="A522" s="0" t="s">
        <v>14</v>
      </c>
      <c r="B522" s="0" t="s">
        <v>1182</v>
      </c>
      <c r="C522" s="0" t="s">
        <v>5072</v>
      </c>
    </row>
    <row r="523" customFormat="false" ht="15" hidden="false" customHeight="false" outlineLevel="0" collapsed="false">
      <c r="A523" s="0" t="s">
        <v>14</v>
      </c>
      <c r="B523" s="0" t="s">
        <v>1182</v>
      </c>
      <c r="C523" s="0" t="s">
        <v>5073</v>
      </c>
    </row>
    <row r="524" customFormat="false" ht="15" hidden="false" customHeight="false" outlineLevel="0" collapsed="false">
      <c r="A524" s="0" t="s">
        <v>14</v>
      </c>
      <c r="B524" s="0" t="s">
        <v>1185</v>
      </c>
      <c r="C524" s="0" t="s">
        <v>5066</v>
      </c>
      <c r="D524" s="0" t="n">
        <v>0.2</v>
      </c>
    </row>
    <row r="525" customFormat="false" ht="15" hidden="false" customHeight="false" outlineLevel="0" collapsed="false">
      <c r="A525" s="0" t="s">
        <v>14</v>
      </c>
      <c r="B525" s="0" t="s">
        <v>1185</v>
      </c>
      <c r="C525" s="0" t="s">
        <v>5072</v>
      </c>
    </row>
    <row r="526" customFormat="false" ht="15" hidden="false" customHeight="false" outlineLevel="0" collapsed="false">
      <c r="A526" s="0" t="s">
        <v>14</v>
      </c>
      <c r="B526" s="0" t="s">
        <v>1185</v>
      </c>
      <c r="C526" s="0" t="s">
        <v>5073</v>
      </c>
    </row>
    <row r="527" customFormat="false" ht="15" hidden="false" customHeight="false" outlineLevel="0" collapsed="false">
      <c r="A527" s="0" t="s">
        <v>14</v>
      </c>
      <c r="B527" s="0" t="s">
        <v>1186</v>
      </c>
      <c r="C527" s="0" t="s">
        <v>5066</v>
      </c>
      <c r="D527" s="0" t="n">
        <v>0.15</v>
      </c>
    </row>
    <row r="528" customFormat="false" ht="15" hidden="false" customHeight="false" outlineLevel="0" collapsed="false">
      <c r="A528" s="0" t="s">
        <v>14</v>
      </c>
      <c r="B528" s="0" t="s">
        <v>1186</v>
      </c>
      <c r="C528" s="0" t="s">
        <v>5072</v>
      </c>
    </row>
    <row r="529" customFormat="false" ht="15" hidden="false" customHeight="false" outlineLevel="0" collapsed="false">
      <c r="A529" s="0" t="s">
        <v>14</v>
      </c>
      <c r="B529" s="0" t="s">
        <v>1186</v>
      </c>
      <c r="C529" s="0" t="s">
        <v>5073</v>
      </c>
    </row>
    <row r="530" customFormat="false" ht="15" hidden="false" customHeight="false" outlineLevel="0" collapsed="false">
      <c r="A530" s="0" t="s">
        <v>14</v>
      </c>
      <c r="B530" s="0" t="s">
        <v>1187</v>
      </c>
      <c r="C530" s="0" t="s">
        <v>5066</v>
      </c>
      <c r="D530" s="0" t="n">
        <v>0.12</v>
      </c>
    </row>
    <row r="531" customFormat="false" ht="15" hidden="false" customHeight="false" outlineLevel="0" collapsed="false">
      <c r="A531" s="0" t="s">
        <v>14</v>
      </c>
      <c r="B531" s="0" t="s">
        <v>1187</v>
      </c>
      <c r="C531" s="0" t="s">
        <v>5072</v>
      </c>
    </row>
    <row r="532" customFormat="false" ht="15" hidden="false" customHeight="false" outlineLevel="0" collapsed="false">
      <c r="A532" s="0" t="s">
        <v>14</v>
      </c>
      <c r="B532" s="0" t="s">
        <v>1187</v>
      </c>
      <c r="C532" s="0" t="s">
        <v>5073</v>
      </c>
    </row>
    <row r="533" customFormat="false" ht="15" hidden="false" customHeight="false" outlineLevel="0" collapsed="false">
      <c r="A533" s="0" t="s">
        <v>14</v>
      </c>
      <c r="B533" s="0" t="s">
        <v>1188</v>
      </c>
      <c r="C533" s="0" t="s">
        <v>5066</v>
      </c>
      <c r="D533" s="0" t="n">
        <v>0.1</v>
      </c>
    </row>
    <row r="534" customFormat="false" ht="15" hidden="false" customHeight="false" outlineLevel="0" collapsed="false">
      <c r="A534" s="0" t="s">
        <v>14</v>
      </c>
      <c r="B534" s="0" t="s">
        <v>1188</v>
      </c>
      <c r="C534" s="0" t="s">
        <v>5072</v>
      </c>
    </row>
    <row r="535" customFormat="false" ht="15" hidden="false" customHeight="false" outlineLevel="0" collapsed="false">
      <c r="A535" s="0" t="s">
        <v>14</v>
      </c>
      <c r="B535" s="0" t="s">
        <v>1188</v>
      </c>
      <c r="C535" s="0" t="s">
        <v>5073</v>
      </c>
    </row>
    <row r="536" customFormat="false" ht="15" hidden="false" customHeight="false" outlineLevel="0" collapsed="false">
      <c r="A536" s="0" t="s">
        <v>14</v>
      </c>
      <c r="B536" s="0" t="s">
        <v>1189</v>
      </c>
      <c r="C536" s="0" t="s">
        <v>5066</v>
      </c>
      <c r="D536" s="0" t="n">
        <v>0.08</v>
      </c>
    </row>
    <row r="537" customFormat="false" ht="15" hidden="false" customHeight="false" outlineLevel="0" collapsed="false">
      <c r="A537" s="0" t="s">
        <v>14</v>
      </c>
      <c r="B537" s="0" t="s">
        <v>1189</v>
      </c>
      <c r="C537" s="0" t="s">
        <v>5072</v>
      </c>
    </row>
    <row r="538" customFormat="false" ht="15" hidden="false" customHeight="false" outlineLevel="0" collapsed="false">
      <c r="A538" s="0" t="s">
        <v>14</v>
      </c>
      <c r="B538" s="0" t="s">
        <v>1189</v>
      </c>
      <c r="C538" s="0" t="s">
        <v>5073</v>
      </c>
    </row>
    <row r="539" customFormat="false" ht="15" hidden="false" customHeight="false" outlineLevel="0" collapsed="false">
      <c r="A539" s="0" t="s">
        <v>14</v>
      </c>
      <c r="B539" s="0" t="s">
        <v>1190</v>
      </c>
      <c r="C539" s="0" t="s">
        <v>5066</v>
      </c>
      <c r="D539" s="0" t="n">
        <v>0.5</v>
      </c>
    </row>
    <row r="540" customFormat="false" ht="15" hidden="false" customHeight="false" outlineLevel="0" collapsed="false">
      <c r="A540" s="0" t="s">
        <v>14</v>
      </c>
      <c r="B540" s="0" t="s">
        <v>1190</v>
      </c>
      <c r="C540" s="0" t="s">
        <v>5072</v>
      </c>
    </row>
    <row r="541" customFormat="false" ht="15" hidden="false" customHeight="false" outlineLevel="0" collapsed="false">
      <c r="A541" s="0" t="s">
        <v>14</v>
      </c>
      <c r="B541" s="0" t="s">
        <v>1190</v>
      </c>
      <c r="C541" s="0" t="s">
        <v>5073</v>
      </c>
    </row>
    <row r="542" customFormat="false" ht="15" hidden="false" customHeight="false" outlineLevel="0" collapsed="false">
      <c r="A542" s="0" t="s">
        <v>14</v>
      </c>
      <c r="B542" s="0" t="s">
        <v>1192</v>
      </c>
      <c r="C542" s="0" t="s">
        <v>5066</v>
      </c>
      <c r="D542" s="0" t="n">
        <v>1.5</v>
      </c>
    </row>
    <row r="543" customFormat="false" ht="15" hidden="false" customHeight="false" outlineLevel="0" collapsed="false">
      <c r="A543" s="0" t="s">
        <v>14</v>
      </c>
      <c r="B543" s="0" t="s">
        <v>1192</v>
      </c>
      <c r="C543" s="0" t="s">
        <v>5072</v>
      </c>
    </row>
    <row r="544" customFormat="false" ht="15" hidden="false" customHeight="false" outlineLevel="0" collapsed="false">
      <c r="A544" s="0" t="s">
        <v>14</v>
      </c>
      <c r="B544" s="0" t="s">
        <v>1192</v>
      </c>
      <c r="C544" s="0" t="s">
        <v>5073</v>
      </c>
    </row>
    <row r="545" customFormat="false" ht="15" hidden="false" customHeight="false" outlineLevel="0" collapsed="false">
      <c r="A545" s="0" t="s">
        <v>14</v>
      </c>
      <c r="B545" s="0" t="s">
        <v>1194</v>
      </c>
      <c r="C545" s="0" t="s">
        <v>5066</v>
      </c>
      <c r="D545" s="0" t="n">
        <v>-0.7</v>
      </c>
    </row>
    <row r="546" customFormat="false" ht="15" hidden="false" customHeight="false" outlineLevel="0" collapsed="false">
      <c r="A546" s="0" t="s">
        <v>14</v>
      </c>
      <c r="B546" s="0" t="s">
        <v>1194</v>
      </c>
      <c r="C546" s="0" t="s">
        <v>5072</v>
      </c>
      <c r="D546" s="0" t="n">
        <v>-1.05</v>
      </c>
    </row>
    <row r="547" customFormat="false" ht="15" hidden="false" customHeight="false" outlineLevel="0" collapsed="false">
      <c r="A547" s="0" t="s">
        <v>14</v>
      </c>
      <c r="B547" s="0" t="s">
        <v>1194</v>
      </c>
      <c r="C547" s="0" t="s">
        <v>5073</v>
      </c>
      <c r="D547" s="0" t="n">
        <v>-0.35</v>
      </c>
    </row>
    <row r="548" customFormat="false" ht="15" hidden="false" customHeight="false" outlineLevel="0" collapsed="false">
      <c r="A548" s="0" t="s">
        <v>14</v>
      </c>
      <c r="B548" s="0" t="s">
        <v>1199</v>
      </c>
      <c r="C548" s="0" t="s">
        <v>5066</v>
      </c>
      <c r="D548" s="0" t="n">
        <v>-0.3</v>
      </c>
    </row>
    <row r="549" customFormat="false" ht="15" hidden="false" customHeight="false" outlineLevel="0" collapsed="false">
      <c r="A549" s="0" t="s">
        <v>14</v>
      </c>
      <c r="B549" s="0" t="s">
        <v>1199</v>
      </c>
      <c r="C549" s="0" t="s">
        <v>5072</v>
      </c>
      <c r="D549" s="0" t="n">
        <v>-0.45</v>
      </c>
    </row>
    <row r="550" customFormat="false" ht="15" hidden="false" customHeight="false" outlineLevel="0" collapsed="false">
      <c r="A550" s="0" t="s">
        <v>14</v>
      </c>
      <c r="B550" s="0" t="s">
        <v>1199</v>
      </c>
      <c r="C550" s="0" t="s">
        <v>5073</v>
      </c>
      <c r="D550" s="0" t="n">
        <v>-0.15</v>
      </c>
    </row>
    <row r="551" customFormat="false" ht="15" hidden="false" customHeight="false" outlineLevel="0" collapsed="false">
      <c r="A551" s="0" t="s">
        <v>14</v>
      </c>
      <c r="B551" s="0" t="s">
        <v>1202</v>
      </c>
      <c r="C551" s="0" t="s">
        <v>5066</v>
      </c>
      <c r="D551" s="0" t="s">
        <v>1205</v>
      </c>
    </row>
    <row r="552" customFormat="false" ht="15" hidden="false" customHeight="false" outlineLevel="0" collapsed="false">
      <c r="A552" s="0" t="s">
        <v>14</v>
      </c>
      <c r="B552" s="0" t="s">
        <v>1202</v>
      </c>
      <c r="C552" s="0" t="s">
        <v>5072</v>
      </c>
    </row>
    <row r="553" customFormat="false" ht="15" hidden="false" customHeight="false" outlineLevel="0" collapsed="false">
      <c r="A553" s="0" t="s">
        <v>14</v>
      </c>
      <c r="B553" s="0" t="s">
        <v>1202</v>
      </c>
      <c r="C553" s="0" t="s">
        <v>5073</v>
      </c>
    </row>
    <row r="554" customFormat="false" ht="15" hidden="false" customHeight="false" outlineLevel="0" collapsed="false">
      <c r="A554" s="0" t="s">
        <v>14</v>
      </c>
      <c r="B554" s="0" t="s">
        <v>1209</v>
      </c>
      <c r="C554" s="0" t="s">
        <v>5066</v>
      </c>
      <c r="D554" s="0" t="s">
        <v>1212</v>
      </c>
    </row>
    <row r="555" customFormat="false" ht="15" hidden="false" customHeight="false" outlineLevel="0" collapsed="false">
      <c r="A555" s="0" t="s">
        <v>14</v>
      </c>
      <c r="B555" s="0" t="s">
        <v>1209</v>
      </c>
      <c r="C555" s="0" t="s">
        <v>5072</v>
      </c>
    </row>
    <row r="556" customFormat="false" ht="15" hidden="false" customHeight="false" outlineLevel="0" collapsed="false">
      <c r="A556" s="0" t="s">
        <v>14</v>
      </c>
      <c r="B556" s="0" t="s">
        <v>1209</v>
      </c>
      <c r="C556" s="0" t="s">
        <v>5073</v>
      </c>
    </row>
    <row r="557" customFormat="false" ht="15" hidden="false" customHeight="false" outlineLevel="0" collapsed="false">
      <c r="A557" s="0" t="s">
        <v>14</v>
      </c>
      <c r="B557" s="0" t="s">
        <v>1215</v>
      </c>
      <c r="C557" s="0" t="s">
        <v>5066</v>
      </c>
      <c r="D557" s="0" t="s">
        <v>1212</v>
      </c>
    </row>
    <row r="558" customFormat="false" ht="15" hidden="false" customHeight="false" outlineLevel="0" collapsed="false">
      <c r="A558" s="0" t="s">
        <v>14</v>
      </c>
      <c r="B558" s="0" t="s">
        <v>1215</v>
      </c>
      <c r="C558" s="0" t="s">
        <v>5072</v>
      </c>
    </row>
    <row r="559" customFormat="false" ht="15" hidden="false" customHeight="false" outlineLevel="0" collapsed="false">
      <c r="A559" s="0" t="s">
        <v>14</v>
      </c>
      <c r="B559" s="0" t="s">
        <v>1215</v>
      </c>
      <c r="C559" s="0" t="s">
        <v>5073</v>
      </c>
    </row>
    <row r="560" customFormat="false" ht="15" hidden="false" customHeight="false" outlineLevel="0" collapsed="false">
      <c r="A560" s="0" t="s">
        <v>14</v>
      </c>
      <c r="B560" s="0" t="s">
        <v>1218</v>
      </c>
      <c r="C560" s="0" t="s">
        <v>5066</v>
      </c>
      <c r="D560" s="0" t="s">
        <v>1221</v>
      </c>
    </row>
    <row r="561" customFormat="false" ht="15" hidden="false" customHeight="false" outlineLevel="0" collapsed="false">
      <c r="A561" s="0" t="s">
        <v>14</v>
      </c>
      <c r="B561" s="0" t="s">
        <v>1218</v>
      </c>
      <c r="C561" s="0" t="s">
        <v>5072</v>
      </c>
    </row>
    <row r="562" customFormat="false" ht="15" hidden="false" customHeight="false" outlineLevel="0" collapsed="false">
      <c r="A562" s="0" t="s">
        <v>14</v>
      </c>
      <c r="B562" s="0" t="s">
        <v>1218</v>
      </c>
      <c r="C562" s="0" t="s">
        <v>5073</v>
      </c>
    </row>
    <row r="563" customFormat="false" ht="15" hidden="false" customHeight="false" outlineLevel="0" collapsed="false">
      <c r="A563" s="0" t="s">
        <v>14</v>
      </c>
      <c r="B563" s="0" t="s">
        <v>1222</v>
      </c>
      <c r="C563" s="0" t="s">
        <v>5066</v>
      </c>
      <c r="D563" s="0" t="s">
        <v>1225</v>
      </c>
    </row>
    <row r="564" customFormat="false" ht="15" hidden="false" customHeight="false" outlineLevel="0" collapsed="false">
      <c r="A564" s="0" t="s">
        <v>14</v>
      </c>
      <c r="B564" s="0" t="s">
        <v>1222</v>
      </c>
      <c r="C564" s="0" t="s">
        <v>5072</v>
      </c>
    </row>
    <row r="565" customFormat="false" ht="15" hidden="false" customHeight="false" outlineLevel="0" collapsed="false">
      <c r="A565" s="0" t="s">
        <v>14</v>
      </c>
      <c r="B565" s="0" t="s">
        <v>1222</v>
      </c>
      <c r="C565" s="0" t="s">
        <v>5073</v>
      </c>
    </row>
    <row r="566" customFormat="false" ht="15" hidden="false" customHeight="false" outlineLevel="0" collapsed="false">
      <c r="A566" s="0" t="s">
        <v>14</v>
      </c>
      <c r="B566" s="0" t="s">
        <v>1226</v>
      </c>
      <c r="C566" s="0" t="s">
        <v>5066</v>
      </c>
      <c r="D566" s="0" t="s">
        <v>1221</v>
      </c>
    </row>
    <row r="567" customFormat="false" ht="15" hidden="false" customHeight="false" outlineLevel="0" collapsed="false">
      <c r="A567" s="0" t="s">
        <v>14</v>
      </c>
      <c r="B567" s="0" t="s">
        <v>1226</v>
      </c>
      <c r="C567" s="0" t="s">
        <v>5072</v>
      </c>
    </row>
    <row r="568" customFormat="false" ht="15" hidden="false" customHeight="false" outlineLevel="0" collapsed="false">
      <c r="A568" s="0" t="s">
        <v>14</v>
      </c>
      <c r="B568" s="0" t="s">
        <v>1226</v>
      </c>
      <c r="C568" s="0" t="s">
        <v>5073</v>
      </c>
    </row>
    <row r="569" customFormat="false" ht="15" hidden="false" customHeight="false" outlineLevel="0" collapsed="false">
      <c r="A569" s="0" t="s">
        <v>14</v>
      </c>
      <c r="B569" s="0" t="s">
        <v>1229</v>
      </c>
      <c r="C569" s="0" t="s">
        <v>5066</v>
      </c>
      <c r="D569" s="0" t="n">
        <v>600</v>
      </c>
    </row>
    <row r="570" customFormat="false" ht="15" hidden="false" customHeight="false" outlineLevel="0" collapsed="false">
      <c r="A570" s="0" t="s">
        <v>14</v>
      </c>
      <c r="B570" s="0" t="s">
        <v>1229</v>
      </c>
      <c r="C570" s="0" t="s">
        <v>5072</v>
      </c>
    </row>
    <row r="571" customFormat="false" ht="15" hidden="false" customHeight="false" outlineLevel="0" collapsed="false">
      <c r="A571" s="0" t="s">
        <v>14</v>
      </c>
      <c r="B571" s="0" t="s">
        <v>1229</v>
      </c>
      <c r="C571" s="0" t="s">
        <v>5073</v>
      </c>
    </row>
    <row r="572" customFormat="false" ht="15" hidden="false" customHeight="false" outlineLevel="0" collapsed="false">
      <c r="A572" s="0" t="s">
        <v>14</v>
      </c>
      <c r="B572" s="0" t="s">
        <v>1233</v>
      </c>
      <c r="C572" s="0" t="s">
        <v>5066</v>
      </c>
      <c r="D572" s="0" t="n">
        <v>1250</v>
      </c>
    </row>
    <row r="573" customFormat="false" ht="15" hidden="false" customHeight="false" outlineLevel="0" collapsed="false">
      <c r="A573" s="0" t="s">
        <v>14</v>
      </c>
      <c r="B573" s="0" t="s">
        <v>1233</v>
      </c>
      <c r="C573" s="0" t="s">
        <v>5072</v>
      </c>
    </row>
    <row r="574" customFormat="false" ht="15" hidden="false" customHeight="false" outlineLevel="0" collapsed="false">
      <c r="A574" s="0" t="s">
        <v>14</v>
      </c>
      <c r="B574" s="0" t="s">
        <v>1233</v>
      </c>
      <c r="C574" s="0" t="s">
        <v>5073</v>
      </c>
    </row>
    <row r="575" customFormat="false" ht="15" hidden="false" customHeight="false" outlineLevel="0" collapsed="false">
      <c r="A575" s="0" t="s">
        <v>14</v>
      </c>
      <c r="B575" s="0" t="s">
        <v>1235</v>
      </c>
      <c r="C575" s="0" t="s">
        <v>5066</v>
      </c>
      <c r="D575" s="0" t="n">
        <v>1500</v>
      </c>
    </row>
    <row r="576" customFormat="false" ht="15" hidden="false" customHeight="false" outlineLevel="0" collapsed="false">
      <c r="A576" s="0" t="s">
        <v>14</v>
      </c>
      <c r="B576" s="0" t="s">
        <v>1235</v>
      </c>
      <c r="C576" s="0" t="s">
        <v>5072</v>
      </c>
    </row>
    <row r="577" customFormat="false" ht="15" hidden="false" customHeight="false" outlineLevel="0" collapsed="false">
      <c r="A577" s="0" t="s">
        <v>14</v>
      </c>
      <c r="B577" s="0" t="s">
        <v>1235</v>
      </c>
      <c r="C577" s="0" t="s">
        <v>5073</v>
      </c>
    </row>
    <row r="578" customFormat="false" ht="15" hidden="false" customHeight="false" outlineLevel="0" collapsed="false">
      <c r="A578" s="0" t="s">
        <v>14</v>
      </c>
      <c r="B578" s="0" t="s">
        <v>1236</v>
      </c>
      <c r="C578" s="0" t="s">
        <v>5066</v>
      </c>
      <c r="D578" s="0" t="n">
        <v>1700</v>
      </c>
    </row>
    <row r="579" customFormat="false" ht="15" hidden="false" customHeight="false" outlineLevel="0" collapsed="false">
      <c r="A579" s="0" t="s">
        <v>14</v>
      </c>
      <c r="B579" s="0" t="s">
        <v>1236</v>
      </c>
      <c r="C579" s="0" t="s">
        <v>5072</v>
      </c>
    </row>
    <row r="580" customFormat="false" ht="15" hidden="false" customHeight="false" outlineLevel="0" collapsed="false">
      <c r="A580" s="0" t="s">
        <v>14</v>
      </c>
      <c r="B580" s="0" t="s">
        <v>1236</v>
      </c>
      <c r="C580" s="0" t="s">
        <v>5073</v>
      </c>
    </row>
    <row r="581" customFormat="false" ht="15" hidden="false" customHeight="false" outlineLevel="0" collapsed="false">
      <c r="A581" s="0" t="s">
        <v>14</v>
      </c>
      <c r="B581" s="0" t="s">
        <v>1237</v>
      </c>
      <c r="C581" s="0" t="s">
        <v>5066</v>
      </c>
      <c r="D581" s="0" t="n">
        <v>1850</v>
      </c>
    </row>
    <row r="582" customFormat="false" ht="15" hidden="false" customHeight="false" outlineLevel="0" collapsed="false">
      <c r="A582" s="0" t="s">
        <v>14</v>
      </c>
      <c r="B582" s="0" t="s">
        <v>1237</v>
      </c>
      <c r="C582" s="0" t="s">
        <v>5072</v>
      </c>
    </row>
    <row r="583" customFormat="false" ht="15" hidden="false" customHeight="false" outlineLevel="0" collapsed="false">
      <c r="A583" s="0" t="s">
        <v>14</v>
      </c>
      <c r="B583" s="0" t="s">
        <v>1237</v>
      </c>
      <c r="C583" s="0" t="s">
        <v>5073</v>
      </c>
    </row>
    <row r="584" customFormat="false" ht="15" hidden="false" customHeight="false" outlineLevel="0" collapsed="false">
      <c r="A584" s="0" t="s">
        <v>14</v>
      </c>
      <c r="B584" s="0" t="s">
        <v>1238</v>
      </c>
      <c r="C584" s="0" t="s">
        <v>5066</v>
      </c>
      <c r="D584" s="0" t="n">
        <v>0.8</v>
      </c>
    </row>
    <row r="585" customFormat="false" ht="15" hidden="false" customHeight="false" outlineLevel="0" collapsed="false">
      <c r="A585" s="0" t="s">
        <v>14</v>
      </c>
      <c r="B585" s="0" t="s">
        <v>1238</v>
      </c>
      <c r="C585" s="0" t="s">
        <v>5072</v>
      </c>
    </row>
    <row r="586" customFormat="false" ht="15" hidden="false" customHeight="false" outlineLevel="0" collapsed="false">
      <c r="A586" s="0" t="s">
        <v>14</v>
      </c>
      <c r="B586" s="0" t="s">
        <v>1238</v>
      </c>
      <c r="C586" s="0" t="s">
        <v>5073</v>
      </c>
    </row>
    <row r="587" customFormat="false" ht="15" hidden="false" customHeight="false" outlineLevel="0" collapsed="false">
      <c r="A587" s="0" t="s">
        <v>14</v>
      </c>
      <c r="B587" s="0" t="s">
        <v>1241</v>
      </c>
      <c r="C587" s="0" t="s">
        <v>5066</v>
      </c>
      <c r="D587" s="0" t="n">
        <v>1.2</v>
      </c>
    </row>
    <row r="588" customFormat="false" ht="15" hidden="false" customHeight="false" outlineLevel="0" collapsed="false">
      <c r="A588" s="0" t="s">
        <v>14</v>
      </c>
      <c r="B588" s="0" t="s">
        <v>1241</v>
      </c>
      <c r="C588" s="0" t="s">
        <v>5072</v>
      </c>
    </row>
    <row r="589" customFormat="false" ht="15" hidden="false" customHeight="false" outlineLevel="0" collapsed="false">
      <c r="A589" s="0" t="s">
        <v>14</v>
      </c>
      <c r="B589" s="0" t="s">
        <v>1241</v>
      </c>
      <c r="C589" s="0" t="s">
        <v>5073</v>
      </c>
    </row>
    <row r="590" customFormat="false" ht="15" hidden="false" customHeight="false" outlineLevel="0" collapsed="false">
      <c r="A590" s="0" t="s">
        <v>14</v>
      </c>
      <c r="B590" s="0" t="s">
        <v>1243</v>
      </c>
      <c r="C590" s="0" t="s">
        <v>5066</v>
      </c>
      <c r="D590" s="0" t="n">
        <v>2</v>
      </c>
    </row>
    <row r="591" customFormat="false" ht="15" hidden="false" customHeight="false" outlineLevel="0" collapsed="false">
      <c r="A591" s="0" t="s">
        <v>14</v>
      </c>
      <c r="B591" s="0" t="s">
        <v>1243</v>
      </c>
      <c r="C591" s="0" t="s">
        <v>5072</v>
      </c>
    </row>
    <row r="592" customFormat="false" ht="15" hidden="false" customHeight="false" outlineLevel="0" collapsed="false">
      <c r="A592" s="0" t="s">
        <v>14</v>
      </c>
      <c r="B592" s="0" t="s">
        <v>1243</v>
      </c>
      <c r="C592" s="0" t="s">
        <v>5073</v>
      </c>
    </row>
    <row r="593" customFormat="false" ht="15" hidden="false" customHeight="false" outlineLevel="0" collapsed="false">
      <c r="A593" s="0" t="s">
        <v>14</v>
      </c>
      <c r="B593" s="0" t="s">
        <v>1246</v>
      </c>
      <c r="C593" s="0" t="s">
        <v>5066</v>
      </c>
      <c r="D593" s="0" t="n">
        <v>10</v>
      </c>
    </row>
    <row r="594" customFormat="false" ht="15" hidden="false" customHeight="false" outlineLevel="0" collapsed="false">
      <c r="A594" s="0" t="s">
        <v>14</v>
      </c>
      <c r="B594" s="0" t="s">
        <v>1246</v>
      </c>
      <c r="C594" s="0" t="s">
        <v>5072</v>
      </c>
    </row>
    <row r="595" customFormat="false" ht="15" hidden="false" customHeight="false" outlineLevel="0" collapsed="false">
      <c r="A595" s="0" t="s">
        <v>14</v>
      </c>
      <c r="B595" s="0" t="s">
        <v>1246</v>
      </c>
      <c r="C595" s="0" t="s">
        <v>5073</v>
      </c>
    </row>
    <row r="596" customFormat="false" ht="15" hidden="false" customHeight="false" outlineLevel="0" collapsed="false">
      <c r="A596" s="0" t="s">
        <v>14</v>
      </c>
      <c r="B596" s="0" t="s">
        <v>1247</v>
      </c>
      <c r="C596" s="0" t="s">
        <v>5066</v>
      </c>
      <c r="D596" s="0" t="n">
        <v>22</v>
      </c>
    </row>
    <row r="597" customFormat="false" ht="15" hidden="false" customHeight="false" outlineLevel="0" collapsed="false">
      <c r="A597" s="0" t="s">
        <v>14</v>
      </c>
      <c r="B597" s="0" t="s">
        <v>1247</v>
      </c>
      <c r="C597" s="0" t="s">
        <v>5072</v>
      </c>
    </row>
    <row r="598" customFormat="false" ht="15" hidden="false" customHeight="false" outlineLevel="0" collapsed="false">
      <c r="A598" s="0" t="s">
        <v>14</v>
      </c>
      <c r="B598" s="0" t="s">
        <v>1247</v>
      </c>
      <c r="C598" s="0" t="s">
        <v>5073</v>
      </c>
    </row>
    <row r="599" customFormat="false" ht="15" hidden="false" customHeight="false" outlineLevel="0" collapsed="false">
      <c r="A599" s="0" t="s">
        <v>14</v>
      </c>
      <c r="B599" s="0" t="s">
        <v>1248</v>
      </c>
      <c r="C599" s="0" t="s">
        <v>5066</v>
      </c>
      <c r="D599" s="0" t="n">
        <v>35</v>
      </c>
    </row>
    <row r="600" customFormat="false" ht="15" hidden="false" customHeight="false" outlineLevel="0" collapsed="false">
      <c r="A600" s="0" t="s">
        <v>14</v>
      </c>
      <c r="B600" s="0" t="s">
        <v>1248</v>
      </c>
      <c r="C600" s="0" t="s">
        <v>5072</v>
      </c>
    </row>
    <row r="601" customFormat="false" ht="15" hidden="false" customHeight="false" outlineLevel="0" collapsed="false">
      <c r="A601" s="0" t="s">
        <v>14</v>
      </c>
      <c r="B601" s="0" t="s">
        <v>1248</v>
      </c>
      <c r="C601" s="0" t="s">
        <v>5073</v>
      </c>
    </row>
    <row r="602" customFormat="false" ht="15" hidden="false" customHeight="false" outlineLevel="0" collapsed="false">
      <c r="A602" s="0" t="s">
        <v>14</v>
      </c>
      <c r="B602" s="0" t="s">
        <v>1249</v>
      </c>
      <c r="C602" s="0" t="s">
        <v>5066</v>
      </c>
      <c r="D602" s="0" t="n">
        <v>45</v>
      </c>
    </row>
    <row r="603" customFormat="false" ht="15" hidden="false" customHeight="false" outlineLevel="0" collapsed="false">
      <c r="A603" s="0" t="s">
        <v>14</v>
      </c>
      <c r="B603" s="0" t="s">
        <v>1249</v>
      </c>
      <c r="C603" s="0" t="s">
        <v>5072</v>
      </c>
    </row>
    <row r="604" customFormat="false" ht="15" hidden="false" customHeight="false" outlineLevel="0" collapsed="false">
      <c r="A604" s="0" t="s">
        <v>14</v>
      </c>
      <c r="B604" s="0" t="s">
        <v>1249</v>
      </c>
      <c r="C604" s="0" t="s">
        <v>5073</v>
      </c>
    </row>
    <row r="605" customFormat="false" ht="15" hidden="false" customHeight="false" outlineLevel="0" collapsed="false">
      <c r="A605" s="0" t="s">
        <v>14</v>
      </c>
      <c r="B605" s="0" t="s">
        <v>1250</v>
      </c>
      <c r="C605" s="0" t="s">
        <v>5066</v>
      </c>
      <c r="D605" s="0" t="n">
        <v>55</v>
      </c>
    </row>
    <row r="606" customFormat="false" ht="15" hidden="false" customHeight="false" outlineLevel="0" collapsed="false">
      <c r="A606" s="0" t="s">
        <v>14</v>
      </c>
      <c r="B606" s="0" t="s">
        <v>1250</v>
      </c>
      <c r="C606" s="0" t="s">
        <v>5072</v>
      </c>
    </row>
    <row r="607" customFormat="false" ht="15" hidden="false" customHeight="false" outlineLevel="0" collapsed="false">
      <c r="A607" s="0" t="s">
        <v>14</v>
      </c>
      <c r="B607" s="0" t="s">
        <v>1250</v>
      </c>
      <c r="C607" s="0" t="s">
        <v>5073</v>
      </c>
    </row>
    <row r="608" customFormat="false" ht="15" hidden="false" customHeight="false" outlineLevel="0" collapsed="false">
      <c r="A608" s="0" t="s">
        <v>14</v>
      </c>
      <c r="B608" s="0" t="s">
        <v>1251</v>
      </c>
      <c r="C608" s="0" t="s">
        <v>5066</v>
      </c>
      <c r="D608" s="0" t="n">
        <v>0.6</v>
      </c>
    </row>
    <row r="609" customFormat="false" ht="15" hidden="false" customHeight="false" outlineLevel="0" collapsed="false">
      <c r="A609" s="0" t="s">
        <v>14</v>
      </c>
      <c r="B609" s="0" t="s">
        <v>1251</v>
      </c>
      <c r="C609" s="0" t="s">
        <v>5072</v>
      </c>
    </row>
    <row r="610" customFormat="false" ht="15" hidden="false" customHeight="false" outlineLevel="0" collapsed="false">
      <c r="A610" s="0" t="s">
        <v>14</v>
      </c>
      <c r="B610" s="0" t="s">
        <v>1251</v>
      </c>
      <c r="C610" s="0" t="s">
        <v>5073</v>
      </c>
    </row>
    <row r="611" customFormat="false" ht="15" hidden="false" customHeight="false" outlineLevel="0" collapsed="false">
      <c r="A611" s="0" t="s">
        <v>14</v>
      </c>
      <c r="B611" s="0" t="s">
        <v>1253</v>
      </c>
      <c r="C611" s="0" t="s">
        <v>5066</v>
      </c>
      <c r="D611" s="0" t="n">
        <v>1.5</v>
      </c>
    </row>
    <row r="612" customFormat="false" ht="15" hidden="false" customHeight="false" outlineLevel="0" collapsed="false">
      <c r="A612" s="0" t="s">
        <v>14</v>
      </c>
      <c r="B612" s="0" t="s">
        <v>1253</v>
      </c>
      <c r="C612" s="0" t="s">
        <v>5072</v>
      </c>
    </row>
    <row r="613" customFormat="false" ht="15" hidden="false" customHeight="false" outlineLevel="0" collapsed="false">
      <c r="A613" s="0" t="s">
        <v>14</v>
      </c>
      <c r="B613" s="0" t="s">
        <v>1253</v>
      </c>
      <c r="C613" s="0" t="s">
        <v>5073</v>
      </c>
    </row>
    <row r="614" customFormat="false" ht="15" hidden="false" customHeight="false" outlineLevel="0" collapsed="false">
      <c r="A614" s="0" t="s">
        <v>14</v>
      </c>
      <c r="B614" s="0" t="s">
        <v>1255</v>
      </c>
      <c r="C614" s="0" t="s">
        <v>5066</v>
      </c>
      <c r="D614" s="0" t="n">
        <v>46</v>
      </c>
    </row>
    <row r="615" customFormat="false" ht="15" hidden="false" customHeight="false" outlineLevel="0" collapsed="false">
      <c r="A615" s="0" t="s">
        <v>14</v>
      </c>
      <c r="B615" s="0" t="s">
        <v>1255</v>
      </c>
      <c r="C615" s="0" t="s">
        <v>5072</v>
      </c>
    </row>
    <row r="616" customFormat="false" ht="15" hidden="false" customHeight="false" outlineLevel="0" collapsed="false">
      <c r="A616" s="0" t="s">
        <v>14</v>
      </c>
      <c r="B616" s="0" t="s">
        <v>1255</v>
      </c>
      <c r="C616" s="0" t="s">
        <v>5073</v>
      </c>
    </row>
    <row r="617" customFormat="false" ht="15" hidden="false" customHeight="false" outlineLevel="0" collapsed="false">
      <c r="A617" s="0" t="s">
        <v>14</v>
      </c>
      <c r="B617" s="0" t="s">
        <v>1258</v>
      </c>
      <c r="C617" s="0" t="s">
        <v>5066</v>
      </c>
      <c r="D617" s="0" t="n">
        <v>52</v>
      </c>
    </row>
    <row r="618" customFormat="false" ht="15" hidden="false" customHeight="false" outlineLevel="0" collapsed="false">
      <c r="A618" s="0" t="s">
        <v>14</v>
      </c>
      <c r="B618" s="0" t="s">
        <v>1258</v>
      </c>
      <c r="C618" s="0" t="s">
        <v>5072</v>
      </c>
    </row>
    <row r="619" customFormat="false" ht="15" hidden="false" customHeight="false" outlineLevel="0" collapsed="false">
      <c r="A619" s="0" t="s">
        <v>14</v>
      </c>
      <c r="B619" s="0" t="s">
        <v>1258</v>
      </c>
      <c r="C619" s="0" t="s">
        <v>5073</v>
      </c>
    </row>
    <row r="620" customFormat="false" ht="15" hidden="false" customHeight="false" outlineLevel="0" collapsed="false">
      <c r="A620" s="0" t="s">
        <v>14</v>
      </c>
      <c r="B620" s="0" t="s">
        <v>1259</v>
      </c>
      <c r="C620" s="0" t="s">
        <v>5066</v>
      </c>
      <c r="D620" s="0" t="n">
        <v>57</v>
      </c>
    </row>
    <row r="621" customFormat="false" ht="15" hidden="false" customHeight="false" outlineLevel="0" collapsed="false">
      <c r="A621" s="0" t="s">
        <v>14</v>
      </c>
      <c r="B621" s="0" t="s">
        <v>1259</v>
      </c>
      <c r="C621" s="0" t="s">
        <v>5072</v>
      </c>
    </row>
    <row r="622" customFormat="false" ht="15" hidden="false" customHeight="false" outlineLevel="0" collapsed="false">
      <c r="A622" s="0" t="s">
        <v>14</v>
      </c>
      <c r="B622" s="0" t="s">
        <v>1259</v>
      </c>
      <c r="C622" s="0" t="s">
        <v>5073</v>
      </c>
    </row>
    <row r="623" customFormat="false" ht="15" hidden="false" customHeight="false" outlineLevel="0" collapsed="false">
      <c r="A623" s="0" t="s">
        <v>14</v>
      </c>
      <c r="B623" s="0" t="s">
        <v>1260</v>
      </c>
      <c r="C623" s="0" t="s">
        <v>5066</v>
      </c>
      <c r="D623" s="0" t="n">
        <v>61</v>
      </c>
    </row>
    <row r="624" customFormat="false" ht="15" hidden="false" customHeight="false" outlineLevel="0" collapsed="false">
      <c r="A624" s="0" t="s">
        <v>14</v>
      </c>
      <c r="B624" s="0" t="s">
        <v>1260</v>
      </c>
      <c r="C624" s="0" t="s">
        <v>5072</v>
      </c>
    </row>
    <row r="625" customFormat="false" ht="15" hidden="false" customHeight="false" outlineLevel="0" collapsed="false">
      <c r="A625" s="0" t="s">
        <v>14</v>
      </c>
      <c r="B625" s="0" t="s">
        <v>1260</v>
      </c>
      <c r="C625" s="0" t="s">
        <v>5073</v>
      </c>
    </row>
    <row r="626" customFormat="false" ht="15" hidden="false" customHeight="false" outlineLevel="0" collapsed="false">
      <c r="A626" s="0" t="s">
        <v>14</v>
      </c>
      <c r="B626" s="0" t="s">
        <v>1261</v>
      </c>
      <c r="C626" s="0" t="s">
        <v>5066</v>
      </c>
      <c r="D626" s="0" t="n">
        <v>64</v>
      </c>
    </row>
    <row r="627" customFormat="false" ht="15" hidden="false" customHeight="false" outlineLevel="0" collapsed="false">
      <c r="A627" s="0" t="s">
        <v>14</v>
      </c>
      <c r="B627" s="0" t="s">
        <v>1261</v>
      </c>
      <c r="C627" s="0" t="s">
        <v>5072</v>
      </c>
    </row>
    <row r="628" customFormat="false" ht="15" hidden="false" customHeight="false" outlineLevel="0" collapsed="false">
      <c r="A628" s="0" t="s">
        <v>14</v>
      </c>
      <c r="B628" s="0" t="s">
        <v>1261</v>
      </c>
      <c r="C628" s="0" t="s">
        <v>5073</v>
      </c>
    </row>
    <row r="629" customFormat="false" ht="15" hidden="false" customHeight="false" outlineLevel="0" collapsed="false">
      <c r="A629" s="0" t="s">
        <v>14</v>
      </c>
      <c r="B629" s="0" t="s">
        <v>1262</v>
      </c>
      <c r="C629" s="0" t="s">
        <v>5066</v>
      </c>
      <c r="D629" s="0" t="n">
        <v>0.85</v>
      </c>
    </row>
    <row r="630" customFormat="false" ht="15" hidden="false" customHeight="false" outlineLevel="0" collapsed="false">
      <c r="A630" s="0" t="s">
        <v>14</v>
      </c>
      <c r="B630" s="0" t="s">
        <v>1262</v>
      </c>
      <c r="C630" s="0" t="s">
        <v>5072</v>
      </c>
    </row>
    <row r="631" customFormat="false" ht="15" hidden="false" customHeight="false" outlineLevel="0" collapsed="false">
      <c r="A631" s="0" t="s">
        <v>14</v>
      </c>
      <c r="B631" s="0" t="s">
        <v>1262</v>
      </c>
      <c r="C631" s="0" t="s">
        <v>5073</v>
      </c>
    </row>
    <row r="632" customFormat="false" ht="15" hidden="false" customHeight="false" outlineLevel="0" collapsed="false">
      <c r="A632" s="0" t="s">
        <v>14</v>
      </c>
      <c r="B632" s="0" t="s">
        <v>1264</v>
      </c>
      <c r="C632" s="0" t="s">
        <v>5066</v>
      </c>
      <c r="D632" s="0" t="n">
        <v>1.15</v>
      </c>
    </row>
    <row r="633" customFormat="false" ht="15" hidden="false" customHeight="false" outlineLevel="0" collapsed="false">
      <c r="A633" s="0" t="s">
        <v>14</v>
      </c>
      <c r="B633" s="0" t="s">
        <v>1264</v>
      </c>
      <c r="C633" s="0" t="s">
        <v>5072</v>
      </c>
    </row>
    <row r="634" customFormat="false" ht="15" hidden="false" customHeight="false" outlineLevel="0" collapsed="false">
      <c r="A634" s="0" t="s">
        <v>14</v>
      </c>
      <c r="B634" s="0" t="s">
        <v>1264</v>
      </c>
      <c r="C634" s="0" t="s">
        <v>5073</v>
      </c>
    </row>
    <row r="635" customFormat="false" ht="15" hidden="false" customHeight="false" outlineLevel="0" collapsed="false">
      <c r="A635" s="0" t="s">
        <v>14</v>
      </c>
      <c r="B635" s="0" t="s">
        <v>1266</v>
      </c>
      <c r="C635" s="0" t="s">
        <v>5066</v>
      </c>
      <c r="D635" s="0" t="n">
        <v>3</v>
      </c>
    </row>
    <row r="636" customFormat="false" ht="15" hidden="false" customHeight="false" outlineLevel="0" collapsed="false">
      <c r="A636" s="0" t="s">
        <v>14</v>
      </c>
      <c r="B636" s="0" t="s">
        <v>1266</v>
      </c>
      <c r="C636" s="0" t="s">
        <v>5072</v>
      </c>
    </row>
    <row r="637" customFormat="false" ht="15" hidden="false" customHeight="false" outlineLevel="0" collapsed="false">
      <c r="A637" s="0" t="s">
        <v>14</v>
      </c>
      <c r="B637" s="0" t="s">
        <v>1266</v>
      </c>
      <c r="C637" s="0" t="s">
        <v>5073</v>
      </c>
    </row>
    <row r="638" customFormat="false" ht="15" hidden="false" customHeight="false" outlineLevel="0" collapsed="false">
      <c r="A638" s="0" t="s">
        <v>14</v>
      </c>
      <c r="B638" s="0" t="s">
        <v>1269</v>
      </c>
      <c r="C638" s="0" t="s">
        <v>5066</v>
      </c>
      <c r="D638" s="0" t="n">
        <v>14</v>
      </c>
    </row>
    <row r="639" customFormat="false" ht="15" hidden="false" customHeight="false" outlineLevel="0" collapsed="false">
      <c r="A639" s="0" t="s">
        <v>14</v>
      </c>
      <c r="B639" s="0" t="s">
        <v>1269</v>
      </c>
      <c r="C639" s="0" t="s">
        <v>5072</v>
      </c>
    </row>
    <row r="640" customFormat="false" ht="15" hidden="false" customHeight="false" outlineLevel="0" collapsed="false">
      <c r="A640" s="0" t="s">
        <v>14</v>
      </c>
      <c r="B640" s="0" t="s">
        <v>1269</v>
      </c>
      <c r="C640" s="0" t="s">
        <v>5073</v>
      </c>
    </row>
    <row r="641" customFormat="false" ht="15" hidden="false" customHeight="false" outlineLevel="0" collapsed="false">
      <c r="A641" s="0" t="s">
        <v>14</v>
      </c>
      <c r="B641" s="0" t="s">
        <v>1270</v>
      </c>
      <c r="C641" s="0" t="s">
        <v>5066</v>
      </c>
      <c r="D641" s="0" t="n">
        <v>26</v>
      </c>
    </row>
    <row r="642" customFormat="false" ht="15" hidden="false" customHeight="false" outlineLevel="0" collapsed="false">
      <c r="A642" s="0" t="s">
        <v>14</v>
      </c>
      <c r="B642" s="0" t="s">
        <v>1270</v>
      </c>
      <c r="C642" s="0" t="s">
        <v>5072</v>
      </c>
    </row>
    <row r="643" customFormat="false" ht="15" hidden="false" customHeight="false" outlineLevel="0" collapsed="false">
      <c r="A643" s="0" t="s">
        <v>14</v>
      </c>
      <c r="B643" s="0" t="s">
        <v>1270</v>
      </c>
      <c r="C643" s="0" t="s">
        <v>5073</v>
      </c>
    </row>
    <row r="644" customFormat="false" ht="15" hidden="false" customHeight="false" outlineLevel="0" collapsed="false">
      <c r="A644" s="0" t="s">
        <v>14</v>
      </c>
      <c r="B644" s="0" t="s">
        <v>1271</v>
      </c>
      <c r="C644" s="0" t="s">
        <v>5066</v>
      </c>
      <c r="D644" s="0" t="n">
        <v>38</v>
      </c>
    </row>
    <row r="645" customFormat="false" ht="15" hidden="false" customHeight="false" outlineLevel="0" collapsed="false">
      <c r="A645" s="0" t="s">
        <v>14</v>
      </c>
      <c r="B645" s="0" t="s">
        <v>1271</v>
      </c>
      <c r="C645" s="0" t="s">
        <v>5072</v>
      </c>
    </row>
    <row r="646" customFormat="false" ht="15" hidden="false" customHeight="false" outlineLevel="0" collapsed="false">
      <c r="A646" s="0" t="s">
        <v>14</v>
      </c>
      <c r="B646" s="0" t="s">
        <v>1271</v>
      </c>
      <c r="C646" s="0" t="s">
        <v>5073</v>
      </c>
    </row>
    <row r="647" customFormat="false" ht="15" hidden="false" customHeight="false" outlineLevel="0" collapsed="false">
      <c r="A647" s="0" t="s">
        <v>14</v>
      </c>
      <c r="B647" s="0" t="s">
        <v>1272</v>
      </c>
      <c r="C647" s="0" t="s">
        <v>5066</v>
      </c>
      <c r="D647" s="0" t="n">
        <v>48</v>
      </c>
    </row>
    <row r="648" customFormat="false" ht="15" hidden="false" customHeight="false" outlineLevel="0" collapsed="false">
      <c r="A648" s="0" t="s">
        <v>14</v>
      </c>
      <c r="B648" s="0" t="s">
        <v>1272</v>
      </c>
      <c r="C648" s="0" t="s">
        <v>5072</v>
      </c>
    </row>
    <row r="649" customFormat="false" ht="15" hidden="false" customHeight="false" outlineLevel="0" collapsed="false">
      <c r="A649" s="0" t="s">
        <v>14</v>
      </c>
      <c r="B649" s="0" t="s">
        <v>1272</v>
      </c>
      <c r="C649" s="0" t="s">
        <v>5073</v>
      </c>
    </row>
    <row r="650" customFormat="false" ht="15" hidden="false" customHeight="false" outlineLevel="0" collapsed="false">
      <c r="A650" s="0" t="s">
        <v>14</v>
      </c>
      <c r="B650" s="0" t="s">
        <v>1273</v>
      </c>
      <c r="C650" s="0" t="s">
        <v>5066</v>
      </c>
      <c r="D650" s="0" t="n">
        <v>56</v>
      </c>
    </row>
    <row r="651" customFormat="false" ht="15" hidden="false" customHeight="false" outlineLevel="0" collapsed="false">
      <c r="A651" s="0" t="s">
        <v>14</v>
      </c>
      <c r="B651" s="0" t="s">
        <v>1273</v>
      </c>
      <c r="C651" s="0" t="s">
        <v>5072</v>
      </c>
    </row>
    <row r="652" customFormat="false" ht="15" hidden="false" customHeight="false" outlineLevel="0" collapsed="false">
      <c r="A652" s="0" t="s">
        <v>14</v>
      </c>
      <c r="B652" s="0" t="s">
        <v>1273</v>
      </c>
      <c r="C652" s="0" t="s">
        <v>5073</v>
      </c>
    </row>
    <row r="653" customFormat="false" ht="15" hidden="false" customHeight="false" outlineLevel="0" collapsed="false">
      <c r="A653" s="0" t="s">
        <v>14</v>
      </c>
      <c r="B653" s="0" t="s">
        <v>1274</v>
      </c>
      <c r="C653" s="0" t="s">
        <v>5066</v>
      </c>
      <c r="D653" s="0" t="n">
        <v>0.7</v>
      </c>
    </row>
    <row r="654" customFormat="false" ht="15" hidden="false" customHeight="false" outlineLevel="0" collapsed="false">
      <c r="A654" s="0" t="s">
        <v>14</v>
      </c>
      <c r="B654" s="0" t="s">
        <v>1274</v>
      </c>
      <c r="C654" s="0" t="s">
        <v>5072</v>
      </c>
    </row>
    <row r="655" customFormat="false" ht="15" hidden="false" customHeight="false" outlineLevel="0" collapsed="false">
      <c r="A655" s="0" t="s">
        <v>14</v>
      </c>
      <c r="B655" s="0" t="s">
        <v>1274</v>
      </c>
      <c r="C655" s="0" t="s">
        <v>5073</v>
      </c>
    </row>
    <row r="656" customFormat="false" ht="15" hidden="false" customHeight="false" outlineLevel="0" collapsed="false">
      <c r="A656" s="0" t="s">
        <v>14</v>
      </c>
      <c r="B656" s="0" t="s">
        <v>1276</v>
      </c>
      <c r="C656" s="0" t="s">
        <v>5066</v>
      </c>
      <c r="D656" s="0" t="n">
        <v>1.3</v>
      </c>
    </row>
    <row r="657" customFormat="false" ht="15" hidden="false" customHeight="false" outlineLevel="0" collapsed="false">
      <c r="A657" s="0" t="s">
        <v>14</v>
      </c>
      <c r="B657" s="0" t="s">
        <v>1276</v>
      </c>
      <c r="C657" s="0" t="s">
        <v>5072</v>
      </c>
    </row>
    <row r="658" customFormat="false" ht="15" hidden="false" customHeight="false" outlineLevel="0" collapsed="false">
      <c r="A658" s="0" t="s">
        <v>14</v>
      </c>
      <c r="B658" s="0" t="s">
        <v>1276</v>
      </c>
      <c r="C658" s="0" t="s">
        <v>5073</v>
      </c>
    </row>
    <row r="659" customFormat="false" ht="15" hidden="false" customHeight="false" outlineLevel="0" collapsed="false">
      <c r="A659" s="0" t="s">
        <v>14</v>
      </c>
      <c r="B659" s="0" t="s">
        <v>1278</v>
      </c>
      <c r="C659" s="0" t="s">
        <v>5066</v>
      </c>
      <c r="D659" s="0" t="n">
        <v>6</v>
      </c>
    </row>
    <row r="660" customFormat="false" ht="15" hidden="false" customHeight="false" outlineLevel="0" collapsed="false">
      <c r="A660" s="0" t="s">
        <v>14</v>
      </c>
      <c r="B660" s="0" t="s">
        <v>1278</v>
      </c>
      <c r="C660" s="0" t="s">
        <v>5072</v>
      </c>
      <c r="D660" s="0" t="n">
        <v>4</v>
      </c>
    </row>
    <row r="661" customFormat="false" ht="15" hidden="false" customHeight="false" outlineLevel="0" collapsed="false">
      <c r="A661" s="0" t="s">
        <v>14</v>
      </c>
      <c r="B661" s="0" t="s">
        <v>1278</v>
      </c>
      <c r="C661" s="0" t="s">
        <v>5073</v>
      </c>
      <c r="D661" s="0" t="n">
        <v>8</v>
      </c>
    </row>
    <row r="662" customFormat="false" ht="15" hidden="false" customHeight="false" outlineLevel="0" collapsed="false">
      <c r="A662" s="0" t="s">
        <v>14</v>
      </c>
      <c r="B662" s="0" t="s">
        <v>1282</v>
      </c>
      <c r="C662" s="0" t="s">
        <v>5066</v>
      </c>
      <c r="D662" s="0" t="n">
        <v>19.5</v>
      </c>
    </row>
    <row r="663" customFormat="false" ht="15" hidden="false" customHeight="false" outlineLevel="0" collapsed="false">
      <c r="A663" s="0" t="s">
        <v>14</v>
      </c>
      <c r="B663" s="0" t="s">
        <v>1282</v>
      </c>
      <c r="C663" s="0" t="s">
        <v>5072</v>
      </c>
      <c r="D663" s="0" t="n">
        <v>18</v>
      </c>
    </row>
    <row r="664" customFormat="false" ht="15" hidden="false" customHeight="false" outlineLevel="0" collapsed="false">
      <c r="A664" s="0" t="s">
        <v>14</v>
      </c>
      <c r="B664" s="0" t="s">
        <v>1282</v>
      </c>
      <c r="C664" s="0" t="s">
        <v>5073</v>
      </c>
      <c r="D664" s="0" t="n">
        <v>20</v>
      </c>
    </row>
    <row r="665" customFormat="false" ht="15" hidden="false" customHeight="false" outlineLevel="0" collapsed="false">
      <c r="A665" s="0" t="s">
        <v>14</v>
      </c>
      <c r="B665" s="0" t="s">
        <v>1285</v>
      </c>
      <c r="C665" s="0" t="s">
        <v>5066</v>
      </c>
      <c r="D665" s="0" t="n">
        <v>19</v>
      </c>
    </row>
    <row r="666" customFormat="false" ht="15" hidden="false" customHeight="false" outlineLevel="0" collapsed="false">
      <c r="A666" s="0" t="s">
        <v>14</v>
      </c>
      <c r="B666" s="0" t="s">
        <v>1285</v>
      </c>
      <c r="C666" s="0" t="s">
        <v>5072</v>
      </c>
      <c r="D666" s="0" t="n">
        <v>17</v>
      </c>
    </row>
    <row r="667" customFormat="false" ht="15" hidden="false" customHeight="false" outlineLevel="0" collapsed="false">
      <c r="A667" s="0" t="s">
        <v>14</v>
      </c>
      <c r="B667" s="0" t="s">
        <v>1285</v>
      </c>
      <c r="C667" s="0" t="s">
        <v>5073</v>
      </c>
      <c r="D667" s="0" t="n">
        <v>20</v>
      </c>
    </row>
    <row r="668" customFormat="false" ht="15" hidden="false" customHeight="false" outlineLevel="0" collapsed="false">
      <c r="A668" s="0" t="s">
        <v>14</v>
      </c>
      <c r="B668" s="0" t="s">
        <v>1287</v>
      </c>
      <c r="C668" s="0" t="s">
        <v>5066</v>
      </c>
      <c r="D668" s="0" t="n">
        <v>200</v>
      </c>
    </row>
    <row r="669" customFormat="false" ht="15" hidden="false" customHeight="false" outlineLevel="0" collapsed="false">
      <c r="A669" s="0" t="s">
        <v>14</v>
      </c>
      <c r="B669" s="0" t="s">
        <v>1287</v>
      </c>
      <c r="C669" s="0" t="s">
        <v>5072</v>
      </c>
      <c r="D669" s="0" t="n">
        <v>200</v>
      </c>
    </row>
    <row r="670" customFormat="false" ht="15" hidden="false" customHeight="false" outlineLevel="0" collapsed="false">
      <c r="A670" s="0" t="s">
        <v>14</v>
      </c>
      <c r="B670" s="0" t="s">
        <v>1287</v>
      </c>
      <c r="C670" s="0" t="s">
        <v>5073</v>
      </c>
      <c r="D670" s="0" t="n">
        <v>200</v>
      </c>
    </row>
    <row r="671" customFormat="false" ht="15" hidden="false" customHeight="false" outlineLevel="0" collapsed="false">
      <c r="A671" s="0" t="s">
        <v>14</v>
      </c>
      <c r="B671" s="0" t="s">
        <v>1290</v>
      </c>
      <c r="C671" s="0" t="s">
        <v>5066</v>
      </c>
      <c r="D671" s="0" t="n">
        <v>150</v>
      </c>
    </row>
    <row r="672" customFormat="false" ht="15" hidden="false" customHeight="false" outlineLevel="0" collapsed="false">
      <c r="A672" s="0" t="s">
        <v>14</v>
      </c>
      <c r="B672" s="0" t="s">
        <v>1290</v>
      </c>
      <c r="C672" s="0" t="s">
        <v>5072</v>
      </c>
      <c r="D672" s="0" t="n">
        <v>120</v>
      </c>
    </row>
    <row r="673" customFormat="false" ht="15" hidden="false" customHeight="false" outlineLevel="0" collapsed="false">
      <c r="A673" s="0" t="s">
        <v>14</v>
      </c>
      <c r="B673" s="0" t="s">
        <v>1290</v>
      </c>
      <c r="C673" s="0" t="s">
        <v>5073</v>
      </c>
      <c r="D673" s="0" t="n">
        <v>190</v>
      </c>
    </row>
    <row r="674" customFormat="false" ht="15" hidden="false" customHeight="false" outlineLevel="0" collapsed="false">
      <c r="A674" s="0" t="s">
        <v>14</v>
      </c>
      <c r="B674" s="0" t="s">
        <v>1291</v>
      </c>
      <c r="C674" s="0" t="s">
        <v>5066</v>
      </c>
      <c r="D674" s="0" t="n">
        <v>30</v>
      </c>
    </row>
    <row r="675" customFormat="false" ht="15" hidden="false" customHeight="false" outlineLevel="0" collapsed="false">
      <c r="A675" s="0" t="s">
        <v>14</v>
      </c>
      <c r="B675" s="0" t="s">
        <v>1291</v>
      </c>
      <c r="C675" s="0" t="s">
        <v>5072</v>
      </c>
      <c r="D675" s="0" t="n">
        <v>22</v>
      </c>
    </row>
    <row r="676" customFormat="false" ht="15" hidden="false" customHeight="false" outlineLevel="0" collapsed="false">
      <c r="A676" s="0" t="s">
        <v>14</v>
      </c>
      <c r="B676" s="0" t="s">
        <v>1291</v>
      </c>
      <c r="C676" s="0" t="s">
        <v>5073</v>
      </c>
      <c r="D676" s="0" t="n">
        <v>45</v>
      </c>
    </row>
    <row r="677" customFormat="false" ht="15" hidden="false" customHeight="false" outlineLevel="0" collapsed="false">
      <c r="A677" s="0" t="s">
        <v>14</v>
      </c>
      <c r="B677" s="0" t="s">
        <v>1294</v>
      </c>
      <c r="C677" s="0" t="s">
        <v>5066</v>
      </c>
      <c r="D677" s="0" t="n">
        <v>1.7</v>
      </c>
    </row>
    <row r="678" customFormat="false" ht="15" hidden="false" customHeight="false" outlineLevel="0" collapsed="false">
      <c r="A678" s="0" t="s">
        <v>14</v>
      </c>
      <c r="B678" s="0" t="s">
        <v>1294</v>
      </c>
      <c r="C678" s="0" t="s">
        <v>5072</v>
      </c>
    </row>
    <row r="679" customFormat="false" ht="15" hidden="false" customHeight="false" outlineLevel="0" collapsed="false">
      <c r="A679" s="0" t="s">
        <v>14</v>
      </c>
      <c r="B679" s="0" t="s">
        <v>1294</v>
      </c>
      <c r="C679" s="0" t="s">
        <v>5073</v>
      </c>
    </row>
    <row r="680" customFormat="false" ht="15" hidden="false" customHeight="false" outlineLevel="0" collapsed="false">
      <c r="A680" s="0" t="s">
        <v>14</v>
      </c>
      <c r="B680" s="0" t="s">
        <v>1299</v>
      </c>
      <c r="C680" s="0" t="s">
        <v>5066</v>
      </c>
      <c r="D680" s="0" t="n">
        <v>1.7</v>
      </c>
    </row>
    <row r="681" customFormat="false" ht="15" hidden="false" customHeight="false" outlineLevel="0" collapsed="false">
      <c r="A681" s="0" t="s">
        <v>14</v>
      </c>
      <c r="B681" s="0" t="s">
        <v>1299</v>
      </c>
      <c r="C681" s="0" t="s">
        <v>5072</v>
      </c>
    </row>
    <row r="682" customFormat="false" ht="15" hidden="false" customHeight="false" outlineLevel="0" collapsed="false">
      <c r="A682" s="0" t="s">
        <v>14</v>
      </c>
      <c r="B682" s="0" t="s">
        <v>1299</v>
      </c>
      <c r="C682" s="0" t="s">
        <v>5073</v>
      </c>
    </row>
    <row r="683" customFormat="false" ht="15" hidden="false" customHeight="false" outlineLevel="0" collapsed="false">
      <c r="A683" s="0" t="s">
        <v>14</v>
      </c>
      <c r="B683" s="0" t="s">
        <v>1300</v>
      </c>
      <c r="C683" s="0" t="s">
        <v>5066</v>
      </c>
      <c r="D683" s="0" t="n">
        <v>5.3</v>
      </c>
    </row>
    <row r="684" customFormat="false" ht="15" hidden="false" customHeight="false" outlineLevel="0" collapsed="false">
      <c r="A684" s="0" t="s">
        <v>14</v>
      </c>
      <c r="B684" s="0" t="s">
        <v>1300</v>
      </c>
      <c r="C684" s="0" t="s">
        <v>5072</v>
      </c>
    </row>
    <row r="685" customFormat="false" ht="15" hidden="false" customHeight="false" outlineLevel="0" collapsed="false">
      <c r="A685" s="0" t="s">
        <v>14</v>
      </c>
      <c r="B685" s="0" t="s">
        <v>1300</v>
      </c>
      <c r="C685" s="0" t="s">
        <v>5073</v>
      </c>
    </row>
    <row r="686" customFormat="false" ht="15" hidden="false" customHeight="false" outlineLevel="0" collapsed="false">
      <c r="A686" s="0" t="s">
        <v>14</v>
      </c>
      <c r="B686" s="0" t="s">
        <v>1303</v>
      </c>
      <c r="C686" s="0" t="s">
        <v>5066</v>
      </c>
      <c r="D686" s="0" t="n">
        <v>5.7</v>
      </c>
    </row>
    <row r="687" customFormat="false" ht="15" hidden="false" customHeight="false" outlineLevel="0" collapsed="false">
      <c r="A687" s="0" t="s">
        <v>14</v>
      </c>
      <c r="B687" s="0" t="s">
        <v>1303</v>
      </c>
      <c r="C687" s="0" t="s">
        <v>5072</v>
      </c>
    </row>
    <row r="688" customFormat="false" ht="15" hidden="false" customHeight="false" outlineLevel="0" collapsed="false">
      <c r="A688" s="0" t="s">
        <v>14</v>
      </c>
      <c r="B688" s="0" t="s">
        <v>1303</v>
      </c>
      <c r="C688" s="0" t="s">
        <v>5073</v>
      </c>
    </row>
    <row r="689" customFormat="false" ht="15" hidden="false" customHeight="false" outlineLevel="0" collapsed="false">
      <c r="A689" s="0" t="s">
        <v>14</v>
      </c>
      <c r="B689" s="0" t="s">
        <v>1304</v>
      </c>
      <c r="C689" s="0" t="s">
        <v>5066</v>
      </c>
      <c r="D689" s="0" t="n">
        <v>13.4</v>
      </c>
    </row>
    <row r="690" customFormat="false" ht="15" hidden="false" customHeight="false" outlineLevel="0" collapsed="false">
      <c r="A690" s="0" t="s">
        <v>14</v>
      </c>
      <c r="B690" s="0" t="s">
        <v>1304</v>
      </c>
      <c r="C690" s="0" t="s">
        <v>5072</v>
      </c>
    </row>
    <row r="691" customFormat="false" ht="15" hidden="false" customHeight="false" outlineLevel="0" collapsed="false">
      <c r="A691" s="0" t="s">
        <v>14</v>
      </c>
      <c r="B691" s="0" t="s">
        <v>1304</v>
      </c>
      <c r="C691" s="0" t="s">
        <v>5073</v>
      </c>
    </row>
    <row r="692" customFormat="false" ht="15" hidden="false" customHeight="false" outlineLevel="0" collapsed="false">
      <c r="A692" s="0" t="s">
        <v>14</v>
      </c>
      <c r="B692" s="0" t="s">
        <v>1307</v>
      </c>
      <c r="C692" s="0" t="s">
        <v>5066</v>
      </c>
      <c r="D692" s="0" t="n">
        <v>17.9</v>
      </c>
    </row>
    <row r="693" customFormat="false" ht="15" hidden="false" customHeight="false" outlineLevel="0" collapsed="false">
      <c r="A693" s="0" t="s">
        <v>14</v>
      </c>
      <c r="B693" s="0" t="s">
        <v>1307</v>
      </c>
      <c r="C693" s="0" t="s">
        <v>5072</v>
      </c>
    </row>
    <row r="694" customFormat="false" ht="15" hidden="false" customHeight="false" outlineLevel="0" collapsed="false">
      <c r="A694" s="0" t="s">
        <v>14</v>
      </c>
      <c r="B694" s="0" t="s">
        <v>1307</v>
      </c>
      <c r="C694" s="0" t="s">
        <v>5073</v>
      </c>
    </row>
    <row r="695" customFormat="false" ht="15" hidden="false" customHeight="false" outlineLevel="0" collapsed="false">
      <c r="A695" s="0" t="s">
        <v>14</v>
      </c>
      <c r="B695" s="0" t="s">
        <v>1308</v>
      </c>
      <c r="C695" s="0" t="s">
        <v>5066</v>
      </c>
      <c r="D695" s="0" t="n">
        <v>41</v>
      </c>
    </row>
    <row r="696" customFormat="false" ht="15" hidden="false" customHeight="false" outlineLevel="0" collapsed="false">
      <c r="A696" s="0" t="s">
        <v>14</v>
      </c>
      <c r="B696" s="0" t="s">
        <v>1308</v>
      </c>
      <c r="C696" s="0" t="s">
        <v>5072</v>
      </c>
    </row>
    <row r="697" customFormat="false" ht="15" hidden="false" customHeight="false" outlineLevel="0" collapsed="false">
      <c r="A697" s="0" t="s">
        <v>14</v>
      </c>
      <c r="B697" s="0" t="s">
        <v>1308</v>
      </c>
      <c r="C697" s="0" t="s">
        <v>5073</v>
      </c>
    </row>
    <row r="698" customFormat="false" ht="15" hidden="false" customHeight="false" outlineLevel="0" collapsed="false">
      <c r="A698" s="0" t="s">
        <v>14</v>
      </c>
      <c r="B698" s="0" t="s">
        <v>1311</v>
      </c>
      <c r="C698" s="0" t="s">
        <v>5066</v>
      </c>
      <c r="D698" s="0" t="n">
        <v>51.4</v>
      </c>
    </row>
    <row r="699" customFormat="false" ht="15" hidden="false" customHeight="false" outlineLevel="0" collapsed="false">
      <c r="A699" s="0" t="s">
        <v>14</v>
      </c>
      <c r="B699" s="0" t="s">
        <v>1311</v>
      </c>
      <c r="C699" s="0" t="s">
        <v>5072</v>
      </c>
    </row>
    <row r="700" customFormat="false" ht="15" hidden="false" customHeight="false" outlineLevel="0" collapsed="false">
      <c r="A700" s="0" t="s">
        <v>14</v>
      </c>
      <c r="B700" s="0" t="s">
        <v>1311</v>
      </c>
      <c r="C700" s="0" t="s">
        <v>5073</v>
      </c>
    </row>
    <row r="701" customFormat="false" ht="15" hidden="false" customHeight="false" outlineLevel="0" collapsed="false">
      <c r="A701" s="0" t="s">
        <v>14</v>
      </c>
      <c r="B701" s="0" t="s">
        <v>1312</v>
      </c>
      <c r="C701" s="0" t="s">
        <v>5066</v>
      </c>
      <c r="D701" s="0" t="n">
        <v>10.7</v>
      </c>
    </row>
    <row r="702" customFormat="false" ht="15" hidden="false" customHeight="false" outlineLevel="0" collapsed="false">
      <c r="A702" s="0" t="s">
        <v>14</v>
      </c>
      <c r="B702" s="0" t="s">
        <v>1312</v>
      </c>
      <c r="C702" s="0" t="s">
        <v>5072</v>
      </c>
    </row>
    <row r="703" customFormat="false" ht="15" hidden="false" customHeight="false" outlineLevel="0" collapsed="false">
      <c r="A703" s="0" t="s">
        <v>14</v>
      </c>
      <c r="B703" s="0" t="s">
        <v>1312</v>
      </c>
      <c r="C703" s="0" t="s">
        <v>5073</v>
      </c>
    </row>
    <row r="704" customFormat="false" ht="15" hidden="false" customHeight="false" outlineLevel="0" collapsed="false">
      <c r="A704" s="0" t="s">
        <v>14</v>
      </c>
      <c r="B704" s="0" t="s">
        <v>1315</v>
      </c>
      <c r="C704" s="0" t="s">
        <v>5066</v>
      </c>
      <c r="D704" s="0" t="n">
        <v>14.3</v>
      </c>
    </row>
    <row r="705" customFormat="false" ht="15" hidden="false" customHeight="false" outlineLevel="0" collapsed="false">
      <c r="A705" s="0" t="s">
        <v>14</v>
      </c>
      <c r="B705" s="0" t="s">
        <v>1315</v>
      </c>
      <c r="C705" s="0" t="s">
        <v>5072</v>
      </c>
    </row>
    <row r="706" customFormat="false" ht="15" hidden="false" customHeight="false" outlineLevel="0" collapsed="false">
      <c r="A706" s="0" t="s">
        <v>14</v>
      </c>
      <c r="B706" s="0" t="s">
        <v>1315</v>
      </c>
      <c r="C706" s="0" t="s">
        <v>5073</v>
      </c>
    </row>
    <row r="707" customFormat="false" ht="15" hidden="false" customHeight="false" outlineLevel="0" collapsed="false">
      <c r="A707" s="0" t="s">
        <v>14</v>
      </c>
      <c r="B707" s="0" t="s">
        <v>1316</v>
      </c>
      <c r="C707" s="0" t="s">
        <v>5066</v>
      </c>
      <c r="D707" s="0" t="n">
        <v>2</v>
      </c>
    </row>
    <row r="708" customFormat="false" ht="15" hidden="false" customHeight="false" outlineLevel="0" collapsed="false">
      <c r="A708" s="0" t="s">
        <v>14</v>
      </c>
      <c r="B708" s="0" t="s">
        <v>1316</v>
      </c>
      <c r="C708" s="0" t="s">
        <v>5072</v>
      </c>
    </row>
    <row r="709" customFormat="false" ht="15" hidden="false" customHeight="false" outlineLevel="0" collapsed="false">
      <c r="A709" s="0" t="s">
        <v>14</v>
      </c>
      <c r="B709" s="0" t="s">
        <v>1316</v>
      </c>
      <c r="C709" s="0" t="s">
        <v>5073</v>
      </c>
    </row>
    <row r="710" customFormat="false" ht="15" hidden="false" customHeight="false" outlineLevel="0" collapsed="false">
      <c r="A710" s="0" t="s">
        <v>14</v>
      </c>
      <c r="B710" s="0" t="s">
        <v>1319</v>
      </c>
      <c r="C710" s="0" t="s">
        <v>5066</v>
      </c>
      <c r="D710" s="0" t="n">
        <v>2.94</v>
      </c>
    </row>
    <row r="711" customFormat="false" ht="15" hidden="false" customHeight="false" outlineLevel="0" collapsed="false">
      <c r="A711" s="0" t="s">
        <v>14</v>
      </c>
      <c r="B711" s="0" t="s">
        <v>1319</v>
      </c>
      <c r="C711" s="0" t="s">
        <v>5072</v>
      </c>
    </row>
    <row r="712" customFormat="false" ht="15" hidden="false" customHeight="false" outlineLevel="0" collapsed="false">
      <c r="A712" s="0" t="s">
        <v>14</v>
      </c>
      <c r="B712" s="0" t="s">
        <v>1319</v>
      </c>
      <c r="C712" s="0" t="s">
        <v>5073</v>
      </c>
    </row>
    <row r="713" customFormat="false" ht="15" hidden="false" customHeight="false" outlineLevel="0" collapsed="false">
      <c r="A713" s="0" t="s">
        <v>14</v>
      </c>
      <c r="B713" s="0" t="s">
        <v>1320</v>
      </c>
      <c r="C713" s="0" t="s">
        <v>5066</v>
      </c>
      <c r="D713" s="0" t="n">
        <v>3</v>
      </c>
    </row>
    <row r="714" customFormat="false" ht="15" hidden="false" customHeight="false" outlineLevel="0" collapsed="false">
      <c r="A714" s="0" t="s">
        <v>14</v>
      </c>
      <c r="B714" s="0" t="s">
        <v>1320</v>
      </c>
      <c r="C714" s="0" t="s">
        <v>5072</v>
      </c>
    </row>
    <row r="715" customFormat="false" ht="15" hidden="false" customHeight="false" outlineLevel="0" collapsed="false">
      <c r="A715" s="0" t="s">
        <v>14</v>
      </c>
      <c r="B715" s="0" t="s">
        <v>1320</v>
      </c>
      <c r="C715" s="0" t="s">
        <v>5073</v>
      </c>
    </row>
    <row r="716" customFormat="false" ht="15" hidden="false" customHeight="false" outlineLevel="0" collapsed="false">
      <c r="A716" s="0" t="s">
        <v>14</v>
      </c>
      <c r="B716" s="0" t="s">
        <v>1323</v>
      </c>
      <c r="C716" s="0" t="s">
        <v>5066</v>
      </c>
      <c r="D716" s="0" t="n">
        <v>4.39</v>
      </c>
    </row>
    <row r="717" customFormat="false" ht="15" hidden="false" customHeight="false" outlineLevel="0" collapsed="false">
      <c r="A717" s="0" t="s">
        <v>14</v>
      </c>
      <c r="B717" s="0" t="s">
        <v>1323</v>
      </c>
      <c r="C717" s="0" t="s">
        <v>5072</v>
      </c>
    </row>
    <row r="718" customFormat="false" ht="15" hidden="false" customHeight="false" outlineLevel="0" collapsed="false">
      <c r="A718" s="0" t="s">
        <v>14</v>
      </c>
      <c r="B718" s="0" t="s">
        <v>1323</v>
      </c>
      <c r="C718" s="0" t="s">
        <v>5073</v>
      </c>
    </row>
    <row r="719" customFormat="false" ht="15" hidden="false" customHeight="false" outlineLevel="0" collapsed="false">
      <c r="A719" s="0" t="s">
        <v>14</v>
      </c>
      <c r="B719" s="0" t="s">
        <v>1324</v>
      </c>
      <c r="C719" s="0" t="s">
        <v>5066</v>
      </c>
      <c r="D719" s="0" t="n">
        <v>4</v>
      </c>
    </row>
    <row r="720" customFormat="false" ht="15" hidden="false" customHeight="false" outlineLevel="0" collapsed="false">
      <c r="A720" s="0" t="s">
        <v>14</v>
      </c>
      <c r="B720" s="0" t="s">
        <v>1324</v>
      </c>
      <c r="C720" s="0" t="s">
        <v>5072</v>
      </c>
    </row>
    <row r="721" customFormat="false" ht="15" hidden="false" customHeight="false" outlineLevel="0" collapsed="false">
      <c r="A721" s="0" t="s">
        <v>14</v>
      </c>
      <c r="B721" s="0" t="s">
        <v>1324</v>
      </c>
      <c r="C721" s="0" t="s">
        <v>5073</v>
      </c>
    </row>
    <row r="722" customFormat="false" ht="15" hidden="false" customHeight="false" outlineLevel="0" collapsed="false">
      <c r="A722" s="0" t="s">
        <v>14</v>
      </c>
      <c r="B722" s="0" t="s">
        <v>1327</v>
      </c>
      <c r="C722" s="0" t="s">
        <v>5066</v>
      </c>
      <c r="D722" s="0" t="n">
        <v>6.15</v>
      </c>
    </row>
    <row r="723" customFormat="false" ht="15" hidden="false" customHeight="false" outlineLevel="0" collapsed="false">
      <c r="A723" s="0" t="s">
        <v>14</v>
      </c>
      <c r="B723" s="0" t="s">
        <v>1327</v>
      </c>
      <c r="C723" s="0" t="s">
        <v>5072</v>
      </c>
    </row>
    <row r="724" customFormat="false" ht="15" hidden="false" customHeight="false" outlineLevel="0" collapsed="false">
      <c r="A724" s="0" t="s">
        <v>14</v>
      </c>
      <c r="B724" s="0" t="s">
        <v>1327</v>
      </c>
      <c r="C724" s="0" t="s">
        <v>5073</v>
      </c>
    </row>
    <row r="725" customFormat="false" ht="15" hidden="false" customHeight="false" outlineLevel="0" collapsed="false">
      <c r="A725" s="0" t="s">
        <v>14</v>
      </c>
      <c r="B725" s="0" t="s">
        <v>1328</v>
      </c>
      <c r="C725" s="0" t="s">
        <v>5066</v>
      </c>
      <c r="D725" s="0" t="n">
        <v>10</v>
      </c>
    </row>
    <row r="726" customFormat="false" ht="15" hidden="false" customHeight="false" outlineLevel="0" collapsed="false">
      <c r="A726" s="0" t="s">
        <v>14</v>
      </c>
      <c r="B726" s="0" t="s">
        <v>1328</v>
      </c>
      <c r="C726" s="0" t="s">
        <v>5072</v>
      </c>
    </row>
    <row r="727" customFormat="false" ht="15" hidden="false" customHeight="false" outlineLevel="0" collapsed="false">
      <c r="A727" s="0" t="s">
        <v>14</v>
      </c>
      <c r="B727" s="0" t="s">
        <v>1328</v>
      </c>
      <c r="C727" s="0" t="s">
        <v>5073</v>
      </c>
    </row>
    <row r="728" customFormat="false" ht="15" hidden="false" customHeight="false" outlineLevel="0" collapsed="false">
      <c r="A728" s="0" t="s">
        <v>14</v>
      </c>
      <c r="B728" s="0" t="s">
        <v>1331</v>
      </c>
      <c r="C728" s="0" t="s">
        <v>5066</v>
      </c>
      <c r="D728" s="0" t="n">
        <v>15.6</v>
      </c>
    </row>
    <row r="729" customFormat="false" ht="15" hidden="false" customHeight="false" outlineLevel="0" collapsed="false">
      <c r="A729" s="0" t="s">
        <v>14</v>
      </c>
      <c r="B729" s="0" t="s">
        <v>1331</v>
      </c>
      <c r="C729" s="0" t="s">
        <v>5072</v>
      </c>
    </row>
    <row r="730" customFormat="false" ht="15" hidden="false" customHeight="false" outlineLevel="0" collapsed="false">
      <c r="A730" s="0" t="s">
        <v>14</v>
      </c>
      <c r="B730" s="0" t="s">
        <v>1331</v>
      </c>
      <c r="C730" s="0" t="s">
        <v>5073</v>
      </c>
    </row>
    <row r="731" customFormat="false" ht="15" hidden="false" customHeight="false" outlineLevel="0" collapsed="false">
      <c r="A731" s="0" t="s">
        <v>14</v>
      </c>
      <c r="B731" s="0" t="s">
        <v>1332</v>
      </c>
      <c r="C731" s="0" t="s">
        <v>5066</v>
      </c>
      <c r="D731" s="0" t="n">
        <v>4</v>
      </c>
    </row>
    <row r="732" customFormat="false" ht="15" hidden="false" customHeight="false" outlineLevel="0" collapsed="false">
      <c r="A732" s="0" t="s">
        <v>14</v>
      </c>
      <c r="B732" s="0" t="s">
        <v>1332</v>
      </c>
      <c r="C732" s="0" t="s">
        <v>5072</v>
      </c>
    </row>
    <row r="733" customFormat="false" ht="15" hidden="false" customHeight="false" outlineLevel="0" collapsed="false">
      <c r="A733" s="0" t="s">
        <v>14</v>
      </c>
      <c r="B733" s="0" t="s">
        <v>1332</v>
      </c>
      <c r="C733" s="0" t="s">
        <v>5073</v>
      </c>
    </row>
    <row r="734" customFormat="false" ht="15" hidden="false" customHeight="false" outlineLevel="0" collapsed="false">
      <c r="A734" s="0" t="s">
        <v>14</v>
      </c>
      <c r="B734" s="0" t="s">
        <v>1335</v>
      </c>
      <c r="C734" s="0" t="s">
        <v>5066</v>
      </c>
      <c r="D734" s="0" t="n">
        <v>5.94</v>
      </c>
    </row>
    <row r="735" customFormat="false" ht="15" hidden="false" customHeight="false" outlineLevel="0" collapsed="false">
      <c r="A735" s="0" t="s">
        <v>14</v>
      </c>
      <c r="B735" s="0" t="s">
        <v>1335</v>
      </c>
      <c r="C735" s="0" t="s">
        <v>5072</v>
      </c>
    </row>
    <row r="736" customFormat="false" ht="15" hidden="false" customHeight="false" outlineLevel="0" collapsed="false">
      <c r="A736" s="0" t="s">
        <v>14</v>
      </c>
      <c r="B736" s="0" t="s">
        <v>1335</v>
      </c>
      <c r="C736" s="0" t="s">
        <v>5073</v>
      </c>
    </row>
    <row r="737" customFormat="false" ht="15" hidden="false" customHeight="false" outlineLevel="0" collapsed="false">
      <c r="A737" s="0" t="s">
        <v>14</v>
      </c>
      <c r="B737" s="0" t="s">
        <v>1336</v>
      </c>
      <c r="C737" s="0" t="s">
        <v>5066</v>
      </c>
      <c r="D737" s="0" t="n">
        <v>0.1</v>
      </c>
    </row>
    <row r="738" customFormat="false" ht="15" hidden="false" customHeight="false" outlineLevel="0" collapsed="false">
      <c r="A738" s="0" t="s">
        <v>14</v>
      </c>
      <c r="B738" s="0" t="s">
        <v>1336</v>
      </c>
      <c r="C738" s="0" t="s">
        <v>5072</v>
      </c>
      <c r="D738" s="0" t="n">
        <v>0.05</v>
      </c>
    </row>
    <row r="739" customFormat="false" ht="15" hidden="false" customHeight="false" outlineLevel="0" collapsed="false">
      <c r="A739" s="0" t="s">
        <v>14</v>
      </c>
      <c r="B739" s="0" t="s">
        <v>1336</v>
      </c>
      <c r="C739" s="0" t="s">
        <v>5073</v>
      </c>
      <c r="D739" s="0" t="n">
        <v>0.2</v>
      </c>
    </row>
    <row r="740" customFormat="false" ht="15" hidden="false" customHeight="false" outlineLevel="0" collapsed="false">
      <c r="A740" s="0" t="s">
        <v>14</v>
      </c>
      <c r="B740" s="0" t="s">
        <v>1339</v>
      </c>
      <c r="C740" s="0" t="s">
        <v>5066</v>
      </c>
      <c r="D740" s="0" t="n">
        <v>0.15</v>
      </c>
    </row>
    <row r="741" customFormat="false" ht="15" hidden="false" customHeight="false" outlineLevel="0" collapsed="false">
      <c r="A741" s="0" t="s">
        <v>14</v>
      </c>
      <c r="B741" s="0" t="s">
        <v>1339</v>
      </c>
      <c r="C741" s="0" t="s">
        <v>5072</v>
      </c>
      <c r="D741" s="0" t="n">
        <v>0.1</v>
      </c>
    </row>
    <row r="742" customFormat="false" ht="15" hidden="false" customHeight="false" outlineLevel="0" collapsed="false">
      <c r="A742" s="0" t="s">
        <v>14</v>
      </c>
      <c r="B742" s="0" t="s">
        <v>1339</v>
      </c>
      <c r="C742" s="0" t="s">
        <v>5073</v>
      </c>
      <c r="D742" s="0" t="n">
        <v>0.25</v>
      </c>
    </row>
    <row r="743" customFormat="false" ht="15" hidden="false" customHeight="false" outlineLevel="0" collapsed="false">
      <c r="A743" s="0" t="s">
        <v>14</v>
      </c>
      <c r="B743" s="0" t="s">
        <v>1343</v>
      </c>
      <c r="C743" s="0" t="s">
        <v>5066</v>
      </c>
      <c r="D743" s="0" t="n">
        <v>0</v>
      </c>
    </row>
    <row r="744" customFormat="false" ht="15" hidden="false" customHeight="false" outlineLevel="0" collapsed="false">
      <c r="A744" s="0" t="s">
        <v>14</v>
      </c>
      <c r="B744" s="0" t="s">
        <v>1343</v>
      </c>
      <c r="C744" s="0" t="s">
        <v>5072</v>
      </c>
      <c r="D744" s="0" t="n">
        <v>0</v>
      </c>
    </row>
    <row r="745" customFormat="false" ht="15" hidden="false" customHeight="false" outlineLevel="0" collapsed="false">
      <c r="A745" s="0" t="s">
        <v>14</v>
      </c>
      <c r="B745" s="0" t="s">
        <v>1343</v>
      </c>
      <c r="C745" s="0" t="s">
        <v>5073</v>
      </c>
      <c r="D745" s="0" t="n">
        <v>0</v>
      </c>
    </row>
    <row r="746" customFormat="false" ht="15" hidden="false" customHeight="false" outlineLevel="0" collapsed="false">
      <c r="A746" s="0" t="s">
        <v>14</v>
      </c>
      <c r="B746" s="0" t="s">
        <v>1348</v>
      </c>
      <c r="C746" s="0" t="s">
        <v>5066</v>
      </c>
      <c r="D746" s="0" t="n">
        <v>0.25</v>
      </c>
    </row>
    <row r="747" customFormat="false" ht="15" hidden="false" customHeight="false" outlineLevel="0" collapsed="false">
      <c r="A747" s="0" t="s">
        <v>14</v>
      </c>
      <c r="B747" s="0" t="s">
        <v>1348</v>
      </c>
      <c r="C747" s="0" t="s">
        <v>5072</v>
      </c>
      <c r="D747" s="0" t="n">
        <v>0.15</v>
      </c>
    </row>
    <row r="748" customFormat="false" ht="15" hidden="false" customHeight="false" outlineLevel="0" collapsed="false">
      <c r="A748" s="0" t="s">
        <v>14</v>
      </c>
      <c r="B748" s="0" t="s">
        <v>1348</v>
      </c>
      <c r="C748" s="0" t="s">
        <v>5073</v>
      </c>
      <c r="D748" s="0" t="n">
        <v>0.35</v>
      </c>
    </row>
    <row r="749" customFormat="false" ht="15" hidden="false" customHeight="false" outlineLevel="0" collapsed="false">
      <c r="A749" s="0" t="s">
        <v>14</v>
      </c>
      <c r="B749" s="0" t="s">
        <v>1349</v>
      </c>
      <c r="C749" s="0" t="s">
        <v>5066</v>
      </c>
      <c r="D749" s="0" t="n">
        <v>0.35</v>
      </c>
    </row>
    <row r="750" customFormat="false" ht="15" hidden="false" customHeight="false" outlineLevel="0" collapsed="false">
      <c r="A750" s="0" t="s">
        <v>14</v>
      </c>
      <c r="B750" s="0" t="s">
        <v>1349</v>
      </c>
      <c r="C750" s="0" t="s">
        <v>5072</v>
      </c>
      <c r="D750" s="0" t="n">
        <v>0.25</v>
      </c>
    </row>
    <row r="751" customFormat="false" ht="15" hidden="false" customHeight="false" outlineLevel="0" collapsed="false">
      <c r="A751" s="0" t="s">
        <v>14</v>
      </c>
      <c r="B751" s="0" t="s">
        <v>1349</v>
      </c>
      <c r="C751" s="0" t="s">
        <v>5073</v>
      </c>
      <c r="D751" s="0" t="n">
        <v>0.5</v>
      </c>
    </row>
    <row r="752" customFormat="false" ht="15" hidden="false" customHeight="false" outlineLevel="0" collapsed="false">
      <c r="A752" s="0" t="s">
        <v>14</v>
      </c>
      <c r="B752" s="0" t="s">
        <v>1350</v>
      </c>
      <c r="C752" s="0" t="s">
        <v>5066</v>
      </c>
      <c r="D752" s="0" t="n">
        <v>0.4</v>
      </c>
    </row>
    <row r="753" customFormat="false" ht="15" hidden="false" customHeight="false" outlineLevel="0" collapsed="false">
      <c r="A753" s="0" t="s">
        <v>14</v>
      </c>
      <c r="B753" s="0" t="s">
        <v>1350</v>
      </c>
      <c r="C753" s="0" t="s">
        <v>5072</v>
      </c>
      <c r="D753" s="0" t="n">
        <v>0.3</v>
      </c>
    </row>
    <row r="754" customFormat="false" ht="15" hidden="false" customHeight="false" outlineLevel="0" collapsed="false">
      <c r="A754" s="0" t="s">
        <v>14</v>
      </c>
      <c r="B754" s="0" t="s">
        <v>1350</v>
      </c>
      <c r="C754" s="0" t="s">
        <v>5073</v>
      </c>
      <c r="D754" s="0" t="n">
        <v>0.6</v>
      </c>
    </row>
    <row r="755" customFormat="false" ht="15" hidden="false" customHeight="false" outlineLevel="0" collapsed="false">
      <c r="A755" s="0" t="s">
        <v>14</v>
      </c>
      <c r="B755" s="0" t="s">
        <v>1351</v>
      </c>
      <c r="C755" s="0" t="s">
        <v>5066</v>
      </c>
      <c r="D755" s="0" t="n">
        <v>0.45</v>
      </c>
    </row>
    <row r="756" customFormat="false" ht="15" hidden="false" customHeight="false" outlineLevel="0" collapsed="false">
      <c r="A756" s="0" t="s">
        <v>14</v>
      </c>
      <c r="B756" s="0" t="s">
        <v>1351</v>
      </c>
      <c r="C756" s="0" t="s">
        <v>5072</v>
      </c>
      <c r="D756" s="0" t="n">
        <v>0.3</v>
      </c>
    </row>
    <row r="757" customFormat="false" ht="15" hidden="false" customHeight="false" outlineLevel="0" collapsed="false">
      <c r="A757" s="0" t="s">
        <v>14</v>
      </c>
      <c r="B757" s="0" t="s">
        <v>1351</v>
      </c>
      <c r="C757" s="0" t="s">
        <v>5073</v>
      </c>
      <c r="D757" s="0" t="n">
        <v>0.65</v>
      </c>
    </row>
    <row r="758" customFormat="false" ht="15" hidden="false" customHeight="false" outlineLevel="0" collapsed="false">
      <c r="A758" s="0" t="s">
        <v>14</v>
      </c>
      <c r="B758" s="0" t="s">
        <v>1352</v>
      </c>
      <c r="C758" s="0" t="s">
        <v>5066</v>
      </c>
      <c r="D758" s="0" t="n">
        <v>0.5</v>
      </c>
    </row>
    <row r="759" customFormat="false" ht="15" hidden="false" customHeight="false" outlineLevel="0" collapsed="false">
      <c r="A759" s="0" t="s">
        <v>14</v>
      </c>
      <c r="B759" s="0" t="s">
        <v>1352</v>
      </c>
      <c r="C759" s="0" t="s">
        <v>5072</v>
      </c>
      <c r="D759" s="0" t="n">
        <v>0.35</v>
      </c>
    </row>
    <row r="760" customFormat="false" ht="15" hidden="false" customHeight="false" outlineLevel="0" collapsed="false">
      <c r="A760" s="0" t="s">
        <v>14</v>
      </c>
      <c r="B760" s="0" t="s">
        <v>1352</v>
      </c>
      <c r="C760" s="0" t="s">
        <v>5073</v>
      </c>
      <c r="D760" s="0" t="n">
        <v>0.7</v>
      </c>
    </row>
    <row r="761" customFormat="false" ht="15" hidden="false" customHeight="false" outlineLevel="0" collapsed="false">
      <c r="A761" s="0" t="s">
        <v>14</v>
      </c>
      <c r="B761" s="0" t="s">
        <v>1353</v>
      </c>
      <c r="C761" s="0" t="s">
        <v>5066</v>
      </c>
      <c r="D761" s="0" t="n">
        <v>0</v>
      </c>
    </row>
    <row r="762" customFormat="false" ht="15" hidden="false" customHeight="false" outlineLevel="0" collapsed="false">
      <c r="A762" s="0" t="s">
        <v>14</v>
      </c>
      <c r="B762" s="0" t="s">
        <v>1353</v>
      </c>
      <c r="C762" s="0" t="s">
        <v>5072</v>
      </c>
      <c r="D762" s="0" t="n">
        <v>0</v>
      </c>
    </row>
    <row r="763" customFormat="false" ht="15" hidden="false" customHeight="false" outlineLevel="0" collapsed="false">
      <c r="A763" s="0" t="s">
        <v>14</v>
      </c>
      <c r="B763" s="0" t="s">
        <v>1353</v>
      </c>
      <c r="C763" s="0" t="s">
        <v>5073</v>
      </c>
      <c r="D763" s="0" t="n">
        <v>0</v>
      </c>
    </row>
    <row r="764" customFormat="false" ht="15" hidden="false" customHeight="false" outlineLevel="0" collapsed="false">
      <c r="A764" s="0" t="s">
        <v>14</v>
      </c>
      <c r="B764" s="0" t="s">
        <v>1358</v>
      </c>
      <c r="C764" s="0" t="s">
        <v>5066</v>
      </c>
      <c r="D764" s="0" t="n">
        <v>3</v>
      </c>
    </row>
    <row r="765" customFormat="false" ht="15" hidden="false" customHeight="false" outlineLevel="0" collapsed="false">
      <c r="A765" s="0" t="s">
        <v>14</v>
      </c>
      <c r="B765" s="0" t="s">
        <v>1358</v>
      </c>
      <c r="C765" s="0" t="s">
        <v>5072</v>
      </c>
      <c r="D765" s="0" t="n">
        <v>1.5</v>
      </c>
    </row>
    <row r="766" customFormat="false" ht="15" hidden="false" customHeight="false" outlineLevel="0" collapsed="false">
      <c r="A766" s="0" t="s">
        <v>14</v>
      </c>
      <c r="B766" s="0" t="s">
        <v>1358</v>
      </c>
      <c r="C766" s="0" t="s">
        <v>5073</v>
      </c>
      <c r="D766" s="0" t="n">
        <v>5</v>
      </c>
    </row>
    <row r="767" customFormat="false" ht="15" hidden="false" customHeight="false" outlineLevel="0" collapsed="false">
      <c r="A767" s="0" t="s">
        <v>14</v>
      </c>
      <c r="B767" s="0" t="s">
        <v>1359</v>
      </c>
      <c r="C767" s="0" t="s">
        <v>5066</v>
      </c>
      <c r="D767" s="0" t="n">
        <v>4</v>
      </c>
    </row>
    <row r="768" customFormat="false" ht="15" hidden="false" customHeight="false" outlineLevel="0" collapsed="false">
      <c r="A768" s="0" t="s">
        <v>14</v>
      </c>
      <c r="B768" s="0" t="s">
        <v>1359</v>
      </c>
      <c r="C768" s="0" t="s">
        <v>5072</v>
      </c>
      <c r="D768" s="0" t="n">
        <v>2</v>
      </c>
    </row>
    <row r="769" customFormat="false" ht="15" hidden="false" customHeight="false" outlineLevel="0" collapsed="false">
      <c r="A769" s="0" t="s">
        <v>14</v>
      </c>
      <c r="B769" s="0" t="s">
        <v>1359</v>
      </c>
      <c r="C769" s="0" t="s">
        <v>5073</v>
      </c>
      <c r="D769" s="0" t="n">
        <v>6</v>
      </c>
    </row>
    <row r="770" customFormat="false" ht="15" hidden="false" customHeight="false" outlineLevel="0" collapsed="false">
      <c r="A770" s="0" t="s">
        <v>14</v>
      </c>
      <c r="B770" s="0" t="s">
        <v>1360</v>
      </c>
      <c r="C770" s="0" t="s">
        <v>5066</v>
      </c>
      <c r="D770" s="0" t="n">
        <v>4.5</v>
      </c>
    </row>
    <row r="771" customFormat="false" ht="15" hidden="false" customHeight="false" outlineLevel="0" collapsed="false">
      <c r="A771" s="0" t="s">
        <v>14</v>
      </c>
      <c r="B771" s="0" t="s">
        <v>1360</v>
      </c>
      <c r="C771" s="0" t="s">
        <v>5072</v>
      </c>
      <c r="D771" s="0" t="n">
        <v>2.5</v>
      </c>
    </row>
    <row r="772" customFormat="false" ht="15" hidden="false" customHeight="false" outlineLevel="0" collapsed="false">
      <c r="A772" s="0" t="s">
        <v>14</v>
      </c>
      <c r="B772" s="0" t="s">
        <v>1360</v>
      </c>
      <c r="C772" s="0" t="s">
        <v>5073</v>
      </c>
      <c r="D772" s="0" t="n">
        <v>7.5</v>
      </c>
    </row>
    <row r="773" customFormat="false" ht="15" hidden="false" customHeight="false" outlineLevel="0" collapsed="false">
      <c r="A773" s="0" t="s">
        <v>14</v>
      </c>
      <c r="B773" s="0" t="s">
        <v>1361</v>
      </c>
      <c r="C773" s="0" t="s">
        <v>5066</v>
      </c>
      <c r="D773" s="0" t="n">
        <v>5</v>
      </c>
    </row>
    <row r="774" customFormat="false" ht="15" hidden="false" customHeight="false" outlineLevel="0" collapsed="false">
      <c r="A774" s="0" t="s">
        <v>14</v>
      </c>
      <c r="B774" s="0" t="s">
        <v>1361</v>
      </c>
      <c r="C774" s="0" t="s">
        <v>5072</v>
      </c>
      <c r="D774" s="0" t="n">
        <v>3</v>
      </c>
    </row>
    <row r="775" customFormat="false" ht="15" hidden="false" customHeight="false" outlineLevel="0" collapsed="false">
      <c r="A775" s="0" t="s">
        <v>14</v>
      </c>
      <c r="B775" s="0" t="s">
        <v>1361</v>
      </c>
      <c r="C775" s="0" t="s">
        <v>5073</v>
      </c>
      <c r="D775" s="0" t="n">
        <v>9</v>
      </c>
    </row>
    <row r="776" customFormat="false" ht="15" hidden="false" customHeight="false" outlineLevel="0" collapsed="false">
      <c r="A776" s="0" t="s">
        <v>14</v>
      </c>
      <c r="B776" s="0" t="s">
        <v>1362</v>
      </c>
      <c r="C776" s="0" t="s">
        <v>5066</v>
      </c>
      <c r="D776" s="0" t="n">
        <v>5.5</v>
      </c>
    </row>
    <row r="777" customFormat="false" ht="15" hidden="false" customHeight="false" outlineLevel="0" collapsed="false">
      <c r="A777" s="0" t="s">
        <v>14</v>
      </c>
      <c r="B777" s="0" t="s">
        <v>1362</v>
      </c>
      <c r="C777" s="0" t="s">
        <v>5072</v>
      </c>
      <c r="D777" s="0" t="n">
        <v>3.5</v>
      </c>
    </row>
    <row r="778" customFormat="false" ht="15" hidden="false" customHeight="false" outlineLevel="0" collapsed="false">
      <c r="A778" s="0" t="s">
        <v>14</v>
      </c>
      <c r="B778" s="0" t="s">
        <v>1362</v>
      </c>
      <c r="C778" s="0" t="s">
        <v>5073</v>
      </c>
      <c r="D778" s="0" t="n">
        <v>11</v>
      </c>
    </row>
    <row r="779" customFormat="false" ht="15" hidden="false" customHeight="false" outlineLevel="0" collapsed="false">
      <c r="A779" s="0" t="s">
        <v>14</v>
      </c>
      <c r="B779" s="0" t="s">
        <v>1363</v>
      </c>
      <c r="C779" s="0" t="s">
        <v>5066</v>
      </c>
      <c r="D779" s="0" t="n">
        <v>0</v>
      </c>
    </row>
    <row r="780" customFormat="false" ht="15" hidden="false" customHeight="false" outlineLevel="0" collapsed="false">
      <c r="A780" s="0" t="s">
        <v>14</v>
      </c>
      <c r="B780" s="0" t="s">
        <v>1363</v>
      </c>
      <c r="C780" s="0" t="s">
        <v>5072</v>
      </c>
    </row>
    <row r="781" customFormat="false" ht="15" hidden="false" customHeight="false" outlineLevel="0" collapsed="false">
      <c r="A781" s="0" t="s">
        <v>14</v>
      </c>
      <c r="B781" s="0" t="s">
        <v>1363</v>
      </c>
      <c r="C781" s="0" t="s">
        <v>5073</v>
      </c>
    </row>
    <row r="782" customFormat="false" ht="15" hidden="false" customHeight="false" outlineLevel="0" collapsed="false">
      <c r="A782" s="0" t="s">
        <v>14</v>
      </c>
      <c r="B782" s="0" t="s">
        <v>1367</v>
      </c>
      <c r="C782" s="0" t="s">
        <v>5066</v>
      </c>
      <c r="D782" s="0" t="n">
        <v>-0.35</v>
      </c>
    </row>
    <row r="783" customFormat="false" ht="15" hidden="false" customHeight="false" outlineLevel="0" collapsed="false">
      <c r="A783" s="0" t="s">
        <v>14</v>
      </c>
      <c r="B783" s="0" t="s">
        <v>1367</v>
      </c>
      <c r="C783" s="0" t="s">
        <v>5072</v>
      </c>
    </row>
    <row r="784" customFormat="false" ht="15" hidden="false" customHeight="false" outlineLevel="0" collapsed="false">
      <c r="A784" s="0" t="s">
        <v>14</v>
      </c>
      <c r="B784" s="0" t="s">
        <v>1367</v>
      </c>
      <c r="C784" s="0" t="s">
        <v>5073</v>
      </c>
    </row>
    <row r="785" customFormat="false" ht="15" hidden="false" customHeight="false" outlineLevel="0" collapsed="false">
      <c r="A785" s="0" t="s">
        <v>14</v>
      </c>
      <c r="B785" s="0" t="s">
        <v>1371</v>
      </c>
      <c r="C785" s="0" t="s">
        <v>5066</v>
      </c>
      <c r="D785" s="0" t="n">
        <v>-0.15</v>
      </c>
    </row>
    <row r="786" customFormat="false" ht="15" hidden="false" customHeight="false" outlineLevel="0" collapsed="false">
      <c r="A786" s="0" t="s">
        <v>14</v>
      </c>
      <c r="B786" s="0" t="s">
        <v>1371</v>
      </c>
      <c r="C786" s="0" t="s">
        <v>5072</v>
      </c>
    </row>
    <row r="787" customFormat="false" ht="15" hidden="false" customHeight="false" outlineLevel="0" collapsed="false">
      <c r="A787" s="0" t="s">
        <v>14</v>
      </c>
      <c r="B787" s="0" t="s">
        <v>1371</v>
      </c>
      <c r="C787" s="0" t="s">
        <v>5073</v>
      </c>
    </row>
    <row r="788" customFormat="false" ht="15" hidden="false" customHeight="false" outlineLevel="0" collapsed="false">
      <c r="A788" s="0" t="s">
        <v>14</v>
      </c>
      <c r="B788" s="0" t="s">
        <v>1374</v>
      </c>
      <c r="C788" s="0" t="s">
        <v>5066</v>
      </c>
      <c r="D788" s="0" t="n">
        <v>0.25</v>
      </c>
    </row>
    <row r="789" customFormat="false" ht="15" hidden="false" customHeight="false" outlineLevel="0" collapsed="false">
      <c r="A789" s="0" t="s">
        <v>14</v>
      </c>
      <c r="B789" s="0" t="s">
        <v>1374</v>
      </c>
      <c r="C789" s="0" t="s">
        <v>5072</v>
      </c>
    </row>
    <row r="790" customFormat="false" ht="15" hidden="false" customHeight="false" outlineLevel="0" collapsed="false">
      <c r="A790" s="0" t="s">
        <v>14</v>
      </c>
      <c r="B790" s="0" t="s">
        <v>1374</v>
      </c>
      <c r="C790" s="0" t="s">
        <v>5073</v>
      </c>
    </row>
    <row r="791" customFormat="false" ht="15" hidden="false" customHeight="false" outlineLevel="0" collapsed="false">
      <c r="A791" s="0" t="s">
        <v>14</v>
      </c>
      <c r="B791" s="0" t="s">
        <v>1377</v>
      </c>
      <c r="C791" s="0" t="s">
        <v>5066</v>
      </c>
      <c r="D791" s="0" t="n">
        <v>-0.45</v>
      </c>
    </row>
    <row r="792" customFormat="false" ht="15" hidden="false" customHeight="false" outlineLevel="0" collapsed="false">
      <c r="A792" s="0" t="s">
        <v>14</v>
      </c>
      <c r="B792" s="0" t="s">
        <v>1377</v>
      </c>
      <c r="C792" s="0" t="s">
        <v>5072</v>
      </c>
    </row>
    <row r="793" customFormat="false" ht="15" hidden="false" customHeight="false" outlineLevel="0" collapsed="false">
      <c r="A793" s="0" t="s">
        <v>14</v>
      </c>
      <c r="B793" s="0" t="s">
        <v>1377</v>
      </c>
      <c r="C793" s="0" t="s">
        <v>5073</v>
      </c>
    </row>
    <row r="794" customFormat="false" ht="15" hidden="false" customHeight="false" outlineLevel="0" collapsed="false">
      <c r="A794" s="0" t="s">
        <v>14</v>
      </c>
      <c r="B794" s="0" t="s">
        <v>1380</v>
      </c>
      <c r="C794" s="0" t="s">
        <v>5066</v>
      </c>
      <c r="D794" s="0" t="n">
        <v>-0.6</v>
      </c>
    </row>
    <row r="795" customFormat="false" ht="15" hidden="false" customHeight="false" outlineLevel="0" collapsed="false">
      <c r="A795" s="0" t="s">
        <v>14</v>
      </c>
      <c r="B795" s="0" t="s">
        <v>1380</v>
      </c>
      <c r="C795" s="0" t="s">
        <v>5072</v>
      </c>
    </row>
    <row r="796" customFormat="false" ht="15" hidden="false" customHeight="false" outlineLevel="0" collapsed="false">
      <c r="A796" s="0" t="s">
        <v>14</v>
      </c>
      <c r="B796" s="0" t="s">
        <v>1380</v>
      </c>
      <c r="C796" s="0" t="s">
        <v>5073</v>
      </c>
    </row>
    <row r="797" customFormat="false" ht="15" hidden="false" customHeight="false" outlineLevel="0" collapsed="false">
      <c r="A797" s="0" t="s">
        <v>14</v>
      </c>
      <c r="B797" s="0" t="s">
        <v>1383</v>
      </c>
      <c r="C797" s="0" t="s">
        <v>5066</v>
      </c>
      <c r="D797" s="0" t="n">
        <v>-0.6</v>
      </c>
    </row>
    <row r="798" customFormat="false" ht="15" hidden="false" customHeight="false" outlineLevel="0" collapsed="false">
      <c r="A798" s="0" t="s">
        <v>14</v>
      </c>
      <c r="B798" s="0" t="s">
        <v>1383</v>
      </c>
      <c r="C798" s="0" t="s">
        <v>5072</v>
      </c>
    </row>
    <row r="799" customFormat="false" ht="15" hidden="false" customHeight="false" outlineLevel="0" collapsed="false">
      <c r="A799" s="0" t="s">
        <v>14</v>
      </c>
      <c r="B799" s="0" t="s">
        <v>1383</v>
      </c>
      <c r="C799" s="0" t="s">
        <v>5073</v>
      </c>
    </row>
    <row r="800" customFormat="false" ht="15" hidden="false" customHeight="false" outlineLevel="0" collapsed="false">
      <c r="A800" s="0" t="s">
        <v>14</v>
      </c>
      <c r="B800" s="0" t="s">
        <v>1386</v>
      </c>
      <c r="C800" s="0" t="s">
        <v>5066</v>
      </c>
      <c r="D800" s="0" t="n">
        <v>-0.7</v>
      </c>
    </row>
    <row r="801" customFormat="false" ht="15" hidden="false" customHeight="false" outlineLevel="0" collapsed="false">
      <c r="A801" s="0" t="s">
        <v>14</v>
      </c>
      <c r="B801" s="0" t="s">
        <v>1386</v>
      </c>
      <c r="C801" s="0" t="s">
        <v>5072</v>
      </c>
    </row>
    <row r="802" customFormat="false" ht="15" hidden="false" customHeight="false" outlineLevel="0" collapsed="false">
      <c r="A802" s="0" t="s">
        <v>14</v>
      </c>
      <c r="B802" s="0" t="s">
        <v>1386</v>
      </c>
      <c r="C802" s="0" t="s">
        <v>5073</v>
      </c>
    </row>
    <row r="803" customFormat="false" ht="15" hidden="false" customHeight="false" outlineLevel="0" collapsed="false">
      <c r="A803" s="0" t="s">
        <v>14</v>
      </c>
      <c r="B803" s="0" t="s">
        <v>1389</v>
      </c>
      <c r="C803" s="0" t="s">
        <v>5066</v>
      </c>
      <c r="D803" s="0" t="n">
        <v>-0.3</v>
      </c>
    </row>
    <row r="804" customFormat="false" ht="15" hidden="false" customHeight="false" outlineLevel="0" collapsed="false">
      <c r="A804" s="0" t="s">
        <v>14</v>
      </c>
      <c r="B804" s="0" t="s">
        <v>1389</v>
      </c>
      <c r="C804" s="0" t="s">
        <v>5072</v>
      </c>
    </row>
    <row r="805" customFormat="false" ht="15" hidden="false" customHeight="false" outlineLevel="0" collapsed="false">
      <c r="A805" s="0" t="s">
        <v>14</v>
      </c>
      <c r="B805" s="0" t="s">
        <v>1389</v>
      </c>
      <c r="C805" s="0" t="s">
        <v>5073</v>
      </c>
    </row>
    <row r="806" customFormat="false" ht="15" hidden="false" customHeight="false" outlineLevel="0" collapsed="false">
      <c r="A806" s="0" t="s">
        <v>14</v>
      </c>
      <c r="B806" s="0" t="s">
        <v>1392</v>
      </c>
      <c r="C806" s="0" t="s">
        <v>5066</v>
      </c>
      <c r="D806" s="0" t="n">
        <v>0.15</v>
      </c>
    </row>
    <row r="807" customFormat="false" ht="15" hidden="false" customHeight="false" outlineLevel="0" collapsed="false">
      <c r="A807" s="0" t="s">
        <v>14</v>
      </c>
      <c r="B807" s="0" t="s">
        <v>1392</v>
      </c>
      <c r="C807" s="0" t="s">
        <v>5072</v>
      </c>
    </row>
    <row r="808" customFormat="false" ht="15" hidden="false" customHeight="false" outlineLevel="0" collapsed="false">
      <c r="A808" s="0" t="s">
        <v>14</v>
      </c>
      <c r="B808" s="0" t="s">
        <v>1392</v>
      </c>
      <c r="C808" s="0" t="s">
        <v>5073</v>
      </c>
    </row>
    <row r="809" customFormat="false" ht="15" hidden="false" customHeight="false" outlineLevel="0" collapsed="false">
      <c r="A809" s="0" t="s">
        <v>14</v>
      </c>
      <c r="B809" s="0" t="s">
        <v>1395</v>
      </c>
      <c r="C809" s="0" t="s">
        <v>5066</v>
      </c>
      <c r="D809" s="0" t="n">
        <v>-0.3</v>
      </c>
    </row>
    <row r="810" customFormat="false" ht="15" hidden="false" customHeight="false" outlineLevel="0" collapsed="false">
      <c r="A810" s="0" t="s">
        <v>14</v>
      </c>
      <c r="B810" s="0" t="s">
        <v>1395</v>
      </c>
      <c r="C810" s="0" t="s">
        <v>5072</v>
      </c>
    </row>
    <row r="811" customFormat="false" ht="15" hidden="false" customHeight="false" outlineLevel="0" collapsed="false">
      <c r="A811" s="0" t="s">
        <v>14</v>
      </c>
      <c r="B811" s="0" t="s">
        <v>1395</v>
      </c>
      <c r="C811" s="0" t="s">
        <v>5073</v>
      </c>
    </row>
    <row r="812" customFormat="false" ht="15" hidden="false" customHeight="false" outlineLevel="0" collapsed="false">
      <c r="A812" s="0" t="s">
        <v>14</v>
      </c>
      <c r="B812" s="0" t="s">
        <v>1398</v>
      </c>
      <c r="C812" s="0" t="s">
        <v>5066</v>
      </c>
      <c r="D812" s="0" t="n">
        <v>-0.4</v>
      </c>
    </row>
    <row r="813" customFormat="false" ht="15" hidden="false" customHeight="false" outlineLevel="0" collapsed="false">
      <c r="A813" s="0" t="s">
        <v>14</v>
      </c>
      <c r="B813" s="0" t="s">
        <v>1398</v>
      </c>
      <c r="C813" s="0" t="s">
        <v>5072</v>
      </c>
    </row>
    <row r="814" customFormat="false" ht="15" hidden="false" customHeight="false" outlineLevel="0" collapsed="false">
      <c r="A814" s="0" t="s">
        <v>14</v>
      </c>
      <c r="B814" s="0" t="s">
        <v>1398</v>
      </c>
      <c r="C814" s="0" t="s">
        <v>5073</v>
      </c>
    </row>
    <row r="815" customFormat="false" ht="15" hidden="false" customHeight="false" outlineLevel="0" collapsed="false">
      <c r="A815" s="0" t="s">
        <v>14</v>
      </c>
      <c r="B815" s="0" t="s">
        <v>1401</v>
      </c>
      <c r="C815" s="0" t="s">
        <v>5066</v>
      </c>
      <c r="D815" s="0" t="n">
        <v>-0.4</v>
      </c>
    </row>
    <row r="816" customFormat="false" ht="15" hidden="false" customHeight="false" outlineLevel="0" collapsed="false">
      <c r="A816" s="0" t="s">
        <v>14</v>
      </c>
      <c r="B816" s="0" t="s">
        <v>1401</v>
      </c>
      <c r="C816" s="0" t="s">
        <v>5072</v>
      </c>
    </row>
    <row r="817" customFormat="false" ht="15" hidden="false" customHeight="false" outlineLevel="0" collapsed="false">
      <c r="A817" s="0" t="s">
        <v>14</v>
      </c>
      <c r="B817" s="0" t="s">
        <v>1401</v>
      </c>
      <c r="C817" s="0" t="s">
        <v>5073</v>
      </c>
    </row>
    <row r="818" customFormat="false" ht="15" hidden="false" customHeight="false" outlineLevel="0" collapsed="false">
      <c r="A818" s="0" t="s">
        <v>14</v>
      </c>
      <c r="B818" s="0" t="s">
        <v>1404</v>
      </c>
      <c r="C818" s="0" t="s">
        <v>5066</v>
      </c>
      <c r="D818" s="0" t="n">
        <v>-1.05</v>
      </c>
    </row>
    <row r="819" customFormat="false" ht="15" hidden="false" customHeight="false" outlineLevel="0" collapsed="false">
      <c r="A819" s="0" t="s">
        <v>14</v>
      </c>
      <c r="B819" s="0" t="s">
        <v>1404</v>
      </c>
      <c r="C819" s="0" t="s">
        <v>5072</v>
      </c>
    </row>
    <row r="820" customFormat="false" ht="15" hidden="false" customHeight="false" outlineLevel="0" collapsed="false">
      <c r="A820" s="0" t="s">
        <v>14</v>
      </c>
      <c r="B820" s="0" t="s">
        <v>1404</v>
      </c>
      <c r="C820" s="0" t="s">
        <v>5073</v>
      </c>
    </row>
    <row r="821" customFormat="false" ht="15" hidden="false" customHeight="false" outlineLevel="0" collapsed="false">
      <c r="A821" s="0" t="s">
        <v>14</v>
      </c>
      <c r="B821" s="0" t="s">
        <v>1407</v>
      </c>
      <c r="C821" s="0" t="s">
        <v>5066</v>
      </c>
      <c r="D821" s="0" t="n">
        <v>-0.45</v>
      </c>
    </row>
    <row r="822" customFormat="false" ht="15" hidden="false" customHeight="false" outlineLevel="0" collapsed="false">
      <c r="A822" s="0" t="s">
        <v>14</v>
      </c>
      <c r="B822" s="0" t="s">
        <v>1407</v>
      </c>
      <c r="C822" s="0" t="s">
        <v>5072</v>
      </c>
    </row>
    <row r="823" customFormat="false" ht="15" hidden="false" customHeight="false" outlineLevel="0" collapsed="false">
      <c r="A823" s="0" t="s">
        <v>14</v>
      </c>
      <c r="B823" s="0" t="s">
        <v>1407</v>
      </c>
      <c r="C823" s="0" t="s">
        <v>5073</v>
      </c>
    </row>
    <row r="824" customFormat="false" ht="15" hidden="false" customHeight="false" outlineLevel="0" collapsed="false">
      <c r="A824" s="0" t="s">
        <v>14</v>
      </c>
      <c r="B824" s="0" t="s">
        <v>1410</v>
      </c>
      <c r="C824" s="0" t="s">
        <v>5066</v>
      </c>
      <c r="D824" s="0" t="n">
        <v>0.1</v>
      </c>
    </row>
    <row r="825" customFormat="false" ht="15" hidden="false" customHeight="false" outlineLevel="0" collapsed="false">
      <c r="A825" s="0" t="s">
        <v>14</v>
      </c>
      <c r="B825" s="0" t="s">
        <v>1410</v>
      </c>
      <c r="C825" s="0" t="s">
        <v>5072</v>
      </c>
    </row>
    <row r="826" customFormat="false" ht="15" hidden="false" customHeight="false" outlineLevel="0" collapsed="false">
      <c r="A826" s="0" t="s">
        <v>14</v>
      </c>
      <c r="B826" s="0" t="s">
        <v>1410</v>
      </c>
      <c r="C826" s="0" t="s">
        <v>5073</v>
      </c>
    </row>
    <row r="827" customFormat="false" ht="15" hidden="false" customHeight="false" outlineLevel="0" collapsed="false">
      <c r="A827" s="0" t="s">
        <v>14</v>
      </c>
      <c r="B827" s="0" t="s">
        <v>1413</v>
      </c>
      <c r="C827" s="0" t="s">
        <v>5066</v>
      </c>
      <c r="D827" s="0" t="n">
        <v>-0.3</v>
      </c>
    </row>
    <row r="828" customFormat="false" ht="15" hidden="false" customHeight="false" outlineLevel="0" collapsed="false">
      <c r="A828" s="0" t="s">
        <v>14</v>
      </c>
      <c r="B828" s="0" t="s">
        <v>1413</v>
      </c>
      <c r="C828" s="0" t="s">
        <v>5072</v>
      </c>
    </row>
    <row r="829" customFormat="false" ht="15" hidden="false" customHeight="false" outlineLevel="0" collapsed="false">
      <c r="A829" s="0" t="s">
        <v>14</v>
      </c>
      <c r="B829" s="0" t="s">
        <v>1413</v>
      </c>
      <c r="C829" s="0" t="s">
        <v>5073</v>
      </c>
    </row>
    <row r="830" customFormat="false" ht="15" hidden="false" customHeight="false" outlineLevel="0" collapsed="false">
      <c r="A830" s="0" t="s">
        <v>14</v>
      </c>
      <c r="B830" s="0" t="s">
        <v>1416</v>
      </c>
      <c r="C830" s="0" t="s">
        <v>5066</v>
      </c>
      <c r="D830" s="0" t="n">
        <v>-0.4</v>
      </c>
    </row>
    <row r="831" customFormat="false" ht="15" hidden="false" customHeight="false" outlineLevel="0" collapsed="false">
      <c r="A831" s="0" t="s">
        <v>14</v>
      </c>
      <c r="B831" s="0" t="s">
        <v>1416</v>
      </c>
      <c r="C831" s="0" t="s">
        <v>5072</v>
      </c>
    </row>
    <row r="832" customFormat="false" ht="15" hidden="false" customHeight="false" outlineLevel="0" collapsed="false">
      <c r="A832" s="0" t="s">
        <v>14</v>
      </c>
      <c r="B832" s="0" t="s">
        <v>1416</v>
      </c>
      <c r="C832" s="0" t="s">
        <v>5073</v>
      </c>
    </row>
    <row r="833" customFormat="false" ht="15" hidden="false" customHeight="false" outlineLevel="0" collapsed="false">
      <c r="A833" s="0" t="s">
        <v>14</v>
      </c>
      <c r="B833" s="0" t="s">
        <v>1419</v>
      </c>
      <c r="C833" s="0" t="s">
        <v>5066</v>
      </c>
      <c r="D833" s="0" t="n">
        <v>-0.4</v>
      </c>
    </row>
    <row r="834" customFormat="false" ht="15" hidden="false" customHeight="false" outlineLevel="0" collapsed="false">
      <c r="A834" s="0" t="s">
        <v>14</v>
      </c>
      <c r="B834" s="0" t="s">
        <v>1419</v>
      </c>
      <c r="C834" s="0" t="s">
        <v>5072</v>
      </c>
    </row>
    <row r="835" customFormat="false" ht="15" hidden="false" customHeight="false" outlineLevel="0" collapsed="false">
      <c r="A835" s="0" t="s">
        <v>14</v>
      </c>
      <c r="B835" s="0" t="s">
        <v>1419</v>
      </c>
      <c r="C835" s="0" t="s">
        <v>5073</v>
      </c>
    </row>
    <row r="836" customFormat="false" ht="15" hidden="false" customHeight="false" outlineLevel="0" collapsed="false">
      <c r="A836" s="0" t="s">
        <v>14</v>
      </c>
      <c r="B836" s="0" t="s">
        <v>1422</v>
      </c>
      <c r="C836" s="0" t="s">
        <v>5066</v>
      </c>
      <c r="D836" s="0" t="n">
        <v>0.9</v>
      </c>
    </row>
    <row r="837" customFormat="false" ht="15" hidden="false" customHeight="false" outlineLevel="0" collapsed="false">
      <c r="A837" s="0" t="s">
        <v>14</v>
      </c>
      <c r="B837" s="0" t="s">
        <v>1422</v>
      </c>
      <c r="C837" s="0" t="s">
        <v>5072</v>
      </c>
    </row>
    <row r="838" customFormat="false" ht="15" hidden="false" customHeight="false" outlineLevel="0" collapsed="false">
      <c r="A838" s="0" t="s">
        <v>14</v>
      </c>
      <c r="B838" s="0" t="s">
        <v>1422</v>
      </c>
      <c r="C838" s="0" t="s">
        <v>5073</v>
      </c>
    </row>
    <row r="839" customFormat="false" ht="15" hidden="false" customHeight="false" outlineLevel="0" collapsed="false">
      <c r="A839" s="0" t="s">
        <v>14</v>
      </c>
      <c r="B839" s="0" t="s">
        <v>1427</v>
      </c>
      <c r="C839" s="0" t="s">
        <v>5066</v>
      </c>
      <c r="D839" s="0" t="n">
        <v>0.1</v>
      </c>
    </row>
    <row r="840" customFormat="false" ht="15" hidden="false" customHeight="false" outlineLevel="0" collapsed="false">
      <c r="A840" s="0" t="s">
        <v>14</v>
      </c>
      <c r="B840" s="0" t="s">
        <v>1427</v>
      </c>
      <c r="C840" s="0" t="s">
        <v>5072</v>
      </c>
    </row>
    <row r="841" customFormat="false" ht="15" hidden="false" customHeight="false" outlineLevel="0" collapsed="false">
      <c r="A841" s="0" t="s">
        <v>14</v>
      </c>
      <c r="B841" s="0" t="s">
        <v>1427</v>
      </c>
      <c r="C841" s="0" t="s">
        <v>5073</v>
      </c>
    </row>
    <row r="842" customFormat="false" ht="15" hidden="false" customHeight="false" outlineLevel="0" collapsed="false">
      <c r="A842" s="0" t="s">
        <v>14</v>
      </c>
      <c r="B842" s="0" t="s">
        <v>1429</v>
      </c>
      <c r="C842" s="0" t="s">
        <v>5066</v>
      </c>
      <c r="D842" s="0" t="n">
        <v>0</v>
      </c>
    </row>
    <row r="843" customFormat="false" ht="15" hidden="false" customHeight="false" outlineLevel="0" collapsed="false">
      <c r="A843" s="0" t="s">
        <v>14</v>
      </c>
      <c r="B843" s="0" t="s">
        <v>1429</v>
      </c>
      <c r="C843" s="0" t="s">
        <v>5072</v>
      </c>
    </row>
    <row r="844" customFormat="false" ht="15" hidden="false" customHeight="false" outlineLevel="0" collapsed="false">
      <c r="A844" s="0" t="s">
        <v>14</v>
      </c>
      <c r="B844" s="0" t="s">
        <v>1429</v>
      </c>
      <c r="C844" s="0" t="s">
        <v>5073</v>
      </c>
    </row>
    <row r="845" customFormat="false" ht="15" hidden="false" customHeight="false" outlineLevel="0" collapsed="false">
      <c r="A845" s="0" t="s">
        <v>14</v>
      </c>
      <c r="B845" s="0" t="s">
        <v>1431</v>
      </c>
      <c r="C845" s="0" t="s">
        <v>5066</v>
      </c>
      <c r="D845" s="0" t="n">
        <v>0.25</v>
      </c>
    </row>
    <row r="846" customFormat="false" ht="15" hidden="false" customHeight="false" outlineLevel="0" collapsed="false">
      <c r="A846" s="0" t="s">
        <v>14</v>
      </c>
      <c r="B846" s="0" t="s">
        <v>1431</v>
      </c>
      <c r="C846" s="0" t="s">
        <v>5072</v>
      </c>
    </row>
    <row r="847" customFormat="false" ht="15" hidden="false" customHeight="false" outlineLevel="0" collapsed="false">
      <c r="A847" s="0" t="s">
        <v>14</v>
      </c>
      <c r="B847" s="0" t="s">
        <v>1431</v>
      </c>
      <c r="C847" s="0" t="s">
        <v>5073</v>
      </c>
    </row>
    <row r="848" customFormat="false" ht="15" hidden="false" customHeight="false" outlineLevel="0" collapsed="false">
      <c r="A848" s="0" t="s">
        <v>14</v>
      </c>
      <c r="B848" s="0" t="s">
        <v>1433</v>
      </c>
      <c r="C848" s="0" t="s">
        <v>5066</v>
      </c>
      <c r="D848" s="0" t="n">
        <v>0.4</v>
      </c>
    </row>
    <row r="849" customFormat="false" ht="15" hidden="false" customHeight="false" outlineLevel="0" collapsed="false">
      <c r="A849" s="0" t="s">
        <v>14</v>
      </c>
      <c r="B849" s="0" t="s">
        <v>1433</v>
      </c>
      <c r="C849" s="0" t="s">
        <v>5072</v>
      </c>
    </row>
    <row r="850" customFormat="false" ht="15" hidden="false" customHeight="false" outlineLevel="0" collapsed="false">
      <c r="A850" s="0" t="s">
        <v>14</v>
      </c>
      <c r="B850" s="0" t="s">
        <v>1433</v>
      </c>
      <c r="C850" s="0" t="s">
        <v>5073</v>
      </c>
    </row>
    <row r="851" customFormat="false" ht="15" hidden="false" customHeight="false" outlineLevel="0" collapsed="false">
      <c r="A851" s="0" t="s">
        <v>14</v>
      </c>
      <c r="B851" s="0" t="s">
        <v>1435</v>
      </c>
      <c r="C851" s="0" t="s">
        <v>5066</v>
      </c>
      <c r="D851" s="0" t="n">
        <v>0.85</v>
      </c>
    </row>
    <row r="852" customFormat="false" ht="15" hidden="false" customHeight="false" outlineLevel="0" collapsed="false">
      <c r="A852" s="0" t="s">
        <v>14</v>
      </c>
      <c r="B852" s="0" t="s">
        <v>1435</v>
      </c>
      <c r="C852" s="0" t="s">
        <v>5072</v>
      </c>
    </row>
    <row r="853" customFormat="false" ht="15" hidden="false" customHeight="false" outlineLevel="0" collapsed="false">
      <c r="A853" s="0" t="s">
        <v>14</v>
      </c>
      <c r="B853" s="0" t="s">
        <v>1435</v>
      </c>
      <c r="C853" s="0" t="s">
        <v>5073</v>
      </c>
    </row>
    <row r="854" customFormat="false" ht="15" hidden="false" customHeight="false" outlineLevel="0" collapsed="false">
      <c r="A854" s="0" t="s">
        <v>14</v>
      </c>
      <c r="B854" s="0" t="s">
        <v>1438</v>
      </c>
      <c r="C854" s="0" t="s">
        <v>5066</v>
      </c>
      <c r="D854" s="0" t="n">
        <v>0.15</v>
      </c>
    </row>
    <row r="855" customFormat="false" ht="15" hidden="false" customHeight="false" outlineLevel="0" collapsed="false">
      <c r="A855" s="0" t="s">
        <v>14</v>
      </c>
      <c r="B855" s="0" t="s">
        <v>1438</v>
      </c>
      <c r="C855" s="0" t="s">
        <v>5072</v>
      </c>
    </row>
    <row r="856" customFormat="false" ht="15" hidden="false" customHeight="false" outlineLevel="0" collapsed="false">
      <c r="A856" s="0" t="s">
        <v>14</v>
      </c>
      <c r="B856" s="0" t="s">
        <v>1438</v>
      </c>
      <c r="C856" s="0" t="s">
        <v>5073</v>
      </c>
    </row>
    <row r="857" customFormat="false" ht="15" hidden="false" customHeight="false" outlineLevel="0" collapsed="false">
      <c r="A857" s="0" t="s">
        <v>14</v>
      </c>
      <c r="B857" s="0" t="s">
        <v>1439</v>
      </c>
      <c r="C857" s="0" t="s">
        <v>5066</v>
      </c>
      <c r="D857" s="0" t="n">
        <v>0</v>
      </c>
    </row>
    <row r="858" customFormat="false" ht="15" hidden="false" customHeight="false" outlineLevel="0" collapsed="false">
      <c r="A858" s="0" t="s">
        <v>14</v>
      </c>
      <c r="B858" s="0" t="s">
        <v>1439</v>
      </c>
      <c r="C858" s="0" t="s">
        <v>5072</v>
      </c>
    </row>
    <row r="859" customFormat="false" ht="15" hidden="false" customHeight="false" outlineLevel="0" collapsed="false">
      <c r="A859" s="0" t="s">
        <v>14</v>
      </c>
      <c r="B859" s="0" t="s">
        <v>1439</v>
      </c>
      <c r="C859" s="0" t="s">
        <v>5073</v>
      </c>
    </row>
    <row r="860" customFormat="false" ht="15" hidden="false" customHeight="false" outlineLevel="0" collapsed="false">
      <c r="A860" s="0" t="s">
        <v>14</v>
      </c>
      <c r="B860" s="0" t="s">
        <v>1440</v>
      </c>
      <c r="C860" s="0" t="s">
        <v>5066</v>
      </c>
      <c r="D860" s="0" t="n">
        <v>0.25</v>
      </c>
    </row>
    <row r="861" customFormat="false" ht="15" hidden="false" customHeight="false" outlineLevel="0" collapsed="false">
      <c r="A861" s="0" t="s">
        <v>14</v>
      </c>
      <c r="B861" s="0" t="s">
        <v>1440</v>
      </c>
      <c r="C861" s="0" t="s">
        <v>5072</v>
      </c>
    </row>
    <row r="862" customFormat="false" ht="15" hidden="false" customHeight="false" outlineLevel="0" collapsed="false">
      <c r="A862" s="0" t="s">
        <v>14</v>
      </c>
      <c r="B862" s="0" t="s">
        <v>1440</v>
      </c>
      <c r="C862" s="0" t="s">
        <v>5073</v>
      </c>
    </row>
    <row r="863" customFormat="false" ht="15" hidden="false" customHeight="false" outlineLevel="0" collapsed="false">
      <c r="A863" s="0" t="s">
        <v>14</v>
      </c>
      <c r="B863" s="0" t="s">
        <v>1441</v>
      </c>
      <c r="C863" s="0" t="s">
        <v>5066</v>
      </c>
      <c r="D863" s="0" t="n">
        <v>0.4</v>
      </c>
    </row>
    <row r="864" customFormat="false" ht="15" hidden="false" customHeight="false" outlineLevel="0" collapsed="false">
      <c r="A864" s="0" t="s">
        <v>14</v>
      </c>
      <c r="B864" s="0" t="s">
        <v>1441</v>
      </c>
      <c r="C864" s="0" t="s">
        <v>5072</v>
      </c>
    </row>
    <row r="865" customFormat="false" ht="15" hidden="false" customHeight="false" outlineLevel="0" collapsed="false">
      <c r="A865" s="0" t="s">
        <v>14</v>
      </c>
      <c r="B865" s="0" t="s">
        <v>1441</v>
      </c>
      <c r="C865" s="0" t="s">
        <v>5073</v>
      </c>
    </row>
    <row r="866" customFormat="false" ht="15" hidden="false" customHeight="false" outlineLevel="0" collapsed="false">
      <c r="A866" s="0" t="s">
        <v>14</v>
      </c>
      <c r="B866" s="0" t="s">
        <v>1442</v>
      </c>
      <c r="C866" s="0" t="s">
        <v>5066</v>
      </c>
      <c r="D866" s="0" t="n">
        <v>0.35</v>
      </c>
    </row>
    <row r="867" customFormat="false" ht="15" hidden="false" customHeight="false" outlineLevel="0" collapsed="false">
      <c r="A867" s="0" t="s">
        <v>14</v>
      </c>
      <c r="B867" s="0" t="s">
        <v>1442</v>
      </c>
      <c r="C867" s="0" t="s">
        <v>5072</v>
      </c>
    </row>
    <row r="868" customFormat="false" ht="15" hidden="false" customHeight="false" outlineLevel="0" collapsed="false">
      <c r="A868" s="0" t="s">
        <v>14</v>
      </c>
      <c r="B868" s="0" t="s">
        <v>1442</v>
      </c>
      <c r="C868" s="0" t="s">
        <v>5073</v>
      </c>
    </row>
    <row r="869" customFormat="false" ht="15" hidden="false" customHeight="false" outlineLevel="0" collapsed="false">
      <c r="A869" s="0" t="s">
        <v>14</v>
      </c>
      <c r="B869" s="0" t="s">
        <v>1445</v>
      </c>
      <c r="C869" s="0" t="s">
        <v>5066</v>
      </c>
      <c r="D869" s="0" t="n">
        <v>0.6</v>
      </c>
    </row>
    <row r="870" customFormat="false" ht="15" hidden="false" customHeight="false" outlineLevel="0" collapsed="false">
      <c r="A870" s="0" t="s">
        <v>14</v>
      </c>
      <c r="B870" s="0" t="s">
        <v>1445</v>
      </c>
      <c r="C870" s="0" t="s">
        <v>5072</v>
      </c>
    </row>
    <row r="871" customFormat="false" ht="15" hidden="false" customHeight="false" outlineLevel="0" collapsed="false">
      <c r="A871" s="0" t="s">
        <v>14</v>
      </c>
      <c r="B871" s="0" t="s">
        <v>1445</v>
      </c>
      <c r="C871" s="0" t="s">
        <v>5073</v>
      </c>
    </row>
    <row r="872" customFormat="false" ht="15" hidden="false" customHeight="false" outlineLevel="0" collapsed="false">
      <c r="A872" s="0" t="s">
        <v>14</v>
      </c>
      <c r="B872" s="0" t="s">
        <v>1446</v>
      </c>
      <c r="C872" s="0" t="s">
        <v>5066</v>
      </c>
      <c r="D872" s="0" t="n">
        <v>0.05</v>
      </c>
    </row>
    <row r="873" customFormat="false" ht="15" hidden="false" customHeight="false" outlineLevel="0" collapsed="false">
      <c r="A873" s="0" t="s">
        <v>14</v>
      </c>
      <c r="B873" s="0" t="s">
        <v>1446</v>
      </c>
      <c r="C873" s="0" t="s">
        <v>5072</v>
      </c>
    </row>
    <row r="874" customFormat="false" ht="15" hidden="false" customHeight="false" outlineLevel="0" collapsed="false">
      <c r="A874" s="0" t="s">
        <v>14</v>
      </c>
      <c r="B874" s="0" t="s">
        <v>1446</v>
      </c>
      <c r="C874" s="0" t="s">
        <v>5073</v>
      </c>
    </row>
    <row r="875" customFormat="false" ht="15" hidden="false" customHeight="false" outlineLevel="0" collapsed="false">
      <c r="A875" s="0" t="s">
        <v>14</v>
      </c>
      <c r="B875" s="0" t="s">
        <v>1447</v>
      </c>
      <c r="C875" s="0" t="s">
        <v>5066</v>
      </c>
      <c r="D875" s="0" t="n">
        <v>0.4</v>
      </c>
    </row>
    <row r="876" customFormat="false" ht="15" hidden="false" customHeight="false" outlineLevel="0" collapsed="false">
      <c r="A876" s="0" t="s">
        <v>14</v>
      </c>
      <c r="B876" s="0" t="s">
        <v>1447</v>
      </c>
      <c r="C876" s="0" t="s">
        <v>5072</v>
      </c>
    </row>
    <row r="877" customFormat="false" ht="15" hidden="false" customHeight="false" outlineLevel="0" collapsed="false">
      <c r="A877" s="0" t="s">
        <v>14</v>
      </c>
      <c r="B877" s="0" t="s">
        <v>1447</v>
      </c>
      <c r="C877" s="0" t="s">
        <v>5073</v>
      </c>
    </row>
    <row r="878" customFormat="false" ht="15" hidden="false" customHeight="false" outlineLevel="0" collapsed="false">
      <c r="A878" s="0" t="s">
        <v>14</v>
      </c>
      <c r="B878" s="0" t="s">
        <v>1448</v>
      </c>
      <c r="C878" s="0" t="s">
        <v>5066</v>
      </c>
      <c r="D878" s="0" t="n">
        <v>0.5</v>
      </c>
    </row>
    <row r="879" customFormat="false" ht="15" hidden="false" customHeight="false" outlineLevel="0" collapsed="false">
      <c r="A879" s="0" t="s">
        <v>14</v>
      </c>
      <c r="B879" s="0" t="s">
        <v>1448</v>
      </c>
      <c r="C879" s="0" t="s">
        <v>5072</v>
      </c>
    </row>
    <row r="880" customFormat="false" ht="15" hidden="false" customHeight="false" outlineLevel="0" collapsed="false">
      <c r="A880" s="0" t="s">
        <v>14</v>
      </c>
      <c r="B880" s="0" t="s">
        <v>1448</v>
      </c>
      <c r="C880" s="0" t="s">
        <v>5073</v>
      </c>
    </row>
    <row r="881" customFormat="false" ht="15" hidden="false" customHeight="false" outlineLevel="0" collapsed="false">
      <c r="A881" s="0" t="s">
        <v>14</v>
      </c>
      <c r="B881" s="0" t="s">
        <v>1449</v>
      </c>
      <c r="C881" s="0" t="s">
        <v>5066</v>
      </c>
      <c r="D881" s="0" t="n">
        <v>0.1</v>
      </c>
    </row>
    <row r="882" customFormat="false" ht="15" hidden="false" customHeight="false" outlineLevel="0" collapsed="false">
      <c r="A882" s="0" t="s">
        <v>14</v>
      </c>
      <c r="B882" s="0" t="s">
        <v>1449</v>
      </c>
      <c r="C882" s="0" t="s">
        <v>5072</v>
      </c>
    </row>
    <row r="883" customFormat="false" ht="15" hidden="false" customHeight="false" outlineLevel="0" collapsed="false">
      <c r="A883" s="0" t="s">
        <v>14</v>
      </c>
      <c r="B883" s="0" t="s">
        <v>1449</v>
      </c>
      <c r="C883" s="0" t="s">
        <v>5073</v>
      </c>
    </row>
    <row r="884" customFormat="false" ht="15" hidden="false" customHeight="false" outlineLevel="0" collapsed="false">
      <c r="A884" s="0" t="s">
        <v>14</v>
      </c>
      <c r="B884" s="0" t="s">
        <v>1452</v>
      </c>
      <c r="C884" s="0" t="s">
        <v>5066</v>
      </c>
      <c r="D884" s="0" t="n">
        <v>0.5</v>
      </c>
    </row>
    <row r="885" customFormat="false" ht="15" hidden="false" customHeight="false" outlineLevel="0" collapsed="false">
      <c r="A885" s="0" t="s">
        <v>14</v>
      </c>
      <c r="B885" s="0" t="s">
        <v>1452</v>
      </c>
      <c r="C885" s="0" t="s">
        <v>5072</v>
      </c>
    </row>
    <row r="886" customFormat="false" ht="15" hidden="false" customHeight="false" outlineLevel="0" collapsed="false">
      <c r="A886" s="0" t="s">
        <v>14</v>
      </c>
      <c r="B886" s="0" t="s">
        <v>1452</v>
      </c>
      <c r="C886" s="0" t="s">
        <v>5073</v>
      </c>
    </row>
    <row r="887" customFormat="false" ht="15" hidden="false" customHeight="false" outlineLevel="0" collapsed="false">
      <c r="A887" s="0" t="s">
        <v>14</v>
      </c>
      <c r="B887" s="0" t="s">
        <v>1453</v>
      </c>
      <c r="C887" s="0" t="s">
        <v>5066</v>
      </c>
      <c r="D887" s="0" t="n">
        <v>0.4</v>
      </c>
    </row>
    <row r="888" customFormat="false" ht="15" hidden="false" customHeight="false" outlineLevel="0" collapsed="false">
      <c r="A888" s="0" t="s">
        <v>14</v>
      </c>
      <c r="B888" s="0" t="s">
        <v>1453</v>
      </c>
      <c r="C888" s="0" t="s">
        <v>5072</v>
      </c>
    </row>
    <row r="889" customFormat="false" ht="15" hidden="false" customHeight="false" outlineLevel="0" collapsed="false">
      <c r="A889" s="0" t="s">
        <v>14</v>
      </c>
      <c r="B889" s="0" t="s">
        <v>1453</v>
      </c>
      <c r="C889" s="0" t="s">
        <v>5073</v>
      </c>
    </row>
    <row r="890" customFormat="false" ht="15" hidden="false" customHeight="false" outlineLevel="0" collapsed="false">
      <c r="A890" s="0" t="s">
        <v>14</v>
      </c>
      <c r="B890" s="0" t="s">
        <v>1454</v>
      </c>
      <c r="C890" s="0" t="s">
        <v>5066</v>
      </c>
      <c r="D890" s="0" t="n">
        <v>0.5</v>
      </c>
    </row>
    <row r="891" customFormat="false" ht="15" hidden="false" customHeight="false" outlineLevel="0" collapsed="false">
      <c r="A891" s="0" t="s">
        <v>14</v>
      </c>
      <c r="B891" s="0" t="s">
        <v>1454</v>
      </c>
      <c r="C891" s="0" t="s">
        <v>5072</v>
      </c>
    </row>
    <row r="892" customFormat="false" ht="15" hidden="false" customHeight="false" outlineLevel="0" collapsed="false">
      <c r="A892" s="0" t="s">
        <v>14</v>
      </c>
      <c r="B892" s="0" t="s">
        <v>1454</v>
      </c>
      <c r="C892" s="0" t="s">
        <v>5073</v>
      </c>
    </row>
    <row r="893" customFormat="false" ht="15" hidden="false" customHeight="false" outlineLevel="0" collapsed="false">
      <c r="A893" s="0" t="s">
        <v>14</v>
      </c>
      <c r="B893" s="0" t="s">
        <v>1455</v>
      </c>
      <c r="C893" s="0" t="s">
        <v>5066</v>
      </c>
      <c r="D893" s="0" t="n">
        <v>0.6</v>
      </c>
    </row>
    <row r="894" customFormat="false" ht="15" hidden="false" customHeight="false" outlineLevel="0" collapsed="false">
      <c r="A894" s="0" t="s">
        <v>14</v>
      </c>
      <c r="B894" s="0" t="s">
        <v>1455</v>
      </c>
      <c r="C894" s="0" t="s">
        <v>5072</v>
      </c>
    </row>
    <row r="895" customFormat="false" ht="15" hidden="false" customHeight="false" outlineLevel="0" collapsed="false">
      <c r="A895" s="0" t="s">
        <v>14</v>
      </c>
      <c r="B895" s="0" t="s">
        <v>1455</v>
      </c>
      <c r="C895" s="0" t="s">
        <v>5073</v>
      </c>
    </row>
    <row r="896" customFormat="false" ht="15" hidden="false" customHeight="false" outlineLevel="0" collapsed="false">
      <c r="A896" s="0" t="s">
        <v>14</v>
      </c>
      <c r="B896" s="0" t="s">
        <v>1456</v>
      </c>
      <c r="C896" s="0" t="s">
        <v>5066</v>
      </c>
      <c r="D896" s="0" t="n">
        <v>0.3</v>
      </c>
    </row>
    <row r="897" customFormat="false" ht="15" hidden="false" customHeight="false" outlineLevel="0" collapsed="false">
      <c r="A897" s="0" t="s">
        <v>14</v>
      </c>
      <c r="B897" s="0" t="s">
        <v>1456</v>
      </c>
      <c r="C897" s="0" t="s">
        <v>5072</v>
      </c>
    </row>
    <row r="898" customFormat="false" ht="15" hidden="false" customHeight="false" outlineLevel="0" collapsed="false">
      <c r="A898" s="0" t="s">
        <v>14</v>
      </c>
      <c r="B898" s="0" t="s">
        <v>1456</v>
      </c>
      <c r="C898" s="0" t="s">
        <v>5073</v>
      </c>
    </row>
    <row r="899" customFormat="false" ht="15" hidden="false" customHeight="false" outlineLevel="0" collapsed="false">
      <c r="A899" s="0" t="s">
        <v>14</v>
      </c>
      <c r="B899" s="0" t="s">
        <v>1459</v>
      </c>
      <c r="C899" s="0" t="s">
        <v>5066</v>
      </c>
      <c r="D899" s="0" t="n">
        <v>0.65</v>
      </c>
    </row>
    <row r="900" customFormat="false" ht="15" hidden="false" customHeight="false" outlineLevel="0" collapsed="false">
      <c r="A900" s="0" t="s">
        <v>14</v>
      </c>
      <c r="B900" s="0" t="s">
        <v>1459</v>
      </c>
      <c r="C900" s="0" t="s">
        <v>5072</v>
      </c>
    </row>
    <row r="901" customFormat="false" ht="15" hidden="false" customHeight="false" outlineLevel="0" collapsed="false">
      <c r="A901" s="0" t="s">
        <v>14</v>
      </c>
      <c r="B901" s="0" t="s">
        <v>1459</v>
      </c>
      <c r="C901" s="0" t="s">
        <v>5073</v>
      </c>
    </row>
    <row r="902" customFormat="false" ht="15" hidden="false" customHeight="false" outlineLevel="0" collapsed="false">
      <c r="A902" s="0" t="s">
        <v>14</v>
      </c>
      <c r="B902" s="0" t="s">
        <v>1460</v>
      </c>
      <c r="C902" s="0" t="s">
        <v>5066</v>
      </c>
      <c r="D902" s="0" t="n">
        <v>0.05</v>
      </c>
    </row>
    <row r="903" customFormat="false" ht="15" hidden="false" customHeight="false" outlineLevel="0" collapsed="false">
      <c r="A903" s="0" t="s">
        <v>14</v>
      </c>
      <c r="B903" s="0" t="s">
        <v>1460</v>
      </c>
      <c r="C903" s="0" t="s">
        <v>5072</v>
      </c>
    </row>
    <row r="904" customFormat="false" ht="15" hidden="false" customHeight="false" outlineLevel="0" collapsed="false">
      <c r="A904" s="0" t="s">
        <v>14</v>
      </c>
      <c r="B904" s="0" t="s">
        <v>1460</v>
      </c>
      <c r="C904" s="0" t="s">
        <v>5073</v>
      </c>
    </row>
    <row r="905" customFormat="false" ht="15" hidden="false" customHeight="false" outlineLevel="0" collapsed="false">
      <c r="A905" s="0" t="s">
        <v>14</v>
      </c>
      <c r="B905" s="0" t="s">
        <v>1461</v>
      </c>
      <c r="C905" s="0" t="s">
        <v>5066</v>
      </c>
      <c r="D905" s="0" t="n">
        <v>0.35</v>
      </c>
    </row>
    <row r="906" customFormat="false" ht="15" hidden="false" customHeight="false" outlineLevel="0" collapsed="false">
      <c r="A906" s="0" t="s">
        <v>14</v>
      </c>
      <c r="B906" s="0" t="s">
        <v>1461</v>
      </c>
      <c r="C906" s="0" t="s">
        <v>5072</v>
      </c>
    </row>
    <row r="907" customFormat="false" ht="15" hidden="false" customHeight="false" outlineLevel="0" collapsed="false">
      <c r="A907" s="0" t="s">
        <v>14</v>
      </c>
      <c r="B907" s="0" t="s">
        <v>1461</v>
      </c>
      <c r="C907" s="0" t="s">
        <v>5073</v>
      </c>
    </row>
    <row r="908" customFormat="false" ht="15" hidden="false" customHeight="false" outlineLevel="0" collapsed="false">
      <c r="A908" s="0" t="s">
        <v>14</v>
      </c>
      <c r="B908" s="0" t="s">
        <v>1462</v>
      </c>
      <c r="C908" s="0" t="s">
        <v>5066</v>
      </c>
      <c r="D908" s="0" t="n">
        <v>0.55</v>
      </c>
    </row>
    <row r="909" customFormat="false" ht="15" hidden="false" customHeight="false" outlineLevel="0" collapsed="false">
      <c r="A909" s="0" t="s">
        <v>14</v>
      </c>
      <c r="B909" s="0" t="s">
        <v>1462</v>
      </c>
      <c r="C909" s="0" t="s">
        <v>5072</v>
      </c>
    </row>
    <row r="910" customFormat="false" ht="15" hidden="false" customHeight="false" outlineLevel="0" collapsed="false">
      <c r="A910" s="0" t="s">
        <v>14</v>
      </c>
      <c r="B910" s="0" t="s">
        <v>1462</v>
      </c>
      <c r="C910" s="0" t="s">
        <v>5073</v>
      </c>
    </row>
    <row r="911" customFormat="false" ht="15" hidden="false" customHeight="false" outlineLevel="0" collapsed="false">
      <c r="A911" s="0" t="s">
        <v>14</v>
      </c>
      <c r="B911" s="0" t="s">
        <v>1463</v>
      </c>
      <c r="C911" s="0" t="s">
        <v>5066</v>
      </c>
      <c r="D911" s="0" t="n">
        <v>0.5</v>
      </c>
    </row>
    <row r="912" customFormat="false" ht="15" hidden="false" customHeight="false" outlineLevel="0" collapsed="false">
      <c r="A912" s="0" t="s">
        <v>14</v>
      </c>
      <c r="B912" s="0" t="s">
        <v>1463</v>
      </c>
      <c r="C912" s="0" t="s">
        <v>5072</v>
      </c>
      <c r="D912" s="0" t="n">
        <v>0.3</v>
      </c>
    </row>
    <row r="913" customFormat="false" ht="15" hidden="false" customHeight="false" outlineLevel="0" collapsed="false">
      <c r="A913" s="0" t="s">
        <v>14</v>
      </c>
      <c r="B913" s="0" t="s">
        <v>1463</v>
      </c>
      <c r="C913" s="0" t="s">
        <v>5073</v>
      </c>
      <c r="D913" s="0" t="n">
        <v>0.65</v>
      </c>
    </row>
    <row r="914" customFormat="false" ht="15" hidden="false" customHeight="false" outlineLevel="0" collapsed="false">
      <c r="A914" s="0" t="s">
        <v>14</v>
      </c>
      <c r="B914" s="0" t="s">
        <v>1467</v>
      </c>
      <c r="C914" s="0" t="s">
        <v>5066</v>
      </c>
      <c r="D914" s="0" t="s">
        <v>1470</v>
      </c>
    </row>
    <row r="915" customFormat="false" ht="15" hidden="false" customHeight="false" outlineLevel="0" collapsed="false">
      <c r="A915" s="0" t="s">
        <v>14</v>
      </c>
      <c r="B915" s="0" t="s">
        <v>1467</v>
      </c>
      <c r="C915" s="0" t="s">
        <v>5072</v>
      </c>
    </row>
    <row r="916" customFormat="false" ht="15" hidden="false" customHeight="false" outlineLevel="0" collapsed="false">
      <c r="A916" s="0" t="s">
        <v>14</v>
      </c>
      <c r="B916" s="0" t="s">
        <v>1467</v>
      </c>
      <c r="C916" s="0" t="s">
        <v>5073</v>
      </c>
    </row>
    <row r="917" customFormat="false" ht="15" hidden="false" customHeight="false" outlineLevel="0" collapsed="false">
      <c r="A917" s="0" t="s">
        <v>14</v>
      </c>
      <c r="B917" s="0" t="s">
        <v>1474</v>
      </c>
      <c r="C917" s="0" t="s">
        <v>5066</v>
      </c>
      <c r="D917" s="0" t="n">
        <v>2025</v>
      </c>
    </row>
    <row r="918" customFormat="false" ht="15" hidden="false" customHeight="false" outlineLevel="0" collapsed="false">
      <c r="A918" s="0" t="s">
        <v>14</v>
      </c>
      <c r="B918" s="0" t="s">
        <v>1474</v>
      </c>
      <c r="C918" s="0" t="s">
        <v>5072</v>
      </c>
      <c r="D918" s="0" t="n">
        <v>2025</v>
      </c>
    </row>
    <row r="919" customFormat="false" ht="15" hidden="false" customHeight="false" outlineLevel="0" collapsed="false">
      <c r="A919" s="0" t="s">
        <v>14</v>
      </c>
      <c r="B919" s="0" t="s">
        <v>1474</v>
      </c>
      <c r="C919" s="0" t="s">
        <v>5073</v>
      </c>
      <c r="D919" s="0" t="n">
        <v>2026</v>
      </c>
    </row>
    <row r="920" customFormat="false" ht="15" hidden="false" customHeight="false" outlineLevel="0" collapsed="false">
      <c r="A920" s="0" t="s">
        <v>14</v>
      </c>
      <c r="B920" s="0" t="s">
        <v>1478</v>
      </c>
      <c r="C920" s="0" t="s">
        <v>5066</v>
      </c>
      <c r="D920" s="0" t="n">
        <v>2030</v>
      </c>
    </row>
    <row r="921" customFormat="false" ht="15" hidden="false" customHeight="false" outlineLevel="0" collapsed="false">
      <c r="A921" s="0" t="s">
        <v>14</v>
      </c>
      <c r="B921" s="0" t="s">
        <v>1478</v>
      </c>
      <c r="C921" s="0" t="s">
        <v>5072</v>
      </c>
      <c r="D921" s="0" t="n">
        <v>2029</v>
      </c>
    </row>
    <row r="922" customFormat="false" ht="15" hidden="false" customHeight="false" outlineLevel="0" collapsed="false">
      <c r="A922" s="0" t="s">
        <v>14</v>
      </c>
      <c r="B922" s="0" t="s">
        <v>1478</v>
      </c>
      <c r="C922" s="0" t="s">
        <v>5073</v>
      </c>
      <c r="D922" s="0" t="n">
        <v>2032</v>
      </c>
    </row>
    <row r="923" customFormat="false" ht="15" hidden="false" customHeight="false" outlineLevel="0" collapsed="false">
      <c r="A923" s="0" t="s">
        <v>14</v>
      </c>
      <c r="B923" s="0" t="s">
        <v>1482</v>
      </c>
      <c r="C923" s="0" t="s">
        <v>5066</v>
      </c>
      <c r="D923" s="0" t="n">
        <v>20</v>
      </c>
    </row>
    <row r="924" customFormat="false" ht="15" hidden="false" customHeight="false" outlineLevel="0" collapsed="false">
      <c r="A924" s="0" t="s">
        <v>14</v>
      </c>
      <c r="B924" s="0" t="s">
        <v>1482</v>
      </c>
      <c r="C924" s="0" t="s">
        <v>5072</v>
      </c>
      <c r="D924" s="0" t="n">
        <v>20</v>
      </c>
    </row>
    <row r="925" customFormat="false" ht="15" hidden="false" customHeight="false" outlineLevel="0" collapsed="false">
      <c r="A925" s="0" t="s">
        <v>14</v>
      </c>
      <c r="B925" s="0" t="s">
        <v>1482</v>
      </c>
      <c r="C925" s="0" t="s">
        <v>5073</v>
      </c>
      <c r="D925" s="0" t="n">
        <v>25</v>
      </c>
    </row>
    <row r="926" customFormat="false" ht="15" hidden="false" customHeight="false" outlineLevel="0" collapsed="false">
      <c r="A926" s="0" t="s">
        <v>14</v>
      </c>
      <c r="B926" s="0" t="s">
        <v>1485</v>
      </c>
      <c r="C926" s="0" t="s">
        <v>5066</v>
      </c>
      <c r="D926" s="0" t="n">
        <v>2031</v>
      </c>
    </row>
    <row r="927" customFormat="false" ht="15" hidden="false" customHeight="false" outlineLevel="0" collapsed="false">
      <c r="A927" s="0" t="s">
        <v>14</v>
      </c>
      <c r="B927" s="0" t="s">
        <v>1485</v>
      </c>
      <c r="C927" s="0" t="s">
        <v>5072</v>
      </c>
      <c r="D927" s="0" t="n">
        <v>2029</v>
      </c>
    </row>
    <row r="928" customFormat="false" ht="15" hidden="false" customHeight="false" outlineLevel="0" collapsed="false">
      <c r="A928" s="0" t="s">
        <v>14</v>
      </c>
      <c r="B928" s="0" t="s">
        <v>1485</v>
      </c>
      <c r="C928" s="0" t="s">
        <v>5073</v>
      </c>
      <c r="D928" s="0" t="n">
        <v>2032</v>
      </c>
    </row>
    <row r="929" customFormat="false" ht="15" hidden="false" customHeight="false" outlineLevel="0" collapsed="false">
      <c r="A929" s="0" t="s">
        <v>14</v>
      </c>
      <c r="B929" s="0" t="s">
        <v>1488</v>
      </c>
      <c r="C929" s="0" t="s">
        <v>5066</v>
      </c>
      <c r="D929" s="0" t="n">
        <v>0</v>
      </c>
    </row>
    <row r="930" customFormat="false" ht="15" hidden="false" customHeight="false" outlineLevel="0" collapsed="false">
      <c r="A930" s="0" t="s">
        <v>14</v>
      </c>
      <c r="B930" s="0" t="s">
        <v>1488</v>
      </c>
      <c r="C930" s="0" t="s">
        <v>5072</v>
      </c>
    </row>
    <row r="931" customFormat="false" ht="15" hidden="false" customHeight="false" outlineLevel="0" collapsed="false">
      <c r="A931" s="0" t="s">
        <v>14</v>
      </c>
      <c r="B931" s="0" t="s">
        <v>1488</v>
      </c>
      <c r="C931" s="0" t="s">
        <v>5073</v>
      </c>
    </row>
    <row r="932" customFormat="false" ht="15" hidden="false" customHeight="false" outlineLevel="0" collapsed="false">
      <c r="A932" s="0" t="s">
        <v>14</v>
      </c>
      <c r="B932" s="0" t="s">
        <v>1491</v>
      </c>
      <c r="C932" s="0" t="s">
        <v>5066</v>
      </c>
      <c r="D932" s="0" t="n">
        <v>20</v>
      </c>
    </row>
    <row r="933" customFormat="false" ht="15" hidden="false" customHeight="false" outlineLevel="0" collapsed="false">
      <c r="A933" s="0" t="s">
        <v>14</v>
      </c>
      <c r="B933" s="0" t="s">
        <v>1491</v>
      </c>
      <c r="C933" s="0" t="s">
        <v>5072</v>
      </c>
    </row>
    <row r="934" customFormat="false" ht="15" hidden="false" customHeight="false" outlineLevel="0" collapsed="false">
      <c r="A934" s="0" t="s">
        <v>14</v>
      </c>
      <c r="B934" s="0" t="s">
        <v>1491</v>
      </c>
      <c r="C934" s="0" t="s">
        <v>5073</v>
      </c>
    </row>
    <row r="935" customFormat="false" ht="15" hidden="false" customHeight="false" outlineLevel="0" collapsed="false">
      <c r="A935" s="0" t="s">
        <v>14</v>
      </c>
      <c r="B935" s="0" t="s">
        <v>1493</v>
      </c>
      <c r="C935" s="0" t="s">
        <v>5066</v>
      </c>
      <c r="D935" s="0" t="n">
        <v>30</v>
      </c>
    </row>
    <row r="936" customFormat="false" ht="15" hidden="false" customHeight="false" outlineLevel="0" collapsed="false">
      <c r="A936" s="0" t="s">
        <v>14</v>
      </c>
      <c r="B936" s="0" t="s">
        <v>1493</v>
      </c>
      <c r="C936" s="0" t="s">
        <v>5072</v>
      </c>
    </row>
    <row r="937" customFormat="false" ht="15" hidden="false" customHeight="false" outlineLevel="0" collapsed="false">
      <c r="A937" s="0" t="s">
        <v>14</v>
      </c>
      <c r="B937" s="0" t="s">
        <v>1493</v>
      </c>
      <c r="C937" s="0" t="s">
        <v>5073</v>
      </c>
    </row>
    <row r="938" customFormat="false" ht="15" hidden="false" customHeight="false" outlineLevel="0" collapsed="false">
      <c r="A938" s="0" t="s">
        <v>14</v>
      </c>
      <c r="B938" s="0" t="s">
        <v>1494</v>
      </c>
      <c r="C938" s="0" t="s">
        <v>5066</v>
      </c>
      <c r="D938" s="0" t="n">
        <v>45</v>
      </c>
    </row>
    <row r="939" customFormat="false" ht="15" hidden="false" customHeight="false" outlineLevel="0" collapsed="false">
      <c r="A939" s="0" t="s">
        <v>14</v>
      </c>
      <c r="B939" s="0" t="s">
        <v>1494</v>
      </c>
      <c r="C939" s="0" t="s">
        <v>5072</v>
      </c>
    </row>
    <row r="940" customFormat="false" ht="15" hidden="false" customHeight="false" outlineLevel="0" collapsed="false">
      <c r="A940" s="0" t="s">
        <v>14</v>
      </c>
      <c r="B940" s="0" t="s">
        <v>1494</v>
      </c>
      <c r="C940" s="0" t="s">
        <v>5073</v>
      </c>
    </row>
    <row r="941" customFormat="false" ht="15" hidden="false" customHeight="false" outlineLevel="0" collapsed="false">
      <c r="A941" s="0" t="s">
        <v>14</v>
      </c>
      <c r="B941" s="0" t="s">
        <v>1495</v>
      </c>
      <c r="C941" s="0" t="s">
        <v>5066</v>
      </c>
      <c r="D941" s="0" t="n">
        <v>60</v>
      </c>
    </row>
    <row r="942" customFormat="false" ht="15" hidden="false" customHeight="false" outlineLevel="0" collapsed="false">
      <c r="A942" s="0" t="s">
        <v>14</v>
      </c>
      <c r="B942" s="0" t="s">
        <v>1495</v>
      </c>
      <c r="C942" s="0" t="s">
        <v>5072</v>
      </c>
    </row>
    <row r="943" customFormat="false" ht="15" hidden="false" customHeight="false" outlineLevel="0" collapsed="false">
      <c r="A943" s="0" t="s">
        <v>14</v>
      </c>
      <c r="B943" s="0" t="s">
        <v>1495</v>
      </c>
      <c r="C943" s="0" t="s">
        <v>5073</v>
      </c>
    </row>
    <row r="944" customFormat="false" ht="15" hidden="false" customHeight="false" outlineLevel="0" collapsed="false">
      <c r="A944" s="0" t="s">
        <v>14</v>
      </c>
      <c r="B944" s="0" t="s">
        <v>1496</v>
      </c>
      <c r="C944" s="0" t="s">
        <v>5066</v>
      </c>
      <c r="D944" s="0" t="n">
        <v>70</v>
      </c>
    </row>
    <row r="945" customFormat="false" ht="15" hidden="false" customHeight="false" outlineLevel="0" collapsed="false">
      <c r="A945" s="0" t="s">
        <v>14</v>
      </c>
      <c r="B945" s="0" t="s">
        <v>1496</v>
      </c>
      <c r="C945" s="0" t="s">
        <v>5072</v>
      </c>
    </row>
    <row r="946" customFormat="false" ht="15" hidden="false" customHeight="false" outlineLevel="0" collapsed="false">
      <c r="A946" s="0" t="s">
        <v>14</v>
      </c>
      <c r="B946" s="0" t="s">
        <v>1496</v>
      </c>
      <c r="C946" s="0" t="s">
        <v>5073</v>
      </c>
    </row>
    <row r="947" customFormat="false" ht="15" hidden="false" customHeight="false" outlineLevel="0" collapsed="false">
      <c r="A947" s="0" t="s">
        <v>14</v>
      </c>
      <c r="B947" s="0" t="s">
        <v>1497</v>
      </c>
      <c r="C947" s="0" t="s">
        <v>5066</v>
      </c>
      <c r="D947" s="0" t="n">
        <v>0.6</v>
      </c>
    </row>
    <row r="948" customFormat="false" ht="15" hidden="false" customHeight="false" outlineLevel="0" collapsed="false">
      <c r="A948" s="0" t="s">
        <v>14</v>
      </c>
      <c r="B948" s="0" t="s">
        <v>1497</v>
      </c>
      <c r="C948" s="0" t="s">
        <v>5072</v>
      </c>
    </row>
    <row r="949" customFormat="false" ht="15" hidden="false" customHeight="false" outlineLevel="0" collapsed="false">
      <c r="A949" s="0" t="s">
        <v>14</v>
      </c>
      <c r="B949" s="0" t="s">
        <v>1497</v>
      </c>
      <c r="C949" s="0" t="s">
        <v>5073</v>
      </c>
    </row>
    <row r="950" customFormat="false" ht="15" hidden="false" customHeight="false" outlineLevel="0" collapsed="false">
      <c r="A950" s="0" t="s">
        <v>14</v>
      </c>
      <c r="B950" s="0" t="s">
        <v>1499</v>
      </c>
      <c r="C950" s="0" t="s">
        <v>5066</v>
      </c>
      <c r="D950" s="0" t="n">
        <v>1.5</v>
      </c>
    </row>
    <row r="951" customFormat="false" ht="15" hidden="false" customHeight="false" outlineLevel="0" collapsed="false">
      <c r="A951" s="0" t="s">
        <v>14</v>
      </c>
      <c r="B951" s="0" t="s">
        <v>1499</v>
      </c>
      <c r="C951" s="0" t="s">
        <v>5072</v>
      </c>
    </row>
    <row r="952" customFormat="false" ht="15" hidden="false" customHeight="false" outlineLevel="0" collapsed="false">
      <c r="A952" s="0" t="s">
        <v>14</v>
      </c>
      <c r="B952" s="0" t="s">
        <v>1499</v>
      </c>
      <c r="C952" s="0" t="s">
        <v>5073</v>
      </c>
    </row>
    <row r="953" customFormat="false" ht="15" hidden="false" customHeight="false" outlineLevel="0" collapsed="false">
      <c r="A953" s="0" t="s">
        <v>14</v>
      </c>
      <c r="B953" s="0" t="s">
        <v>1501</v>
      </c>
      <c r="C953" s="0" t="s">
        <v>5066</v>
      </c>
      <c r="D953" s="0" t="n">
        <v>0</v>
      </c>
    </row>
    <row r="954" customFormat="false" ht="15" hidden="false" customHeight="false" outlineLevel="0" collapsed="false">
      <c r="A954" s="0" t="s">
        <v>14</v>
      </c>
      <c r="B954" s="0" t="s">
        <v>1501</v>
      </c>
      <c r="C954" s="0" t="s">
        <v>5072</v>
      </c>
      <c r="D954" s="0" t="n">
        <v>0</v>
      </c>
    </row>
    <row r="955" customFormat="false" ht="15" hidden="false" customHeight="false" outlineLevel="0" collapsed="false">
      <c r="A955" s="0" t="s">
        <v>14</v>
      </c>
      <c r="B955" s="0" t="s">
        <v>1501</v>
      </c>
      <c r="C955" s="0" t="s">
        <v>5073</v>
      </c>
      <c r="D955" s="0" t="n">
        <v>0.3</v>
      </c>
    </row>
    <row r="956" customFormat="false" ht="15" hidden="false" customHeight="false" outlineLevel="0" collapsed="false">
      <c r="A956" s="0" t="s">
        <v>14</v>
      </c>
      <c r="B956" s="0" t="s">
        <v>1506</v>
      </c>
      <c r="C956" s="0" t="s">
        <v>5066</v>
      </c>
      <c r="D956" s="0" t="n">
        <v>0.33</v>
      </c>
    </row>
    <row r="957" customFormat="false" ht="15" hidden="false" customHeight="false" outlineLevel="0" collapsed="false">
      <c r="A957" s="0" t="s">
        <v>14</v>
      </c>
      <c r="B957" s="0" t="s">
        <v>1506</v>
      </c>
      <c r="C957" s="0" t="s">
        <v>5072</v>
      </c>
    </row>
    <row r="958" customFormat="false" ht="15" hidden="false" customHeight="false" outlineLevel="0" collapsed="false">
      <c r="A958" s="0" t="s">
        <v>14</v>
      </c>
      <c r="B958" s="0" t="s">
        <v>1506</v>
      </c>
      <c r="C958" s="0" t="s">
        <v>5073</v>
      </c>
    </row>
    <row r="959" customFormat="false" ht="15" hidden="false" customHeight="false" outlineLevel="0" collapsed="false">
      <c r="A959" s="0" t="s">
        <v>14</v>
      </c>
      <c r="B959" s="0" t="s">
        <v>1511</v>
      </c>
      <c r="C959" s="0" t="s">
        <v>5066</v>
      </c>
      <c r="D959" s="0" t="n">
        <v>0.265</v>
      </c>
    </row>
    <row r="960" customFormat="false" ht="15" hidden="false" customHeight="false" outlineLevel="0" collapsed="false">
      <c r="A960" s="0" t="s">
        <v>14</v>
      </c>
      <c r="B960" s="0" t="s">
        <v>1511</v>
      </c>
      <c r="C960" s="0" t="s">
        <v>5072</v>
      </c>
    </row>
    <row r="961" customFormat="false" ht="15" hidden="false" customHeight="false" outlineLevel="0" collapsed="false">
      <c r="A961" s="0" t="s">
        <v>14</v>
      </c>
      <c r="B961" s="0" t="s">
        <v>1511</v>
      </c>
      <c r="C961" s="0" t="s">
        <v>5073</v>
      </c>
    </row>
    <row r="962" customFormat="false" ht="15" hidden="false" customHeight="false" outlineLevel="0" collapsed="false">
      <c r="A962" s="0" t="s">
        <v>14</v>
      </c>
      <c r="B962" s="0" t="s">
        <v>1512</v>
      </c>
      <c r="C962" s="0" t="s">
        <v>5066</v>
      </c>
      <c r="D962" s="0" t="n">
        <v>0.22</v>
      </c>
    </row>
    <row r="963" customFormat="false" ht="15" hidden="false" customHeight="false" outlineLevel="0" collapsed="false">
      <c r="A963" s="0" t="s">
        <v>14</v>
      </c>
      <c r="B963" s="0" t="s">
        <v>1512</v>
      </c>
      <c r="C963" s="0" t="s">
        <v>5072</v>
      </c>
    </row>
    <row r="964" customFormat="false" ht="15" hidden="false" customHeight="false" outlineLevel="0" collapsed="false">
      <c r="A964" s="0" t="s">
        <v>14</v>
      </c>
      <c r="B964" s="0" t="s">
        <v>1512</v>
      </c>
      <c r="C964" s="0" t="s">
        <v>5073</v>
      </c>
    </row>
    <row r="965" customFormat="false" ht="15" hidden="false" customHeight="false" outlineLevel="0" collapsed="false">
      <c r="A965" s="0" t="s">
        <v>14</v>
      </c>
      <c r="B965" s="0" t="s">
        <v>1513</v>
      </c>
      <c r="C965" s="0" t="s">
        <v>5066</v>
      </c>
      <c r="D965" s="0" t="n">
        <v>0.18</v>
      </c>
    </row>
    <row r="966" customFormat="false" ht="15" hidden="false" customHeight="false" outlineLevel="0" collapsed="false">
      <c r="A966" s="0" t="s">
        <v>14</v>
      </c>
      <c r="B966" s="0" t="s">
        <v>1513</v>
      </c>
      <c r="C966" s="0" t="s">
        <v>5072</v>
      </c>
    </row>
    <row r="967" customFormat="false" ht="15" hidden="false" customHeight="false" outlineLevel="0" collapsed="false">
      <c r="A967" s="0" t="s">
        <v>14</v>
      </c>
      <c r="B967" s="0" t="s">
        <v>1513</v>
      </c>
      <c r="C967" s="0" t="s">
        <v>5073</v>
      </c>
    </row>
    <row r="968" customFormat="false" ht="15" hidden="false" customHeight="false" outlineLevel="0" collapsed="false">
      <c r="A968" s="0" t="s">
        <v>14</v>
      </c>
      <c r="B968" s="0" t="s">
        <v>1514</v>
      </c>
      <c r="C968" s="0" t="s">
        <v>5066</v>
      </c>
      <c r="D968" s="0" t="n">
        <v>0.14</v>
      </c>
    </row>
    <row r="969" customFormat="false" ht="15" hidden="false" customHeight="false" outlineLevel="0" collapsed="false">
      <c r="A969" s="0" t="s">
        <v>14</v>
      </c>
      <c r="B969" s="0" t="s">
        <v>1514</v>
      </c>
      <c r="C969" s="0" t="s">
        <v>5072</v>
      </c>
    </row>
    <row r="970" customFormat="false" ht="15" hidden="false" customHeight="false" outlineLevel="0" collapsed="false">
      <c r="A970" s="0" t="s">
        <v>14</v>
      </c>
      <c r="B970" s="0" t="s">
        <v>1514</v>
      </c>
      <c r="C970" s="0" t="s">
        <v>5073</v>
      </c>
    </row>
    <row r="971" customFormat="false" ht="15" hidden="false" customHeight="false" outlineLevel="0" collapsed="false">
      <c r="A971" s="0" t="s">
        <v>14</v>
      </c>
      <c r="B971" s="0" t="s">
        <v>1515</v>
      </c>
      <c r="C971" s="0" t="s">
        <v>5066</v>
      </c>
      <c r="D971" s="0" t="n">
        <v>0.8</v>
      </c>
    </row>
    <row r="972" customFormat="false" ht="15" hidden="false" customHeight="false" outlineLevel="0" collapsed="false">
      <c r="A972" s="0" t="s">
        <v>14</v>
      </c>
      <c r="B972" s="0" t="s">
        <v>1515</v>
      </c>
      <c r="C972" s="0" t="s">
        <v>5072</v>
      </c>
    </row>
    <row r="973" customFormat="false" ht="15" hidden="false" customHeight="false" outlineLevel="0" collapsed="false">
      <c r="A973" s="0" t="s">
        <v>14</v>
      </c>
      <c r="B973" s="0" t="s">
        <v>1515</v>
      </c>
      <c r="C973" s="0" t="s">
        <v>5073</v>
      </c>
    </row>
    <row r="974" customFormat="false" ht="15" hidden="false" customHeight="false" outlineLevel="0" collapsed="false">
      <c r="A974" s="0" t="s">
        <v>14</v>
      </c>
      <c r="B974" s="0" t="s">
        <v>1518</v>
      </c>
      <c r="C974" s="0" t="s">
        <v>5066</v>
      </c>
      <c r="D974" s="0" t="n">
        <v>1.3</v>
      </c>
    </row>
    <row r="975" customFormat="false" ht="15" hidden="false" customHeight="false" outlineLevel="0" collapsed="false">
      <c r="A975" s="0" t="s">
        <v>14</v>
      </c>
      <c r="B975" s="0" t="s">
        <v>1518</v>
      </c>
      <c r="C975" s="0" t="s">
        <v>5072</v>
      </c>
    </row>
    <row r="976" customFormat="false" ht="15" hidden="false" customHeight="false" outlineLevel="0" collapsed="false">
      <c r="A976" s="0" t="s">
        <v>14</v>
      </c>
      <c r="B976" s="0" t="s">
        <v>1518</v>
      </c>
      <c r="C976" s="0" t="s">
        <v>5073</v>
      </c>
    </row>
    <row r="977" customFormat="false" ht="15" hidden="false" customHeight="false" outlineLevel="0" collapsed="false">
      <c r="A977" s="0" t="s">
        <v>14</v>
      </c>
      <c r="B977" s="0" t="s">
        <v>1520</v>
      </c>
      <c r="C977" s="0" t="s">
        <v>5066</v>
      </c>
      <c r="D977" s="0" t="n">
        <v>10</v>
      </c>
    </row>
    <row r="978" customFormat="false" ht="15" hidden="false" customHeight="false" outlineLevel="0" collapsed="false">
      <c r="A978" s="0" t="s">
        <v>14</v>
      </c>
      <c r="B978" s="0" t="s">
        <v>1520</v>
      </c>
      <c r="C978" s="0" t="s">
        <v>5072</v>
      </c>
      <c r="D978" s="0" t="n">
        <v>5</v>
      </c>
    </row>
    <row r="979" customFormat="false" ht="15" hidden="false" customHeight="false" outlineLevel="0" collapsed="false">
      <c r="A979" s="0" t="s">
        <v>14</v>
      </c>
      <c r="B979" s="0" t="s">
        <v>1520</v>
      </c>
      <c r="C979" s="0" t="s">
        <v>5073</v>
      </c>
      <c r="D979" s="0" t="n">
        <v>20</v>
      </c>
    </row>
    <row r="980" customFormat="false" ht="15" hidden="false" customHeight="false" outlineLevel="0" collapsed="false">
      <c r="A980" s="0" t="s">
        <v>14</v>
      </c>
      <c r="B980" s="0" t="s">
        <v>1524</v>
      </c>
      <c r="C980" s="0" t="s">
        <v>5066</v>
      </c>
      <c r="D980" s="0" t="n">
        <v>0.6</v>
      </c>
    </row>
    <row r="981" customFormat="false" ht="15" hidden="false" customHeight="false" outlineLevel="0" collapsed="false">
      <c r="A981" s="0" t="s">
        <v>14</v>
      </c>
      <c r="B981" s="0" t="s">
        <v>1524</v>
      </c>
      <c r="C981" s="0" t="s">
        <v>5072</v>
      </c>
      <c r="D981" s="0" t="n">
        <v>0.4</v>
      </c>
    </row>
    <row r="982" customFormat="false" ht="15" hidden="false" customHeight="false" outlineLevel="0" collapsed="false">
      <c r="A982" s="0" t="s">
        <v>14</v>
      </c>
      <c r="B982" s="0" t="s">
        <v>1524</v>
      </c>
      <c r="C982" s="0" t="s">
        <v>5073</v>
      </c>
      <c r="D982" s="0" t="n">
        <v>1</v>
      </c>
    </row>
    <row r="983" customFormat="false" ht="15" hidden="false" customHeight="false" outlineLevel="0" collapsed="false">
      <c r="A983" s="0" t="s">
        <v>14</v>
      </c>
      <c r="B983" s="0" t="s">
        <v>1529</v>
      </c>
      <c r="C983" s="0" t="s">
        <v>5066</v>
      </c>
      <c r="D983" s="0" t="n">
        <v>0.6</v>
      </c>
    </row>
    <row r="984" customFormat="false" ht="15" hidden="false" customHeight="false" outlineLevel="0" collapsed="false">
      <c r="A984" s="0" t="s">
        <v>14</v>
      </c>
      <c r="B984" s="0" t="s">
        <v>1529</v>
      </c>
      <c r="C984" s="0" t="s">
        <v>5072</v>
      </c>
    </row>
    <row r="985" customFormat="false" ht="15" hidden="false" customHeight="false" outlineLevel="0" collapsed="false">
      <c r="A985" s="0" t="s">
        <v>14</v>
      </c>
      <c r="B985" s="0" t="s">
        <v>1529</v>
      </c>
      <c r="C985" s="0" t="s">
        <v>5073</v>
      </c>
    </row>
    <row r="986" customFormat="false" ht="15" hidden="false" customHeight="false" outlineLevel="0" collapsed="false">
      <c r="A986" s="0" t="s">
        <v>14</v>
      </c>
      <c r="B986" s="0" t="s">
        <v>1534</v>
      </c>
      <c r="C986" s="0" t="s">
        <v>5066</v>
      </c>
      <c r="D986" s="0" t="n">
        <v>0.35</v>
      </c>
    </row>
    <row r="987" customFormat="false" ht="15" hidden="false" customHeight="false" outlineLevel="0" collapsed="false">
      <c r="A987" s="0" t="s">
        <v>14</v>
      </c>
      <c r="B987" s="0" t="s">
        <v>1534</v>
      </c>
      <c r="C987" s="0" t="s">
        <v>5072</v>
      </c>
    </row>
    <row r="988" customFormat="false" ht="15" hidden="false" customHeight="false" outlineLevel="0" collapsed="false">
      <c r="A988" s="0" t="s">
        <v>14</v>
      </c>
      <c r="B988" s="0" t="s">
        <v>1534</v>
      </c>
      <c r="C988" s="0" t="s">
        <v>5073</v>
      </c>
    </row>
    <row r="989" customFormat="false" ht="15" hidden="false" customHeight="false" outlineLevel="0" collapsed="false">
      <c r="A989" s="0" t="s">
        <v>14</v>
      </c>
      <c r="B989" s="0" t="s">
        <v>1535</v>
      </c>
      <c r="C989" s="0" t="s">
        <v>5066</v>
      </c>
      <c r="D989" s="0" t="n">
        <v>0.15</v>
      </c>
    </row>
    <row r="990" customFormat="false" ht="15" hidden="false" customHeight="false" outlineLevel="0" collapsed="false">
      <c r="A990" s="0" t="s">
        <v>14</v>
      </c>
      <c r="B990" s="0" t="s">
        <v>1535</v>
      </c>
      <c r="C990" s="0" t="s">
        <v>5072</v>
      </c>
    </row>
    <row r="991" customFormat="false" ht="15" hidden="false" customHeight="false" outlineLevel="0" collapsed="false">
      <c r="A991" s="0" t="s">
        <v>14</v>
      </c>
      <c r="B991" s="0" t="s">
        <v>1535</v>
      </c>
      <c r="C991" s="0" t="s">
        <v>5073</v>
      </c>
    </row>
    <row r="992" customFormat="false" ht="15" hidden="false" customHeight="false" outlineLevel="0" collapsed="false">
      <c r="A992" s="0" t="s">
        <v>14</v>
      </c>
      <c r="B992" s="0" t="s">
        <v>1536</v>
      </c>
      <c r="C992" s="0" t="s">
        <v>5066</v>
      </c>
      <c r="D992" s="0" t="n">
        <v>0.05</v>
      </c>
    </row>
    <row r="993" customFormat="false" ht="15" hidden="false" customHeight="false" outlineLevel="0" collapsed="false">
      <c r="A993" s="0" t="s">
        <v>14</v>
      </c>
      <c r="B993" s="0" t="s">
        <v>1536</v>
      </c>
      <c r="C993" s="0" t="s">
        <v>5072</v>
      </c>
    </row>
    <row r="994" customFormat="false" ht="15" hidden="false" customHeight="false" outlineLevel="0" collapsed="false">
      <c r="A994" s="0" t="s">
        <v>14</v>
      </c>
      <c r="B994" s="0" t="s">
        <v>1536</v>
      </c>
      <c r="C994" s="0" t="s">
        <v>5073</v>
      </c>
    </row>
    <row r="995" customFormat="false" ht="15" hidden="false" customHeight="false" outlineLevel="0" collapsed="false">
      <c r="A995" s="0" t="s">
        <v>14</v>
      </c>
      <c r="B995" s="0" t="s">
        <v>1537</v>
      </c>
      <c r="C995" s="0" t="s">
        <v>5066</v>
      </c>
      <c r="D995" s="0" t="n">
        <v>0</v>
      </c>
    </row>
    <row r="996" customFormat="false" ht="15" hidden="false" customHeight="false" outlineLevel="0" collapsed="false">
      <c r="A996" s="0" t="s">
        <v>14</v>
      </c>
      <c r="B996" s="0" t="s">
        <v>1537</v>
      </c>
      <c r="C996" s="0" t="s">
        <v>5072</v>
      </c>
    </row>
    <row r="997" customFormat="false" ht="15" hidden="false" customHeight="false" outlineLevel="0" collapsed="false">
      <c r="A997" s="0" t="s">
        <v>14</v>
      </c>
      <c r="B997" s="0" t="s">
        <v>1537</v>
      </c>
      <c r="C997" s="0" t="s">
        <v>5073</v>
      </c>
    </row>
    <row r="998" customFormat="false" ht="15" hidden="false" customHeight="false" outlineLevel="0" collapsed="false">
      <c r="A998" s="0" t="s">
        <v>14</v>
      </c>
      <c r="B998" s="0" t="s">
        <v>1538</v>
      </c>
      <c r="C998" s="0" t="s">
        <v>5066</v>
      </c>
      <c r="D998" s="0" t="n">
        <v>0</v>
      </c>
    </row>
    <row r="999" customFormat="false" ht="15" hidden="false" customHeight="false" outlineLevel="0" collapsed="false">
      <c r="A999" s="0" t="s">
        <v>14</v>
      </c>
      <c r="B999" s="0" t="s">
        <v>1538</v>
      </c>
      <c r="C999" s="0" t="s">
        <v>5072</v>
      </c>
    </row>
    <row r="1000" customFormat="false" ht="15" hidden="false" customHeight="false" outlineLevel="0" collapsed="false">
      <c r="A1000" s="0" t="s">
        <v>14</v>
      </c>
      <c r="B1000" s="0" t="s">
        <v>1538</v>
      </c>
      <c r="C1000" s="0" t="s">
        <v>5073</v>
      </c>
    </row>
    <row r="1001" customFormat="false" ht="15" hidden="false" customHeight="false" outlineLevel="0" collapsed="false">
      <c r="A1001" s="0" t="s">
        <v>14</v>
      </c>
      <c r="B1001" s="0" t="s">
        <v>1539</v>
      </c>
      <c r="C1001" s="0" t="s">
        <v>5066</v>
      </c>
      <c r="D1001" s="0" t="n">
        <v>0.4</v>
      </c>
    </row>
    <row r="1002" customFormat="false" ht="15" hidden="false" customHeight="false" outlineLevel="0" collapsed="false">
      <c r="A1002" s="0" t="s">
        <v>14</v>
      </c>
      <c r="B1002" s="0" t="s">
        <v>1539</v>
      </c>
      <c r="C1002" s="0" t="s">
        <v>5072</v>
      </c>
    </row>
    <row r="1003" customFormat="false" ht="15" hidden="false" customHeight="false" outlineLevel="0" collapsed="false">
      <c r="A1003" s="0" t="s">
        <v>14</v>
      </c>
      <c r="B1003" s="0" t="s">
        <v>1539</v>
      </c>
      <c r="C1003" s="0" t="s">
        <v>5073</v>
      </c>
    </row>
    <row r="1004" customFormat="false" ht="15" hidden="false" customHeight="false" outlineLevel="0" collapsed="false">
      <c r="A1004" s="0" t="s">
        <v>14</v>
      </c>
      <c r="B1004" s="0" t="s">
        <v>1543</v>
      </c>
      <c r="C1004" s="0" t="s">
        <v>5066</v>
      </c>
      <c r="D1004" s="0" t="n">
        <v>0.55</v>
      </c>
    </row>
    <row r="1005" customFormat="false" ht="15" hidden="false" customHeight="false" outlineLevel="0" collapsed="false">
      <c r="A1005" s="0" t="s">
        <v>14</v>
      </c>
      <c r="B1005" s="0" t="s">
        <v>1543</v>
      </c>
      <c r="C1005" s="0" t="s">
        <v>5072</v>
      </c>
    </row>
    <row r="1006" customFormat="false" ht="15" hidden="false" customHeight="false" outlineLevel="0" collapsed="false">
      <c r="A1006" s="0" t="s">
        <v>14</v>
      </c>
      <c r="B1006" s="0" t="s">
        <v>1543</v>
      </c>
      <c r="C1006" s="0" t="s">
        <v>5073</v>
      </c>
    </row>
    <row r="1007" customFormat="false" ht="15" hidden="false" customHeight="false" outlineLevel="0" collapsed="false">
      <c r="A1007" s="0" t="s">
        <v>14</v>
      </c>
      <c r="B1007" s="0" t="s">
        <v>1544</v>
      </c>
      <c r="C1007" s="0" t="s">
        <v>5066</v>
      </c>
      <c r="D1007" s="0" t="n">
        <v>0.45</v>
      </c>
    </row>
    <row r="1008" customFormat="false" ht="15" hidden="false" customHeight="false" outlineLevel="0" collapsed="false">
      <c r="A1008" s="0" t="s">
        <v>14</v>
      </c>
      <c r="B1008" s="0" t="s">
        <v>1544</v>
      </c>
      <c r="C1008" s="0" t="s">
        <v>5072</v>
      </c>
    </row>
    <row r="1009" customFormat="false" ht="15" hidden="false" customHeight="false" outlineLevel="0" collapsed="false">
      <c r="A1009" s="0" t="s">
        <v>14</v>
      </c>
      <c r="B1009" s="0" t="s">
        <v>1544</v>
      </c>
      <c r="C1009" s="0" t="s">
        <v>5073</v>
      </c>
    </row>
    <row r="1010" customFormat="false" ht="15" hidden="false" customHeight="false" outlineLevel="0" collapsed="false">
      <c r="A1010" s="0" t="s">
        <v>14</v>
      </c>
      <c r="B1010" s="0" t="s">
        <v>1545</v>
      </c>
      <c r="C1010" s="0" t="s">
        <v>5066</v>
      </c>
      <c r="D1010" s="0" t="n">
        <v>0.3</v>
      </c>
    </row>
    <row r="1011" customFormat="false" ht="15" hidden="false" customHeight="false" outlineLevel="0" collapsed="false">
      <c r="A1011" s="0" t="s">
        <v>14</v>
      </c>
      <c r="B1011" s="0" t="s">
        <v>1545</v>
      </c>
      <c r="C1011" s="0" t="s">
        <v>5072</v>
      </c>
    </row>
    <row r="1012" customFormat="false" ht="15" hidden="false" customHeight="false" outlineLevel="0" collapsed="false">
      <c r="A1012" s="0" t="s">
        <v>14</v>
      </c>
      <c r="B1012" s="0" t="s">
        <v>1545</v>
      </c>
      <c r="C1012" s="0" t="s">
        <v>5073</v>
      </c>
    </row>
    <row r="1013" customFormat="false" ht="15" hidden="false" customHeight="false" outlineLevel="0" collapsed="false">
      <c r="A1013" s="0" t="s">
        <v>14</v>
      </c>
      <c r="B1013" s="0" t="s">
        <v>1546</v>
      </c>
      <c r="C1013" s="0" t="s">
        <v>5066</v>
      </c>
      <c r="D1013" s="0" t="n">
        <v>0.2</v>
      </c>
    </row>
    <row r="1014" customFormat="false" ht="15" hidden="false" customHeight="false" outlineLevel="0" collapsed="false">
      <c r="A1014" s="0" t="s">
        <v>14</v>
      </c>
      <c r="B1014" s="0" t="s">
        <v>1546</v>
      </c>
      <c r="C1014" s="0" t="s">
        <v>5072</v>
      </c>
    </row>
    <row r="1015" customFormat="false" ht="15" hidden="false" customHeight="false" outlineLevel="0" collapsed="false">
      <c r="A1015" s="0" t="s">
        <v>14</v>
      </c>
      <c r="B1015" s="0" t="s">
        <v>1546</v>
      </c>
      <c r="C1015" s="0" t="s">
        <v>5073</v>
      </c>
    </row>
    <row r="1016" customFormat="false" ht="15" hidden="false" customHeight="false" outlineLevel="0" collapsed="false">
      <c r="A1016" s="0" t="s">
        <v>14</v>
      </c>
      <c r="B1016" s="0" t="s">
        <v>1547</v>
      </c>
      <c r="C1016" s="0" t="s">
        <v>5066</v>
      </c>
      <c r="D1016" s="0" t="n">
        <v>0.1</v>
      </c>
    </row>
    <row r="1017" customFormat="false" ht="15" hidden="false" customHeight="false" outlineLevel="0" collapsed="false">
      <c r="A1017" s="0" t="s">
        <v>14</v>
      </c>
      <c r="B1017" s="0" t="s">
        <v>1547</v>
      </c>
      <c r="C1017" s="0" t="s">
        <v>5072</v>
      </c>
    </row>
    <row r="1018" customFormat="false" ht="15" hidden="false" customHeight="false" outlineLevel="0" collapsed="false">
      <c r="A1018" s="0" t="s">
        <v>14</v>
      </c>
      <c r="B1018" s="0" t="s">
        <v>1547</v>
      </c>
      <c r="C1018" s="0" t="s">
        <v>5073</v>
      </c>
    </row>
    <row r="1019" customFormat="false" ht="15" hidden="false" customHeight="false" outlineLevel="0" collapsed="false">
      <c r="A1019" s="0" t="s">
        <v>14</v>
      </c>
      <c r="B1019" s="0" t="s">
        <v>1548</v>
      </c>
      <c r="C1019" s="0" t="s">
        <v>5066</v>
      </c>
      <c r="D1019" s="0" t="n">
        <v>0</v>
      </c>
    </row>
    <row r="1020" customFormat="false" ht="15" hidden="false" customHeight="false" outlineLevel="0" collapsed="false">
      <c r="A1020" s="0" t="s">
        <v>14</v>
      </c>
      <c r="B1020" s="0" t="s">
        <v>1548</v>
      </c>
      <c r="C1020" s="0" t="s">
        <v>5072</v>
      </c>
    </row>
    <row r="1021" customFormat="false" ht="15" hidden="false" customHeight="false" outlineLevel="0" collapsed="false">
      <c r="A1021" s="0" t="s">
        <v>14</v>
      </c>
      <c r="B1021" s="0" t="s">
        <v>1548</v>
      </c>
      <c r="C1021" s="0" t="s">
        <v>5073</v>
      </c>
    </row>
    <row r="1022" customFormat="false" ht="15" hidden="false" customHeight="false" outlineLevel="0" collapsed="false">
      <c r="A1022" s="0" t="s">
        <v>14</v>
      </c>
      <c r="B1022" s="0" t="s">
        <v>1551</v>
      </c>
      <c r="C1022" s="0" t="s">
        <v>5066</v>
      </c>
      <c r="D1022" s="0" t="n">
        <v>0.05</v>
      </c>
    </row>
    <row r="1023" customFormat="false" ht="15" hidden="false" customHeight="false" outlineLevel="0" collapsed="false">
      <c r="A1023" s="0" t="s">
        <v>14</v>
      </c>
      <c r="B1023" s="0" t="s">
        <v>1551</v>
      </c>
      <c r="C1023" s="0" t="s">
        <v>5072</v>
      </c>
    </row>
    <row r="1024" customFormat="false" ht="15" hidden="false" customHeight="false" outlineLevel="0" collapsed="false">
      <c r="A1024" s="0" t="s">
        <v>14</v>
      </c>
      <c r="B1024" s="0" t="s">
        <v>1551</v>
      </c>
      <c r="C1024" s="0" t="s">
        <v>5073</v>
      </c>
    </row>
    <row r="1025" customFormat="false" ht="15" hidden="false" customHeight="false" outlineLevel="0" collapsed="false">
      <c r="A1025" s="0" t="s">
        <v>14</v>
      </c>
      <c r="B1025" s="0" t="s">
        <v>1552</v>
      </c>
      <c r="C1025" s="0" t="s">
        <v>5066</v>
      </c>
      <c r="D1025" s="0" t="n">
        <v>0.3</v>
      </c>
    </row>
    <row r="1026" customFormat="false" ht="15" hidden="false" customHeight="false" outlineLevel="0" collapsed="false">
      <c r="A1026" s="0" t="s">
        <v>14</v>
      </c>
      <c r="B1026" s="0" t="s">
        <v>1552</v>
      </c>
      <c r="C1026" s="0" t="s">
        <v>5072</v>
      </c>
    </row>
    <row r="1027" customFormat="false" ht="15" hidden="false" customHeight="false" outlineLevel="0" collapsed="false">
      <c r="A1027" s="0" t="s">
        <v>14</v>
      </c>
      <c r="B1027" s="0" t="s">
        <v>1552</v>
      </c>
      <c r="C1027" s="0" t="s">
        <v>5073</v>
      </c>
    </row>
    <row r="1028" customFormat="false" ht="15" hidden="false" customHeight="false" outlineLevel="0" collapsed="false">
      <c r="A1028" s="0" t="s">
        <v>14</v>
      </c>
      <c r="B1028" s="0" t="s">
        <v>1553</v>
      </c>
      <c r="C1028" s="0" t="s">
        <v>5066</v>
      </c>
      <c r="D1028" s="0" t="n">
        <v>0.45</v>
      </c>
    </row>
    <row r="1029" customFormat="false" ht="15" hidden="false" customHeight="false" outlineLevel="0" collapsed="false">
      <c r="A1029" s="0" t="s">
        <v>14</v>
      </c>
      <c r="B1029" s="0" t="s">
        <v>1553</v>
      </c>
      <c r="C1029" s="0" t="s">
        <v>5072</v>
      </c>
    </row>
    <row r="1030" customFormat="false" ht="15" hidden="false" customHeight="false" outlineLevel="0" collapsed="false">
      <c r="A1030" s="0" t="s">
        <v>14</v>
      </c>
      <c r="B1030" s="0" t="s">
        <v>1553</v>
      </c>
      <c r="C1030" s="0" t="s">
        <v>5073</v>
      </c>
    </row>
    <row r="1031" customFormat="false" ht="15" hidden="false" customHeight="false" outlineLevel="0" collapsed="false">
      <c r="A1031" s="0" t="s">
        <v>14</v>
      </c>
      <c r="B1031" s="0" t="s">
        <v>1554</v>
      </c>
      <c r="C1031" s="0" t="s">
        <v>5066</v>
      </c>
      <c r="D1031" s="0" t="n">
        <v>0.5</v>
      </c>
    </row>
    <row r="1032" customFormat="false" ht="15" hidden="false" customHeight="false" outlineLevel="0" collapsed="false">
      <c r="A1032" s="0" t="s">
        <v>14</v>
      </c>
      <c r="B1032" s="0" t="s">
        <v>1554</v>
      </c>
      <c r="C1032" s="0" t="s">
        <v>5072</v>
      </c>
    </row>
    <row r="1033" customFormat="false" ht="15" hidden="false" customHeight="false" outlineLevel="0" collapsed="false">
      <c r="A1033" s="0" t="s">
        <v>14</v>
      </c>
      <c r="B1033" s="0" t="s">
        <v>1554</v>
      </c>
      <c r="C1033" s="0" t="s">
        <v>5073</v>
      </c>
    </row>
    <row r="1034" customFormat="false" ht="15" hidden="false" customHeight="false" outlineLevel="0" collapsed="false">
      <c r="A1034" s="0" t="s">
        <v>14</v>
      </c>
      <c r="B1034" s="0" t="s">
        <v>1555</v>
      </c>
      <c r="C1034" s="0" t="s">
        <v>5066</v>
      </c>
      <c r="D1034" s="0" t="n">
        <v>0.45</v>
      </c>
    </row>
    <row r="1035" customFormat="false" ht="15" hidden="false" customHeight="false" outlineLevel="0" collapsed="false">
      <c r="A1035" s="0" t="s">
        <v>14</v>
      </c>
      <c r="B1035" s="0" t="s">
        <v>1555</v>
      </c>
      <c r="C1035" s="0" t="s">
        <v>5072</v>
      </c>
    </row>
    <row r="1036" customFormat="false" ht="15" hidden="false" customHeight="false" outlineLevel="0" collapsed="false">
      <c r="A1036" s="0" t="s">
        <v>14</v>
      </c>
      <c r="B1036" s="0" t="s">
        <v>1555</v>
      </c>
      <c r="C1036" s="0" t="s">
        <v>5073</v>
      </c>
    </row>
    <row r="1037" customFormat="false" ht="15" hidden="false" customHeight="false" outlineLevel="0" collapsed="false">
      <c r="A1037" s="0" t="s">
        <v>14</v>
      </c>
      <c r="B1037" s="0" t="s">
        <v>1556</v>
      </c>
      <c r="C1037" s="0" t="s">
        <v>5066</v>
      </c>
      <c r="D1037" s="0" t="n">
        <v>0</v>
      </c>
    </row>
    <row r="1038" customFormat="false" ht="15" hidden="false" customHeight="false" outlineLevel="0" collapsed="false">
      <c r="A1038" s="0" t="s">
        <v>14</v>
      </c>
      <c r="B1038" s="0" t="s">
        <v>1556</v>
      </c>
      <c r="C1038" s="0" t="s">
        <v>5072</v>
      </c>
    </row>
    <row r="1039" customFormat="false" ht="15" hidden="false" customHeight="false" outlineLevel="0" collapsed="false">
      <c r="A1039" s="0" t="s">
        <v>14</v>
      </c>
      <c r="B1039" s="0" t="s">
        <v>1556</v>
      </c>
      <c r="C1039" s="0" t="s">
        <v>5073</v>
      </c>
    </row>
    <row r="1040" customFormat="false" ht="15" hidden="false" customHeight="false" outlineLevel="0" collapsed="false">
      <c r="A1040" s="0" t="s">
        <v>14</v>
      </c>
      <c r="B1040" s="0" t="s">
        <v>1559</v>
      </c>
      <c r="C1040" s="0" t="s">
        <v>5066</v>
      </c>
      <c r="D1040" s="0" t="n">
        <v>0</v>
      </c>
    </row>
    <row r="1041" customFormat="false" ht="15" hidden="false" customHeight="false" outlineLevel="0" collapsed="false">
      <c r="A1041" s="0" t="s">
        <v>14</v>
      </c>
      <c r="B1041" s="0" t="s">
        <v>1559</v>
      </c>
      <c r="C1041" s="0" t="s">
        <v>5072</v>
      </c>
    </row>
    <row r="1042" customFormat="false" ht="15" hidden="false" customHeight="false" outlineLevel="0" collapsed="false">
      <c r="A1042" s="0" t="s">
        <v>14</v>
      </c>
      <c r="B1042" s="0" t="s">
        <v>1559</v>
      </c>
      <c r="C1042" s="0" t="s">
        <v>5073</v>
      </c>
    </row>
    <row r="1043" customFormat="false" ht="15" hidden="false" customHeight="false" outlineLevel="0" collapsed="false">
      <c r="A1043" s="0" t="s">
        <v>14</v>
      </c>
      <c r="B1043" s="0" t="s">
        <v>1560</v>
      </c>
      <c r="C1043" s="0" t="s">
        <v>5066</v>
      </c>
      <c r="D1043" s="0" t="n">
        <v>0</v>
      </c>
    </row>
    <row r="1044" customFormat="false" ht="15" hidden="false" customHeight="false" outlineLevel="0" collapsed="false">
      <c r="A1044" s="0" t="s">
        <v>14</v>
      </c>
      <c r="B1044" s="0" t="s">
        <v>1560</v>
      </c>
      <c r="C1044" s="0" t="s">
        <v>5072</v>
      </c>
    </row>
    <row r="1045" customFormat="false" ht="15" hidden="false" customHeight="false" outlineLevel="0" collapsed="false">
      <c r="A1045" s="0" t="s">
        <v>14</v>
      </c>
      <c r="B1045" s="0" t="s">
        <v>1560</v>
      </c>
      <c r="C1045" s="0" t="s">
        <v>5073</v>
      </c>
    </row>
    <row r="1046" customFormat="false" ht="15" hidden="false" customHeight="false" outlineLevel="0" collapsed="false">
      <c r="A1046" s="0" t="s">
        <v>14</v>
      </c>
      <c r="B1046" s="0" t="s">
        <v>1561</v>
      </c>
      <c r="C1046" s="0" t="s">
        <v>5066</v>
      </c>
      <c r="D1046" s="0" t="n">
        <v>0.05</v>
      </c>
    </row>
    <row r="1047" customFormat="false" ht="15" hidden="false" customHeight="false" outlineLevel="0" collapsed="false">
      <c r="A1047" s="0" t="s">
        <v>14</v>
      </c>
      <c r="B1047" s="0" t="s">
        <v>1561</v>
      </c>
      <c r="C1047" s="0" t="s">
        <v>5072</v>
      </c>
    </row>
    <row r="1048" customFormat="false" ht="15" hidden="false" customHeight="false" outlineLevel="0" collapsed="false">
      <c r="A1048" s="0" t="s">
        <v>14</v>
      </c>
      <c r="B1048" s="0" t="s">
        <v>1561</v>
      </c>
      <c r="C1048" s="0" t="s">
        <v>5073</v>
      </c>
    </row>
    <row r="1049" customFormat="false" ht="15" hidden="false" customHeight="false" outlineLevel="0" collapsed="false">
      <c r="A1049" s="0" t="s">
        <v>14</v>
      </c>
      <c r="B1049" s="0" t="s">
        <v>1562</v>
      </c>
      <c r="C1049" s="0" t="s">
        <v>5066</v>
      </c>
      <c r="D1049" s="0" t="n">
        <v>0.1</v>
      </c>
    </row>
    <row r="1050" customFormat="false" ht="15" hidden="false" customHeight="false" outlineLevel="0" collapsed="false">
      <c r="A1050" s="0" t="s">
        <v>14</v>
      </c>
      <c r="B1050" s="0" t="s">
        <v>1562</v>
      </c>
      <c r="C1050" s="0" t="s">
        <v>5072</v>
      </c>
    </row>
    <row r="1051" customFormat="false" ht="15" hidden="false" customHeight="false" outlineLevel="0" collapsed="false">
      <c r="A1051" s="0" t="s">
        <v>14</v>
      </c>
      <c r="B1051" s="0" t="s">
        <v>1562</v>
      </c>
      <c r="C1051" s="0" t="s">
        <v>5073</v>
      </c>
    </row>
    <row r="1052" customFormat="false" ht="15" hidden="false" customHeight="false" outlineLevel="0" collapsed="false">
      <c r="A1052" s="0" t="s">
        <v>14</v>
      </c>
      <c r="B1052" s="0" t="s">
        <v>1563</v>
      </c>
      <c r="C1052" s="0" t="s">
        <v>5066</v>
      </c>
      <c r="D1052" s="0" t="n">
        <v>0.2</v>
      </c>
    </row>
    <row r="1053" customFormat="false" ht="15" hidden="false" customHeight="false" outlineLevel="0" collapsed="false">
      <c r="A1053" s="0" t="s">
        <v>14</v>
      </c>
      <c r="B1053" s="0" t="s">
        <v>1563</v>
      </c>
      <c r="C1053" s="0" t="s">
        <v>5072</v>
      </c>
    </row>
    <row r="1054" customFormat="false" ht="15" hidden="false" customHeight="false" outlineLevel="0" collapsed="false">
      <c r="A1054" s="0" t="s">
        <v>14</v>
      </c>
      <c r="B1054" s="0" t="s">
        <v>1563</v>
      </c>
      <c r="C1054" s="0" t="s">
        <v>5073</v>
      </c>
    </row>
    <row r="1055" customFormat="false" ht="15" hidden="false" customHeight="false" outlineLevel="0" collapsed="false">
      <c r="A1055" s="0" t="s">
        <v>14</v>
      </c>
      <c r="B1055" s="0" t="s">
        <v>1564</v>
      </c>
      <c r="C1055" s="0" t="s">
        <v>5066</v>
      </c>
      <c r="D1055" s="0" t="n">
        <v>12</v>
      </c>
    </row>
    <row r="1056" customFormat="false" ht="15" hidden="false" customHeight="false" outlineLevel="0" collapsed="false">
      <c r="A1056" s="0" t="s">
        <v>14</v>
      </c>
      <c r="B1056" s="0" t="s">
        <v>1564</v>
      </c>
      <c r="C1056" s="0" t="s">
        <v>5072</v>
      </c>
      <c r="D1056" s="0" t="n">
        <v>8</v>
      </c>
    </row>
    <row r="1057" customFormat="false" ht="15" hidden="false" customHeight="false" outlineLevel="0" collapsed="false">
      <c r="A1057" s="0" t="s">
        <v>14</v>
      </c>
      <c r="B1057" s="0" t="s">
        <v>1564</v>
      </c>
      <c r="C1057" s="0" t="s">
        <v>5073</v>
      </c>
      <c r="D1057" s="0" t="n">
        <v>20</v>
      </c>
    </row>
    <row r="1058" customFormat="false" ht="15" hidden="false" customHeight="false" outlineLevel="0" collapsed="false">
      <c r="A1058" s="0" t="s">
        <v>14</v>
      </c>
      <c r="B1058" s="0" t="s">
        <v>1571</v>
      </c>
      <c r="C1058" s="0" t="s">
        <v>5066</v>
      </c>
      <c r="D1058" s="0" t="n">
        <v>1.41</v>
      </c>
    </row>
    <row r="1059" customFormat="false" ht="15" hidden="false" customHeight="false" outlineLevel="0" collapsed="false">
      <c r="A1059" s="0" t="s">
        <v>14</v>
      </c>
      <c r="B1059" s="0" t="s">
        <v>1571</v>
      </c>
      <c r="C1059" s="0" t="s">
        <v>5072</v>
      </c>
      <c r="D1059" s="0" t="n">
        <v>0</v>
      </c>
    </row>
    <row r="1060" customFormat="false" ht="15" hidden="false" customHeight="false" outlineLevel="0" collapsed="false">
      <c r="A1060" s="0" t="s">
        <v>14</v>
      </c>
      <c r="B1060" s="0" t="s">
        <v>1571</v>
      </c>
      <c r="C1060" s="0" t="s">
        <v>5073</v>
      </c>
      <c r="D1060" s="0" t="n">
        <v>2.91</v>
      </c>
    </row>
    <row r="1061" customFormat="false" ht="15" hidden="false" customHeight="false" outlineLevel="0" collapsed="false">
      <c r="A1061" s="0" t="s">
        <v>14</v>
      </c>
      <c r="B1061" s="0" t="s">
        <v>1577</v>
      </c>
      <c r="C1061" s="0" t="s">
        <v>5066</v>
      </c>
      <c r="D1061" s="0" t="n">
        <v>0.1</v>
      </c>
    </row>
    <row r="1062" customFormat="false" ht="15" hidden="false" customHeight="false" outlineLevel="0" collapsed="false">
      <c r="A1062" s="0" t="s">
        <v>14</v>
      </c>
      <c r="B1062" s="0" t="s">
        <v>1577</v>
      </c>
      <c r="C1062" s="0" t="s">
        <v>5072</v>
      </c>
    </row>
    <row r="1063" customFormat="false" ht="15" hidden="false" customHeight="false" outlineLevel="0" collapsed="false">
      <c r="A1063" s="0" t="s">
        <v>14</v>
      </c>
      <c r="B1063" s="0" t="s">
        <v>1577</v>
      </c>
      <c r="C1063" s="0" t="s">
        <v>5073</v>
      </c>
    </row>
    <row r="1064" customFormat="false" ht="15" hidden="false" customHeight="false" outlineLevel="0" collapsed="false">
      <c r="A1064" s="0" t="s">
        <v>14</v>
      </c>
      <c r="B1064" s="0" t="s">
        <v>1580</v>
      </c>
      <c r="C1064" s="0" t="s">
        <v>5066</v>
      </c>
      <c r="D1064" s="0" t="n">
        <v>0.3</v>
      </c>
    </row>
    <row r="1065" customFormat="false" ht="15" hidden="false" customHeight="false" outlineLevel="0" collapsed="false">
      <c r="A1065" s="0" t="s">
        <v>14</v>
      </c>
      <c r="B1065" s="0" t="s">
        <v>1580</v>
      </c>
      <c r="C1065" s="0" t="s">
        <v>5072</v>
      </c>
    </row>
    <row r="1066" customFormat="false" ht="15" hidden="false" customHeight="false" outlineLevel="0" collapsed="false">
      <c r="A1066" s="0" t="s">
        <v>14</v>
      </c>
      <c r="B1066" s="0" t="s">
        <v>1580</v>
      </c>
      <c r="C1066" s="0" t="s">
        <v>5073</v>
      </c>
    </row>
    <row r="1067" customFormat="false" ht="15" hidden="false" customHeight="false" outlineLevel="0" collapsed="false">
      <c r="A1067" s="0" t="s">
        <v>14</v>
      </c>
      <c r="B1067" s="0" t="s">
        <v>1585</v>
      </c>
      <c r="C1067" s="0" t="s">
        <v>5066</v>
      </c>
      <c r="D1067" s="0" t="n">
        <v>1.05555555555556</v>
      </c>
    </row>
    <row r="1068" customFormat="false" ht="15" hidden="false" customHeight="false" outlineLevel="0" collapsed="false">
      <c r="A1068" s="0" t="s">
        <v>14</v>
      </c>
      <c r="B1068" s="0" t="s">
        <v>1585</v>
      </c>
      <c r="C1068" s="0" t="s">
        <v>5072</v>
      </c>
      <c r="D1068" s="0" t="n">
        <v>0.844444444444444</v>
      </c>
    </row>
    <row r="1069" customFormat="false" ht="15" hidden="false" customHeight="false" outlineLevel="0" collapsed="false">
      <c r="A1069" s="0" t="s">
        <v>14</v>
      </c>
      <c r="B1069" s="0" t="s">
        <v>1585</v>
      </c>
      <c r="C1069" s="0" t="s">
        <v>5073</v>
      </c>
      <c r="D1069" s="0" t="n">
        <v>1.26666666666667</v>
      </c>
    </row>
    <row r="1070" customFormat="false" ht="15" hidden="false" customHeight="false" outlineLevel="0" collapsed="false">
      <c r="A1070" s="0" t="s">
        <v>14</v>
      </c>
      <c r="B1070" s="0" t="s">
        <v>1590</v>
      </c>
      <c r="C1070" s="0" t="s">
        <v>5066</v>
      </c>
      <c r="D1070" s="0" t="n">
        <v>0.857142857142857</v>
      </c>
    </row>
    <row r="1071" customFormat="false" ht="15" hidden="false" customHeight="false" outlineLevel="0" collapsed="false">
      <c r="A1071" s="0" t="s">
        <v>14</v>
      </c>
      <c r="B1071" s="0" t="s">
        <v>1590</v>
      </c>
      <c r="C1071" s="0" t="s">
        <v>5072</v>
      </c>
      <c r="D1071" s="0" t="n">
        <v>0.8</v>
      </c>
    </row>
    <row r="1072" customFormat="false" ht="15" hidden="false" customHeight="false" outlineLevel="0" collapsed="false">
      <c r="A1072" s="0" t="s">
        <v>14</v>
      </c>
      <c r="B1072" s="0" t="s">
        <v>1590</v>
      </c>
      <c r="C1072" s="0" t="s">
        <v>5073</v>
      </c>
      <c r="D1072" s="0" t="n">
        <v>0.942857142857143</v>
      </c>
    </row>
    <row r="1073" customFormat="false" ht="15" hidden="false" customHeight="false" outlineLevel="0" collapsed="false">
      <c r="A1073" s="0" t="s">
        <v>14</v>
      </c>
      <c r="B1073" s="0" t="s">
        <v>1594</v>
      </c>
      <c r="C1073" s="0" t="s">
        <v>5066</v>
      </c>
      <c r="D1073" s="0" t="n">
        <v>0.008</v>
      </c>
    </row>
    <row r="1074" customFormat="false" ht="15" hidden="false" customHeight="false" outlineLevel="0" collapsed="false">
      <c r="A1074" s="0" t="s">
        <v>14</v>
      </c>
      <c r="B1074" s="0" t="s">
        <v>1594</v>
      </c>
      <c r="C1074" s="0" t="s">
        <v>5072</v>
      </c>
      <c r="D1074" s="0" t="n">
        <v>0.005</v>
      </c>
    </row>
    <row r="1075" customFormat="false" ht="15" hidden="false" customHeight="false" outlineLevel="0" collapsed="false">
      <c r="A1075" s="0" t="s">
        <v>14</v>
      </c>
      <c r="B1075" s="0" t="s">
        <v>1594</v>
      </c>
      <c r="C1075" s="0" t="s">
        <v>5073</v>
      </c>
      <c r="D1075" s="0" t="n">
        <v>0.01</v>
      </c>
    </row>
    <row r="1076" customFormat="false" ht="15" hidden="false" customHeight="false" outlineLevel="0" collapsed="false">
      <c r="A1076" s="0" t="s">
        <v>14</v>
      </c>
      <c r="B1076" s="0" t="s">
        <v>1599</v>
      </c>
      <c r="C1076" s="0" t="s">
        <v>5066</v>
      </c>
      <c r="D1076" s="0" t="n">
        <v>5</v>
      </c>
    </row>
    <row r="1077" customFormat="false" ht="15" hidden="false" customHeight="false" outlineLevel="0" collapsed="false">
      <c r="A1077" s="0" t="s">
        <v>14</v>
      </c>
      <c r="B1077" s="0" t="s">
        <v>1599</v>
      </c>
      <c r="C1077" s="0" t="s">
        <v>5072</v>
      </c>
      <c r="D1077" s="0" t="n">
        <v>3.8</v>
      </c>
    </row>
    <row r="1078" customFormat="false" ht="15" hidden="false" customHeight="false" outlineLevel="0" collapsed="false">
      <c r="A1078" s="0" t="s">
        <v>14</v>
      </c>
      <c r="B1078" s="0" t="s">
        <v>1599</v>
      </c>
      <c r="C1078" s="0" t="s">
        <v>5073</v>
      </c>
      <c r="D1078" s="0" t="n">
        <v>6.1</v>
      </c>
    </row>
    <row r="1079" customFormat="false" ht="15" hidden="false" customHeight="false" outlineLevel="0" collapsed="false">
      <c r="A1079" s="0" t="s">
        <v>14</v>
      </c>
      <c r="B1079" s="0" t="s">
        <v>1604</v>
      </c>
      <c r="C1079" s="0" t="s">
        <v>5066</v>
      </c>
      <c r="D1079" s="0" t="n">
        <v>525600</v>
      </c>
    </row>
    <row r="1080" customFormat="false" ht="15" hidden="false" customHeight="false" outlineLevel="0" collapsed="false">
      <c r="A1080" s="0" t="s">
        <v>14</v>
      </c>
      <c r="B1080" s="0" t="s">
        <v>1604</v>
      </c>
      <c r="C1080" s="0" t="s">
        <v>5072</v>
      </c>
      <c r="D1080" s="0" t="n">
        <v>525600</v>
      </c>
    </row>
    <row r="1081" customFormat="false" ht="15" hidden="false" customHeight="false" outlineLevel="0" collapsed="false">
      <c r="A1081" s="0" t="s">
        <v>14</v>
      </c>
      <c r="B1081" s="0" t="s">
        <v>1604</v>
      </c>
      <c r="C1081" s="0" t="s">
        <v>5073</v>
      </c>
      <c r="D1081" s="0" t="n">
        <v>525600</v>
      </c>
    </row>
    <row r="1082" customFormat="false" ht="15" hidden="false" customHeight="false" outlineLevel="0" collapsed="false">
      <c r="A1082" s="0" t="s">
        <v>14</v>
      </c>
      <c r="B1082" s="0" t="s">
        <v>1609</v>
      </c>
      <c r="C1082" s="0" t="s">
        <v>5066</v>
      </c>
      <c r="D1082" s="0" t="n">
        <v>1000</v>
      </c>
    </row>
    <row r="1083" customFormat="false" ht="15" hidden="false" customHeight="false" outlineLevel="0" collapsed="false">
      <c r="A1083" s="0" t="s">
        <v>14</v>
      </c>
      <c r="B1083" s="0" t="s">
        <v>1609</v>
      </c>
      <c r="C1083" s="0" t="s">
        <v>5072</v>
      </c>
      <c r="D1083" s="0" t="n">
        <v>1000</v>
      </c>
    </row>
    <row r="1084" customFormat="false" ht="15" hidden="false" customHeight="false" outlineLevel="0" collapsed="false">
      <c r="A1084" s="0" t="s">
        <v>14</v>
      </c>
      <c r="B1084" s="0" t="s">
        <v>1609</v>
      </c>
      <c r="C1084" s="0" t="s">
        <v>5073</v>
      </c>
      <c r="D1084" s="0" t="n">
        <v>1000</v>
      </c>
    </row>
    <row r="1085" customFormat="false" ht="15" hidden="false" customHeight="false" outlineLevel="0" collapsed="false">
      <c r="A1085" s="0" t="s">
        <v>14</v>
      </c>
      <c r="B1085" s="0" t="s">
        <v>1614</v>
      </c>
      <c r="C1085" s="0" t="s">
        <v>5066</v>
      </c>
      <c r="D1085" s="0" t="n">
        <v>0.008</v>
      </c>
    </row>
    <row r="1086" customFormat="false" ht="15" hidden="false" customHeight="false" outlineLevel="0" collapsed="false">
      <c r="A1086" s="0" t="s">
        <v>14</v>
      </c>
      <c r="B1086" s="0" t="s">
        <v>1614</v>
      </c>
      <c r="C1086" s="0" t="s">
        <v>5072</v>
      </c>
      <c r="D1086" s="0" t="n">
        <v>0.005</v>
      </c>
    </row>
    <row r="1087" customFormat="false" ht="15" hidden="false" customHeight="false" outlineLevel="0" collapsed="false">
      <c r="A1087" s="0" t="s">
        <v>14</v>
      </c>
      <c r="B1087" s="0" t="s">
        <v>1614</v>
      </c>
      <c r="C1087" s="0" t="s">
        <v>5073</v>
      </c>
      <c r="D1087" s="0" t="n">
        <v>0.02</v>
      </c>
    </row>
    <row r="1088" customFormat="false" ht="15" hidden="false" customHeight="false" outlineLevel="0" collapsed="false">
      <c r="A1088" s="0" t="s">
        <v>14</v>
      </c>
      <c r="B1088" s="0" t="s">
        <v>1618</v>
      </c>
      <c r="C1088" s="0" t="s">
        <v>5066</v>
      </c>
      <c r="D1088" s="0" t="n">
        <v>0.008</v>
      </c>
    </row>
    <row r="1089" customFormat="false" ht="15" hidden="false" customHeight="false" outlineLevel="0" collapsed="false">
      <c r="A1089" s="0" t="s">
        <v>14</v>
      </c>
      <c r="B1089" s="0" t="s">
        <v>1618</v>
      </c>
      <c r="C1089" s="0" t="s">
        <v>5072</v>
      </c>
      <c r="D1089" s="0" t="n">
        <v>0.005</v>
      </c>
    </row>
    <row r="1090" customFormat="false" ht="15" hidden="false" customHeight="false" outlineLevel="0" collapsed="false">
      <c r="A1090" s="0" t="s">
        <v>14</v>
      </c>
      <c r="B1090" s="0" t="s">
        <v>1618</v>
      </c>
      <c r="C1090" s="0" t="s">
        <v>5073</v>
      </c>
      <c r="D1090" s="0" t="n">
        <v>0.02</v>
      </c>
    </row>
    <row r="1091" customFormat="false" ht="15" hidden="false" customHeight="false" outlineLevel="0" collapsed="false">
      <c r="A1091" s="0" t="s">
        <v>14</v>
      </c>
      <c r="B1091" s="0" t="s">
        <v>1619</v>
      </c>
      <c r="C1091" s="0" t="s">
        <v>5066</v>
      </c>
      <c r="D1091" s="0" t="n">
        <v>0.008</v>
      </c>
    </row>
    <row r="1092" customFormat="false" ht="15" hidden="false" customHeight="false" outlineLevel="0" collapsed="false">
      <c r="A1092" s="0" t="s">
        <v>14</v>
      </c>
      <c r="B1092" s="0" t="s">
        <v>1619</v>
      </c>
      <c r="C1092" s="0" t="s">
        <v>5072</v>
      </c>
      <c r="D1092" s="0" t="n">
        <v>0.005</v>
      </c>
    </row>
    <row r="1093" customFormat="false" ht="15" hidden="false" customHeight="false" outlineLevel="0" collapsed="false">
      <c r="A1093" s="0" t="s">
        <v>14</v>
      </c>
      <c r="B1093" s="0" t="s">
        <v>1619</v>
      </c>
      <c r="C1093" s="0" t="s">
        <v>5073</v>
      </c>
      <c r="D1093" s="0" t="n">
        <v>0.02</v>
      </c>
    </row>
    <row r="1094" customFormat="false" ht="15" hidden="false" customHeight="false" outlineLevel="0" collapsed="false">
      <c r="A1094" s="0" t="s">
        <v>14</v>
      </c>
      <c r="B1094" s="0" t="s">
        <v>1620</v>
      </c>
      <c r="C1094" s="0" t="s">
        <v>5066</v>
      </c>
      <c r="D1094" s="0" t="n">
        <v>0.008</v>
      </c>
    </row>
    <row r="1095" customFormat="false" ht="15" hidden="false" customHeight="false" outlineLevel="0" collapsed="false">
      <c r="A1095" s="0" t="s">
        <v>14</v>
      </c>
      <c r="B1095" s="0" t="s">
        <v>1620</v>
      </c>
      <c r="C1095" s="0" t="s">
        <v>5072</v>
      </c>
      <c r="D1095" s="0" t="n">
        <v>0.005</v>
      </c>
    </row>
    <row r="1096" customFormat="false" ht="15" hidden="false" customHeight="false" outlineLevel="0" collapsed="false">
      <c r="A1096" s="0" t="s">
        <v>14</v>
      </c>
      <c r="B1096" s="0" t="s">
        <v>1620</v>
      </c>
      <c r="C1096" s="0" t="s">
        <v>5073</v>
      </c>
      <c r="D1096" s="0" t="n">
        <v>0.02</v>
      </c>
    </row>
    <row r="1097" customFormat="false" ht="15" hidden="false" customHeight="false" outlineLevel="0" collapsed="false">
      <c r="A1097" s="0" t="s">
        <v>14</v>
      </c>
      <c r="B1097" s="0" t="s">
        <v>1621</v>
      </c>
      <c r="C1097" s="0" t="s">
        <v>5066</v>
      </c>
      <c r="D1097" s="0" t="n">
        <v>2</v>
      </c>
    </row>
    <row r="1098" customFormat="false" ht="15" hidden="false" customHeight="false" outlineLevel="0" collapsed="false">
      <c r="A1098" s="0" t="s">
        <v>14</v>
      </c>
      <c r="B1098" s="0" t="s">
        <v>1621</v>
      </c>
      <c r="C1098" s="0" t="s">
        <v>5072</v>
      </c>
      <c r="D1098" s="0" t="n">
        <v>2</v>
      </c>
    </row>
    <row r="1099" customFormat="false" ht="15" hidden="false" customHeight="false" outlineLevel="0" collapsed="false">
      <c r="A1099" s="0" t="s">
        <v>14</v>
      </c>
      <c r="B1099" s="0" t="s">
        <v>1621</v>
      </c>
      <c r="C1099" s="0" t="s">
        <v>5073</v>
      </c>
      <c r="D1099" s="0" t="n">
        <v>5</v>
      </c>
    </row>
    <row r="1100" customFormat="false" ht="15" hidden="false" customHeight="false" outlineLevel="0" collapsed="false">
      <c r="A1100" s="0" t="s">
        <v>14</v>
      </c>
      <c r="B1100" s="0" t="s">
        <v>1626</v>
      </c>
      <c r="C1100" s="0" t="s">
        <v>5066</v>
      </c>
      <c r="D1100" s="0" t="n">
        <v>1</v>
      </c>
    </row>
    <row r="1101" customFormat="false" ht="15" hidden="false" customHeight="false" outlineLevel="0" collapsed="false">
      <c r="A1101" s="0" t="s">
        <v>14</v>
      </c>
      <c r="B1101" s="0" t="s">
        <v>1626</v>
      </c>
      <c r="C1101" s="0" t="s">
        <v>5072</v>
      </c>
      <c r="D1101" s="0" t="n">
        <v>0</v>
      </c>
    </row>
    <row r="1102" customFormat="false" ht="15" hidden="false" customHeight="false" outlineLevel="0" collapsed="false">
      <c r="A1102" s="0" t="s">
        <v>14</v>
      </c>
      <c r="B1102" s="0" t="s">
        <v>1626</v>
      </c>
      <c r="C1102" s="0" t="s">
        <v>5073</v>
      </c>
      <c r="D1102" s="0" t="n">
        <v>1</v>
      </c>
    </row>
    <row r="1103" customFormat="false" ht="15" hidden="false" customHeight="false" outlineLevel="0" collapsed="false">
      <c r="A1103" s="0" t="s">
        <v>14</v>
      </c>
      <c r="B1103" s="0" t="s">
        <v>1631</v>
      </c>
      <c r="C1103" s="0" t="s">
        <v>5066</v>
      </c>
      <c r="D1103" s="0" t="n">
        <v>0</v>
      </c>
    </row>
    <row r="1104" customFormat="false" ht="15" hidden="false" customHeight="false" outlineLevel="0" collapsed="false">
      <c r="A1104" s="0" t="s">
        <v>14</v>
      </c>
      <c r="B1104" s="0" t="s">
        <v>1631</v>
      </c>
      <c r="C1104" s="0" t="s">
        <v>5072</v>
      </c>
      <c r="D1104" s="0" t="n">
        <v>-91</v>
      </c>
    </row>
    <row r="1105" customFormat="false" ht="15" hidden="false" customHeight="false" outlineLevel="0" collapsed="false">
      <c r="A1105" s="0" t="s">
        <v>14</v>
      </c>
      <c r="B1105" s="0" t="s">
        <v>1631</v>
      </c>
      <c r="C1105" s="0" t="s">
        <v>5073</v>
      </c>
      <c r="D1105" s="0" t="n">
        <v>91</v>
      </c>
    </row>
    <row r="1106" customFormat="false" ht="15" hidden="false" customHeight="false" outlineLevel="0" collapsed="false">
      <c r="A1106" s="0" t="s">
        <v>14</v>
      </c>
      <c r="B1106" s="0" t="s">
        <v>1638</v>
      </c>
      <c r="C1106" s="0" t="s">
        <v>5066</v>
      </c>
      <c r="D1106" s="0" t="n">
        <v>0</v>
      </c>
    </row>
    <row r="1107" customFormat="false" ht="15" hidden="false" customHeight="false" outlineLevel="0" collapsed="false">
      <c r="A1107" s="0" t="s">
        <v>14</v>
      </c>
      <c r="B1107" s="0" t="s">
        <v>1638</v>
      </c>
      <c r="C1107" s="0" t="s">
        <v>5072</v>
      </c>
      <c r="D1107" s="0" t="n">
        <v>-91</v>
      </c>
    </row>
    <row r="1108" customFormat="false" ht="15" hidden="false" customHeight="false" outlineLevel="0" collapsed="false">
      <c r="A1108" s="0" t="s">
        <v>14</v>
      </c>
      <c r="B1108" s="0" t="s">
        <v>1638</v>
      </c>
      <c r="C1108" s="0" t="s">
        <v>5073</v>
      </c>
      <c r="D1108" s="0" t="n">
        <v>91</v>
      </c>
    </row>
    <row r="1109" customFormat="false" ht="15" hidden="false" customHeight="false" outlineLevel="0" collapsed="false">
      <c r="A1109" s="0" t="s">
        <v>14</v>
      </c>
      <c r="B1109" s="0" t="s">
        <v>1640</v>
      </c>
      <c r="C1109" s="0" t="s">
        <v>5066</v>
      </c>
      <c r="D1109" s="0" t="n">
        <v>0</v>
      </c>
    </row>
    <row r="1110" customFormat="false" ht="15" hidden="false" customHeight="false" outlineLevel="0" collapsed="false">
      <c r="A1110" s="0" t="s">
        <v>14</v>
      </c>
      <c r="B1110" s="0" t="s">
        <v>1640</v>
      </c>
      <c r="C1110" s="0" t="s">
        <v>5072</v>
      </c>
      <c r="D1110" s="0" t="n">
        <v>-91</v>
      </c>
    </row>
    <row r="1111" customFormat="false" ht="15" hidden="false" customHeight="false" outlineLevel="0" collapsed="false">
      <c r="A1111" s="0" t="s">
        <v>14</v>
      </c>
      <c r="B1111" s="0" t="s">
        <v>1640</v>
      </c>
      <c r="C1111" s="0" t="s">
        <v>5073</v>
      </c>
      <c r="D1111" s="0" t="n">
        <v>91</v>
      </c>
    </row>
    <row r="1112" customFormat="false" ht="15" hidden="false" customHeight="false" outlineLevel="0" collapsed="false">
      <c r="A1112" s="0" t="s">
        <v>14</v>
      </c>
      <c r="B1112" s="0" t="s">
        <v>1642</v>
      </c>
      <c r="C1112" s="0" t="s">
        <v>5066</v>
      </c>
      <c r="D1112" s="0" t="n">
        <v>0</v>
      </c>
    </row>
    <row r="1113" customFormat="false" ht="15" hidden="false" customHeight="false" outlineLevel="0" collapsed="false">
      <c r="A1113" s="0" t="s">
        <v>14</v>
      </c>
      <c r="B1113" s="0" t="s">
        <v>1642</v>
      </c>
      <c r="C1113" s="0" t="s">
        <v>5072</v>
      </c>
      <c r="D1113" s="0" t="n">
        <v>-91</v>
      </c>
    </row>
    <row r="1114" customFormat="false" ht="15" hidden="false" customHeight="false" outlineLevel="0" collapsed="false">
      <c r="A1114" s="0" t="s">
        <v>14</v>
      </c>
      <c r="B1114" s="0" t="s">
        <v>1642</v>
      </c>
      <c r="C1114" s="0" t="s">
        <v>5073</v>
      </c>
      <c r="D1114" s="0" t="n">
        <v>91</v>
      </c>
    </row>
    <row r="1115" customFormat="false" ht="15" hidden="false" customHeight="false" outlineLevel="0" collapsed="false">
      <c r="A1115" s="0" t="s">
        <v>14</v>
      </c>
      <c r="B1115" s="0" t="s">
        <v>1644</v>
      </c>
      <c r="C1115" s="0" t="s">
        <v>5066</v>
      </c>
      <c r="D1115" s="0" t="n">
        <v>46023</v>
      </c>
    </row>
    <row r="1116" customFormat="false" ht="15" hidden="false" customHeight="false" outlineLevel="0" collapsed="false">
      <c r="A1116" s="0" t="s">
        <v>14</v>
      </c>
      <c r="B1116" s="0" t="s">
        <v>1644</v>
      </c>
      <c r="C1116" s="0" t="s">
        <v>5072</v>
      </c>
      <c r="D1116" s="0" t="n">
        <v>46023</v>
      </c>
    </row>
    <row r="1117" customFormat="false" ht="15" hidden="false" customHeight="false" outlineLevel="0" collapsed="false">
      <c r="A1117" s="0" t="s">
        <v>14</v>
      </c>
      <c r="B1117" s="0" t="s">
        <v>1644</v>
      </c>
      <c r="C1117" s="0" t="s">
        <v>5073</v>
      </c>
      <c r="D1117" s="0" t="n">
        <v>46023</v>
      </c>
    </row>
    <row r="1118" customFormat="false" ht="15" hidden="false" customHeight="false" outlineLevel="0" collapsed="false">
      <c r="A1118" s="0" t="s">
        <v>14</v>
      </c>
      <c r="B1118" s="0" t="s">
        <v>1649</v>
      </c>
      <c r="C1118" s="0" t="s">
        <v>5066</v>
      </c>
      <c r="D1118" s="0" t="n">
        <v>365</v>
      </c>
    </row>
    <row r="1119" customFormat="false" ht="15" hidden="false" customHeight="false" outlineLevel="0" collapsed="false">
      <c r="A1119" s="0" t="s">
        <v>14</v>
      </c>
      <c r="B1119" s="0" t="s">
        <v>1649</v>
      </c>
      <c r="C1119" s="0" t="s">
        <v>5072</v>
      </c>
      <c r="D1119" s="0" t="n">
        <v>365</v>
      </c>
    </row>
    <row r="1120" customFormat="false" ht="15" hidden="false" customHeight="false" outlineLevel="0" collapsed="false">
      <c r="A1120" s="0" t="s">
        <v>14</v>
      </c>
      <c r="B1120" s="0" t="s">
        <v>1649</v>
      </c>
      <c r="C1120" s="0" t="s">
        <v>5073</v>
      </c>
      <c r="D1120" s="0" t="n">
        <v>365</v>
      </c>
    </row>
    <row r="1121" customFormat="false" ht="15" hidden="false" customHeight="false" outlineLevel="0" collapsed="false">
      <c r="A1121" s="0" t="s">
        <v>14</v>
      </c>
      <c r="B1121" s="0" t="s">
        <v>1652</v>
      </c>
      <c r="C1121" s="0" t="s">
        <v>5066</v>
      </c>
      <c r="D1121" s="0" t="n">
        <v>12</v>
      </c>
    </row>
    <row r="1122" customFormat="false" ht="15" hidden="false" customHeight="false" outlineLevel="0" collapsed="false">
      <c r="A1122" s="0" t="s">
        <v>14</v>
      </c>
      <c r="B1122" s="0" t="s">
        <v>1652</v>
      </c>
      <c r="C1122" s="0" t="s">
        <v>5072</v>
      </c>
      <c r="D1122" s="0" t="n">
        <v>12</v>
      </c>
    </row>
    <row r="1123" customFormat="false" ht="15" hidden="false" customHeight="false" outlineLevel="0" collapsed="false">
      <c r="A1123" s="0" t="s">
        <v>14</v>
      </c>
      <c r="B1123" s="0" t="s">
        <v>1652</v>
      </c>
      <c r="C1123" s="0" t="s">
        <v>5073</v>
      </c>
      <c r="D1123" s="0" t="n">
        <v>12</v>
      </c>
    </row>
    <row r="1124" customFormat="false" ht="15" hidden="false" customHeight="false" outlineLevel="0" collapsed="false">
      <c r="A1124" s="0" t="s">
        <v>14</v>
      </c>
      <c r="B1124" s="0" t="s">
        <v>1656</v>
      </c>
      <c r="C1124" s="0" t="s">
        <v>5066</v>
      </c>
      <c r="D1124" s="0" t="n">
        <v>1000</v>
      </c>
    </row>
    <row r="1125" customFormat="false" ht="15" hidden="false" customHeight="false" outlineLevel="0" collapsed="false">
      <c r="A1125" s="0" t="s">
        <v>14</v>
      </c>
      <c r="B1125" s="0" t="s">
        <v>1656</v>
      </c>
      <c r="C1125" s="0" t="s">
        <v>5072</v>
      </c>
      <c r="D1125" s="0" t="n">
        <v>1000</v>
      </c>
    </row>
    <row r="1126" customFormat="false" ht="15" hidden="false" customHeight="false" outlineLevel="0" collapsed="false">
      <c r="A1126" s="0" t="s">
        <v>14</v>
      </c>
      <c r="B1126" s="0" t="s">
        <v>1656</v>
      </c>
      <c r="C1126" s="0" t="s">
        <v>5073</v>
      </c>
      <c r="D1126" s="0" t="n">
        <v>1000</v>
      </c>
    </row>
    <row r="1127" customFormat="false" ht="15" hidden="false" customHeight="false" outlineLevel="0" collapsed="false">
      <c r="A1127" s="0" t="s">
        <v>14</v>
      </c>
      <c r="B1127" s="0" t="s">
        <v>1660</v>
      </c>
      <c r="C1127" s="0" t="s">
        <v>5066</v>
      </c>
      <c r="D1127" s="0" t="n">
        <v>1000000</v>
      </c>
    </row>
    <row r="1128" customFormat="false" ht="15" hidden="false" customHeight="false" outlineLevel="0" collapsed="false">
      <c r="A1128" s="0" t="s">
        <v>14</v>
      </c>
      <c r="B1128" s="0" t="s">
        <v>1660</v>
      </c>
      <c r="C1128" s="0" t="s">
        <v>5072</v>
      </c>
      <c r="D1128" s="0" t="n">
        <v>1000000</v>
      </c>
    </row>
    <row r="1129" customFormat="false" ht="15" hidden="false" customHeight="false" outlineLevel="0" collapsed="false">
      <c r="A1129" s="0" t="s">
        <v>14</v>
      </c>
      <c r="B1129" s="0" t="s">
        <v>1660</v>
      </c>
      <c r="C1129" s="0" t="s">
        <v>5073</v>
      </c>
      <c r="D1129" s="0" t="n">
        <v>1000000</v>
      </c>
    </row>
    <row r="1130" customFormat="false" ht="15" hidden="false" customHeight="false" outlineLevel="0" collapsed="false">
      <c r="A1130" s="0" t="s">
        <v>14</v>
      </c>
      <c r="B1130" s="0" t="s">
        <v>1664</v>
      </c>
      <c r="C1130" s="0" t="s">
        <v>5066</v>
      </c>
      <c r="D1130" s="0" t="n">
        <v>6</v>
      </c>
    </row>
    <row r="1131" customFormat="false" ht="15" hidden="false" customHeight="false" outlineLevel="0" collapsed="false">
      <c r="A1131" s="0" t="s">
        <v>14</v>
      </c>
      <c r="B1131" s="0" t="s">
        <v>1664</v>
      </c>
      <c r="C1131" s="0" t="s">
        <v>5072</v>
      </c>
      <c r="D1131" s="0" t="n">
        <v>6</v>
      </c>
    </row>
    <row r="1132" customFormat="false" ht="15" hidden="false" customHeight="false" outlineLevel="0" collapsed="false">
      <c r="A1132" s="0" t="s">
        <v>14</v>
      </c>
      <c r="B1132" s="0" t="s">
        <v>1664</v>
      </c>
      <c r="C1132" s="0" t="s">
        <v>5073</v>
      </c>
      <c r="D1132" s="0" t="n">
        <v>6</v>
      </c>
    </row>
    <row r="1133" customFormat="false" ht="15" hidden="false" customHeight="false" outlineLevel="0" collapsed="false">
      <c r="A1133" s="0" t="s">
        <v>14</v>
      </c>
      <c r="B1133" s="0" t="s">
        <v>1667</v>
      </c>
      <c r="C1133" s="0" t="s">
        <v>5066</v>
      </c>
      <c r="D1133" s="0" t="n">
        <v>0</v>
      </c>
    </row>
    <row r="1134" customFormat="false" ht="15" hidden="false" customHeight="false" outlineLevel="0" collapsed="false">
      <c r="A1134" s="0" t="s">
        <v>14</v>
      </c>
      <c r="B1134" s="0" t="s">
        <v>1667</v>
      </c>
      <c r="C1134" s="0" t="s">
        <v>5072</v>
      </c>
      <c r="D1134" s="0" t="n">
        <v>0</v>
      </c>
    </row>
    <row r="1135" customFormat="false" ht="15" hidden="false" customHeight="false" outlineLevel="0" collapsed="false">
      <c r="A1135" s="0" t="s">
        <v>14</v>
      </c>
      <c r="B1135" s="0" t="s">
        <v>1667</v>
      </c>
      <c r="C1135" s="0" t="s">
        <v>5073</v>
      </c>
      <c r="D1135" s="0" t="n">
        <v>0.8</v>
      </c>
    </row>
    <row r="1136" customFormat="false" ht="15" hidden="false" customHeight="false" outlineLevel="0" collapsed="false">
      <c r="A1136" s="0" t="s">
        <v>14</v>
      </c>
      <c r="B1136" s="0" t="s">
        <v>1672</v>
      </c>
      <c r="C1136" s="0" t="s">
        <v>5066</v>
      </c>
      <c r="D1136" s="0" t="n">
        <v>0.5</v>
      </c>
    </row>
    <row r="1137" customFormat="false" ht="15" hidden="false" customHeight="false" outlineLevel="0" collapsed="false">
      <c r="A1137" s="0" t="s">
        <v>14</v>
      </c>
      <c r="B1137" s="0" t="s">
        <v>1672</v>
      </c>
      <c r="C1137" s="0" t="s">
        <v>5072</v>
      </c>
      <c r="D1137" s="0" t="n">
        <v>0</v>
      </c>
    </row>
    <row r="1138" customFormat="false" ht="15" hidden="false" customHeight="false" outlineLevel="0" collapsed="false">
      <c r="A1138" s="0" t="s">
        <v>14</v>
      </c>
      <c r="B1138" s="0" t="s">
        <v>1672</v>
      </c>
      <c r="C1138" s="0" t="s">
        <v>5073</v>
      </c>
      <c r="D1138" s="0" t="n">
        <v>0.8</v>
      </c>
    </row>
    <row r="1139" customFormat="false" ht="15" hidden="false" customHeight="false" outlineLevel="0" collapsed="false">
      <c r="A1139" s="0" t="s">
        <v>14</v>
      </c>
      <c r="B1139" s="0" t="s">
        <v>1675</v>
      </c>
      <c r="C1139" s="0" t="s">
        <v>5066</v>
      </c>
      <c r="D1139" s="0" t="n">
        <v>0</v>
      </c>
    </row>
    <row r="1140" customFormat="false" ht="15" hidden="false" customHeight="false" outlineLevel="0" collapsed="false">
      <c r="A1140" s="0" t="s">
        <v>14</v>
      </c>
      <c r="B1140" s="0" t="s">
        <v>1675</v>
      </c>
      <c r="C1140" s="0" t="s">
        <v>5072</v>
      </c>
      <c r="D1140" s="0" t="n">
        <v>0</v>
      </c>
    </row>
    <row r="1141" customFormat="false" ht="15" hidden="false" customHeight="false" outlineLevel="0" collapsed="false">
      <c r="A1141" s="0" t="s">
        <v>14</v>
      </c>
      <c r="B1141" s="0" t="s">
        <v>1675</v>
      </c>
      <c r="C1141" s="0" t="s">
        <v>5073</v>
      </c>
      <c r="D1141" s="0" t="n">
        <v>1</v>
      </c>
    </row>
    <row r="1142" customFormat="false" ht="15" hidden="false" customHeight="false" outlineLevel="0" collapsed="false">
      <c r="A1142" s="0" t="s">
        <v>14</v>
      </c>
      <c r="B1142" s="0" t="s">
        <v>1682</v>
      </c>
      <c r="C1142" s="0" t="s">
        <v>5066</v>
      </c>
      <c r="D1142" s="0" t="n">
        <v>1</v>
      </c>
    </row>
    <row r="1143" customFormat="false" ht="15" hidden="false" customHeight="false" outlineLevel="0" collapsed="false">
      <c r="A1143" s="0" t="s">
        <v>14</v>
      </c>
      <c r="B1143" s="0" t="s">
        <v>1682</v>
      </c>
      <c r="C1143" s="0" t="s">
        <v>5072</v>
      </c>
      <c r="D1143" s="0" t="n">
        <v>1</v>
      </c>
    </row>
    <row r="1144" customFormat="false" ht="15" hidden="false" customHeight="false" outlineLevel="0" collapsed="false">
      <c r="A1144" s="0" t="s">
        <v>14</v>
      </c>
      <c r="B1144" s="0" t="s">
        <v>1682</v>
      </c>
      <c r="C1144" s="0" t="s">
        <v>5073</v>
      </c>
      <c r="D1144" s="0" t="n">
        <v>1</v>
      </c>
    </row>
    <row r="1145" customFormat="false" ht="15" hidden="false" customHeight="false" outlineLevel="0" collapsed="false">
      <c r="A1145" s="0" t="s">
        <v>14</v>
      </c>
      <c r="B1145" s="0" t="s">
        <v>1685</v>
      </c>
      <c r="C1145" s="0" t="s">
        <v>5066</v>
      </c>
      <c r="D1145" s="0" t="n">
        <v>2030</v>
      </c>
    </row>
    <row r="1146" customFormat="false" ht="15" hidden="false" customHeight="false" outlineLevel="0" collapsed="false">
      <c r="A1146" s="0" t="s">
        <v>14</v>
      </c>
      <c r="B1146" s="0" t="s">
        <v>1685</v>
      </c>
      <c r="C1146" s="0" t="s">
        <v>5072</v>
      </c>
      <c r="D1146" s="0" t="n">
        <v>2030</v>
      </c>
    </row>
    <row r="1147" customFormat="false" ht="15" hidden="false" customHeight="false" outlineLevel="0" collapsed="false">
      <c r="A1147" s="0" t="s">
        <v>14</v>
      </c>
      <c r="B1147" s="0" t="s">
        <v>1685</v>
      </c>
      <c r="C1147" s="0" t="s">
        <v>5073</v>
      </c>
      <c r="D1147" s="0" t="n">
        <v>2030</v>
      </c>
    </row>
    <row r="1148" customFormat="false" ht="15" hidden="false" customHeight="false" outlineLevel="0" collapsed="false">
      <c r="A1148" s="0" t="s">
        <v>14</v>
      </c>
      <c r="B1148" s="0" t="s">
        <v>1688</v>
      </c>
      <c r="C1148" s="0" t="s">
        <v>5066</v>
      </c>
      <c r="D1148" s="0" t="n">
        <v>2</v>
      </c>
    </row>
    <row r="1149" customFormat="false" ht="15" hidden="false" customHeight="false" outlineLevel="0" collapsed="false">
      <c r="A1149" s="0" t="s">
        <v>14</v>
      </c>
      <c r="B1149" s="0" t="s">
        <v>1688</v>
      </c>
      <c r="C1149" s="0" t="s">
        <v>5072</v>
      </c>
      <c r="D1149" s="0" t="n">
        <v>2</v>
      </c>
    </row>
    <row r="1150" customFormat="false" ht="15" hidden="false" customHeight="false" outlineLevel="0" collapsed="false">
      <c r="A1150" s="0" t="s">
        <v>14</v>
      </c>
      <c r="B1150" s="0" t="s">
        <v>1688</v>
      </c>
      <c r="C1150" s="0" t="s">
        <v>5073</v>
      </c>
      <c r="D1150" s="0" t="n">
        <v>2</v>
      </c>
    </row>
    <row r="1151" customFormat="false" ht="15" hidden="false" customHeight="false" outlineLevel="0" collapsed="false">
      <c r="A1151" s="0" t="s">
        <v>14</v>
      </c>
      <c r="B1151" s="0" t="s">
        <v>1693</v>
      </c>
      <c r="C1151" s="0" t="s">
        <v>5066</v>
      </c>
      <c r="D1151" s="0" t="n">
        <v>1</v>
      </c>
    </row>
    <row r="1152" customFormat="false" ht="15" hidden="false" customHeight="false" outlineLevel="0" collapsed="false">
      <c r="A1152" s="0" t="s">
        <v>14</v>
      </c>
      <c r="B1152" s="0" t="s">
        <v>1693</v>
      </c>
      <c r="C1152" s="0" t="s">
        <v>5072</v>
      </c>
      <c r="D1152" s="0" t="n">
        <v>1</v>
      </c>
    </row>
    <row r="1153" customFormat="false" ht="15" hidden="false" customHeight="false" outlineLevel="0" collapsed="false">
      <c r="A1153" s="0" t="s">
        <v>14</v>
      </c>
      <c r="B1153" s="0" t="s">
        <v>1693</v>
      </c>
      <c r="C1153" s="0" t="s">
        <v>5073</v>
      </c>
      <c r="D1153" s="0" t="n">
        <v>2</v>
      </c>
    </row>
    <row r="1154" customFormat="false" ht="15" hidden="false" customHeight="false" outlineLevel="0" collapsed="false">
      <c r="A1154" s="0" t="s">
        <v>14</v>
      </c>
      <c r="B1154" s="0" t="s">
        <v>1699</v>
      </c>
      <c r="C1154" s="0" t="s">
        <v>5066</v>
      </c>
      <c r="D1154" s="0" t="n">
        <v>0.55</v>
      </c>
    </row>
    <row r="1155" customFormat="false" ht="15" hidden="false" customHeight="false" outlineLevel="0" collapsed="false">
      <c r="A1155" s="0" t="s">
        <v>14</v>
      </c>
      <c r="B1155" s="0" t="s">
        <v>1699</v>
      </c>
      <c r="C1155" s="0" t="s">
        <v>5072</v>
      </c>
      <c r="D1155" s="0" t="n">
        <v>0.3</v>
      </c>
    </row>
    <row r="1156" customFormat="false" ht="15" hidden="false" customHeight="false" outlineLevel="0" collapsed="false">
      <c r="A1156" s="0" t="s">
        <v>14</v>
      </c>
      <c r="B1156" s="0" t="s">
        <v>1699</v>
      </c>
      <c r="C1156" s="0" t="s">
        <v>5073</v>
      </c>
      <c r="D1156" s="0" t="n">
        <v>0.8</v>
      </c>
    </row>
    <row r="1157" customFormat="false" ht="15" hidden="false" customHeight="false" outlineLevel="0" collapsed="false">
      <c r="A1157" s="0" t="s">
        <v>14</v>
      </c>
      <c r="B1157" s="0" t="s">
        <v>1705</v>
      </c>
      <c r="C1157" s="0" t="s">
        <v>5066</v>
      </c>
      <c r="D1157" s="0" t="n">
        <v>0.3</v>
      </c>
    </row>
    <row r="1158" customFormat="false" ht="15" hidden="false" customHeight="false" outlineLevel="0" collapsed="false">
      <c r="A1158" s="0" t="s">
        <v>14</v>
      </c>
      <c r="B1158" s="0" t="s">
        <v>1705</v>
      </c>
      <c r="C1158" s="0" t="s">
        <v>5072</v>
      </c>
      <c r="D1158" s="0" t="n">
        <v>0.1</v>
      </c>
    </row>
    <row r="1159" customFormat="false" ht="15" hidden="false" customHeight="false" outlineLevel="0" collapsed="false">
      <c r="A1159" s="0" t="s">
        <v>14</v>
      </c>
      <c r="B1159" s="0" t="s">
        <v>1705</v>
      </c>
      <c r="C1159" s="0" t="s">
        <v>5073</v>
      </c>
      <c r="D1159" s="0" t="n">
        <v>0.5</v>
      </c>
    </row>
    <row r="1160" customFormat="false" ht="15" hidden="false" customHeight="false" outlineLevel="0" collapsed="false">
      <c r="A1160" s="0" t="s">
        <v>14</v>
      </c>
      <c r="B1160" s="0" t="s">
        <v>1707</v>
      </c>
      <c r="C1160" s="0" t="s">
        <v>5066</v>
      </c>
      <c r="D1160" s="0" t="n">
        <v>0.2</v>
      </c>
    </row>
    <row r="1161" customFormat="false" ht="15" hidden="false" customHeight="false" outlineLevel="0" collapsed="false">
      <c r="A1161" s="0" t="s">
        <v>14</v>
      </c>
      <c r="B1161" s="0" t="s">
        <v>1707</v>
      </c>
      <c r="C1161" s="0" t="s">
        <v>5072</v>
      </c>
      <c r="D1161" s="0" t="n">
        <v>0.05</v>
      </c>
    </row>
    <row r="1162" customFormat="false" ht="15" hidden="false" customHeight="false" outlineLevel="0" collapsed="false">
      <c r="A1162" s="0" t="s">
        <v>14</v>
      </c>
      <c r="B1162" s="0" t="s">
        <v>1707</v>
      </c>
      <c r="C1162" s="0" t="s">
        <v>5073</v>
      </c>
      <c r="D1162" s="0" t="n">
        <v>0.35</v>
      </c>
    </row>
    <row r="1163" customFormat="false" ht="15" hidden="false" customHeight="false" outlineLevel="0" collapsed="false">
      <c r="A1163" s="0" t="s">
        <v>14</v>
      </c>
      <c r="B1163" s="0" t="s">
        <v>1708</v>
      </c>
      <c r="C1163" s="0" t="s">
        <v>5066</v>
      </c>
      <c r="D1163" s="0" t="n">
        <v>0.15</v>
      </c>
    </row>
    <row r="1164" customFormat="false" ht="15" hidden="false" customHeight="false" outlineLevel="0" collapsed="false">
      <c r="A1164" s="0" t="s">
        <v>14</v>
      </c>
      <c r="B1164" s="0" t="s">
        <v>1708</v>
      </c>
      <c r="C1164" s="0" t="s">
        <v>5072</v>
      </c>
      <c r="D1164" s="0" t="n">
        <v>0</v>
      </c>
    </row>
    <row r="1165" customFormat="false" ht="15" hidden="false" customHeight="false" outlineLevel="0" collapsed="false">
      <c r="A1165" s="0" t="s">
        <v>14</v>
      </c>
      <c r="B1165" s="0" t="s">
        <v>1708</v>
      </c>
      <c r="C1165" s="0" t="s">
        <v>5073</v>
      </c>
      <c r="D1165" s="0" t="n">
        <v>0.3</v>
      </c>
    </row>
    <row r="1166" customFormat="false" ht="15" hidden="false" customHeight="false" outlineLevel="0" collapsed="false">
      <c r="A1166" s="0" t="s">
        <v>14</v>
      </c>
      <c r="B1166" s="0" t="s">
        <v>1709</v>
      </c>
      <c r="C1166" s="0" t="s">
        <v>5066</v>
      </c>
      <c r="D1166" s="0" t="n">
        <v>0.1</v>
      </c>
    </row>
    <row r="1167" customFormat="false" ht="15" hidden="false" customHeight="false" outlineLevel="0" collapsed="false">
      <c r="A1167" s="0" t="s">
        <v>14</v>
      </c>
      <c r="B1167" s="0" t="s">
        <v>1709</v>
      </c>
      <c r="C1167" s="0" t="s">
        <v>5072</v>
      </c>
      <c r="D1167" s="0" t="n">
        <v>0</v>
      </c>
    </row>
    <row r="1168" customFormat="false" ht="15" hidden="false" customHeight="false" outlineLevel="0" collapsed="false">
      <c r="A1168" s="0" t="s">
        <v>14</v>
      </c>
      <c r="B1168" s="0" t="s">
        <v>1709</v>
      </c>
      <c r="C1168" s="0" t="s">
        <v>5073</v>
      </c>
      <c r="D1168" s="0" t="n">
        <v>0.25</v>
      </c>
    </row>
    <row r="1169" customFormat="false" ht="15" hidden="false" customHeight="false" outlineLevel="0" collapsed="false">
      <c r="A1169" s="0" t="s">
        <v>14</v>
      </c>
      <c r="B1169" s="0" t="s">
        <v>1710</v>
      </c>
      <c r="C1169" s="0" t="s">
        <v>5066</v>
      </c>
      <c r="D1169" s="0" t="n">
        <v>0.03</v>
      </c>
    </row>
    <row r="1170" customFormat="false" ht="15" hidden="false" customHeight="false" outlineLevel="0" collapsed="false">
      <c r="A1170" s="0" t="s">
        <v>14</v>
      </c>
      <c r="B1170" s="0" t="s">
        <v>1710</v>
      </c>
      <c r="C1170" s="0" t="s">
        <v>5072</v>
      </c>
      <c r="D1170" s="0" t="n">
        <v>0</v>
      </c>
    </row>
    <row r="1171" customFormat="false" ht="15" hidden="false" customHeight="false" outlineLevel="0" collapsed="false">
      <c r="A1171" s="0" t="s">
        <v>14</v>
      </c>
      <c r="B1171" s="0" t="s">
        <v>1710</v>
      </c>
      <c r="C1171" s="0" t="s">
        <v>5073</v>
      </c>
      <c r="D1171" s="0" t="n">
        <v>0.08</v>
      </c>
    </row>
    <row r="1172" customFormat="false" ht="15" hidden="false" customHeight="false" outlineLevel="0" collapsed="false">
      <c r="A1172" s="0" t="s">
        <v>14</v>
      </c>
      <c r="B1172" s="0" t="s">
        <v>1715</v>
      </c>
      <c r="C1172" s="0" t="s">
        <v>5066</v>
      </c>
      <c r="D1172" s="0" t="n">
        <v>0</v>
      </c>
    </row>
    <row r="1173" customFormat="false" ht="15" hidden="false" customHeight="false" outlineLevel="0" collapsed="false">
      <c r="A1173" s="0" t="s">
        <v>14</v>
      </c>
      <c r="B1173" s="0" t="s">
        <v>1715</v>
      </c>
      <c r="C1173" s="0" t="s">
        <v>5072</v>
      </c>
      <c r="D1173" s="0" t="n">
        <v>-0.2</v>
      </c>
    </row>
    <row r="1174" customFormat="false" ht="15" hidden="false" customHeight="false" outlineLevel="0" collapsed="false">
      <c r="A1174" s="0" t="s">
        <v>14</v>
      </c>
      <c r="B1174" s="0" t="s">
        <v>1715</v>
      </c>
      <c r="C1174" s="0" t="s">
        <v>5073</v>
      </c>
      <c r="D1174" s="0" t="n">
        <v>0.2</v>
      </c>
    </row>
    <row r="1175" customFormat="false" ht="15" hidden="false" customHeight="false" outlineLevel="0" collapsed="false">
      <c r="A1175" s="0" t="s">
        <v>14</v>
      </c>
      <c r="B1175" s="0" t="s">
        <v>1719</v>
      </c>
      <c r="C1175" s="0" t="s">
        <v>5066</v>
      </c>
      <c r="D1175" s="0" t="n">
        <v>1000000000</v>
      </c>
    </row>
    <row r="1176" customFormat="false" ht="15" hidden="false" customHeight="false" outlineLevel="0" collapsed="false">
      <c r="A1176" s="0" t="s">
        <v>14</v>
      </c>
      <c r="B1176" s="0" t="s">
        <v>1719</v>
      </c>
      <c r="C1176" s="0" t="s">
        <v>5072</v>
      </c>
      <c r="D1176" s="0" t="n">
        <v>1000000000</v>
      </c>
    </row>
    <row r="1177" customFormat="false" ht="15" hidden="false" customHeight="false" outlineLevel="0" collapsed="false">
      <c r="A1177" s="0" t="s">
        <v>14</v>
      </c>
      <c r="B1177" s="0" t="s">
        <v>1719</v>
      </c>
      <c r="C1177" s="0" t="s">
        <v>5073</v>
      </c>
      <c r="D1177" s="0" t="n">
        <v>1000000000</v>
      </c>
    </row>
    <row r="1178" customFormat="false" ht="15" hidden="false" customHeight="false" outlineLevel="0" collapsed="false">
      <c r="A1178" s="0" t="s">
        <v>14</v>
      </c>
      <c r="B1178" s="0" t="s">
        <v>1725</v>
      </c>
      <c r="C1178" s="0" t="s">
        <v>5066</v>
      </c>
      <c r="D1178" s="0" t="n">
        <v>75.1</v>
      </c>
    </row>
    <row r="1179" customFormat="false" ht="15" hidden="false" customHeight="false" outlineLevel="0" collapsed="false">
      <c r="A1179" s="0" t="s">
        <v>14</v>
      </c>
      <c r="B1179" s="0" t="s">
        <v>1725</v>
      </c>
      <c r="C1179" s="0" t="s">
        <v>5072</v>
      </c>
      <c r="D1179" s="0" t="n">
        <v>75.1</v>
      </c>
    </row>
    <row r="1180" customFormat="false" ht="15" hidden="false" customHeight="false" outlineLevel="0" collapsed="false">
      <c r="A1180" s="0" t="s">
        <v>14</v>
      </c>
      <c r="B1180" s="0" t="s">
        <v>1725</v>
      </c>
      <c r="C1180" s="0" t="s">
        <v>5073</v>
      </c>
      <c r="D1180" s="0" t="n">
        <v>75.1</v>
      </c>
    </row>
    <row r="1181" customFormat="false" ht="15" hidden="false" customHeight="false" outlineLevel="0" collapsed="false">
      <c r="A1181" s="0" t="s">
        <v>14</v>
      </c>
      <c r="B1181" s="0" t="s">
        <v>1731</v>
      </c>
      <c r="C1181" s="0" t="s">
        <v>5066</v>
      </c>
      <c r="D1181" s="0" t="n">
        <v>141.5</v>
      </c>
    </row>
    <row r="1182" customFormat="false" ht="15" hidden="false" customHeight="false" outlineLevel="0" collapsed="false">
      <c r="A1182" s="0" t="s">
        <v>14</v>
      </c>
      <c r="B1182" s="0" t="s">
        <v>1731</v>
      </c>
      <c r="C1182" s="0" t="s">
        <v>5072</v>
      </c>
      <c r="D1182" s="0" t="n">
        <v>141.5</v>
      </c>
    </row>
    <row r="1183" customFormat="false" ht="15" hidden="false" customHeight="false" outlineLevel="0" collapsed="false">
      <c r="A1183" s="0" t="s">
        <v>14</v>
      </c>
      <c r="B1183" s="0" t="s">
        <v>1731</v>
      </c>
      <c r="C1183" s="0" t="s">
        <v>5073</v>
      </c>
      <c r="D1183" s="0" t="n">
        <v>141.5</v>
      </c>
    </row>
    <row r="1184" customFormat="false" ht="15" hidden="false" customHeight="false" outlineLevel="0" collapsed="false">
      <c r="A1184" s="0" t="s">
        <v>14</v>
      </c>
      <c r="B1184" s="0" t="s">
        <v>1732</v>
      </c>
      <c r="C1184" s="0" t="s">
        <v>5066</v>
      </c>
      <c r="D1184" s="0" t="n">
        <v>2026</v>
      </c>
    </row>
    <row r="1185" customFormat="false" ht="15" hidden="false" customHeight="false" outlineLevel="0" collapsed="false">
      <c r="A1185" s="0" t="s">
        <v>14</v>
      </c>
      <c r="B1185" s="0" t="s">
        <v>1732</v>
      </c>
      <c r="C1185" s="0" t="s">
        <v>5072</v>
      </c>
      <c r="D1185" s="0" t="n">
        <v>2026</v>
      </c>
    </row>
    <row r="1186" customFormat="false" ht="15" hidden="false" customHeight="false" outlineLevel="0" collapsed="false">
      <c r="A1186" s="0" t="s">
        <v>14</v>
      </c>
      <c r="B1186" s="0" t="s">
        <v>1732</v>
      </c>
      <c r="C1186" s="0" t="s">
        <v>5073</v>
      </c>
      <c r="D1186" s="0" t="n">
        <v>2027</v>
      </c>
    </row>
    <row r="1187" customFormat="false" ht="15" hidden="false" customHeight="false" outlineLevel="0" collapsed="false">
      <c r="A1187" s="0" t="s">
        <v>14</v>
      </c>
      <c r="B1187" s="0" t="s">
        <v>1737</v>
      </c>
      <c r="C1187" s="0" t="s">
        <v>5066</v>
      </c>
      <c r="D1187" s="0" t="n">
        <v>0</v>
      </c>
    </row>
    <row r="1188" customFormat="false" ht="15" hidden="false" customHeight="false" outlineLevel="0" collapsed="false">
      <c r="A1188" s="0" t="s">
        <v>14</v>
      </c>
      <c r="B1188" s="0" t="s">
        <v>1737</v>
      </c>
      <c r="C1188" s="0" t="s">
        <v>5072</v>
      </c>
      <c r="D1188" s="0" t="n">
        <v>0</v>
      </c>
    </row>
    <row r="1189" customFormat="false" ht="15" hidden="false" customHeight="false" outlineLevel="0" collapsed="false">
      <c r="A1189" s="0" t="s">
        <v>14</v>
      </c>
      <c r="B1189" s="0" t="s">
        <v>1737</v>
      </c>
      <c r="C1189" s="0" t="s">
        <v>5073</v>
      </c>
      <c r="D1189" s="0" t="n">
        <v>1</v>
      </c>
    </row>
    <row r="1190" customFormat="false" ht="15" hidden="false" customHeight="false" outlineLevel="0" collapsed="false">
      <c r="A1190" s="0" t="s">
        <v>14</v>
      </c>
      <c r="B1190" s="0" t="s">
        <v>1741</v>
      </c>
      <c r="C1190" s="0" t="s">
        <v>5066</v>
      </c>
      <c r="D1190" s="0" t="n">
        <v>2026</v>
      </c>
    </row>
    <row r="1191" customFormat="false" ht="15" hidden="false" customHeight="false" outlineLevel="0" collapsed="false">
      <c r="A1191" s="0" t="s">
        <v>14</v>
      </c>
      <c r="B1191" s="0" t="s">
        <v>1741</v>
      </c>
      <c r="C1191" s="0" t="s">
        <v>5072</v>
      </c>
      <c r="D1191" s="0" t="n">
        <v>2026</v>
      </c>
    </row>
    <row r="1192" customFormat="false" ht="15" hidden="false" customHeight="false" outlineLevel="0" collapsed="false">
      <c r="A1192" s="0" t="s">
        <v>14</v>
      </c>
      <c r="B1192" s="0" t="s">
        <v>1741</v>
      </c>
      <c r="C1192" s="0" t="s">
        <v>5073</v>
      </c>
      <c r="D1192" s="0" t="n">
        <v>2027</v>
      </c>
    </row>
    <row r="1193" customFormat="false" ht="15" hidden="false" customHeight="false" outlineLevel="0" collapsed="false">
      <c r="A1193" s="0" t="s">
        <v>14</v>
      </c>
      <c r="B1193" s="0" t="s">
        <v>1745</v>
      </c>
      <c r="C1193" s="0" t="s">
        <v>5066</v>
      </c>
      <c r="D1193" s="0" t="n">
        <v>0</v>
      </c>
    </row>
    <row r="1194" customFormat="false" ht="15" hidden="false" customHeight="false" outlineLevel="0" collapsed="false">
      <c r="A1194" s="0" t="s">
        <v>14</v>
      </c>
      <c r="B1194" s="0" t="s">
        <v>1745</v>
      </c>
      <c r="C1194" s="0" t="s">
        <v>5072</v>
      </c>
      <c r="D1194" s="0" t="n">
        <v>0</v>
      </c>
    </row>
    <row r="1195" customFormat="false" ht="15" hidden="false" customHeight="false" outlineLevel="0" collapsed="false">
      <c r="A1195" s="0" t="s">
        <v>14</v>
      </c>
      <c r="B1195" s="0" t="s">
        <v>1745</v>
      </c>
      <c r="C1195" s="0" t="s">
        <v>5073</v>
      </c>
      <c r="D1195" s="0" t="n">
        <v>1</v>
      </c>
    </row>
    <row r="1196" customFormat="false" ht="15" hidden="false" customHeight="false" outlineLevel="0" collapsed="false">
      <c r="A1196" s="0" t="s">
        <v>14</v>
      </c>
      <c r="B1196" s="0" t="s">
        <v>1751</v>
      </c>
      <c r="C1196" s="0" t="s">
        <v>5066</v>
      </c>
      <c r="D1196" s="0" t="n">
        <v>3</v>
      </c>
    </row>
    <row r="1197" customFormat="false" ht="15" hidden="false" customHeight="false" outlineLevel="0" collapsed="false">
      <c r="A1197" s="0" t="s">
        <v>14</v>
      </c>
      <c r="B1197" s="0" t="s">
        <v>1751</v>
      </c>
      <c r="C1197" s="0" t="s">
        <v>5072</v>
      </c>
      <c r="D1197" s="0" t="n">
        <v>2.5</v>
      </c>
    </row>
    <row r="1198" customFormat="false" ht="15" hidden="false" customHeight="false" outlineLevel="0" collapsed="false">
      <c r="A1198" s="0" t="s">
        <v>14</v>
      </c>
      <c r="B1198" s="0" t="s">
        <v>1751</v>
      </c>
      <c r="C1198" s="0" t="s">
        <v>5073</v>
      </c>
      <c r="D1198" s="0" t="n">
        <v>3.5</v>
      </c>
    </row>
    <row r="1199" customFormat="false" ht="15" hidden="false" customHeight="false" outlineLevel="0" collapsed="false">
      <c r="A1199" s="0" t="s">
        <v>14</v>
      </c>
      <c r="B1199" s="0" t="s">
        <v>1756</v>
      </c>
      <c r="C1199" s="0" t="s">
        <v>5066</v>
      </c>
      <c r="D1199" s="0" t="n">
        <v>2.5</v>
      </c>
    </row>
    <row r="1200" customFormat="false" ht="15" hidden="false" customHeight="false" outlineLevel="0" collapsed="false">
      <c r="A1200" s="0" t="s">
        <v>14</v>
      </c>
      <c r="B1200" s="0" t="s">
        <v>1756</v>
      </c>
      <c r="C1200" s="0" t="s">
        <v>5072</v>
      </c>
      <c r="D1200" s="0" t="n">
        <v>2.5</v>
      </c>
    </row>
    <row r="1201" customFormat="false" ht="15" hidden="false" customHeight="false" outlineLevel="0" collapsed="false">
      <c r="A1201" s="0" t="s">
        <v>14</v>
      </c>
      <c r="B1201" s="0" t="s">
        <v>1756</v>
      </c>
      <c r="C1201" s="0" t="s">
        <v>5073</v>
      </c>
      <c r="D1201" s="0" t="n">
        <v>2.5</v>
      </c>
    </row>
    <row r="1202" customFormat="false" ht="15" hidden="false" customHeight="false" outlineLevel="0" collapsed="false">
      <c r="A1202" s="0" t="s">
        <v>14</v>
      </c>
      <c r="B1202" s="0" t="s">
        <v>1759</v>
      </c>
      <c r="C1202" s="0" t="s">
        <v>5066</v>
      </c>
      <c r="D1202" s="0" t="n">
        <v>3.5</v>
      </c>
    </row>
    <row r="1203" customFormat="false" ht="15" hidden="false" customHeight="false" outlineLevel="0" collapsed="false">
      <c r="A1203" s="0" t="s">
        <v>14</v>
      </c>
      <c r="B1203" s="0" t="s">
        <v>1759</v>
      </c>
      <c r="C1203" s="0" t="s">
        <v>5072</v>
      </c>
      <c r="D1203" s="0" t="n">
        <v>3.5</v>
      </c>
    </row>
    <row r="1204" customFormat="false" ht="15" hidden="false" customHeight="false" outlineLevel="0" collapsed="false">
      <c r="A1204" s="0" t="s">
        <v>14</v>
      </c>
      <c r="B1204" s="0" t="s">
        <v>1759</v>
      </c>
      <c r="C1204" s="0" t="s">
        <v>5073</v>
      </c>
      <c r="D1204" s="0" t="n">
        <v>3.5</v>
      </c>
    </row>
    <row r="1205" customFormat="false" ht="15" hidden="false" customHeight="false" outlineLevel="0" collapsed="false">
      <c r="A1205" s="0" t="s">
        <v>14</v>
      </c>
      <c r="B1205" s="0" t="s">
        <v>1762</v>
      </c>
      <c r="C1205" s="0" t="s">
        <v>5066</v>
      </c>
      <c r="D1205" s="0" t="n">
        <v>0</v>
      </c>
    </row>
    <row r="1206" customFormat="false" ht="15" hidden="false" customHeight="false" outlineLevel="0" collapsed="false">
      <c r="A1206" s="0" t="s">
        <v>14</v>
      </c>
      <c r="B1206" s="0" t="s">
        <v>1762</v>
      </c>
      <c r="C1206" s="0" t="s">
        <v>5072</v>
      </c>
      <c r="D1206" s="0" t="n">
        <v>0</v>
      </c>
    </row>
    <row r="1207" customFormat="false" ht="15" hidden="false" customHeight="false" outlineLevel="0" collapsed="false">
      <c r="A1207" s="0" t="s">
        <v>14</v>
      </c>
      <c r="B1207" s="0" t="s">
        <v>1762</v>
      </c>
      <c r="C1207" s="0" t="s">
        <v>5073</v>
      </c>
      <c r="D1207" s="0" t="n">
        <v>1</v>
      </c>
    </row>
    <row r="1208" customFormat="false" ht="15" hidden="false" customHeight="false" outlineLevel="0" collapsed="false">
      <c r="A1208" s="0" t="s">
        <v>14</v>
      </c>
      <c r="B1208" s="0" t="s">
        <v>1767</v>
      </c>
      <c r="C1208" s="0" t="s">
        <v>5066</v>
      </c>
      <c r="D1208" s="0" t="n">
        <v>0.25</v>
      </c>
    </row>
    <row r="1209" customFormat="false" ht="15" hidden="false" customHeight="false" outlineLevel="0" collapsed="false">
      <c r="A1209" s="0" t="s">
        <v>14</v>
      </c>
      <c r="B1209" s="0" t="s">
        <v>1767</v>
      </c>
      <c r="C1209" s="0" t="s">
        <v>5072</v>
      </c>
    </row>
    <row r="1210" customFormat="false" ht="15" hidden="false" customHeight="false" outlineLevel="0" collapsed="false">
      <c r="A1210" s="0" t="s">
        <v>14</v>
      </c>
      <c r="B1210" s="0" t="s">
        <v>1767</v>
      </c>
      <c r="C1210" s="0" t="s">
        <v>5073</v>
      </c>
    </row>
    <row r="1211" customFormat="false" ht="15" hidden="false" customHeight="false" outlineLevel="0" collapsed="false">
      <c r="A1211" s="0" t="s">
        <v>14</v>
      </c>
      <c r="B1211" s="0" t="s">
        <v>1770</v>
      </c>
      <c r="C1211" s="0" t="s">
        <v>5066</v>
      </c>
      <c r="D1211" s="0" t="n">
        <v>0.45</v>
      </c>
    </row>
    <row r="1212" customFormat="false" ht="15" hidden="false" customHeight="false" outlineLevel="0" collapsed="false">
      <c r="A1212" s="0" t="s">
        <v>14</v>
      </c>
      <c r="B1212" s="0" t="s">
        <v>1770</v>
      </c>
      <c r="C1212" s="0" t="s">
        <v>5072</v>
      </c>
    </row>
    <row r="1213" customFormat="false" ht="15" hidden="false" customHeight="false" outlineLevel="0" collapsed="false">
      <c r="A1213" s="0" t="s">
        <v>14</v>
      </c>
      <c r="B1213" s="0" t="s">
        <v>1770</v>
      </c>
      <c r="C1213" s="0" t="s">
        <v>5073</v>
      </c>
    </row>
    <row r="1214" customFormat="false" ht="15" hidden="false" customHeight="false" outlineLevel="0" collapsed="false">
      <c r="A1214" s="0" t="s">
        <v>14</v>
      </c>
      <c r="B1214" s="0" t="s">
        <v>1772</v>
      </c>
      <c r="C1214" s="0" t="s">
        <v>5066</v>
      </c>
      <c r="D1214" s="0" t="n">
        <v>0.25</v>
      </c>
    </row>
    <row r="1215" customFormat="false" ht="15" hidden="false" customHeight="false" outlineLevel="0" collapsed="false">
      <c r="A1215" s="0" t="s">
        <v>14</v>
      </c>
      <c r="B1215" s="0" t="s">
        <v>1772</v>
      </c>
      <c r="C1215" s="0" t="s">
        <v>5072</v>
      </c>
    </row>
    <row r="1216" customFormat="false" ht="15" hidden="false" customHeight="false" outlineLevel="0" collapsed="false">
      <c r="A1216" s="0" t="s">
        <v>14</v>
      </c>
      <c r="B1216" s="0" t="s">
        <v>1772</v>
      </c>
      <c r="C1216" s="0" t="s">
        <v>5073</v>
      </c>
    </row>
    <row r="1217" customFormat="false" ht="15" hidden="false" customHeight="false" outlineLevel="0" collapsed="false">
      <c r="A1217" s="0" t="s">
        <v>14</v>
      </c>
      <c r="B1217" s="0" t="s">
        <v>1774</v>
      </c>
      <c r="C1217" s="0" t="s">
        <v>5066</v>
      </c>
      <c r="D1217" s="0" t="n">
        <v>0.05</v>
      </c>
    </row>
    <row r="1218" customFormat="false" ht="15" hidden="false" customHeight="false" outlineLevel="0" collapsed="false">
      <c r="A1218" s="0" t="s">
        <v>14</v>
      </c>
      <c r="B1218" s="0" t="s">
        <v>1774</v>
      </c>
      <c r="C1218" s="0" t="s">
        <v>5072</v>
      </c>
    </row>
    <row r="1219" customFormat="false" ht="15" hidden="false" customHeight="false" outlineLevel="0" collapsed="false">
      <c r="A1219" s="0" t="s">
        <v>14</v>
      </c>
      <c r="B1219" s="0" t="s">
        <v>1774</v>
      </c>
      <c r="C1219" s="0" t="s">
        <v>5073</v>
      </c>
    </row>
    <row r="1220" customFormat="false" ht="15" hidden="false" customHeight="false" outlineLevel="0" collapsed="false">
      <c r="A1220" s="0" t="s">
        <v>14</v>
      </c>
      <c r="B1220" s="0" t="s">
        <v>1776</v>
      </c>
      <c r="C1220" s="0" t="s">
        <v>5066</v>
      </c>
      <c r="D1220" s="0" t="n">
        <v>0</v>
      </c>
    </row>
    <row r="1221" customFormat="false" ht="15" hidden="false" customHeight="false" outlineLevel="0" collapsed="false">
      <c r="A1221" s="0" t="s">
        <v>14</v>
      </c>
      <c r="B1221" s="0" t="s">
        <v>1776</v>
      </c>
      <c r="C1221" s="0" t="s">
        <v>5072</v>
      </c>
    </row>
    <row r="1222" customFormat="false" ht="15" hidden="false" customHeight="false" outlineLevel="0" collapsed="false">
      <c r="A1222" s="0" t="s">
        <v>14</v>
      </c>
      <c r="B1222" s="0" t="s">
        <v>1776</v>
      </c>
      <c r="C1222" s="0" t="s">
        <v>5073</v>
      </c>
    </row>
    <row r="1223" customFormat="false" ht="15" hidden="false" customHeight="false" outlineLevel="0" collapsed="false">
      <c r="A1223" s="0" t="s">
        <v>14</v>
      </c>
      <c r="B1223" s="0" t="s">
        <v>1778</v>
      </c>
      <c r="C1223" s="0" t="s">
        <v>5066</v>
      </c>
      <c r="D1223" s="0" t="n">
        <v>0</v>
      </c>
    </row>
    <row r="1224" customFormat="false" ht="15" hidden="false" customHeight="false" outlineLevel="0" collapsed="false">
      <c r="A1224" s="0" t="s">
        <v>14</v>
      </c>
      <c r="B1224" s="0" t="s">
        <v>1778</v>
      </c>
      <c r="C1224" s="0" t="s">
        <v>5072</v>
      </c>
    </row>
    <row r="1225" customFormat="false" ht="15" hidden="false" customHeight="false" outlineLevel="0" collapsed="false">
      <c r="A1225" s="0" t="s">
        <v>14</v>
      </c>
      <c r="B1225" s="0" t="s">
        <v>1778</v>
      </c>
      <c r="C1225" s="0" t="s">
        <v>5073</v>
      </c>
    </row>
    <row r="1226" customFormat="false" ht="15" hidden="false" customHeight="false" outlineLevel="0" collapsed="false">
      <c r="A1226" s="0" t="s">
        <v>14</v>
      </c>
      <c r="B1226" s="0" t="s">
        <v>1780</v>
      </c>
      <c r="C1226" s="0" t="s">
        <v>5066</v>
      </c>
      <c r="D1226" s="0" t="n">
        <v>0</v>
      </c>
    </row>
    <row r="1227" customFormat="false" ht="15" hidden="false" customHeight="false" outlineLevel="0" collapsed="false">
      <c r="A1227" s="0" t="s">
        <v>14</v>
      </c>
      <c r="B1227" s="0" t="s">
        <v>1780</v>
      </c>
      <c r="C1227" s="0" t="s">
        <v>5072</v>
      </c>
      <c r="D1227" s="0" t="n">
        <v>0</v>
      </c>
    </row>
    <row r="1228" customFormat="false" ht="15" hidden="false" customHeight="false" outlineLevel="0" collapsed="false">
      <c r="A1228" s="0" t="s">
        <v>14</v>
      </c>
      <c r="B1228" s="0" t="s">
        <v>1780</v>
      </c>
      <c r="C1228" s="0" t="s">
        <v>5073</v>
      </c>
      <c r="D1228" s="0" t="n">
        <v>1</v>
      </c>
    </row>
    <row r="1229" customFormat="false" ht="15" hidden="false" customHeight="false" outlineLevel="0" collapsed="false">
      <c r="A1229" s="0" t="s">
        <v>14</v>
      </c>
      <c r="B1229" s="0" t="s">
        <v>1785</v>
      </c>
      <c r="C1229" s="0" t="s">
        <v>5066</v>
      </c>
      <c r="D1229" s="0" t="n">
        <v>0.005</v>
      </c>
    </row>
    <row r="1230" customFormat="false" ht="15" hidden="false" customHeight="false" outlineLevel="0" collapsed="false">
      <c r="A1230" s="0" t="s">
        <v>14</v>
      </c>
      <c r="B1230" s="0" t="s">
        <v>1785</v>
      </c>
      <c r="C1230" s="0" t="s">
        <v>5072</v>
      </c>
      <c r="D1230" s="0" t="n">
        <v>0.005</v>
      </c>
    </row>
    <row r="1231" customFormat="false" ht="15" hidden="false" customHeight="false" outlineLevel="0" collapsed="false">
      <c r="A1231" s="0" t="s">
        <v>14</v>
      </c>
      <c r="B1231" s="0" t="s">
        <v>1785</v>
      </c>
      <c r="C1231" s="0" t="s">
        <v>5073</v>
      </c>
      <c r="D1231" s="0" t="n">
        <v>0.005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2026-10-22T00:56:05Z</dcterms:created>
  <dc:creator>openpyxl</dc:creator>
  <dc:description/>
  <dc:language>en-US</dc:language>
  <cp:lastModifiedBy/>
  <dcterms:modified xsi:type="dcterms:W3CDTF">2026-10-22T00:56:06Z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