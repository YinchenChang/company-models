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<sst xmlns="http://schemas.openxmlformats.org/spreadsheetml/2006/main" count="4036" uniqueCount="999">
  <si>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</si>
  <si>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</si>
  <si>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</si>
  <si>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</si>
  <si>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</si>
  <si>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</si>
  <si>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</si>
  <si>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</si>
  <si>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</si>
  <si>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</si>
  <si>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</si>
  <si>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</si>
  <si>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</si>
  <si>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</si>
  <si>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</si>
  <si>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NT$2,057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1,846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2,268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48.7%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−</t>
    </r>
    <r>
      <rPr>
        <sz val="11"/>
        <color theme="1"/>
        <rFont val="Calibri"/>
        <family val="2"/>
        <charset val="1"/>
      </rPr>
      <t xml:space="preserve">43.4%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119.49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103.48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15.5%</t>
    </r>
    <r>
      <rPr>
        <sz val="11"/>
        <color theme="1"/>
        <rFont val="Noto Sans CJK SC"/>
        <family val="2"/>
      </rPr>
      <t xml:space="preserve">，但同業（高通、博通、邁威爾、世芯、創意）前瞻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19.0 </t>
    </r>
    <r>
      <rPr>
        <sz val="11"/>
        <color theme="1"/>
        <rFont val="Noto Sans CJK SC"/>
        <family val="2"/>
      </rPr>
      <t xml:space="preserve">倍，現價隱含 </t>
    </r>
    <r>
      <rPr>
        <sz val="11"/>
        <color theme="1"/>
        <rFont val="Calibri"/>
        <family val="2"/>
        <charset val="1"/>
      </rPr>
      <t xml:space="preserve">38.8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6,067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58.6 </t>
    </r>
    <r>
      <rPr>
        <sz val="11"/>
        <color theme="1"/>
        <rFont val="Noto Sans CJK SC"/>
        <family val="2"/>
      </rPr>
      <t xml:space="preserve">倍（比同業高 </t>
    </r>
    <r>
      <rPr>
        <sz val="11"/>
        <color theme="1"/>
        <rFont val="Calibri"/>
        <family val="2"/>
        <charset val="1"/>
      </rPr>
      <t xml:space="preserve">208.9%</t>
    </r>
    <r>
      <rPr>
        <sz val="11"/>
        <color theme="1"/>
        <rFont val="Noto Sans CJK SC"/>
        <family val="2"/>
      </rPr>
      <t xml:space="preserve">）；市場給聯發科的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成長溢價，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未計入。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</si>
  <si>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</si>
  <si>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</si>
  <si>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</si>
  <si>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</si>
  <si>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</si>
  <si>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</si>
  <si>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</si>
  <si>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</si>
  <si>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</si>
  <si>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</si>
  <si>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</si>
  <si>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</si>
  <si>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</si>
  <si>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</si>
  <si>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</si>
  <si>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</si>
  <si>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</si>
  <si>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</si>
  <si>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</si>
  <si>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</si>
  <si>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</si>
  <si>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</si>
  <si>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</si>
  <si>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</si>
  <si>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</si>
  <si>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</si>
  <si>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</si>
  <si>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</si>
  <si>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</si>
  <si>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</si>
  <si>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</si>
  <si>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</si>
  <si>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</si>
  <si>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</si>
  <si>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</si>
  <si>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</si>
  <si>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</si>
  <si>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</si>
  <si>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</si>
  <si>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</si>
  <si>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</si>
  <si>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</si>
  <si>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</si>
  <si>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</si>
  <si>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</si>
  <si>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</si>
  <si>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</si>
  <si>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</si>
  <si>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</si>
  <si>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</si>
  <si>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</si>
  <si>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</si>
  <si>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</si>
  <si>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</si>
  <si>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</si>
  <si>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</si>
  <si>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</si>
  <si>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</si>
  <si>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</si>
  <si>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</si>
  <si>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</si>
  <si>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</si>
  <si>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</si>
  <si>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</si>
  <si>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</si>
  <si>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</si>
  <si>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</si>
  <si>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</si>
  <si>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</si>
  <si>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</si>
  <si>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</si>
  <si>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</si>
  <si>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</si>
  <si>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</si>
  <si>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</si>
  <si>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</si>
  <si>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</si>
  <si>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</si>
  <si>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</si>
  <si>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</si>
  <si>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</si>
  <si>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</si>
  <si>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</si>
  <si>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</si>
  <si>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</si>
  <si>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</si>
  <si>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</si>
  <si>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</si>
  <si>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</si>
  <si>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</si>
  <si>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</si>
  <si>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</si>
  <si>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</si>
  <si>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</si>
  <si>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</si>
  <si>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</si>
  <si>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</si>
  <si>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</si>
  <si>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</si>
  <si>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</si>
  <si>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</si>
  <si>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</si>
  <si>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</si>
  <si>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</si>
  <si>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</si>
  <si>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</si>
  <si>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</si>
  <si>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</si>
  <si>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</si>
  <si>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</si>
  <si>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</si>
  <si>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</si>
  <si>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</si>
  <si>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</si>
  <si>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</si>
  <si>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</si>
  <si>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</si>
  <si>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</si>
  <si>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</si>
  <si>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</si>
  <si>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</si>
  <si>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</si>
  <si>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</si>
  <si>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</si>
  <si>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</si>
  <si>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</si>
  <si>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</si>
  <si>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</si>
  <si>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</si>
  <si>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</si>
  <si>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</si>
  <si>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</si>
  <si>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</si>
  <si>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</si>
  <si>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</si>
  <si>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</si>
  <si>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</si>
  <si>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</si>
  <si>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</si>
  <si>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</si>
  <si>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</si>
  <si>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</si>
  <si>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</si>
  <si>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</si>
  <si>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</si>
  <si>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</si>
  <si>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</si>
  <si>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</si>
  <si>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</si>
  <si>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</si>
  <si>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</si>
  <si>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</si>
  <si>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</si>
  <si>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</si>
  <si>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</si>
  <si>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</si>
  <si>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</si>
  <si>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</si>
  <si>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</si>
  <si>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</si>
  <si>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</si>
  <si>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</si>
  <si>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</si>
  <si>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</si>
  <si>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</si>
  <si>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</si>
  <si>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</si>
  <si>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</si>
  <si>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</si>
  <si>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</si>
  <si>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</si>
  <si>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</si>
  <si>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</si>
  <si>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</si>
  <si>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</si>
  <si>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</si>
  <si>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</si>
  <si>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</si>
  <si>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</si>
  <si>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</si>
  <si>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</si>
  <si>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</si>
  <si>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</si>
  <si>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</si>
  <si>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</si>
  <si>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</si>
  <si>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</si>
  <si>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</si>
  <si>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</si>
  <si>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</si>
  <si>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</si>
  <si>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</si>
  <si>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</si>
  <si>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</si>
  <si>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</si>
  <si>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</si>
  <si>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</si>
  <si>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</si>
  <si>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</si>
  <si>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</si>
  <si>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</si>
  <si>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</si>
  <si>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</si>
  <si>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</si>
  <si>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</si>
  <si>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</si>
  <si>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</si>
  <si>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</si>
  <si>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</si>
  <si>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</si>
  <si>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</si>
  <si>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</si>
  <si>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</si>
  <si>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</si>
  <si>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</si>
  <si>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</si>
  <si>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</si>
  <si>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</si>
  <si>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</si>
  <si>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</si>
  <si>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</si>
  <si>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</si>
  <si>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</si>
  <si>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</si>
  <si>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</si>
  <si>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</si>
  <si>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</si>
  <si>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</si>
  <si>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</si>
  <si>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</si>
  <si>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</si>
  <si>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</si>
  <si>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</si>
  <si>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</si>
  <si>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</si>
  <si>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</si>
  <si>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</si>
  <si>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</si>
  <si>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</si>
  <si>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</si>
  <si>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</si>
  <si>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</si>
  <si>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</si>
  <si>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</si>
  <si>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</si>
  <si>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</si>
  <si>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</si>
  <si>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</si>
  <si>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</si>
  <si>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</si>
  <si>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</si>
  <si>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</si>
  <si>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</si>
  <si>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</si>
  <si>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</si>
  <si>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</si>
  <si>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</si>
  <si>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</si>
  <si>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</si>
  <si>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</si>
  <si>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</si>
  <si>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</si>
  <si>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</si>
  <si>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</si>
  <si>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</si>
  <si>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</si>
  <si>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</si>
  <si>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</si>
  <si>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</si>
  <si>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</si>
  <si>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</si>
  <si>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</si>
  <si>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</si>
  <si>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</si>
  <si>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</si>
  <si>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</si>
  <si>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</si>
  <si>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</si>
  <si>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</si>
  <si>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</si>
  <si>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</si>
  <si>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</si>
  <si>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</si>
  <si>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</si>
  <si>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</si>
  <si>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</si>
  <si>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</si>
  <si>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</si>
  <si>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</si>
  <si>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</si>
  <si>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</si>
  <si>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</si>
  <si>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</si>
  <si>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</si>
  <si>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</si>
  <si>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</si>
  <si>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</si>
  <si>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</si>
  <si>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</si>
  <si>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</si>
  <si>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</si>
  <si>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</si>
  <si>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</si>
  <si>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</si>
  <si>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</si>
  <si>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</si>
  <si>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</si>
  <si>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</si>
  <si>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</si>
  <si>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</si>
  <si>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</si>
  <si>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</si>
  <si>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</si>
  <si>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</si>
  <si>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</si>
  <si>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</si>
  <si>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</si>
  <si>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</si>
  <si>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</si>
  <si>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</si>
  <si>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</si>
  <si>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</si>
  <si>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</si>
  <si>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</si>
  <si>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</si>
  <si>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</si>
  <si>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</si>
  <si>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</si>
  <si>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</si>
  <si>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</si>
  <si>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</si>
  <si>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</si>
  <si>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</si>
  <si>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</si>
  <si>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</si>
  <si>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</si>
  <si>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</si>
  <si>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</si>
  <si>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</si>
  <si>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</si>
  <si>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</si>
  <si>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</si>
  <si>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</si>
  <si>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</si>
  <si>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</si>
  <si>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</si>
  <si>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</si>
  <si>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</si>
  <si>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</si>
  <si>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</si>
  <si>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</si>
  <si>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</si>
  <si>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</si>
  <si>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</si>
  <si>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</si>
  <si>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</si>
  <si>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</si>
  <si>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</si>
  <si>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</si>
  <si>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</si>
  <si>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</si>
  <si>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</si>
  <si>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</si>
  <si>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</si>
  <si>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</si>
  <si>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</si>
  <si>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</si>
  <si>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</si>
  <si>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</si>
  <si>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</si>
  <si>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</si>
  <si>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</si>
  <si>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</si>
  <si>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</si>
  <si>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</si>
  <si>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</si>
  <si>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</si>
  <si>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</si>
  <si>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</si>
  <si>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</si>
  <si>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</si>
  <si>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</si>
  <si>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</si>
  <si>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</si>
  <si>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</si>
  <si>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</si>
  <si>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</si>
  <si>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</si>
  <si>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</si>
  <si>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</si>
  <si>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</si>
  <si>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</si>
  <si>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</si>
  <si>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</si>
  <si>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</si>
  <si>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</si>
  <si>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</si>
  <si>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</si>
  <si>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</si>
  <si>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</si>
  <si>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</si>
  <si>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</si>
  <si>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</si>
  <si>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</si>
  <si>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</si>
  <si>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</si>
  <si>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</si>
  <si>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</si>
  <si>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</si>
  <si>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</si>
  <si>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</si>
  <si>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</si>
  <si>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</si>
  <si>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</si>
  <si>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</si>
  <si>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</si>
  <si>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</si>
  <si>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</si>
  <si>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</si>
  <si>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</si>
  <si>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</si>
  <si>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</si>
  <si>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</si>
  <si>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</si>
  <si>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</si>
  <si>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</si>
  <si>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</si>
  <si>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</si>
  <si>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</si>
  <si>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</si>
  <si>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</si>
  <si>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</si>
  <si>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</si>
  <si>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</si>
  <si>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</si>
  <si>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</si>
  <si>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</si>
  <si>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</si>
  <si>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</si>
  <si>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</si>
  <si>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</si>
  <si>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</si>
  <si>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</si>
  <si>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</si>
  <si>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</si>
  <si>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</si>
  <si>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</si>
  <si>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</si>
  <si>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</si>
  <si>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</si>
  <si>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</si>
  <si>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</si>
  <si>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</si>
  <si>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</si>
  <si>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</si>
  <si>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</si>
  <si>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</si>
  <si>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</si>
  <si>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</si>
  <si>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</si>
  <si>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</si>
  <si>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</si>
  <si>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</si>
  <si>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</si>
  <si>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</si>
  <si>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</si>
  <si>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</si>
  <si>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</si>
  <si>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</si>
  <si>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</si>
  <si>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</si>
  <si>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</si>
  <si>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</si>
  <si>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</si>
  <si>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</si>
  <si>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</si>
  <si>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</si>
  <si>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</si>
  <si>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</si>
  <si>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</si>
  <si>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</si>
  <si>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</si>
  <si>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</si>
  <si>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</si>
  <si>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</si>
  <si>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</si>
  <si>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</si>
  <si>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</si>
  <si>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</si>
  <si>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</si>
  <si>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</si>
  <si>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</si>
  <si>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</si>
  <si>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</si>
  <si>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</si>
  <si>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</si>
  <si>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</si>
  <si>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</si>
  <si>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</si>
  <si>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</si>
  <si>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</si>
  <si>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</si>
  <si>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</si>
  <si>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</si>
  <si>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</si>
  <si>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</si>
  <si>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</si>
  <si>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</si>
  <si>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</si>
  <si>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</si>
  <si>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</si>
  <si>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</si>
  <si>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</si>
  <si>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</si>
  <si>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</si>
  <si>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</si>
  <si>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</si>
  <si>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</si>
  <si>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</si>
  <si>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</si>
  <si>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</si>
  <si>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</si>
  <si>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</si>
  <si>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</si>
  <si>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</si>
  <si>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</si>
  <si>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</si>
  <si>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</si>
  <si>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</si>
  <si>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</si>
  <si>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</si>
  <si>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</si>
  <si>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</si>
  <si>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</si>
  <si>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</si>
  <si>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追加）：產品線別營收；分部宣告見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</si>
  <si>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</si>
  <si>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</si>
  <si>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</si>
  <si>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</si>
  <si>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</si>
  <si>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</si>
  <si>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</si>
  <si>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</si>
  <si>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</si>
  <si>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</si>
  <si>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</si>
  <si>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</si>
  <si>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</si>
  <si>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</si>
  <si>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</si>
  <si>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</si>
  <si>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</si>
  <si>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</si>
  <si>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</si>
  <si>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</si>
  <si>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</si>
  <si>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</si>
  <si>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</si>
  <si>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</si>
  <si>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</si>
  <si>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</si>
  <si>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</si>
  <si>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</si>
  <si>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</si>
  <si>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</si>
  <si>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</si>
  <si>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</si>
  <si>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</si>
  <si>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</si>
  <si>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</si>
  <si>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</si>
  <si>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</si>
  <si>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</si>
  <si>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</si>
  <si>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</si>
  <si>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</si>
  <si>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</si>
  <si>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</si>
  <si>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</si>
  <si>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</si>
  <si>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</si>
  <si>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</si>
  <si>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</si>
  <si>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</si>
  <si>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</si>
  <si>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</si>
  <si>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</si>
  <si>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</si>
  <si>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</si>
  <si>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</si>
  <si>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</si>
  <si>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</si>
  <si>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</si>
  <si>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</si>
  <si>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</si>
  <si>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</si>
  <si>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</si>
  <si>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</si>
  <si>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</si>
  <si>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</si>
  <si>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</si>
  <si>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</si>
  <si>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</si>
  <si>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</si>
  <si>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</si>
  <si>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</si>
  <si>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</si>
  <si>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</si>
  <si>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</si>
  <si>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</si>
  <si>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</si>
  <si>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</si>
  <si>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</si>
  <si>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</si>
  <si>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</si>
  <si>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</si>
  <si>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</si>
  <si>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</si>
  <si>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</si>
  <si>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</si>
  <si>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</si>
  <si>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</si>
  <si>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</si>
  <si>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</si>
  <si>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</si>
  <si>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</si>
  <si>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</si>
  <si>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</si>
  <si>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</si>
  <si>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</si>
  <si>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</si>
  <si>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</si>
  <si>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</si>
  <si>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</si>
  <si>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</si>
  <si>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</si>
  <si>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</si>
  <si>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</si>
  <si>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</si>
  <si>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</si>
  <si>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</si>
  <si>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</si>
  <si>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</si>
  <si>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</si>
  <si>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</si>
  <si>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</si>
  <si>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</si>
  <si>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</si>
  <si>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</si>
  <si>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</si>
  <si>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</si>
  <si>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</si>
  <si>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</si>
  <si>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</si>
  <si>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</si>
  <si>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</si>
  <si>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</si>
  <si>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</si>
  <si>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</si>
  <si>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</si>
  <si>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</si>
  <si>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</si>
  <si>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</si>
  <si>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</si>
  <si>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</si>
  <si>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</si>
  <si>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</si>
  <si>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</si>
  <si>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</si>
  <si>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</si>
  <si>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</si>
  <si>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</si>
  <si>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</si>
  <si>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</si>
  <si>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</si>
  <si>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</si>
  <si>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</si>
  <si>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</si>
  <si>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</si>
  <si>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</si>
  <si>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</si>
  <si>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</si>
  <si>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</si>
  <si>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</si>
  <si>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</si>
  <si>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</si>
  <si>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</si>
  <si>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</si>
  <si>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</si>
  <si>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</si>
  <si>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</si>
  <si>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</si>
  <si>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</si>
  <si>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</si>
  <si>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</si>
  <si>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</si>
  <si>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</si>
  <si>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</si>
  <si>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</si>
  <si>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</si>
  <si>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</si>
  <si>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</si>
  <si>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</si>
  <si>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</si>
  <si>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</si>
  <si>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</si>
  <si>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</si>
  <si>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</si>
  <si>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</si>
  <si>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</si>
  <si>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</si>
  <si>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</si>
  <si>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</si>
  <si>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</si>
  <si>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</si>
  <si>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</si>
  <si>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</si>
  <si>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</si>
  <si>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</si>
  <si>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</si>
  <si>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</si>
  <si>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</si>
  <si>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</si>
  <si>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</si>
  <si>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</si>
  <si>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</si>
  <si>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</si>
  <si>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</si>
  <si>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</si>
  <si>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</si>
  <si>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</si>
  <si>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</si>
  <si>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</si>
  <si>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</si>
  <si>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</si>
  <si>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</si>
  <si>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</si>
  <si>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</si>
  <si>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</si>
  <si>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</si>
  <si>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</si>
  <si>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</si>
  <si>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</si>
  <si>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</si>
  <si>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</si>
  <si>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</si>
  <si>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</si>
  <si>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</si>
  <si>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</si>
  <si>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</si>
  <si>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</si>
  <si>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</si>
  <si>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</si>
  <si>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</si>
  <si>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</si>
  <si>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</si>
  <si>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</si>
  <si>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</si>
  <si>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</si>
  <si>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</si>
  <si>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</si>
  <si>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</si>
  <si>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</si>
  <si>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</si>
  <si>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</si>
  <si>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</si>
  <si>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</si>
  <si>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</si>
  <si>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</si>
  <si>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</si>
  <si>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</si>
  <si>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</si>
  <si>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</si>
  <si>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</si>
  <si>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</si>
  <si>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</si>
  <si>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</si>
  <si>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</si>
  <si>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</si>
  <si>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</si>
  <si>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</si>
  <si>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</si>
  <si>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</si>
  <si>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</si>
  <si>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</si>
  <si>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</si>
  <si>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</si>
  <si>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</si>
  <si>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</si>
  <si>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</si>
  <si>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</si>
  <si>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</si>
  <si>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</si>
  <si>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</si>
  <si>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</si>
  <si>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</si>
  <si>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</si>
  <si>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</si>
  <si>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</si>
  <si>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</si>
  <si>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</si>
  <si>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</si>
  <si>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</si>
  <si>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</si>
  <si>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</si>
  <si>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</si>
  <si>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</si>
  <si>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</si>
  <si>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</si>
  <si>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</si>
  <si>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</si>
  <si>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</si>
  <si>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</si>
  <si>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</si>
  <si>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</si>
  <si>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</si>
  <si>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</si>
  <si>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</si>
  <si>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</si>
  <si>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</si>
  <si>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</si>
  <si>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</si>
  <si>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</si>
  <si>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</si>
  <si>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</si>
  <si>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</si>
  <si>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</si>
  <si>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</si>
  <si>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</si>
  <si>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</si>
  <si>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</si>
  <si>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</si>
  <si>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</si>
  <si>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</si>
  <si>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</si>
  <si>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</si>
  <si>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</si>
  <si>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</si>
  <si>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</si>
  <si>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</si>
  <si>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</si>
  <si>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</si>
  <si>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</si>
  <si>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</si>
  <si>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</si>
  <si>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</si>
  <si>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</si>
  <si>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</si>
  <si>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</si>
  <si>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</si>
  <si>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</si>
  <si>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</si>
  <si>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</si>
  <si>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</si>
  <si>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</si>
  <si>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</si>
  <si>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</si>
  <si>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</si>
  <si>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</si>
  <si>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</si>
  <si>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</si>
  <si>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</si>
  <si>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</si>
  <si>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</si>
  <si>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</si>
  <si>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</si>
  <si>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</si>
  <si>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</si>
  <si>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</si>
  <si>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</si>
  <si>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</si>
  <si>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</si>
  <si>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</si>
  <si>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</si>
  <si>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</si>
  <si>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</si>
  <si>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</si>
  <si>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</si>
  <si>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</si>
  <si>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</si>
  <si>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</si>
  <si>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</si>
  <si>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</si>
  <si>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</si>
  <si>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</si>
  <si>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</si>
  <si>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</si>
  <si>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</si>
  <si>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</si>
  <si>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</si>
  <si>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</si>
  <si>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</si>
  <si>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</si>
  <si>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</si>
  <si>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</si>
  <si>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</si>
  <si>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</si>
  <si>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</si>
  <si>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</si>
  <si>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</si>
  <si>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</si>
  <si>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</si>
  <si>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</si>
  <si>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</si>
  <si>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</si>
  <si>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</si>
  <si>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</si>
  <si>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</si>
  <si>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</si>
  <si>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</si>
  <si>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</si>
  <si>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</si>
  <si>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</si>
  <si>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</si>
  <si>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</si>
  <si>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</si>
  <si>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</si>
  <si>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</si>
  <si>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</si>
  <si>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</si>
  <si>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</si>
  <si>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</si>
  <si>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</si>
  <si>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</si>
  <si>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</si>
  <si>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</si>
  <si>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</si>
  <si>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</si>
  <si>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</si>
  <si>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</si>
  <si>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</si>
  <si>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</si>
  <si>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</si>
  <si>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</si>
  <si>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</si>
  <si>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</si>
  <si>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</si>
  <si>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</si>
  <si>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</si>
  <si>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</si>
  <si>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</si>
  <si>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</si>
  <si>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</si>
  <si>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</si>
  <si>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</si>
  <si>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</si>
  <si>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</si>
  <si>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</si>
  <si>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</si>
  <si>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</si>
  <si>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</si>
  <si>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</si>
  <si>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</si>
  <si>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</si>
  <si>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</si>
  <si>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</si>
  <si>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</si>
  <si>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</si>
  <si>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</si>
  <si>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</si>
  <si>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</si>
  <si>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</si>
  <si>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</si>
  <si>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</si>
  <si>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</si>
  <si>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</si>
  <si>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</si>
  <si>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</si>
  <si>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</si>
  <si>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</si>
  <si>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</si>
  <si>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</si>
  <si>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</si>
  <si>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</si>
  <si>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</si>
  <si>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mrvl/dist/20261026_</t>
    </r>
    <r>
      <rPr>
        <sz val="11"/>
        <color theme="1"/>
        <rFont val="Noto Sans CJK SC"/>
        <family val="2"/>
      </rPr>
      <t xml:space="preserve">邁威爾模型</t>
    </r>
    <r>
      <rPr>
        <sz val="11"/>
        <color theme="1"/>
        <rFont val="Calibri"/>
        <family val="2"/>
        <charset val="1"/>
      </rPr>
      <t xml:space="preserve">_v0.2.2.xlsx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</si>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</sst>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投資建議：放空（依上檔空間固定規則）</v>
      </c>
    </row>
    <row r="20" customFormat="false" ht="17.15" hidden="false" customHeight="false" outlineLevel="0" collapsed="false">
      <c r="A20" s="4" t="s">
        <v>15</v>
      </c>
    </row>
    <row r="21" customFormat="false" ht="17.15" hidden="false" customHeight="false" outlineLevel="0" collapsed="false">
      <c r="A21" s="4" t="s">
        <v>16</v>
      </c>
    </row>
    <row r="22" customFormat="false" ht="17.15" hidden="false" customHeight="false" outlineLevel="0" collapsed="false">
      <c r="A22" s="4" t="s">
        <v>17</v>
      </c>
    </row>
    <row r="23" customFormat="false" ht="17.15" hidden="false" customHeight="false" outlineLevel="0" collapsed="false">
      <c r="A23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3.85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5.5</v>
      </c>
      <c r="G6" s="8" t="s">
        <v>34</v>
      </c>
      <c r="H6" s="8" t="s">
        <v>39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4" t="s">
        <v>33</v>
      </c>
      <c r="E7" s="7" t="n">
        <v>7</v>
      </c>
      <c r="G7" s="8" t="s">
        <v>34</v>
      </c>
      <c r="H7" s="8" t="s">
        <v>43</v>
      </c>
      <c r="I7" s="4" t="s">
        <v>40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0.15</v>
      </c>
      <c r="G8" s="8" t="s">
        <v>47</v>
      </c>
      <c r="H8" s="8" t="s">
        <v>48</v>
      </c>
      <c r="I8" s="8" t="s">
        <v>49</v>
      </c>
    </row>
    <row r="9" customFormat="false" ht="17.15" hidden="false" customHeight="false" outlineLevel="0" collapsed="false">
      <c r="A9" s="0" t="s">
        <v>50</v>
      </c>
      <c r="B9" s="4" t="s">
        <v>51</v>
      </c>
      <c r="C9" s="4" t="s">
        <v>33</v>
      </c>
      <c r="E9" s="7" t="n">
        <v>1</v>
      </c>
      <c r="G9" s="8" t="s">
        <v>52</v>
      </c>
      <c r="H9" s="8" t="s">
        <v>53</v>
      </c>
      <c r="I9" s="8" t="s">
        <v>36</v>
      </c>
    </row>
    <row r="10" customFormat="false" ht="17.15" hidden="false" customHeight="false" outlineLevel="0" collapsed="false">
      <c r="A10" s="0" t="s">
        <v>54</v>
      </c>
      <c r="B10" s="4" t="s">
        <v>55</v>
      </c>
      <c r="C10" s="4" t="s">
        <v>33</v>
      </c>
      <c r="E10" s="7" t="n">
        <v>4.5</v>
      </c>
      <c r="G10" s="8" t="s">
        <v>52</v>
      </c>
      <c r="H10" s="8" t="s">
        <v>56</v>
      </c>
      <c r="I10" s="4" t="s">
        <v>40</v>
      </c>
    </row>
    <row r="11" customFormat="false" ht="17.15" hidden="false" customHeight="false" outlineLevel="0" collapsed="false">
      <c r="A11" s="0" t="s">
        <v>57</v>
      </c>
      <c r="B11" s="4" t="s">
        <v>58</v>
      </c>
      <c r="C11" s="4" t="s">
        <v>33</v>
      </c>
      <c r="E11" s="7" t="n">
        <v>5</v>
      </c>
      <c r="G11" s="8" t="s">
        <v>52</v>
      </c>
      <c r="H11" s="8" t="s">
        <v>59</v>
      </c>
      <c r="I11" s="4" t="s">
        <v>40</v>
      </c>
    </row>
    <row r="12" customFormat="false" ht="17.15" hidden="false" customHeight="false" outlineLevel="0" collapsed="false">
      <c r="A12" s="0" t="s">
        <v>60</v>
      </c>
      <c r="B12" s="4" t="s">
        <v>61</v>
      </c>
      <c r="C12" s="0" t="s">
        <v>46</v>
      </c>
      <c r="E12" s="7" t="n">
        <v>0.15</v>
      </c>
      <c r="G12" s="8" t="s">
        <v>47</v>
      </c>
      <c r="H12" s="8" t="s">
        <v>62</v>
      </c>
      <c r="I12" s="8" t="s">
        <v>49</v>
      </c>
    </row>
    <row r="13" customFormat="false" ht="17.15" hidden="false" customHeight="false" outlineLevel="0" collapsed="false">
      <c r="A13" s="0" t="s">
        <v>63</v>
      </c>
      <c r="B13" s="4" t="s">
        <v>64</v>
      </c>
      <c r="C13" s="0" t="s">
        <v>65</v>
      </c>
      <c r="E13" s="7" t="n">
        <v>1</v>
      </c>
      <c r="G13" s="8" t="s">
        <v>47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65</v>
      </c>
      <c r="E14" s="7" t="n">
        <v>1</v>
      </c>
      <c r="G14" s="8" t="s">
        <v>47</v>
      </c>
      <c r="H14" s="8" t="s">
        <v>70</v>
      </c>
      <c r="I14" s="4" t="s">
        <v>40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65</v>
      </c>
      <c r="E15" s="7" t="n">
        <v>0.8</v>
      </c>
      <c r="G15" s="8" t="s">
        <v>47</v>
      </c>
      <c r="H15" s="8" t="s">
        <v>73</v>
      </c>
      <c r="I15" s="4" t="s">
        <v>40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65</v>
      </c>
      <c r="E16" s="7" t="n">
        <v>0.85</v>
      </c>
      <c r="G16" s="8" t="s">
        <v>47</v>
      </c>
      <c r="H16" s="8" t="s">
        <v>76</v>
      </c>
      <c r="I16" s="4" t="s">
        <v>40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65</v>
      </c>
      <c r="E17" s="7" t="n">
        <v>0.6</v>
      </c>
      <c r="G17" s="8" t="s">
        <v>47</v>
      </c>
      <c r="H17" s="8" t="s">
        <v>79</v>
      </c>
      <c r="I17" s="4" t="s">
        <v>40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65</v>
      </c>
      <c r="E18" s="7" t="n">
        <v>0.6</v>
      </c>
      <c r="G18" s="8" t="s">
        <v>47</v>
      </c>
      <c r="H18" s="8" t="s">
        <v>82</v>
      </c>
      <c r="I18" s="4" t="s">
        <v>40</v>
      </c>
    </row>
    <row r="19" customFormat="false" ht="17.15" hidden="false" customHeight="false" outlineLevel="0" collapsed="false">
      <c r="A19" s="6" t="s">
        <v>83</v>
      </c>
    </row>
    <row r="20" customFormat="false" ht="17.15" hidden="false" customHeight="false" outlineLevel="0" collapsed="false">
      <c r="A20" s="0" t="s">
        <v>84</v>
      </c>
      <c r="B20" s="0" t="s">
        <v>85</v>
      </c>
      <c r="C20" s="0" t="s">
        <v>86</v>
      </c>
      <c r="D20" s="7" t="n">
        <v>6</v>
      </c>
      <c r="E20" s="7" t="n">
        <v>8</v>
      </c>
      <c r="F20" s="7" t="n">
        <v>11</v>
      </c>
      <c r="G20" s="8" t="s">
        <v>47</v>
      </c>
      <c r="H20" s="8" t="s">
        <v>87</v>
      </c>
      <c r="I20" s="8" t="s">
        <v>88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86</v>
      </c>
      <c r="D21" s="7" t="n">
        <v>4</v>
      </c>
      <c r="E21" s="7" t="n">
        <v>6</v>
      </c>
      <c r="F21" s="7" t="n">
        <v>9</v>
      </c>
      <c r="G21" s="8" t="s">
        <v>47</v>
      </c>
      <c r="H21" s="8" t="s">
        <v>91</v>
      </c>
      <c r="I21" s="8" t="s">
        <v>88</v>
      </c>
    </row>
    <row r="22" customFormat="false" ht="17.15" hidden="false" customHeight="false" outlineLevel="0" collapsed="false">
      <c r="A22" s="0" t="s">
        <v>92</v>
      </c>
      <c r="B22" s="0" t="s">
        <v>93</v>
      </c>
      <c r="C22" s="0" t="s">
        <v>65</v>
      </c>
      <c r="D22" s="7" t="n">
        <v>0.3</v>
      </c>
      <c r="E22" s="7" t="n">
        <v>0.6</v>
      </c>
      <c r="F22" s="7" t="n">
        <v>1</v>
      </c>
      <c r="G22" s="8" t="s">
        <v>47</v>
      </c>
      <c r="H22" s="8" t="s">
        <v>94</v>
      </c>
      <c r="I22" s="4" t="s">
        <v>95</v>
      </c>
    </row>
    <row r="23" customFormat="false" ht="17.15" hidden="false" customHeight="false" outlineLevel="0" collapsed="false">
      <c r="A23" s="0" t="s">
        <v>96</v>
      </c>
      <c r="B23" s="4" t="s">
        <v>97</v>
      </c>
      <c r="C23" s="0" t="s">
        <v>65</v>
      </c>
      <c r="D23" s="7" t="n">
        <v>0</v>
      </c>
      <c r="E23" s="7" t="n">
        <v>0.1</v>
      </c>
      <c r="F23" s="7" t="n">
        <v>0.2</v>
      </c>
      <c r="G23" s="8" t="s">
        <v>47</v>
      </c>
      <c r="H23" s="8" t="s">
        <v>98</v>
      </c>
      <c r="I23" s="4" t="s">
        <v>99</v>
      </c>
    </row>
    <row r="24" customFormat="false" ht="17.15" hidden="false" customHeight="false" outlineLevel="0" collapsed="false">
      <c r="A24" s="0" t="s">
        <v>100</v>
      </c>
      <c r="B24" s="0" t="s">
        <v>101</v>
      </c>
      <c r="C24" s="0" t="s">
        <v>102</v>
      </c>
      <c r="E24" s="7" t="n">
        <v>192</v>
      </c>
      <c r="G24" s="8" t="s">
        <v>52</v>
      </c>
      <c r="H24" s="8" t="s">
        <v>103</v>
      </c>
      <c r="I24" s="8" t="s">
        <v>104</v>
      </c>
    </row>
    <row r="25" customFormat="false" ht="17.15" hidden="false" customHeight="false" outlineLevel="0" collapsed="false">
      <c r="A25" s="0" t="s">
        <v>105</v>
      </c>
      <c r="B25" s="0" t="s">
        <v>106</v>
      </c>
      <c r="C25" s="0" t="s">
        <v>102</v>
      </c>
      <c r="E25" s="7" t="n">
        <v>250</v>
      </c>
      <c r="G25" s="8" t="s">
        <v>52</v>
      </c>
      <c r="H25" s="8" t="s">
        <v>107</v>
      </c>
      <c r="I25" s="4" t="s">
        <v>40</v>
      </c>
    </row>
    <row r="26" customFormat="false" ht="17.15" hidden="false" customHeight="false" outlineLevel="0" collapsed="false">
      <c r="A26" s="0" t="s">
        <v>108</v>
      </c>
      <c r="B26" s="0" t="s">
        <v>109</v>
      </c>
      <c r="C26" s="0" t="s">
        <v>102</v>
      </c>
      <c r="E26" s="7" t="n">
        <v>288</v>
      </c>
      <c r="G26" s="8" t="s">
        <v>52</v>
      </c>
      <c r="H26" s="8" t="s">
        <v>110</v>
      </c>
      <c r="I26" s="4" t="s">
        <v>40</v>
      </c>
    </row>
    <row r="27" customFormat="false" ht="17.15" hidden="false" customHeight="false" outlineLevel="0" collapsed="false">
      <c r="A27" s="0" t="s">
        <v>111</v>
      </c>
      <c r="B27" s="4" t="s">
        <v>112</v>
      </c>
      <c r="C27" s="0" t="s">
        <v>102</v>
      </c>
      <c r="E27" s="7" t="n">
        <v>150</v>
      </c>
      <c r="G27" s="8" t="s">
        <v>52</v>
      </c>
      <c r="H27" s="8" t="s">
        <v>113</v>
      </c>
      <c r="I27" s="8" t="s">
        <v>104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102</v>
      </c>
      <c r="E28" s="7" t="n">
        <v>200</v>
      </c>
      <c r="G28" s="8" t="s">
        <v>52</v>
      </c>
      <c r="H28" s="8" t="s">
        <v>116</v>
      </c>
      <c r="I28" s="4" t="s">
        <v>40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102</v>
      </c>
      <c r="E29" s="7" t="n">
        <v>250</v>
      </c>
      <c r="G29" s="8" t="s">
        <v>52</v>
      </c>
      <c r="H29" s="8" t="s">
        <v>119</v>
      </c>
      <c r="I29" s="4" t="s">
        <v>40</v>
      </c>
    </row>
    <row r="30" customFormat="false" ht="17.15" hidden="false" customHeight="false" outlineLevel="0" collapsed="false">
      <c r="A30" s="0" t="s">
        <v>120</v>
      </c>
      <c r="B30" s="0" t="s">
        <v>121</v>
      </c>
      <c r="C30" s="0" t="s">
        <v>46</v>
      </c>
      <c r="E30" s="7" t="n">
        <v>0.9</v>
      </c>
      <c r="G30" s="8" t="s">
        <v>47</v>
      </c>
      <c r="H30" s="8" t="s">
        <v>122</v>
      </c>
      <c r="I30" s="8" t="s">
        <v>123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46</v>
      </c>
      <c r="E31" s="7" t="n">
        <v>0</v>
      </c>
      <c r="G31" s="8" t="s">
        <v>47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0" t="s">
        <v>128</v>
      </c>
      <c r="B32" s="0" t="s">
        <v>129</v>
      </c>
      <c r="C32" s="0" t="s">
        <v>46</v>
      </c>
      <c r="E32" s="7" t="n">
        <v>0.8</v>
      </c>
      <c r="G32" s="8" t="s">
        <v>47</v>
      </c>
      <c r="H32" s="8" t="s">
        <v>130</v>
      </c>
      <c r="I32" s="8" t="s">
        <v>123</v>
      </c>
    </row>
    <row r="33" customFormat="false" ht="17.15" hidden="false" customHeight="false" outlineLevel="0" collapsed="false">
      <c r="A33" s="0" t="s">
        <v>131</v>
      </c>
      <c r="B33" s="0" t="s">
        <v>132</v>
      </c>
      <c r="C33" s="0" t="s">
        <v>46</v>
      </c>
      <c r="E33" s="7" t="n">
        <v>0</v>
      </c>
      <c r="G33" s="8" t="s">
        <v>47</v>
      </c>
      <c r="H33" s="8" t="s">
        <v>133</v>
      </c>
      <c r="I33" s="8" t="s">
        <v>127</v>
      </c>
    </row>
    <row r="34" customFormat="false" ht="17.15" hidden="false" customHeight="false" outlineLevel="0" collapsed="false">
      <c r="A34" s="0" t="s">
        <v>134</v>
      </c>
      <c r="B34" s="0" t="s">
        <v>135</v>
      </c>
      <c r="C34" s="0" t="s">
        <v>46</v>
      </c>
      <c r="E34" s="7" t="n">
        <v>0.75</v>
      </c>
      <c r="G34" s="8" t="s">
        <v>47</v>
      </c>
      <c r="H34" s="8" t="s">
        <v>136</v>
      </c>
      <c r="I34" s="8" t="s">
        <v>123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46</v>
      </c>
      <c r="E35" s="7" t="n">
        <v>0.05</v>
      </c>
      <c r="G35" s="8" t="s">
        <v>47</v>
      </c>
      <c r="H35" s="8" t="s">
        <v>139</v>
      </c>
      <c r="I35" s="8" t="s">
        <v>127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46</v>
      </c>
      <c r="E36" s="7" t="n">
        <v>0.35</v>
      </c>
      <c r="G36" s="8" t="s">
        <v>47</v>
      </c>
      <c r="H36" s="8" t="s">
        <v>142</v>
      </c>
      <c r="I36" s="8" t="s">
        <v>123</v>
      </c>
    </row>
    <row r="37" customFormat="false" ht="17.15" hidden="false" customHeight="false" outlineLevel="0" collapsed="false">
      <c r="A37" s="0" t="s">
        <v>143</v>
      </c>
      <c r="B37" s="0" t="s">
        <v>144</v>
      </c>
      <c r="C37" s="0" t="s">
        <v>46</v>
      </c>
      <c r="E37" s="7" t="n">
        <v>0.05</v>
      </c>
      <c r="G37" s="8" t="s">
        <v>47</v>
      </c>
      <c r="H37" s="8" t="s">
        <v>145</v>
      </c>
      <c r="I37" s="8" t="s">
        <v>127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46</v>
      </c>
      <c r="E38" s="7" t="n">
        <v>0.55</v>
      </c>
      <c r="G38" s="8" t="s">
        <v>47</v>
      </c>
      <c r="H38" s="8" t="s">
        <v>148</v>
      </c>
      <c r="I38" s="8" t="s">
        <v>123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46</v>
      </c>
      <c r="E39" s="7" t="n">
        <v>0.06</v>
      </c>
      <c r="G39" s="8" t="s">
        <v>47</v>
      </c>
      <c r="H39" s="8" t="s">
        <v>151</v>
      </c>
      <c r="I39" s="8" t="s">
        <v>127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46</v>
      </c>
      <c r="E40" s="7" t="n">
        <v>0.55</v>
      </c>
      <c r="G40" s="8" t="s">
        <v>47</v>
      </c>
      <c r="H40" s="8" t="s">
        <v>154</v>
      </c>
      <c r="I40" s="8" t="s">
        <v>123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46</v>
      </c>
      <c r="E41" s="7" t="n">
        <v>0.15</v>
      </c>
      <c r="G41" s="8" t="s">
        <v>47</v>
      </c>
      <c r="H41" s="8" t="s">
        <v>157</v>
      </c>
      <c r="I41" s="8" t="s">
        <v>127</v>
      </c>
    </row>
    <row r="42" customFormat="false" ht="17.15" hidden="false" customHeight="false" outlineLevel="0" collapsed="false">
      <c r="A42" s="0" t="s">
        <v>158</v>
      </c>
      <c r="B42" s="4" t="s">
        <v>159</v>
      </c>
      <c r="C42" s="0" t="s">
        <v>46</v>
      </c>
      <c r="D42" s="7" t="n">
        <v>0.03</v>
      </c>
      <c r="E42" s="7" t="n">
        <v>0.05</v>
      </c>
      <c r="F42" s="7" t="n">
        <v>0.1</v>
      </c>
      <c r="G42" s="8" t="s">
        <v>47</v>
      </c>
      <c r="H42" s="4" t="s">
        <v>160</v>
      </c>
      <c r="I42" s="4" t="s">
        <v>161</v>
      </c>
    </row>
    <row r="43" customFormat="false" ht="17.15" hidden="false" customHeight="false" outlineLevel="0" collapsed="false">
      <c r="A43" s="0" t="s">
        <v>162</v>
      </c>
      <c r="B43" s="4" t="s">
        <v>163</v>
      </c>
      <c r="C43" s="0" t="s">
        <v>46</v>
      </c>
      <c r="D43" s="7" t="n">
        <v>0.08</v>
      </c>
      <c r="E43" s="7" t="n">
        <v>0.15</v>
      </c>
      <c r="F43" s="7" t="n">
        <v>0.2</v>
      </c>
      <c r="G43" s="8" t="s">
        <v>47</v>
      </c>
      <c r="H43" s="4" t="s">
        <v>40</v>
      </c>
      <c r="I43" s="8" t="s">
        <v>164</v>
      </c>
    </row>
    <row r="44" customFormat="false" ht="17.15" hidden="false" customHeight="false" outlineLevel="0" collapsed="false">
      <c r="A44" s="0" t="s">
        <v>165</v>
      </c>
      <c r="B44" s="4" t="s">
        <v>166</v>
      </c>
      <c r="C44" s="0" t="s">
        <v>46</v>
      </c>
      <c r="D44" s="7" t="n">
        <v>0.1</v>
      </c>
      <c r="E44" s="7" t="n">
        <v>0.18</v>
      </c>
      <c r="F44" s="7" t="n">
        <v>0.2</v>
      </c>
      <c r="G44" s="8" t="s">
        <v>47</v>
      </c>
      <c r="H44" s="4" t="s">
        <v>40</v>
      </c>
      <c r="I44" s="8" t="s">
        <v>164</v>
      </c>
    </row>
    <row r="45" customFormat="false" ht="17.15" hidden="false" customHeight="false" outlineLevel="0" collapsed="false">
      <c r="A45" s="0" t="s">
        <v>167</v>
      </c>
      <c r="B45" s="4" t="s">
        <v>168</v>
      </c>
      <c r="C45" s="0" t="s">
        <v>46</v>
      </c>
      <c r="D45" s="7" t="n">
        <v>0</v>
      </c>
      <c r="E45" s="7" t="n">
        <v>0</v>
      </c>
      <c r="F45" s="7" t="n">
        <v>0.02</v>
      </c>
      <c r="G45" s="8" t="s">
        <v>47</v>
      </c>
      <c r="H45" s="4" t="s">
        <v>169</v>
      </c>
      <c r="I45" s="4" t="s">
        <v>170</v>
      </c>
    </row>
    <row r="46" customFormat="false" ht="17.15" hidden="false" customHeight="false" outlineLevel="0" collapsed="false">
      <c r="A46" s="0" t="s">
        <v>171</v>
      </c>
      <c r="B46" s="4" t="s">
        <v>172</v>
      </c>
      <c r="C46" s="0" t="s">
        <v>46</v>
      </c>
      <c r="D46" s="7" t="n">
        <v>0</v>
      </c>
      <c r="E46" s="7" t="n">
        <v>0</v>
      </c>
      <c r="F46" s="7" t="n">
        <v>0.03</v>
      </c>
      <c r="G46" s="8" t="s">
        <v>47</v>
      </c>
      <c r="H46" s="4" t="s">
        <v>40</v>
      </c>
      <c r="I46" s="8" t="s">
        <v>164</v>
      </c>
    </row>
    <row r="47" customFormat="false" ht="17.15" hidden="false" customHeight="false" outlineLevel="0" collapsed="false">
      <c r="A47" s="0" t="s">
        <v>173</v>
      </c>
      <c r="B47" s="4" t="s">
        <v>174</v>
      </c>
      <c r="C47" s="0" t="s">
        <v>46</v>
      </c>
      <c r="D47" s="7" t="n">
        <v>0</v>
      </c>
      <c r="E47" s="7" t="n">
        <v>0</v>
      </c>
      <c r="F47" s="7" t="n">
        <v>0.05</v>
      </c>
      <c r="G47" s="8" t="s">
        <v>47</v>
      </c>
      <c r="H47" s="4" t="s">
        <v>40</v>
      </c>
      <c r="I47" s="8" t="s">
        <v>164</v>
      </c>
    </row>
    <row r="48" customFormat="false" ht="17.15" hidden="false" customHeight="false" outlineLevel="0" collapsed="false">
      <c r="A48" s="0" t="s">
        <v>175</v>
      </c>
      <c r="B48" s="0" t="s">
        <v>176</v>
      </c>
      <c r="C48" s="0" t="s">
        <v>65</v>
      </c>
      <c r="D48" s="7" t="n">
        <v>0.8</v>
      </c>
      <c r="E48" s="7" t="n">
        <v>1</v>
      </c>
      <c r="F48" s="7" t="n">
        <v>2</v>
      </c>
      <c r="G48" s="8" t="s">
        <v>47</v>
      </c>
      <c r="H48" s="4" t="s">
        <v>177</v>
      </c>
      <c r="I48" s="4" t="s">
        <v>178</v>
      </c>
    </row>
    <row r="49" customFormat="false" ht="17.15" hidden="false" customHeight="false" outlineLevel="0" collapsed="false">
      <c r="A49" s="0" t="s">
        <v>179</v>
      </c>
      <c r="B49" s="4" t="s">
        <v>180</v>
      </c>
      <c r="C49" s="0" t="s">
        <v>65</v>
      </c>
      <c r="D49" s="7" t="n">
        <v>0.8</v>
      </c>
      <c r="E49" s="7" t="n">
        <v>1</v>
      </c>
      <c r="F49" s="7" t="n">
        <v>1.2</v>
      </c>
      <c r="G49" s="8" t="s">
        <v>47</v>
      </c>
      <c r="H49" s="4" t="s">
        <v>181</v>
      </c>
      <c r="I49" s="8" t="s">
        <v>182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65</v>
      </c>
      <c r="D50" s="7" t="n">
        <v>0.35</v>
      </c>
      <c r="E50" s="7" t="n">
        <v>0.45</v>
      </c>
      <c r="F50" s="7" t="n">
        <v>0.55</v>
      </c>
      <c r="G50" s="8" t="s">
        <v>47</v>
      </c>
      <c r="H50" s="4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0" t="s">
        <v>188</v>
      </c>
      <c r="C51" s="0" t="s">
        <v>65</v>
      </c>
      <c r="E51" s="0" t="n">
        <f aca="false">f_hbm*gb_tpu_26*hbm_A_26/1000/(core_tpu+f_hbm*gb_tpu_26*hbm_A_26/1000)</f>
        <v>0.173717609730301</v>
      </c>
      <c r="G51" s="0" t="s">
        <v>189</v>
      </c>
      <c r="H51" s="0" t="s">
        <v>190</v>
      </c>
      <c r="I51" s="0" t="s">
        <v>164</v>
      </c>
    </row>
    <row r="52" customFormat="false" ht="17.15" hidden="false" customHeight="false" outlineLevel="0" collapsed="false">
      <c r="A52" s="6" t="s">
        <v>191</v>
      </c>
    </row>
    <row r="53" customFormat="false" ht="17.15" hidden="false" customHeight="false" outlineLevel="0" collapsed="false">
      <c r="A53" s="0" t="s">
        <v>192</v>
      </c>
      <c r="B53" s="0" t="s">
        <v>193</v>
      </c>
      <c r="C53" s="0" t="s">
        <v>194</v>
      </c>
      <c r="E53" s="7" t="n">
        <v>14.6</v>
      </c>
      <c r="G53" s="8" t="s">
        <v>189</v>
      </c>
      <c r="H53" s="8" t="s">
        <v>195</v>
      </c>
      <c r="I53" s="8" t="s">
        <v>196</v>
      </c>
    </row>
    <row r="54" customFormat="false" ht="17.15" hidden="false" customHeight="false" outlineLevel="0" collapsed="false">
      <c r="A54" s="0" t="s">
        <v>197</v>
      </c>
      <c r="B54" s="0" t="s">
        <v>198</v>
      </c>
      <c r="C54" s="0" t="s">
        <v>194</v>
      </c>
      <c r="E54" s="7" t="n">
        <v>26.28</v>
      </c>
      <c r="G54" s="8" t="s">
        <v>189</v>
      </c>
      <c r="H54" s="8" t="s">
        <v>199</v>
      </c>
      <c r="I54" s="4" t="s">
        <v>40</v>
      </c>
    </row>
    <row r="55" customFormat="false" ht="17.15" hidden="false" customHeight="false" outlineLevel="0" collapsed="false">
      <c r="A55" s="0" t="s">
        <v>200</v>
      </c>
      <c r="B55" s="0" t="s">
        <v>201</v>
      </c>
      <c r="C55" s="0" t="s">
        <v>194</v>
      </c>
      <c r="E55" s="7" t="n">
        <v>28.908</v>
      </c>
      <c r="G55" s="8" t="s">
        <v>189</v>
      </c>
      <c r="H55" s="8" t="s">
        <v>202</v>
      </c>
      <c r="I55" s="4" t="s">
        <v>40</v>
      </c>
    </row>
    <row r="56" customFormat="false" ht="17.15" hidden="false" customHeight="false" outlineLevel="0" collapsed="false">
      <c r="A56" s="0" t="s">
        <v>203</v>
      </c>
      <c r="B56" s="0" t="s">
        <v>204</v>
      </c>
      <c r="C56" s="0" t="s">
        <v>194</v>
      </c>
      <c r="E56" s="7" t="n">
        <v>27.4626</v>
      </c>
      <c r="G56" s="8" t="s">
        <v>189</v>
      </c>
      <c r="H56" s="8" t="s">
        <v>205</v>
      </c>
      <c r="I56" s="4" t="s">
        <v>40</v>
      </c>
    </row>
    <row r="57" customFormat="false" ht="17.15" hidden="false" customHeight="false" outlineLevel="0" collapsed="false">
      <c r="A57" s="0" t="s">
        <v>206</v>
      </c>
      <c r="B57" s="0" t="s">
        <v>207</v>
      </c>
      <c r="C57" s="0" t="s">
        <v>194</v>
      </c>
      <c r="E57" s="7" t="n">
        <v>14.6</v>
      </c>
      <c r="G57" s="8" t="s">
        <v>189</v>
      </c>
      <c r="H57" s="8" t="s">
        <v>208</v>
      </c>
      <c r="I57" s="4" t="s">
        <v>40</v>
      </c>
    </row>
    <row r="58" customFormat="false" ht="17.15" hidden="false" customHeight="false" outlineLevel="0" collapsed="false">
      <c r="A58" s="0" t="s">
        <v>209</v>
      </c>
      <c r="B58" s="0" t="s">
        <v>210</v>
      </c>
      <c r="C58" s="0" t="s">
        <v>194</v>
      </c>
      <c r="E58" s="7" t="n">
        <v>26.28</v>
      </c>
      <c r="G58" s="8" t="s">
        <v>189</v>
      </c>
      <c r="H58" s="8" t="s">
        <v>211</v>
      </c>
      <c r="I58" s="4" t="s">
        <v>40</v>
      </c>
    </row>
    <row r="59" customFormat="false" ht="17.15" hidden="false" customHeight="false" outlineLevel="0" collapsed="false">
      <c r="A59" s="0" t="s">
        <v>212</v>
      </c>
      <c r="B59" s="0" t="s">
        <v>213</v>
      </c>
      <c r="C59" s="0" t="s">
        <v>194</v>
      </c>
      <c r="E59" s="7" t="n">
        <v>19.71</v>
      </c>
      <c r="G59" s="8" t="s">
        <v>189</v>
      </c>
      <c r="H59" s="8" t="s">
        <v>214</v>
      </c>
      <c r="I59" s="4" t="s">
        <v>40</v>
      </c>
    </row>
    <row r="60" customFormat="false" ht="17.15" hidden="false" customHeight="false" outlineLevel="0" collapsed="false">
      <c r="A60" s="0" t="s">
        <v>215</v>
      </c>
      <c r="B60" s="0" t="s">
        <v>216</v>
      </c>
      <c r="C60" s="0" t="s">
        <v>194</v>
      </c>
      <c r="E60" s="7" t="n">
        <v>19.71</v>
      </c>
      <c r="G60" s="8" t="s">
        <v>189</v>
      </c>
      <c r="H60" s="8" t="s">
        <v>217</v>
      </c>
      <c r="I60" s="4" t="s">
        <v>40</v>
      </c>
    </row>
    <row r="61" customFormat="false" ht="17.15" hidden="false" customHeight="false" outlineLevel="0" collapsed="false">
      <c r="A61" s="0" t="s">
        <v>218</v>
      </c>
      <c r="B61" s="0" t="s">
        <v>219</v>
      </c>
      <c r="C61" s="0" t="s">
        <v>194</v>
      </c>
      <c r="E61" s="7" t="n">
        <v>14.6</v>
      </c>
      <c r="G61" s="8" t="s">
        <v>189</v>
      </c>
      <c r="H61" s="8" t="s">
        <v>220</v>
      </c>
      <c r="I61" s="4" t="s">
        <v>40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194</v>
      </c>
      <c r="E62" s="7" t="n">
        <v>26.28</v>
      </c>
      <c r="G62" s="8" t="s">
        <v>189</v>
      </c>
      <c r="H62" s="8" t="s">
        <v>223</v>
      </c>
      <c r="I62" s="4" t="s">
        <v>40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194</v>
      </c>
      <c r="E63" s="7" t="n">
        <v>15.768</v>
      </c>
      <c r="G63" s="8" t="s">
        <v>189</v>
      </c>
      <c r="H63" s="8" t="s">
        <v>226</v>
      </c>
      <c r="I63" s="4" t="s">
        <v>40</v>
      </c>
    </row>
    <row r="64" customFormat="false" ht="17.15" hidden="false" customHeight="false" outlineLevel="0" collapsed="false">
      <c r="A64" s="0" t="s">
        <v>227</v>
      </c>
      <c r="B64" s="0" t="s">
        <v>228</v>
      </c>
      <c r="C64" s="0" t="s">
        <v>194</v>
      </c>
      <c r="E64" s="7" t="n">
        <v>16.5564</v>
      </c>
      <c r="G64" s="8" t="s">
        <v>189</v>
      </c>
      <c r="H64" s="8" t="s">
        <v>229</v>
      </c>
      <c r="I64" s="4" t="s">
        <v>40</v>
      </c>
    </row>
    <row r="65" customFormat="false" ht="17.15" hidden="false" customHeight="false" outlineLevel="0" collapsed="false">
      <c r="A65" s="6" t="s">
        <v>230</v>
      </c>
    </row>
    <row r="66" customFormat="false" ht="17.15" hidden="false" customHeight="false" outlineLevel="0" collapsed="false">
      <c r="A66" s="0" t="s">
        <v>231</v>
      </c>
      <c r="B66" s="4" t="s">
        <v>232</v>
      </c>
      <c r="C66" s="0" t="s">
        <v>46</v>
      </c>
      <c r="D66" s="7" t="n">
        <v>-0.12</v>
      </c>
      <c r="E66" s="7" t="n">
        <v>0.05</v>
      </c>
      <c r="F66" s="7" t="n">
        <v>0.08</v>
      </c>
      <c r="G66" s="8" t="s">
        <v>47</v>
      </c>
      <c r="H66" s="4" t="s">
        <v>233</v>
      </c>
      <c r="I66" s="8" t="s">
        <v>234</v>
      </c>
    </row>
    <row r="67" customFormat="false" ht="17.15" hidden="false" customHeight="false" outlineLevel="0" collapsed="false">
      <c r="A67" s="0" t="s">
        <v>235</v>
      </c>
      <c r="B67" s="4" t="s">
        <v>236</v>
      </c>
      <c r="C67" s="0" t="s">
        <v>46</v>
      </c>
      <c r="D67" s="7" t="n">
        <v>-0.12</v>
      </c>
      <c r="E67" s="7" t="n">
        <v>0.04</v>
      </c>
      <c r="F67" s="7" t="n">
        <v>0.08</v>
      </c>
      <c r="G67" s="8" t="s">
        <v>47</v>
      </c>
      <c r="H67" s="4" t="s">
        <v>40</v>
      </c>
      <c r="I67" s="8" t="s">
        <v>164</v>
      </c>
    </row>
    <row r="68" customFormat="false" ht="17.15" hidden="false" customHeight="false" outlineLevel="0" collapsed="false">
      <c r="A68" s="0" t="s">
        <v>237</v>
      </c>
      <c r="B68" s="4" t="s">
        <v>238</v>
      </c>
      <c r="C68" s="0" t="s">
        <v>46</v>
      </c>
      <c r="D68" s="7" t="n">
        <v>-0.12</v>
      </c>
      <c r="E68" s="7" t="n">
        <v>0</v>
      </c>
      <c r="F68" s="7" t="n">
        <v>0.08</v>
      </c>
      <c r="G68" s="8" t="s">
        <v>47</v>
      </c>
      <c r="H68" s="4" t="s">
        <v>40</v>
      </c>
      <c r="I68" s="8" t="s">
        <v>164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46</v>
      </c>
      <c r="D69" s="7" t="n">
        <v>-0.12</v>
      </c>
      <c r="E69" s="7" t="n">
        <v>0.02</v>
      </c>
      <c r="F69" s="7" t="n">
        <v>0.08</v>
      </c>
      <c r="G69" s="8" t="s">
        <v>47</v>
      </c>
      <c r="H69" s="4" t="s">
        <v>40</v>
      </c>
      <c r="I69" s="8" t="s">
        <v>164</v>
      </c>
    </row>
    <row r="70" customFormat="false" ht="17.15" hidden="false" customHeight="false" outlineLevel="0" collapsed="false">
      <c r="A70" s="0" t="s">
        <v>241</v>
      </c>
      <c r="B70" s="4" t="s">
        <v>242</v>
      </c>
      <c r="C70" s="0" t="s">
        <v>46</v>
      </c>
      <c r="D70" s="7" t="n">
        <v>-0.12</v>
      </c>
      <c r="E70" s="7" t="n">
        <v>-0.08</v>
      </c>
      <c r="F70" s="7" t="n">
        <v>0.08</v>
      </c>
      <c r="G70" s="8" t="s">
        <v>47</v>
      </c>
      <c r="H70" s="4" t="s">
        <v>40</v>
      </c>
      <c r="I70" s="8" t="s">
        <v>164</v>
      </c>
    </row>
    <row r="71" customFormat="false" ht="17.15" hidden="false" customHeight="false" outlineLevel="0" collapsed="false">
      <c r="A71" s="0" t="s">
        <v>243</v>
      </c>
      <c r="B71" s="4" t="s">
        <v>244</v>
      </c>
      <c r="C71" s="0" t="s">
        <v>46</v>
      </c>
      <c r="D71" s="7" t="n">
        <v>-0.12</v>
      </c>
      <c r="E71" s="7" t="n">
        <v>-0.03</v>
      </c>
      <c r="F71" s="7" t="n">
        <v>0.08</v>
      </c>
      <c r="G71" s="8" t="s">
        <v>47</v>
      </c>
      <c r="H71" s="4" t="s">
        <v>40</v>
      </c>
      <c r="I71" s="8" t="s">
        <v>164</v>
      </c>
    </row>
    <row r="72" customFormat="false" ht="17.15" hidden="false" customHeight="false" outlineLevel="0" collapsed="false">
      <c r="A72" s="0" t="s">
        <v>245</v>
      </c>
      <c r="B72" s="4" t="s">
        <v>246</v>
      </c>
      <c r="C72" s="0" t="s">
        <v>46</v>
      </c>
      <c r="D72" s="7" t="n">
        <v>-0.06</v>
      </c>
      <c r="E72" s="7" t="n">
        <v>0.08</v>
      </c>
      <c r="F72" s="7" t="n">
        <v>0.12</v>
      </c>
      <c r="G72" s="8" t="s">
        <v>47</v>
      </c>
      <c r="H72" s="4" t="s">
        <v>247</v>
      </c>
      <c r="I72" s="8" t="s">
        <v>248</v>
      </c>
    </row>
    <row r="73" customFormat="false" ht="17.15" hidden="false" customHeight="false" outlineLevel="0" collapsed="false">
      <c r="A73" s="0" t="s">
        <v>249</v>
      </c>
      <c r="B73" s="4" t="s">
        <v>250</v>
      </c>
      <c r="C73" s="0" t="s">
        <v>46</v>
      </c>
      <c r="D73" s="7" t="n">
        <v>-0.06</v>
      </c>
      <c r="E73" s="7" t="n">
        <v>0.07</v>
      </c>
      <c r="F73" s="7" t="n">
        <v>0.12</v>
      </c>
      <c r="G73" s="8" t="s">
        <v>47</v>
      </c>
      <c r="H73" s="4" t="s">
        <v>40</v>
      </c>
      <c r="I73" s="8" t="s">
        <v>164</v>
      </c>
    </row>
    <row r="74" customFormat="false" ht="17.15" hidden="false" customHeight="false" outlineLevel="0" collapsed="false">
      <c r="A74" s="0" t="s">
        <v>251</v>
      </c>
      <c r="B74" s="4" t="s">
        <v>252</v>
      </c>
      <c r="C74" s="0" t="s">
        <v>46</v>
      </c>
      <c r="D74" s="7" t="n">
        <v>-0.06</v>
      </c>
      <c r="E74" s="7" t="n">
        <v>0.04</v>
      </c>
      <c r="F74" s="7" t="n">
        <v>0.12</v>
      </c>
      <c r="G74" s="8" t="s">
        <v>47</v>
      </c>
      <c r="H74" s="4" t="s">
        <v>40</v>
      </c>
      <c r="I74" s="8" t="s">
        <v>164</v>
      </c>
    </row>
    <row r="75" customFormat="false" ht="17.15" hidden="false" customHeight="false" outlineLevel="0" collapsed="false">
      <c r="A75" s="0" t="s">
        <v>253</v>
      </c>
      <c r="B75" s="4" t="s">
        <v>254</v>
      </c>
      <c r="C75" s="0" t="s">
        <v>46</v>
      </c>
      <c r="D75" s="7" t="n">
        <v>-0.06</v>
      </c>
      <c r="E75" s="7" t="n">
        <v>0.04</v>
      </c>
      <c r="F75" s="7" t="n">
        <v>0.12</v>
      </c>
      <c r="G75" s="8" t="s">
        <v>47</v>
      </c>
      <c r="H75" s="4" t="s">
        <v>40</v>
      </c>
      <c r="I75" s="8" t="s">
        <v>164</v>
      </c>
    </row>
    <row r="76" customFormat="false" ht="17.15" hidden="false" customHeight="false" outlineLevel="0" collapsed="false">
      <c r="A76" s="0" t="s">
        <v>255</v>
      </c>
      <c r="B76" s="4" t="s">
        <v>256</v>
      </c>
      <c r="C76" s="0" t="s">
        <v>46</v>
      </c>
      <c r="D76" s="7" t="n">
        <v>-0.06</v>
      </c>
      <c r="E76" s="7" t="n">
        <v>-0.03</v>
      </c>
      <c r="F76" s="7" t="n">
        <v>0.12</v>
      </c>
      <c r="G76" s="8" t="s">
        <v>47</v>
      </c>
      <c r="H76" s="4" t="s">
        <v>40</v>
      </c>
      <c r="I76" s="8" t="s">
        <v>164</v>
      </c>
    </row>
    <row r="77" customFormat="false" ht="17.15" hidden="false" customHeight="false" outlineLevel="0" collapsed="false">
      <c r="A77" s="0" t="s">
        <v>257</v>
      </c>
      <c r="B77" s="4" t="s">
        <v>258</v>
      </c>
      <c r="C77" s="0" t="s">
        <v>46</v>
      </c>
      <c r="D77" s="7" t="n">
        <v>-0.06</v>
      </c>
      <c r="E77" s="7" t="n">
        <v>0.01</v>
      </c>
      <c r="F77" s="7" t="n">
        <v>0.12</v>
      </c>
      <c r="G77" s="8" t="s">
        <v>47</v>
      </c>
      <c r="H77" s="4" t="s">
        <v>40</v>
      </c>
      <c r="I77" s="8" t="s">
        <v>164</v>
      </c>
    </row>
    <row r="78" customFormat="false" ht="17.15" hidden="false" customHeight="false" outlineLevel="0" collapsed="false">
      <c r="A78" s="0" t="s">
        <v>259</v>
      </c>
      <c r="B78" s="4" t="s">
        <v>260</v>
      </c>
      <c r="C78" s="0" t="s">
        <v>46</v>
      </c>
      <c r="D78" s="7" t="n">
        <v>-0.05</v>
      </c>
      <c r="E78" s="7" t="n">
        <v>0.08</v>
      </c>
      <c r="F78" s="7" t="n">
        <v>0.12</v>
      </c>
      <c r="G78" s="8" t="s">
        <v>47</v>
      </c>
      <c r="H78" s="4" t="s">
        <v>261</v>
      </c>
      <c r="I78" s="4" t="s">
        <v>186</v>
      </c>
    </row>
    <row r="79" customFormat="false" ht="17.15" hidden="false" customHeight="false" outlineLevel="0" collapsed="false">
      <c r="A79" s="0" t="s">
        <v>262</v>
      </c>
      <c r="B79" s="4" t="s">
        <v>263</v>
      </c>
      <c r="C79" s="0" t="s">
        <v>46</v>
      </c>
      <c r="D79" s="7" t="n">
        <v>-0.05</v>
      </c>
      <c r="E79" s="7" t="n">
        <v>0.08</v>
      </c>
      <c r="F79" s="7" t="n">
        <v>0.12</v>
      </c>
      <c r="G79" s="8" t="s">
        <v>47</v>
      </c>
      <c r="H79" s="4" t="s">
        <v>40</v>
      </c>
      <c r="I79" s="8" t="s">
        <v>164</v>
      </c>
    </row>
    <row r="80" customFormat="false" ht="17.15" hidden="false" customHeight="false" outlineLevel="0" collapsed="false">
      <c r="A80" s="0" t="s">
        <v>264</v>
      </c>
      <c r="B80" s="4" t="s">
        <v>265</v>
      </c>
      <c r="C80" s="0" t="s">
        <v>46</v>
      </c>
      <c r="D80" s="7" t="n">
        <v>-0.05</v>
      </c>
      <c r="E80" s="7" t="n">
        <v>0.04</v>
      </c>
      <c r="F80" s="7" t="n">
        <v>0.12</v>
      </c>
      <c r="G80" s="8" t="s">
        <v>47</v>
      </c>
      <c r="H80" s="4" t="s">
        <v>40</v>
      </c>
      <c r="I80" s="8" t="s">
        <v>164</v>
      </c>
    </row>
    <row r="81" customFormat="false" ht="17.15" hidden="false" customHeight="false" outlineLevel="0" collapsed="false">
      <c r="A81" s="0" t="s">
        <v>266</v>
      </c>
      <c r="B81" s="4" t="s">
        <v>267</v>
      </c>
      <c r="C81" s="0" t="s">
        <v>46</v>
      </c>
      <c r="D81" s="7" t="n">
        <v>-0.05</v>
      </c>
      <c r="E81" s="7" t="n">
        <v>0.04</v>
      </c>
      <c r="F81" s="7" t="n">
        <v>0.12</v>
      </c>
      <c r="G81" s="8" t="s">
        <v>47</v>
      </c>
      <c r="H81" s="4" t="s">
        <v>40</v>
      </c>
      <c r="I81" s="8" t="s">
        <v>164</v>
      </c>
    </row>
    <row r="82" customFormat="false" ht="17.15" hidden="false" customHeight="false" outlineLevel="0" collapsed="false">
      <c r="A82" s="0" t="s">
        <v>268</v>
      </c>
      <c r="B82" s="4" t="s">
        <v>269</v>
      </c>
      <c r="C82" s="0" t="s">
        <v>46</v>
      </c>
      <c r="D82" s="7" t="n">
        <v>-0.05</v>
      </c>
      <c r="E82" s="7" t="n">
        <v>0</v>
      </c>
      <c r="F82" s="7" t="n">
        <v>0.12</v>
      </c>
      <c r="G82" s="8" t="s">
        <v>47</v>
      </c>
      <c r="H82" s="4" t="s">
        <v>40</v>
      </c>
      <c r="I82" s="8" t="s">
        <v>164</v>
      </c>
    </row>
    <row r="83" customFormat="false" ht="17.15" hidden="false" customHeight="false" outlineLevel="0" collapsed="false">
      <c r="A83" s="0" t="s">
        <v>270</v>
      </c>
      <c r="B83" s="4" t="s">
        <v>271</v>
      </c>
      <c r="C83" s="0" t="s">
        <v>46</v>
      </c>
      <c r="D83" s="7" t="n">
        <v>-0.05</v>
      </c>
      <c r="E83" s="7" t="n">
        <v>0</v>
      </c>
      <c r="F83" s="7" t="n">
        <v>0.12</v>
      </c>
      <c r="G83" s="8" t="s">
        <v>47</v>
      </c>
      <c r="H83" s="4" t="s">
        <v>40</v>
      </c>
      <c r="I83" s="8" t="s">
        <v>164</v>
      </c>
    </row>
    <row r="84" customFormat="false" ht="17.15" hidden="false" customHeight="false" outlineLevel="0" collapsed="false">
      <c r="A84" s="0" t="s">
        <v>272</v>
      </c>
      <c r="B84" s="4" t="s">
        <v>273</v>
      </c>
      <c r="C84" s="0" t="s">
        <v>274</v>
      </c>
      <c r="D84" s="7" t="n">
        <v>-0.02</v>
      </c>
      <c r="E84" s="7" t="n">
        <v>0</v>
      </c>
      <c r="F84" s="7" t="n">
        <v>0.02</v>
      </c>
      <c r="G84" s="8" t="s">
        <v>47</v>
      </c>
      <c r="H84" s="4" t="s">
        <v>181</v>
      </c>
      <c r="I84" s="4" t="s">
        <v>275</v>
      </c>
    </row>
    <row r="85" customFormat="false" ht="17.15" hidden="false" customHeight="false" outlineLevel="0" collapsed="false">
      <c r="A85" s="6" t="s">
        <v>276</v>
      </c>
    </row>
    <row r="86" customFormat="false" ht="17.15" hidden="false" customHeight="false" outlineLevel="0" collapsed="false">
      <c r="A86" s="0" t="s">
        <v>277</v>
      </c>
      <c r="B86" s="4" t="s">
        <v>278</v>
      </c>
      <c r="C86" s="0" t="s">
        <v>279</v>
      </c>
      <c r="D86" s="7" t="n">
        <v>2</v>
      </c>
      <c r="E86" s="7" t="n">
        <v>2</v>
      </c>
      <c r="F86" s="7" t="n">
        <v>2.5</v>
      </c>
      <c r="G86" s="8" t="s">
        <v>34</v>
      </c>
      <c r="H86" s="4" t="s">
        <v>280</v>
      </c>
      <c r="I86" s="4" t="s">
        <v>281</v>
      </c>
    </row>
    <row r="87" customFormat="false" ht="17.15" hidden="false" customHeight="false" outlineLevel="0" collapsed="false">
      <c r="A87" s="0" t="s">
        <v>282</v>
      </c>
      <c r="B87" s="4" t="s">
        <v>283</v>
      </c>
      <c r="C87" s="0" t="s">
        <v>279</v>
      </c>
      <c r="D87" s="7" t="n">
        <v>0.1</v>
      </c>
      <c r="E87" s="7" t="n">
        <v>0.3</v>
      </c>
      <c r="F87" s="7" t="n">
        <v>0.6</v>
      </c>
      <c r="G87" s="8" t="s">
        <v>47</v>
      </c>
      <c r="H87" s="4" t="s">
        <v>284</v>
      </c>
      <c r="I87" s="8" t="s">
        <v>285</v>
      </c>
    </row>
    <row r="88" customFormat="false" ht="17.15" hidden="false" customHeight="false" outlineLevel="0" collapsed="false">
      <c r="A88" s="0" t="s">
        <v>286</v>
      </c>
      <c r="B88" s="0" t="s">
        <v>287</v>
      </c>
      <c r="C88" s="0" t="s">
        <v>288</v>
      </c>
      <c r="E88" s="7" t="n">
        <v>31.2</v>
      </c>
      <c r="G88" s="8" t="s">
        <v>34</v>
      </c>
      <c r="H88" s="4" t="s">
        <v>289</v>
      </c>
      <c r="I88" s="4" t="s">
        <v>290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288</v>
      </c>
      <c r="E89" s="7" t="n">
        <v>31.6</v>
      </c>
      <c r="G89" s="8" t="s">
        <v>293</v>
      </c>
      <c r="H89" s="4" t="s">
        <v>294</v>
      </c>
      <c r="I89" s="4" t="s">
        <v>295</v>
      </c>
    </row>
    <row r="90" customFormat="false" ht="17.15" hidden="false" customHeight="false" outlineLevel="0" collapsed="false">
      <c r="A90" s="0" t="s">
        <v>296</v>
      </c>
      <c r="B90" s="0" t="s">
        <v>297</v>
      </c>
      <c r="C90" s="0" t="s">
        <v>288</v>
      </c>
      <c r="D90" s="7" t="n">
        <v>30.5</v>
      </c>
      <c r="E90" s="7" t="n">
        <v>32</v>
      </c>
      <c r="F90" s="7" t="n">
        <v>33</v>
      </c>
      <c r="G90" s="8" t="s">
        <v>34</v>
      </c>
      <c r="H90" s="4" t="s">
        <v>298</v>
      </c>
      <c r="I90" s="4" t="s">
        <v>290</v>
      </c>
    </row>
    <row r="91" customFormat="false" ht="17.15" hidden="false" customHeight="false" outlineLevel="0" collapsed="false">
      <c r="A91" s="0" t="s">
        <v>299</v>
      </c>
      <c r="B91" s="0" t="s">
        <v>300</v>
      </c>
      <c r="C91" s="0" t="s">
        <v>301</v>
      </c>
      <c r="E91" s="0" t="n">
        <f aca="false">469.391-301.334</f>
        <v>168.057</v>
      </c>
      <c r="G91" s="0" t="s">
        <v>293</v>
      </c>
      <c r="H91" s="4" t="s">
        <v>302</v>
      </c>
      <c r="I91" s="4" t="s">
        <v>303</v>
      </c>
    </row>
    <row r="92" customFormat="false" ht="17.15" hidden="false" customHeight="false" outlineLevel="0" collapsed="false">
      <c r="A92" s="0" t="s">
        <v>304</v>
      </c>
      <c r="B92" s="0" t="s">
        <v>305</v>
      </c>
      <c r="C92" s="0" t="s">
        <v>46</v>
      </c>
      <c r="D92" s="7" t="n">
        <v>-0.06</v>
      </c>
      <c r="E92" s="7" t="n">
        <v>-0.03</v>
      </c>
      <c r="F92" s="7" t="n">
        <v>0</v>
      </c>
      <c r="G92" s="8" t="s">
        <v>34</v>
      </c>
      <c r="H92" s="4" t="s">
        <v>294</v>
      </c>
      <c r="I92" s="4" t="s">
        <v>306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46</v>
      </c>
      <c r="D93" s="7" t="n">
        <v>0.04</v>
      </c>
      <c r="E93" s="7" t="n">
        <v>0.07</v>
      </c>
      <c r="F93" s="7" t="n">
        <v>0.09</v>
      </c>
      <c r="G93" s="8" t="s">
        <v>34</v>
      </c>
      <c r="H93" s="4" t="s">
        <v>294</v>
      </c>
      <c r="I93" s="4" t="s">
        <v>40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46</v>
      </c>
      <c r="D94" s="7" t="n">
        <v>-0.02</v>
      </c>
      <c r="E94" s="7" t="n">
        <v>0</v>
      </c>
      <c r="F94" s="7" t="n">
        <v>0.02</v>
      </c>
      <c r="G94" s="8" t="s">
        <v>34</v>
      </c>
      <c r="H94" s="4" t="s">
        <v>294</v>
      </c>
      <c r="I94" s="4" t="s">
        <v>40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46</v>
      </c>
      <c r="D95" s="7" t="n">
        <v>0.445</v>
      </c>
      <c r="E95" s="7" t="n">
        <v>0.46</v>
      </c>
      <c r="F95" s="7" t="n">
        <v>0.475</v>
      </c>
      <c r="G95" s="8" t="s">
        <v>34</v>
      </c>
      <c r="H95" s="4" t="s">
        <v>294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0" t="s">
        <v>315</v>
      </c>
      <c r="C96" s="0" t="s">
        <v>301</v>
      </c>
      <c r="D96" s="7" t="n">
        <v>46</v>
      </c>
      <c r="E96" s="7" t="n">
        <v>48.5</v>
      </c>
      <c r="F96" s="7" t="n">
        <v>51</v>
      </c>
      <c r="G96" s="8" t="s">
        <v>34</v>
      </c>
      <c r="H96" s="4" t="s">
        <v>316</v>
      </c>
      <c r="I96" s="8" t="s">
        <v>317</v>
      </c>
    </row>
    <row r="97" customFormat="false" ht="17.15" hidden="false" customHeight="false" outlineLevel="0" collapsed="false">
      <c r="A97" s="0" t="s">
        <v>318</v>
      </c>
      <c r="B97" s="0" t="s">
        <v>319</v>
      </c>
      <c r="C97" s="0" t="s">
        <v>46</v>
      </c>
      <c r="D97" s="7" t="n">
        <v>-0.12</v>
      </c>
      <c r="E97" s="7" t="n">
        <v>-0.05</v>
      </c>
      <c r="F97" s="7" t="n">
        <v>0.03</v>
      </c>
      <c r="G97" s="8" t="s">
        <v>47</v>
      </c>
      <c r="H97" s="4" t="s">
        <v>320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0" t="s">
        <v>323</v>
      </c>
      <c r="C98" s="0" t="s">
        <v>46</v>
      </c>
      <c r="D98" s="7" t="n">
        <v>-0.1</v>
      </c>
      <c r="E98" s="7" t="n">
        <v>-0.05</v>
      </c>
      <c r="F98" s="7" t="n">
        <v>0</v>
      </c>
      <c r="G98" s="8" t="s">
        <v>47</v>
      </c>
      <c r="H98" s="8" t="s">
        <v>324</v>
      </c>
      <c r="I98" s="8" t="s">
        <v>164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46</v>
      </c>
      <c r="D99" s="7" t="n">
        <v>-0.08</v>
      </c>
      <c r="E99" s="7" t="n">
        <v>-0.03</v>
      </c>
      <c r="F99" s="7" t="n">
        <v>0.03</v>
      </c>
      <c r="G99" s="8" t="s">
        <v>47</v>
      </c>
      <c r="H99" s="4" t="s">
        <v>181</v>
      </c>
      <c r="I99" s="8" t="s">
        <v>164</v>
      </c>
    </row>
    <row r="100" customFormat="false" ht="17.15" hidden="false" customHeight="false" outlineLevel="0" collapsed="false">
      <c r="A100" s="0" t="s">
        <v>327</v>
      </c>
      <c r="B100" s="0" t="s">
        <v>328</v>
      </c>
      <c r="C100" s="0" t="s">
        <v>46</v>
      </c>
      <c r="D100" s="7" t="n">
        <v>0.445</v>
      </c>
      <c r="E100" s="7" t="n">
        <v>0.46</v>
      </c>
      <c r="F100" s="7" t="n">
        <v>0.47</v>
      </c>
      <c r="G100" s="8" t="s">
        <v>47</v>
      </c>
      <c r="H100" s="4" t="s">
        <v>329</v>
      </c>
      <c r="I100" s="8" t="s">
        <v>330</v>
      </c>
    </row>
    <row r="101" customFormat="false" ht="17.15" hidden="false" customHeight="false" outlineLevel="0" collapsed="false">
      <c r="A101" s="0" t="s">
        <v>331</v>
      </c>
      <c r="B101" s="0" t="s">
        <v>332</v>
      </c>
      <c r="C101" s="0" t="s">
        <v>301</v>
      </c>
      <c r="D101" s="7" t="n">
        <v>48</v>
      </c>
      <c r="E101" s="7" t="n">
        <v>50</v>
      </c>
      <c r="F101" s="7" t="n">
        <v>53</v>
      </c>
      <c r="G101" s="8" t="s">
        <v>47</v>
      </c>
      <c r="H101" s="4" t="s">
        <v>333</v>
      </c>
      <c r="I101" s="8" t="s">
        <v>164</v>
      </c>
    </row>
    <row r="102" customFormat="false" ht="17.15" hidden="false" customHeight="false" outlineLevel="0" collapsed="false">
      <c r="A102" s="0" t="s">
        <v>334</v>
      </c>
      <c r="B102" s="0" t="s">
        <v>335</v>
      </c>
      <c r="C102" s="0" t="s">
        <v>301</v>
      </c>
      <c r="D102" s="7" t="n">
        <v>3.5</v>
      </c>
      <c r="E102" s="7" t="n">
        <v>4.8</v>
      </c>
      <c r="F102" s="7" t="n">
        <v>5.5</v>
      </c>
      <c r="G102" s="8" t="s">
        <v>47</v>
      </c>
      <c r="H102" s="8" t="s">
        <v>336</v>
      </c>
      <c r="I102" s="8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46</v>
      </c>
      <c r="D103" s="7" t="n">
        <v>0.1</v>
      </c>
      <c r="E103" s="7" t="n">
        <v>0.13</v>
      </c>
      <c r="F103" s="7" t="n">
        <v>0.16</v>
      </c>
      <c r="G103" s="8" t="s">
        <v>47</v>
      </c>
      <c r="H103" s="8" t="s">
        <v>340</v>
      </c>
      <c r="I103" s="8" t="s">
        <v>164</v>
      </c>
    </row>
    <row r="104" customFormat="false" ht="17.15" hidden="false" customHeight="false" outlineLevel="0" collapsed="false">
      <c r="A104" s="0" t="s">
        <v>341</v>
      </c>
      <c r="B104" s="0" t="s">
        <v>342</v>
      </c>
      <c r="C104" s="0" t="s">
        <v>301</v>
      </c>
      <c r="E104" s="7" t="n">
        <v>0.25</v>
      </c>
      <c r="G104" s="8" t="s">
        <v>189</v>
      </c>
      <c r="H104" s="8" t="s">
        <v>343</v>
      </c>
      <c r="I104" s="8" t="s">
        <v>164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4" t="s">
        <v>346</v>
      </c>
      <c r="E105" s="0" t="n">
        <f aca="false">24.335/15.28</f>
        <v>1.59260471204189</v>
      </c>
      <c r="G105" s="0" t="s">
        <v>189</v>
      </c>
      <c r="H105" s="0" t="s">
        <v>347</v>
      </c>
      <c r="I105" s="0" t="s">
        <v>348</v>
      </c>
    </row>
    <row r="106" customFormat="false" ht="17.15" hidden="false" customHeight="false" outlineLevel="0" collapsed="false">
      <c r="A106" s="6" t="s">
        <v>349</v>
      </c>
    </row>
    <row r="107" customFormat="false" ht="17.15" hidden="false" customHeight="false" outlineLevel="0" collapsed="false">
      <c r="A107" s="0" t="s">
        <v>350</v>
      </c>
      <c r="B107" s="4" t="s">
        <v>351</v>
      </c>
      <c r="C107" s="0" t="s">
        <v>65</v>
      </c>
      <c r="D107" s="7" t="n">
        <v>0.2</v>
      </c>
      <c r="E107" s="7" t="n">
        <v>0.3</v>
      </c>
      <c r="F107" s="7" t="n">
        <v>0.6</v>
      </c>
      <c r="G107" s="8" t="s">
        <v>47</v>
      </c>
      <c r="H107" s="8" t="s">
        <v>352</v>
      </c>
      <c r="I107" s="4" t="s">
        <v>353</v>
      </c>
    </row>
    <row r="108" customFormat="false" ht="17.15" hidden="false" customHeight="false" outlineLevel="0" collapsed="false">
      <c r="A108" s="0" t="s">
        <v>354</v>
      </c>
      <c r="B108" s="4" t="s">
        <v>355</v>
      </c>
      <c r="C108" s="0" t="s">
        <v>46</v>
      </c>
      <c r="D108" s="7" t="n">
        <v>0.03</v>
      </c>
      <c r="E108" s="7" t="n">
        <v>0.06</v>
      </c>
      <c r="F108" s="7" t="n">
        <v>0.1</v>
      </c>
      <c r="G108" s="8" t="s">
        <v>47</v>
      </c>
      <c r="H108" s="4" t="s">
        <v>356</v>
      </c>
      <c r="I108" s="8" t="s">
        <v>164</v>
      </c>
    </row>
    <row r="109" customFormat="false" ht="17.15" hidden="false" customHeight="false" outlineLevel="0" collapsed="false">
      <c r="A109" s="0" t="s">
        <v>357</v>
      </c>
      <c r="B109" s="4" t="s">
        <v>358</v>
      </c>
      <c r="C109" s="0" t="s">
        <v>274</v>
      </c>
      <c r="D109" s="7" t="n">
        <v>-0.02</v>
      </c>
      <c r="E109" s="7" t="n">
        <v>0</v>
      </c>
      <c r="F109" s="7" t="n">
        <v>0.02</v>
      </c>
      <c r="G109" s="8" t="s">
        <v>47</v>
      </c>
      <c r="H109" s="4" t="s">
        <v>181</v>
      </c>
      <c r="I109" s="8" t="s">
        <v>359</v>
      </c>
    </row>
    <row r="110" customFormat="false" ht="17.15" hidden="false" customHeight="false" outlineLevel="0" collapsed="false">
      <c r="A110" s="0" t="s">
        <v>360</v>
      </c>
      <c r="B110" s="4" t="s">
        <v>361</v>
      </c>
      <c r="C110" s="0" t="s">
        <v>301</v>
      </c>
      <c r="D110" s="7" t="n">
        <v>10</v>
      </c>
      <c r="E110" s="7" t="n">
        <v>18</v>
      </c>
      <c r="F110" s="7" t="n">
        <v>24</v>
      </c>
      <c r="G110" s="8" t="s">
        <v>47</v>
      </c>
      <c r="H110" s="8" t="s">
        <v>362</v>
      </c>
      <c r="I110" s="4" t="s">
        <v>363</v>
      </c>
    </row>
    <row r="111" customFormat="false" ht="17.15" hidden="false" customHeight="false" outlineLevel="0" collapsed="false">
      <c r="A111" s="0" t="s">
        <v>364</v>
      </c>
      <c r="B111" s="4" t="s">
        <v>365</v>
      </c>
      <c r="C111" s="0" t="s">
        <v>46</v>
      </c>
      <c r="D111" s="7" t="n">
        <v>0.12</v>
      </c>
      <c r="E111" s="7" t="n">
        <v>0.14</v>
      </c>
      <c r="F111" s="7" t="n">
        <v>0.17</v>
      </c>
      <c r="G111" s="8" t="s">
        <v>47</v>
      </c>
      <c r="H111" s="8" t="s">
        <v>366</v>
      </c>
      <c r="I111" s="8" t="s">
        <v>164</v>
      </c>
    </row>
    <row r="112" customFormat="false" ht="17.15" hidden="false" customHeight="false" outlineLevel="0" collapsed="false">
      <c r="A112" s="0" t="s">
        <v>367</v>
      </c>
      <c r="B112" s="4" t="s">
        <v>368</v>
      </c>
      <c r="C112" s="0" t="s">
        <v>301</v>
      </c>
      <c r="E112" s="7" t="n">
        <v>1</v>
      </c>
      <c r="G112" s="8" t="s">
        <v>189</v>
      </c>
      <c r="H112" s="8" t="s">
        <v>369</v>
      </c>
      <c r="I112" s="8" t="s">
        <v>164</v>
      </c>
    </row>
    <row r="113" customFormat="false" ht="17.15" hidden="false" customHeight="false" outlineLevel="0" collapsed="false">
      <c r="A113" s="0" t="s">
        <v>370</v>
      </c>
      <c r="B113" s="4" t="s">
        <v>371</v>
      </c>
      <c r="C113" s="0" t="s">
        <v>46</v>
      </c>
      <c r="D113" s="7" t="n">
        <v>-0.005</v>
      </c>
      <c r="E113" s="7" t="n">
        <v>0</v>
      </c>
      <c r="F113" s="7" t="n">
        <v>0.005</v>
      </c>
      <c r="G113" s="8" t="s">
        <v>47</v>
      </c>
      <c r="H113" s="8" t="s">
        <v>372</v>
      </c>
      <c r="I113" s="4" t="s">
        <v>373</v>
      </c>
    </row>
    <row r="114" customFormat="false" ht="17.15" hidden="false" customHeight="false" outlineLevel="0" collapsed="false">
      <c r="A114" s="0" t="s">
        <v>374</v>
      </c>
      <c r="B114" s="4" t="s">
        <v>375</v>
      </c>
      <c r="C114" s="0" t="s">
        <v>288</v>
      </c>
      <c r="D114" s="7" t="n">
        <v>30</v>
      </c>
      <c r="E114" s="7" t="n">
        <v>32</v>
      </c>
      <c r="F114" s="7" t="n">
        <v>34</v>
      </c>
      <c r="G114" s="8" t="s">
        <v>47</v>
      </c>
      <c r="H114" s="4" t="s">
        <v>376</v>
      </c>
      <c r="I114" s="4" t="s">
        <v>377</v>
      </c>
    </row>
    <row r="115" customFormat="false" ht="17.15" hidden="false" customHeight="false" outlineLevel="0" collapsed="false">
      <c r="A115" s="6" t="s">
        <v>378</v>
      </c>
    </row>
    <row r="116" customFormat="false" ht="17.15" hidden="false" customHeight="false" outlineLevel="0" collapsed="false">
      <c r="A116" s="0" t="s">
        <v>379</v>
      </c>
      <c r="B116" s="4" t="s">
        <v>380</v>
      </c>
      <c r="C116" s="0" t="s">
        <v>279</v>
      </c>
      <c r="E116" s="7" t="n">
        <v>19.1</v>
      </c>
      <c r="G116" s="8" t="s">
        <v>293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46</v>
      </c>
      <c r="D117" s="7" t="n">
        <v>0.07</v>
      </c>
      <c r="E117" s="7" t="n">
        <v>0.09</v>
      </c>
      <c r="F117" s="7" t="n">
        <v>0.1</v>
      </c>
      <c r="G117" s="8" t="s">
        <v>34</v>
      </c>
      <c r="H117" s="4" t="s">
        <v>294</v>
      </c>
      <c r="I117" s="8" t="s">
        <v>385</v>
      </c>
    </row>
    <row r="118" customFormat="false" ht="17.15" hidden="false" customHeight="false" outlineLevel="0" collapsed="false">
      <c r="A118" s="0" t="s">
        <v>386</v>
      </c>
      <c r="B118" s="4" t="s">
        <v>387</v>
      </c>
      <c r="C118" s="0" t="s">
        <v>279</v>
      </c>
      <c r="D118" s="7" t="n">
        <v>70</v>
      </c>
      <c r="E118" s="7" t="n">
        <v>80</v>
      </c>
      <c r="F118" s="7" t="n">
        <v>80</v>
      </c>
      <c r="G118" s="8" t="s">
        <v>34</v>
      </c>
      <c r="H118" s="4" t="s">
        <v>388</v>
      </c>
      <c r="I118" s="4" t="s">
        <v>389</v>
      </c>
    </row>
    <row r="119" customFormat="false" ht="17.15" hidden="false" customHeight="false" outlineLevel="0" collapsed="false">
      <c r="A119" s="0" t="s">
        <v>390</v>
      </c>
      <c r="B119" s="4" t="s">
        <v>391</v>
      </c>
      <c r="C119" s="0" t="s">
        <v>46</v>
      </c>
      <c r="D119" s="7" t="n">
        <v>0.15</v>
      </c>
      <c r="E119" s="7" t="n">
        <v>0.175</v>
      </c>
      <c r="F119" s="7" t="n">
        <v>0.2</v>
      </c>
      <c r="G119" s="8" t="s">
        <v>34</v>
      </c>
      <c r="H119" s="4" t="s">
        <v>392</v>
      </c>
      <c r="I119" s="4" t="s">
        <v>393</v>
      </c>
    </row>
    <row r="120" customFormat="false" ht="17.15" hidden="false" customHeight="false" outlineLevel="0" collapsed="false">
      <c r="A120" s="0" t="s">
        <v>394</v>
      </c>
      <c r="B120" s="4" t="s">
        <v>395</v>
      </c>
      <c r="C120" s="0" t="s">
        <v>46</v>
      </c>
      <c r="E120" s="7" t="n">
        <v>0.2</v>
      </c>
      <c r="G120" s="8" t="s">
        <v>34</v>
      </c>
      <c r="H120" s="4" t="s">
        <v>396</v>
      </c>
      <c r="I120" s="8" t="s">
        <v>164</v>
      </c>
    </row>
    <row r="121" customFormat="false" ht="17.15" hidden="false" customHeight="false" outlineLevel="0" collapsed="false">
      <c r="A121" s="0" t="s">
        <v>397</v>
      </c>
      <c r="B121" s="4" t="s">
        <v>398</v>
      </c>
      <c r="C121" s="0" t="s">
        <v>301</v>
      </c>
      <c r="D121" s="7" t="n">
        <v>613.8</v>
      </c>
      <c r="E121" s="7" t="n">
        <v>662.3</v>
      </c>
      <c r="F121" s="7" t="n">
        <v>711.4</v>
      </c>
      <c r="G121" s="8" t="s">
        <v>34</v>
      </c>
      <c r="H121" s="8" t="s">
        <v>399</v>
      </c>
      <c r="I121" s="4" t="s">
        <v>400</v>
      </c>
    </row>
    <row r="122" customFormat="false" ht="17.15" hidden="false" customHeight="false" outlineLevel="0" collapsed="false">
      <c r="A122" s="0" t="s">
        <v>401</v>
      </c>
      <c r="B122" s="4" t="s">
        <v>402</v>
      </c>
      <c r="C122" s="0" t="s">
        <v>403</v>
      </c>
      <c r="D122" s="7" t="n">
        <v>58.48</v>
      </c>
      <c r="E122" s="7" t="n">
        <v>68.27</v>
      </c>
      <c r="F122" s="7" t="n">
        <v>73.35</v>
      </c>
      <c r="G122" s="8" t="s">
        <v>34</v>
      </c>
      <c r="H122" s="8" t="s">
        <v>404</v>
      </c>
      <c r="I122" s="4" t="s">
        <v>405</v>
      </c>
    </row>
    <row r="123" customFormat="false" ht="17.15" hidden="false" customHeight="false" outlineLevel="0" collapsed="false">
      <c r="A123" s="0" t="s">
        <v>406</v>
      </c>
      <c r="B123" s="4" t="s">
        <v>407</v>
      </c>
      <c r="C123" s="0" t="s">
        <v>301</v>
      </c>
      <c r="E123" s="7" t="n">
        <v>1110.805</v>
      </c>
      <c r="G123" s="8" t="s">
        <v>34</v>
      </c>
      <c r="H123" s="4" t="s">
        <v>408</v>
      </c>
      <c r="I123" s="8" t="s">
        <v>164</v>
      </c>
    </row>
    <row r="124" customFormat="false" ht="17.15" hidden="false" customHeight="false" outlineLevel="0" collapsed="false">
      <c r="A124" s="0" t="s">
        <v>409</v>
      </c>
      <c r="B124" s="4" t="s">
        <v>410</v>
      </c>
      <c r="C124" s="0" t="s">
        <v>403</v>
      </c>
      <c r="E124" s="7" t="n">
        <v>112.6</v>
      </c>
      <c r="G124" s="8" t="s">
        <v>34</v>
      </c>
      <c r="H124" s="4" t="s">
        <v>408</v>
      </c>
      <c r="I124" s="8" t="s">
        <v>411</v>
      </c>
    </row>
    <row r="125" customFormat="false" ht="17.15" hidden="false" customHeight="false" outlineLevel="0" collapsed="false">
      <c r="A125" s="0" t="s">
        <v>412</v>
      </c>
      <c r="B125" s="0" t="s">
        <v>413</v>
      </c>
      <c r="C125" s="0" t="s">
        <v>403</v>
      </c>
      <c r="E125" s="7" t="n">
        <v>133.87</v>
      </c>
      <c r="G125" s="8" t="s">
        <v>34</v>
      </c>
      <c r="H125" s="4" t="s">
        <v>414</v>
      </c>
      <c r="I125" s="8" t="s">
        <v>164</v>
      </c>
    </row>
    <row r="126" customFormat="false" ht="17.15" hidden="false" customHeight="false" outlineLevel="0" collapsed="false">
      <c r="A126" s="0" t="s">
        <v>415</v>
      </c>
      <c r="B126" s="4" t="s">
        <v>416</v>
      </c>
      <c r="C126" s="0" t="s">
        <v>403</v>
      </c>
      <c r="E126" s="7" t="n">
        <v>246.6</v>
      </c>
      <c r="G126" s="8" t="s">
        <v>34</v>
      </c>
      <c r="H126" s="4" t="s">
        <v>408</v>
      </c>
      <c r="I126" s="8" t="s">
        <v>417</v>
      </c>
    </row>
    <row r="127" customFormat="false" ht="17.15" hidden="false" customHeight="false" outlineLevel="0" collapsed="false">
      <c r="A127" s="0" t="s">
        <v>418</v>
      </c>
      <c r="B127" s="0" t="s">
        <v>419</v>
      </c>
      <c r="C127" s="0" t="s">
        <v>403</v>
      </c>
      <c r="E127" s="7" t="n">
        <v>260.38</v>
      </c>
      <c r="G127" s="8" t="s">
        <v>34</v>
      </c>
      <c r="H127" s="4" t="s">
        <v>414</v>
      </c>
      <c r="I127" s="8" t="s">
        <v>164</v>
      </c>
    </row>
    <row r="128" customFormat="false" ht="17.15" hidden="false" customHeight="false" outlineLevel="0" collapsed="false">
      <c r="A128" s="0" t="s">
        <v>420</v>
      </c>
      <c r="B128" s="4" t="s">
        <v>421</v>
      </c>
      <c r="C128" s="0" t="s">
        <v>279</v>
      </c>
      <c r="D128" s="7" t="n">
        <v>48</v>
      </c>
      <c r="E128" s="7" t="n">
        <v>50</v>
      </c>
      <c r="F128" s="7" t="n">
        <v>52.5</v>
      </c>
      <c r="G128" s="8" t="s">
        <v>34</v>
      </c>
      <c r="H128" s="4" t="s">
        <v>422</v>
      </c>
      <c r="I128" s="4" t="s">
        <v>423</v>
      </c>
    </row>
    <row r="129" customFormat="false" ht="17.15" hidden="false" customHeight="false" outlineLevel="0" collapsed="false">
      <c r="A129" s="0" t="s">
        <v>424</v>
      </c>
      <c r="B129" s="4" t="s">
        <v>425</v>
      </c>
      <c r="C129" s="4" t="s">
        <v>33</v>
      </c>
      <c r="E129" s="7" t="n">
        <v>4</v>
      </c>
      <c r="G129" s="8" t="s">
        <v>34</v>
      </c>
      <c r="H129" s="4" t="s">
        <v>408</v>
      </c>
      <c r="I129" s="8" t="s">
        <v>164</v>
      </c>
    </row>
    <row r="130" customFormat="false" ht="17.15" hidden="false" customHeight="false" outlineLevel="0" collapsed="false">
      <c r="A130" s="0" t="s">
        <v>426</v>
      </c>
      <c r="B130" s="4" t="s">
        <v>427</v>
      </c>
      <c r="C130" s="0" t="s">
        <v>279</v>
      </c>
      <c r="D130" s="7" t="n">
        <v>12</v>
      </c>
      <c r="E130" s="7" t="n">
        <v>14</v>
      </c>
      <c r="F130" s="7" t="n">
        <v>20.3</v>
      </c>
      <c r="G130" s="8" t="s">
        <v>34</v>
      </c>
      <c r="H130" s="4" t="s">
        <v>428</v>
      </c>
      <c r="I130" s="8" t="s">
        <v>164</v>
      </c>
    </row>
    <row r="131" customFormat="false" ht="17.15" hidden="false" customHeight="false" outlineLevel="0" collapsed="false">
      <c r="A131" s="6" t="s">
        <v>429</v>
      </c>
    </row>
    <row r="132" customFormat="false" ht="17.15" hidden="false" customHeight="false" outlineLevel="0" collapsed="false">
      <c r="A132" s="0" t="s">
        <v>430</v>
      </c>
      <c r="B132" s="4" t="s">
        <v>431</v>
      </c>
      <c r="C132" s="0" t="s">
        <v>403</v>
      </c>
      <c r="E132" s="7" t="n">
        <v>4010</v>
      </c>
      <c r="G132" s="8" t="s">
        <v>34</v>
      </c>
      <c r="H132" s="8" t="s">
        <v>432</v>
      </c>
      <c r="I132" s="4" t="s">
        <v>433</v>
      </c>
    </row>
    <row r="133" customFormat="false" ht="17.15" hidden="false" customHeight="false" outlineLevel="0" collapsed="false">
      <c r="A133" s="0" t="s">
        <v>434</v>
      </c>
      <c r="B133" s="4" t="s">
        <v>435</v>
      </c>
      <c r="C133" s="0" t="s">
        <v>65</v>
      </c>
      <c r="E133" s="7" t="n">
        <v>66.23</v>
      </c>
      <c r="G133" s="8" t="s">
        <v>34</v>
      </c>
      <c r="H133" s="8" t="s">
        <v>436</v>
      </c>
      <c r="I133" s="8" t="s">
        <v>437</v>
      </c>
    </row>
    <row r="134" customFormat="false" ht="17.15" hidden="false" customHeight="false" outlineLevel="0" collapsed="false">
      <c r="A134" s="0" t="s">
        <v>438</v>
      </c>
      <c r="B134" s="4" t="s">
        <v>439</v>
      </c>
      <c r="C134" s="0" t="s">
        <v>65</v>
      </c>
      <c r="E134" s="7" t="n">
        <v>38.75</v>
      </c>
      <c r="G134" s="8" t="s">
        <v>34</v>
      </c>
      <c r="H134" s="8" t="s">
        <v>436</v>
      </c>
      <c r="I134" s="8" t="s">
        <v>164</v>
      </c>
    </row>
    <row r="135" customFormat="false" ht="17.15" hidden="false" customHeight="false" outlineLevel="0" collapsed="false">
      <c r="A135" s="0" t="s">
        <v>440</v>
      </c>
      <c r="B135" s="4" t="s">
        <v>441</v>
      </c>
      <c r="C135" s="0" t="s">
        <v>403</v>
      </c>
      <c r="E135" s="0" t="n">
        <f aca="false">px/fpe</f>
        <v>103.483870967742</v>
      </c>
      <c r="G135" s="0" t="s">
        <v>189</v>
      </c>
      <c r="H135" s="0" t="s">
        <v>442</v>
      </c>
      <c r="I135" s="4" t="s">
        <v>443</v>
      </c>
    </row>
    <row r="136" customFormat="false" ht="17.15" hidden="false" customHeight="false" outlineLevel="0" collapsed="false">
      <c r="A136" s="0" t="s">
        <v>444</v>
      </c>
      <c r="B136" s="4" t="s">
        <v>445</v>
      </c>
      <c r="C136" s="0" t="s">
        <v>403</v>
      </c>
      <c r="D136" s="7" t="n">
        <v>4000</v>
      </c>
      <c r="E136" s="7" t="n">
        <v>6067</v>
      </c>
      <c r="F136" s="7" t="n">
        <v>10369</v>
      </c>
      <c r="G136" s="8" t="s">
        <v>34</v>
      </c>
      <c r="H136" s="8" t="s">
        <v>446</v>
      </c>
      <c r="I136" s="8" t="s">
        <v>447</v>
      </c>
    </row>
    <row r="137" customFormat="false" ht="17.15" hidden="false" customHeight="false" outlineLevel="0" collapsed="false">
      <c r="A137" s="0" t="s">
        <v>448</v>
      </c>
      <c r="B137" s="4" t="s">
        <v>449</v>
      </c>
      <c r="C137" s="0" t="s">
        <v>46</v>
      </c>
      <c r="E137" s="0" t="n">
        <f aca="false">AVERAGE(111421/493415,118141/548796,76979/433446,106387/530586,105319/595966)</f>
        <v>0.199183009039204</v>
      </c>
      <c r="G137" s="0" t="s">
        <v>189</v>
      </c>
      <c r="H137" s="0" t="s">
        <v>450</v>
      </c>
      <c r="I137" s="4" t="s">
        <v>451</v>
      </c>
    </row>
    <row r="138" customFormat="false" ht="17.15" hidden="false" customHeight="false" outlineLevel="0" collapsed="false">
      <c r="A138" s="6" t="s">
        <v>452</v>
      </c>
    </row>
    <row r="139" customFormat="false" ht="17.15" hidden="false" customHeight="false" outlineLevel="0" collapsed="false">
      <c r="A139" s="9" t="s">
        <v>453</v>
      </c>
      <c r="B139" s="10" t="s">
        <v>454</v>
      </c>
      <c r="C139" s="9" t="s">
        <v>46</v>
      </c>
      <c r="D139" s="9"/>
      <c r="E139" s="11" t="n">
        <v>0.3</v>
      </c>
      <c r="F139" s="9"/>
      <c r="G139" s="9" t="s">
        <v>47</v>
      </c>
      <c r="H139" s="9" t="s">
        <v>455</v>
      </c>
      <c r="I139" s="10" t="s">
        <v>456</v>
      </c>
    </row>
    <row r="140" customFormat="false" ht="17.15" hidden="false" customHeight="false" outlineLevel="0" collapsed="false">
      <c r="A140" s="9" t="s">
        <v>457</v>
      </c>
      <c r="B140" s="10" t="s">
        <v>458</v>
      </c>
      <c r="C140" s="9" t="s">
        <v>46</v>
      </c>
      <c r="D140" s="9"/>
      <c r="E140" s="11" t="n">
        <v>0.5</v>
      </c>
      <c r="F140" s="9"/>
      <c r="G140" s="9" t="s">
        <v>47</v>
      </c>
      <c r="H140" s="9" t="s">
        <v>455</v>
      </c>
      <c r="I140" s="10" t="s">
        <v>456</v>
      </c>
    </row>
    <row r="141" customFormat="false" ht="17.15" hidden="false" customHeight="false" outlineLevel="0" collapsed="false">
      <c r="A141" s="9" t="s">
        <v>459</v>
      </c>
      <c r="B141" s="10" t="s">
        <v>460</v>
      </c>
      <c r="C141" s="9" t="s">
        <v>46</v>
      </c>
      <c r="D141" s="9"/>
      <c r="E141" s="11" t="n">
        <v>0.2</v>
      </c>
      <c r="F141" s="9"/>
      <c r="G141" s="9" t="s">
        <v>47</v>
      </c>
      <c r="H141" s="9" t="s">
        <v>455</v>
      </c>
      <c r="I141" s="10" t="s">
        <v>456</v>
      </c>
    </row>
    <row r="142" customFormat="false" ht="17.15" hidden="false" customHeight="false" outlineLevel="0" collapsed="false">
      <c r="A142" s="9" t="s">
        <v>461</v>
      </c>
      <c r="B142" s="10" t="s">
        <v>462</v>
      </c>
      <c r="C142" s="9" t="s">
        <v>46</v>
      </c>
      <c r="D142" s="9"/>
      <c r="E142" s="11" t="n">
        <v>0.1</v>
      </c>
      <c r="F142" s="9"/>
      <c r="G142" s="9" t="s">
        <v>47</v>
      </c>
      <c r="H142" s="9" t="s">
        <v>463</v>
      </c>
      <c r="I142" s="10" t="s">
        <v>464</v>
      </c>
    </row>
    <row r="143" customFormat="false" ht="17.15" hidden="false" customHeight="false" outlineLevel="0" collapsed="false">
      <c r="A143" s="9" t="s">
        <v>465</v>
      </c>
      <c r="B143" s="10" t="s">
        <v>466</v>
      </c>
      <c r="C143" s="9" t="s">
        <v>46</v>
      </c>
      <c r="D143" s="9"/>
      <c r="E143" s="11" t="n">
        <v>0.04</v>
      </c>
      <c r="F143" s="9"/>
      <c r="G143" s="9" t="s">
        <v>47</v>
      </c>
      <c r="H143" s="9" t="s">
        <v>467</v>
      </c>
      <c r="I143" s="10" t="s">
        <v>468</v>
      </c>
    </row>
    <row r="144" customFormat="false" ht="17.15" hidden="false" customHeight="false" outlineLevel="0" collapsed="false">
      <c r="A144" s="9" t="s">
        <v>469</v>
      </c>
      <c r="B144" s="9" t="s">
        <v>470</v>
      </c>
      <c r="C144" s="9" t="s">
        <v>46</v>
      </c>
      <c r="D144" s="9"/>
      <c r="E144" s="9" t="n">
        <f aca="false">AVERAGE(0.1889,0.275,0.2606)</f>
        <v>0.2415</v>
      </c>
      <c r="F144" s="9"/>
      <c r="G144" s="9" t="s">
        <v>189</v>
      </c>
      <c r="H144" s="9" t="s">
        <v>471</v>
      </c>
      <c r="I144" s="10" t="s">
        <v>472</v>
      </c>
    </row>
    <row r="145" customFormat="false" ht="17.15" hidden="false" customHeight="false" outlineLevel="0" collapsed="false">
      <c r="A145" s="9" t="s">
        <v>473</v>
      </c>
      <c r="B145" s="10" t="s">
        <v>474</v>
      </c>
      <c r="C145" s="9" t="s">
        <v>46</v>
      </c>
      <c r="D145" s="9"/>
      <c r="E145" s="11" t="n">
        <v>0.5</v>
      </c>
      <c r="F145" s="9"/>
      <c r="G145" s="9" t="s">
        <v>47</v>
      </c>
      <c r="H145" s="9" t="s">
        <v>475</v>
      </c>
      <c r="I145" s="9" t="s">
        <v>164</v>
      </c>
    </row>
    <row r="146" customFormat="false" ht="17.15" hidden="false" customHeight="false" outlineLevel="0" collapsed="false">
      <c r="A146" s="9" t="s">
        <v>476</v>
      </c>
      <c r="B146" s="10" t="s">
        <v>477</v>
      </c>
      <c r="C146" s="9" t="s">
        <v>46</v>
      </c>
      <c r="D146" s="9"/>
      <c r="E146" s="9" t="n">
        <f aca="false">tp_g+0.02</f>
        <v>0.06</v>
      </c>
      <c r="F146" s="9"/>
      <c r="G146" s="9" t="s">
        <v>47</v>
      </c>
      <c r="H146" s="10" t="s">
        <v>478</v>
      </c>
      <c r="I146" s="9" t="s">
        <v>479</v>
      </c>
    </row>
    <row r="147" customFormat="false" ht="17.15" hidden="false" customHeight="false" outlineLevel="0" collapsed="false">
      <c r="A147" s="9" t="s">
        <v>480</v>
      </c>
      <c r="B147" s="10" t="s">
        <v>481</v>
      </c>
      <c r="C147" s="9" t="s">
        <v>46</v>
      </c>
      <c r="D147" s="9"/>
      <c r="E147" s="9" t="n">
        <f aca="false">tp_g</f>
        <v>0.04</v>
      </c>
      <c r="F147" s="9"/>
      <c r="G147" s="9" t="s">
        <v>47</v>
      </c>
      <c r="H147" s="10" t="s">
        <v>40</v>
      </c>
      <c r="I147" s="9" t="s">
        <v>164</v>
      </c>
    </row>
    <row r="148" customFormat="false" ht="17.15" hidden="false" customHeight="false" outlineLevel="0" collapsed="false">
      <c r="A148" s="9" t="s">
        <v>482</v>
      </c>
      <c r="B148" s="10" t="s">
        <v>483</v>
      </c>
      <c r="C148" s="9" t="s">
        <v>46</v>
      </c>
      <c r="D148" s="9"/>
      <c r="E148" s="9" t="n">
        <f aca="false">tp_g-0.02</f>
        <v>0.02</v>
      </c>
      <c r="F148" s="9"/>
      <c r="G148" s="9" t="s">
        <v>47</v>
      </c>
      <c r="H148" s="10" t="s">
        <v>40</v>
      </c>
      <c r="I148" s="9" t="s">
        <v>164</v>
      </c>
    </row>
    <row r="149" customFormat="false" ht="17.15" hidden="false" customHeight="false" outlineLevel="0" collapsed="false">
      <c r="A149" s="9" t="s">
        <v>484</v>
      </c>
      <c r="B149" s="10" t="s">
        <v>485</v>
      </c>
      <c r="C149" s="9" t="s">
        <v>46</v>
      </c>
      <c r="D149" s="9"/>
      <c r="E149" s="12" t="n">
        <f aca="false">PL!G14</f>
        <v>0.19310158084161</v>
      </c>
      <c r="F149" s="9"/>
      <c r="G149" s="9" t="s">
        <v>189</v>
      </c>
      <c r="H149" s="9" t="s">
        <v>486</v>
      </c>
      <c r="I149" s="9" t="s">
        <v>164</v>
      </c>
    </row>
    <row r="150" customFormat="false" ht="17.15" hidden="false" customHeight="false" outlineLevel="0" collapsed="false">
      <c r="A150" s="9" t="s">
        <v>487</v>
      </c>
      <c r="B150" s="10" t="s">
        <v>488</v>
      </c>
      <c r="C150" s="9" t="s">
        <v>46</v>
      </c>
      <c r="D150" s="9"/>
      <c r="E150" s="13" t="n">
        <f aca="false">PL!G28*0.9</f>
        <v>0.166841548891866</v>
      </c>
      <c r="F150" s="9"/>
      <c r="G150" s="9" t="s">
        <v>47</v>
      </c>
      <c r="H150" s="10" t="s">
        <v>489</v>
      </c>
      <c r="I150" s="9" t="s">
        <v>164</v>
      </c>
    </row>
    <row r="151" customFormat="false" ht="17.15" hidden="false" customHeight="false" outlineLevel="0" collapsed="false">
      <c r="A151" s="9" t="s">
        <v>490</v>
      </c>
      <c r="B151" s="10" t="s">
        <v>491</v>
      </c>
      <c r="C151" s="9" t="s">
        <v>46</v>
      </c>
      <c r="D151" s="9"/>
      <c r="E151" s="13" t="n">
        <f aca="false">PL!G42*0.8</f>
        <v>0.121312089001098</v>
      </c>
      <c r="F151" s="9"/>
      <c r="G151" s="9" t="s">
        <v>47</v>
      </c>
      <c r="H151" s="10" t="s">
        <v>40</v>
      </c>
      <c r="I151" s="9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492</v>
      </c>
    </row>
    <row r="2" customFormat="false" ht="17.15" hidden="false" customHeight="false" outlineLevel="0" collapsed="false">
      <c r="A2" s="0" t="s">
        <v>493</v>
      </c>
    </row>
    <row r="3" customFormat="false" ht="17.15" hidden="false" customHeight="false" outlineLevel="0" collapsed="false">
      <c r="A3" s="5" t="s">
        <v>22</v>
      </c>
      <c r="B3" s="14" t="s">
        <v>494</v>
      </c>
      <c r="C3" s="14" t="s">
        <v>495</v>
      </c>
      <c r="D3" s="14" t="s">
        <v>496</v>
      </c>
      <c r="E3" s="14" t="s">
        <v>497</v>
      </c>
      <c r="F3" s="14" t="s">
        <v>498</v>
      </c>
      <c r="G3" s="14" t="s">
        <v>499</v>
      </c>
      <c r="H3" s="5" t="s">
        <v>27</v>
      </c>
      <c r="I3" s="5" t="s">
        <v>500</v>
      </c>
      <c r="J3" s="5" t="s">
        <v>29</v>
      </c>
    </row>
    <row r="4" customFormat="false" ht="17.15" hidden="false" customHeight="false" outlineLevel="0" collapsed="false">
      <c r="A4" s="4" t="s">
        <v>501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502</v>
      </c>
      <c r="I4" s="8" t="s">
        <v>503</v>
      </c>
      <c r="J4" s="8" t="s">
        <v>504</v>
      </c>
    </row>
    <row r="5" customFormat="false" ht="17.15" hidden="false" customHeight="false" outlineLevel="0" collapsed="false">
      <c r="A5" s="4" t="s">
        <v>505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506</v>
      </c>
      <c r="I5" s="8" t="s">
        <v>503</v>
      </c>
      <c r="J5" s="4" t="s">
        <v>507</v>
      </c>
    </row>
    <row r="6" customFormat="false" ht="17.15" hidden="false" customHeight="false" outlineLevel="0" collapsed="false">
      <c r="A6" s="4" t="s">
        <v>508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52</v>
      </c>
      <c r="I6" s="8" t="s">
        <v>503</v>
      </c>
      <c r="J6" s="4" t="s">
        <v>509</v>
      </c>
    </row>
    <row r="7" customFormat="false" ht="17.15" hidden="false" customHeight="false" outlineLevel="0" collapsed="false">
      <c r="A7" s="4" t="s">
        <v>510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52</v>
      </c>
      <c r="I7" s="8" t="s">
        <v>503</v>
      </c>
      <c r="J7" s="4" t="s">
        <v>511</v>
      </c>
    </row>
    <row r="8" customFormat="false" ht="17.15" hidden="false" customHeight="false" outlineLevel="0" collapsed="false">
      <c r="A8" s="4" t="s">
        <v>512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513</v>
      </c>
      <c r="I8" s="8" t="s">
        <v>514</v>
      </c>
      <c r="J8" s="8" t="s">
        <v>515</v>
      </c>
    </row>
    <row r="9" customFormat="false" ht="17.15" hidden="false" customHeight="false" outlineLevel="0" collapsed="false">
      <c r="A9" s="4" t="s">
        <v>516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189</v>
      </c>
      <c r="I9" s="8" t="s">
        <v>164</v>
      </c>
      <c r="J9" s="8" t="s">
        <v>164</v>
      </c>
    </row>
    <row r="10" customFormat="false" ht="17.15" hidden="false" customHeight="false" outlineLevel="0" collapsed="false">
      <c r="A10" s="4" t="s">
        <v>517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518</v>
      </c>
      <c r="I10" s="8" t="s">
        <v>503</v>
      </c>
      <c r="J10" s="8" t="s">
        <v>519</v>
      </c>
    </row>
    <row r="11" customFormat="false" ht="17.15" hidden="false" customHeight="false" outlineLevel="0" collapsed="false">
      <c r="A11" s="4" t="s">
        <v>520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189</v>
      </c>
      <c r="I11" s="8" t="s">
        <v>164</v>
      </c>
      <c r="J11" s="4" t="s">
        <v>521</v>
      </c>
    </row>
    <row r="12" customFormat="false" ht="17.15" hidden="false" customHeight="false" outlineLevel="0" collapsed="false">
      <c r="A12" s="4" t="s">
        <v>522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523</v>
      </c>
      <c r="I12" s="8" t="s">
        <v>503</v>
      </c>
      <c r="J12" s="8" t="s">
        <v>164</v>
      </c>
    </row>
    <row r="13" customFormat="false" ht="17.15" hidden="false" customHeight="false" outlineLevel="0" collapsed="false">
      <c r="A13" s="4" t="s">
        <v>524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189</v>
      </c>
      <c r="I13" s="8" t="s">
        <v>503</v>
      </c>
      <c r="J13" s="4" t="s">
        <v>525</v>
      </c>
    </row>
    <row r="14" customFormat="false" ht="17.15" hidden="false" customHeight="false" outlineLevel="0" collapsed="false">
      <c r="A14" s="4" t="s">
        <v>526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527</v>
      </c>
      <c r="I14" s="8" t="s">
        <v>503</v>
      </c>
      <c r="J14" s="8" t="s">
        <v>164</v>
      </c>
    </row>
    <row r="15" customFormat="false" ht="15" hidden="false" customHeight="false" outlineLevel="0" collapsed="false">
      <c r="A15" s="4" t="s">
        <v>528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189</v>
      </c>
      <c r="I15" s="8" t="s">
        <v>164</v>
      </c>
      <c r="J15" s="8" t="s">
        <v>164</v>
      </c>
    </row>
    <row r="16" customFormat="false" ht="17.15" hidden="false" customHeight="false" outlineLevel="0" collapsed="false">
      <c r="A16" s="4" t="s">
        <v>529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527</v>
      </c>
      <c r="I16" s="8" t="s">
        <v>503</v>
      </c>
      <c r="J16" s="8" t="s">
        <v>164</v>
      </c>
    </row>
    <row r="17" customFormat="false" ht="17.15" hidden="false" customHeight="false" outlineLevel="0" collapsed="false">
      <c r="A17" s="4" t="s">
        <v>530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531</v>
      </c>
      <c r="I17" s="8" t="s">
        <v>503</v>
      </c>
      <c r="J17" s="8" t="s">
        <v>164</v>
      </c>
    </row>
    <row r="18" customFormat="false" ht="17.15" hidden="false" customHeight="false" outlineLevel="0" collapsed="false">
      <c r="A18" s="4" t="s">
        <v>532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189</v>
      </c>
      <c r="I18" s="8" t="s">
        <v>503</v>
      </c>
      <c r="J18" s="4" t="s">
        <v>533</v>
      </c>
    </row>
    <row r="19" customFormat="false" ht="17.15" hidden="false" customHeight="false" outlineLevel="0" collapsed="false">
      <c r="A19" s="4" t="s">
        <v>534</v>
      </c>
      <c r="B19" s="15" t="n">
        <v>105.319</v>
      </c>
      <c r="C19" s="15" t="n">
        <v>24.154</v>
      </c>
      <c r="D19" s="15" t="n">
        <v>24.335</v>
      </c>
      <c r="H19" s="8" t="s">
        <v>293</v>
      </c>
      <c r="I19" s="8" t="s">
        <v>503</v>
      </c>
      <c r="J19" s="8" t="s">
        <v>164</v>
      </c>
    </row>
    <row r="20" customFormat="false" ht="17.15" hidden="false" customHeight="false" outlineLevel="0" collapsed="false">
      <c r="A20" s="4" t="s">
        <v>535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189</v>
      </c>
      <c r="I20" s="4" t="s">
        <v>536</v>
      </c>
      <c r="J20" s="8" t="s">
        <v>164</v>
      </c>
    </row>
    <row r="21" customFormat="false" ht="17.15" hidden="false" customHeight="false" outlineLevel="0" collapsed="false">
      <c r="A21" s="0" t="s">
        <v>537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189</v>
      </c>
      <c r="I21" s="4" t="s">
        <v>538</v>
      </c>
      <c r="J21" s="8" t="s">
        <v>164</v>
      </c>
    </row>
    <row r="22" customFormat="false" ht="17.15" hidden="false" customHeight="false" outlineLevel="0" collapsed="false">
      <c r="A22" s="4" t="s">
        <v>539</v>
      </c>
      <c r="B22" s="15" t="n">
        <v>66.16</v>
      </c>
      <c r="C22" s="15" t="n">
        <v>15.17</v>
      </c>
      <c r="D22" s="15" t="n">
        <v>15.28</v>
      </c>
      <c r="H22" s="8" t="s">
        <v>293</v>
      </c>
      <c r="I22" s="8" t="s">
        <v>503</v>
      </c>
      <c r="J22" s="8" t="s">
        <v>164</v>
      </c>
    </row>
    <row r="24" customFormat="false" ht="17.15" hidden="false" customHeight="false" outlineLevel="0" collapsed="false">
      <c r="A24" s="6" t="s">
        <v>540</v>
      </c>
    </row>
    <row r="25" customFormat="false" ht="17.15" hidden="false" customHeight="false" outlineLevel="0" collapsed="false">
      <c r="A25" s="0" t="s">
        <v>541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542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543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544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545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546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547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548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549</v>
      </c>
      <c r="B33" s="20" t="n">
        <f aca="false">B18-B19</f>
        <v>0.000999999999976353</v>
      </c>
    </row>
    <row r="35" customFormat="false" ht="15" hidden="false" customHeight="false" outlineLevel="0" collapsed="false">
      <c r="A35" s="1" t="s">
        <v>550</v>
      </c>
      <c r="B35" s="20" t="n">
        <f aca="false">ROUND(B5+B6+B7-B4,3)</f>
        <v>0</v>
      </c>
      <c r="C35" s="20" t="n">
        <f aca="false">ROUND(C5+C6+C7-C4,3)</f>
        <v>0</v>
      </c>
      <c r="D35" s="20" t="n">
        <f aca="false">ROUND(D5+D6+D7-D4,3)</f>
        <v>0</v>
      </c>
      <c r="E35" s="20" t="n">
        <f aca="false">ROUND(E5+E6+E7-E4,3)</f>
        <v>0</v>
      </c>
      <c r="F35" s="20" t="n">
        <f aca="false">ROUND(F5+F6+F7-F4,3)</f>
        <v>0</v>
      </c>
      <c r="G35" s="20" t="n">
        <f aca="false">ROUND(G5+G6+G7-G4,3)</f>
        <v>0</v>
      </c>
    </row>
    <row r="36" customFormat="false" ht="17.15" hidden="false" customHeight="false" outlineLevel="0" collapsed="false">
      <c r="A36" s="4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552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553</v>
      </c>
      <c r="D3" s="14" t="s">
        <v>554</v>
      </c>
      <c r="E3" s="14" t="s">
        <v>555</v>
      </c>
      <c r="F3" s="14" t="s">
        <v>556</v>
      </c>
      <c r="G3" s="5" t="s">
        <v>557</v>
      </c>
    </row>
    <row r="4" customFormat="false" ht="17.15" hidden="false" customHeight="false" outlineLevel="0" collapsed="false">
      <c r="A4" s="6" t="s">
        <v>558</v>
      </c>
    </row>
    <row r="5" customFormat="false" ht="17.15" hidden="false" customHeight="false" outlineLevel="0" collapsed="false">
      <c r="A5" s="0" t="s">
        <v>559</v>
      </c>
      <c r="B5" s="4" t="s">
        <v>33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560</v>
      </c>
    </row>
    <row r="6" customFormat="false" ht="17.15" hidden="false" customHeight="false" outlineLevel="0" collapsed="false">
      <c r="A6" s="4" t="s">
        <v>561</v>
      </c>
      <c r="B6" s="0" t="s">
        <v>46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562</v>
      </c>
    </row>
    <row r="7" customFormat="false" ht="17.15" hidden="false" customHeight="false" outlineLevel="0" collapsed="false">
      <c r="A7" s="4" t="s">
        <v>563</v>
      </c>
      <c r="B7" s="4" t="s">
        <v>33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564</v>
      </c>
    </row>
    <row r="8" customFormat="false" ht="17.15" hidden="false" customHeight="false" outlineLevel="0" collapsed="false">
      <c r="A8" s="4" t="s">
        <v>565</v>
      </c>
      <c r="B8" s="0" t="s">
        <v>86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566</v>
      </c>
    </row>
    <row r="9" customFormat="false" ht="17.15" hidden="false" customHeight="false" outlineLevel="0" collapsed="false">
      <c r="A9" s="4" t="s">
        <v>567</v>
      </c>
      <c r="B9" s="0" t="s">
        <v>86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568</v>
      </c>
    </row>
    <row r="10" customFormat="false" ht="17.15" hidden="false" customHeight="false" outlineLevel="0" collapsed="false">
      <c r="A10" s="4" t="s">
        <v>569</v>
      </c>
      <c r="B10" s="0" t="s">
        <v>279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570</v>
      </c>
    </row>
    <row r="12" customFormat="false" ht="17.15" hidden="false" customHeight="false" outlineLevel="0" collapsed="false">
      <c r="A12" s="6" t="s">
        <v>571</v>
      </c>
    </row>
    <row r="13" customFormat="false" ht="17.15" hidden="false" customHeight="false" outlineLevel="0" collapsed="false">
      <c r="A13" s="0" t="s">
        <v>572</v>
      </c>
      <c r="B13" s="0" t="s">
        <v>46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573</v>
      </c>
    </row>
    <row r="14" customFormat="false" ht="17.15" hidden="false" customHeight="false" outlineLevel="0" collapsed="false">
      <c r="A14" s="0" t="s">
        <v>574</v>
      </c>
      <c r="B14" s="0" t="s">
        <v>46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573</v>
      </c>
    </row>
    <row r="15" customFormat="false" ht="17.15" hidden="false" customHeight="false" outlineLevel="0" collapsed="false">
      <c r="A15" s="4" t="s">
        <v>575</v>
      </c>
      <c r="B15" s="0" t="s">
        <v>46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576</v>
      </c>
    </row>
    <row r="17" customFormat="false" ht="17.15" hidden="false" customHeight="false" outlineLevel="0" collapsed="false">
      <c r="A17" s="6" t="s">
        <v>577</v>
      </c>
    </row>
    <row r="18" customFormat="false" ht="17.15" hidden="false" customHeight="false" outlineLevel="0" collapsed="false">
      <c r="A18" s="0" t="s">
        <v>578</v>
      </c>
      <c r="C18" s="20" t="n">
        <f aca="false">PL!D79</f>
        <v>1.07309401333727</v>
      </c>
      <c r="G18" s="4" t="s">
        <v>579</v>
      </c>
    </row>
    <row r="19" customFormat="false" ht="17.15" hidden="false" customHeight="false" outlineLevel="0" collapsed="false">
      <c r="A19" s="4" t="s">
        <v>580</v>
      </c>
      <c r="C19" s="17" t="n">
        <f aca="false">PL!D98</f>
        <v>0.462340704042911</v>
      </c>
      <c r="G19" s="4" t="s">
        <v>581</v>
      </c>
    </row>
    <row r="20" customFormat="false" ht="17.15" hidden="false" customHeight="false" outlineLevel="0" collapsed="false">
      <c r="A20" s="0" t="s">
        <v>582</v>
      </c>
      <c r="C20" s="21" t="n">
        <f aca="false">dc26</f>
        <v>2</v>
      </c>
      <c r="G20" s="8" t="s">
        <v>279</v>
      </c>
    </row>
    <row r="22" customFormat="false" ht="17.15" hidden="false" customHeight="false" outlineLevel="0" collapsed="false">
      <c r="A22" s="1" t="s">
        <v>583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584</v>
      </c>
    </row>
    <row r="2" customFormat="false" ht="17.15" hidden="false" customHeight="false" outlineLevel="0" collapsed="false">
      <c r="A2" s="4" t="s">
        <v>585</v>
      </c>
    </row>
    <row r="3" customFormat="false" ht="17.15" hidden="false" customHeight="false" outlineLevel="0" collapsed="false">
      <c r="A3" s="5" t="s">
        <v>586</v>
      </c>
      <c r="B3" s="5" t="s">
        <v>23</v>
      </c>
      <c r="C3" s="14" t="s">
        <v>494</v>
      </c>
      <c r="D3" s="14" t="s">
        <v>587</v>
      </c>
      <c r="E3" s="14" t="s">
        <v>588</v>
      </c>
      <c r="F3" s="14" t="s">
        <v>589</v>
      </c>
      <c r="G3" s="14" t="s">
        <v>590</v>
      </c>
      <c r="H3" s="14" t="s">
        <v>591</v>
      </c>
      <c r="I3" s="14" t="s">
        <v>592</v>
      </c>
      <c r="J3" s="14" t="s">
        <v>593</v>
      </c>
      <c r="K3" s="5" t="s">
        <v>557</v>
      </c>
    </row>
    <row r="4" customFormat="false" ht="17.15" hidden="false" customHeight="false" outlineLevel="0" collapsed="false">
      <c r="A4" s="1" t="s">
        <v>594</v>
      </c>
    </row>
    <row r="5" customFormat="false" ht="15" hidden="false" customHeight="false" outlineLevel="0" collapsed="false">
      <c r="A5" s="4" t="s">
        <v>501</v>
      </c>
      <c r="B5" s="0" t="s">
        <v>301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595</v>
      </c>
      <c r="B6" s="0" t="s">
        <v>46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596</v>
      </c>
      <c r="B7" s="0" t="s">
        <v>301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505</v>
      </c>
      <c r="B8" s="0" t="s">
        <v>301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597</v>
      </c>
      <c r="B9" s="0" t="s">
        <v>301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510</v>
      </c>
      <c r="B10" s="0" t="s">
        <v>301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520</v>
      </c>
      <c r="B11" s="0" t="s">
        <v>46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598</v>
      </c>
      <c r="B12" s="0" t="s">
        <v>46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532</v>
      </c>
      <c r="B13" s="0" t="s">
        <v>301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599</v>
      </c>
      <c r="B14" s="0" t="s">
        <v>46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600</v>
      </c>
      <c r="B15" s="0" t="s">
        <v>403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601</v>
      </c>
      <c r="B16" s="0" t="s">
        <v>46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4" t="s">
        <v>501</v>
      </c>
      <c r="B19" s="0" t="s">
        <v>301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595</v>
      </c>
      <c r="B20" s="0" t="s">
        <v>46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596</v>
      </c>
      <c r="B21" s="0" t="s">
        <v>301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505</v>
      </c>
      <c r="B22" s="0" t="s">
        <v>301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597</v>
      </c>
      <c r="B23" s="0" t="s">
        <v>301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510</v>
      </c>
      <c r="B24" s="0" t="s">
        <v>301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520</v>
      </c>
      <c r="B25" s="0" t="s">
        <v>46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598</v>
      </c>
      <c r="B26" s="0" t="s">
        <v>46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532</v>
      </c>
      <c r="B27" s="0" t="s">
        <v>301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599</v>
      </c>
      <c r="B28" s="0" t="s">
        <v>46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600</v>
      </c>
      <c r="B29" s="0" t="s">
        <v>403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601</v>
      </c>
      <c r="B30" s="0" t="s">
        <v>46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4" t="s">
        <v>501</v>
      </c>
      <c r="B33" s="0" t="s">
        <v>301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595</v>
      </c>
      <c r="B34" s="0" t="s">
        <v>46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596</v>
      </c>
      <c r="B35" s="0" t="s">
        <v>301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505</v>
      </c>
      <c r="B36" s="0" t="s">
        <v>301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597</v>
      </c>
      <c r="B37" s="0" t="s">
        <v>301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510</v>
      </c>
      <c r="B38" s="0" t="s">
        <v>301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520</v>
      </c>
      <c r="B39" s="0" t="s">
        <v>46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598</v>
      </c>
      <c r="B40" s="0" t="s">
        <v>46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532</v>
      </c>
      <c r="B41" s="0" t="s">
        <v>301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599</v>
      </c>
      <c r="B42" s="0" t="s">
        <v>46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600</v>
      </c>
      <c r="B43" s="0" t="s">
        <v>403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601</v>
      </c>
      <c r="B44" s="0" t="s">
        <v>46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4" t="s">
        <v>605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606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607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494</v>
      </c>
      <c r="D61" s="14" t="s">
        <v>587</v>
      </c>
      <c r="E61" s="14" t="s">
        <v>588</v>
      </c>
      <c r="F61" s="14" t="s">
        <v>589</v>
      </c>
      <c r="G61" s="14" t="s">
        <v>590</v>
      </c>
      <c r="H61" s="14" t="s">
        <v>591</v>
      </c>
      <c r="I61" s="14" t="s">
        <v>592</v>
      </c>
      <c r="J61" s="14" t="s">
        <v>593</v>
      </c>
      <c r="K61" s="5" t="s">
        <v>557</v>
      </c>
    </row>
    <row r="62" customFormat="false" ht="17.15" hidden="false" customHeight="false" outlineLevel="0" collapsed="false">
      <c r="A62" s="6" t="s">
        <v>609</v>
      </c>
    </row>
    <row r="63" customFormat="false" ht="17.15" hidden="false" customHeight="false" outlineLevel="0" collapsed="false">
      <c r="A63" s="0" t="s">
        <v>610</v>
      </c>
      <c r="B63" s="4" t="s">
        <v>33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611</v>
      </c>
      <c r="B64" s="4" t="s">
        <v>33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561</v>
      </c>
      <c r="B65" s="0" t="s">
        <v>46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612</v>
      </c>
      <c r="B66" s="0" t="s">
        <v>46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563</v>
      </c>
      <c r="B67" s="4" t="s">
        <v>33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613</v>
      </c>
      <c r="B68" s="4" t="s">
        <v>33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614</v>
      </c>
      <c r="B69" s="0" t="s">
        <v>102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615</v>
      </c>
      <c r="B70" s="0" t="s">
        <v>102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616</v>
      </c>
      <c r="B71" s="0" t="s">
        <v>194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617</v>
      </c>
      <c r="B72" s="0" t="s">
        <v>86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618</v>
      </c>
      <c r="B73" s="0" t="s">
        <v>86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619</v>
      </c>
      <c r="B74" s="0" t="s">
        <v>86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620</v>
      </c>
      <c r="B75" s="0" t="s">
        <v>86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621</v>
      </c>
      <c r="B76" s="0" t="s">
        <v>86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622</v>
      </c>
    </row>
    <row r="77" customFormat="false" ht="17.15" hidden="false" customHeight="false" outlineLevel="0" collapsed="false">
      <c r="A77" s="4" t="s">
        <v>623</v>
      </c>
      <c r="B77" s="0" t="s">
        <v>86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624</v>
      </c>
      <c r="B78" s="0" t="s">
        <v>279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625</v>
      </c>
      <c r="B79" s="0" t="s">
        <v>65</v>
      </c>
      <c r="D79" s="20" t="n">
        <f aca="false">dc26/D78</f>
        <v>1.07309401333727</v>
      </c>
      <c r="K79" s="8" t="s">
        <v>626</v>
      </c>
    </row>
    <row r="80" customFormat="false" ht="17.15" hidden="false" customHeight="false" outlineLevel="0" collapsed="false">
      <c r="A80" s="0" t="s">
        <v>627</v>
      </c>
      <c r="B80" s="0" t="s">
        <v>279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628</v>
      </c>
      <c r="B81" s="0" t="s">
        <v>288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629</v>
      </c>
      <c r="B82" s="0" t="s">
        <v>301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630</v>
      </c>
      <c r="B83" s="0" t="s">
        <v>301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631</v>
      </c>
      <c r="B84" s="0" t="s">
        <v>301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632</v>
      </c>
      <c r="B85" s="4" t="s">
        <v>33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633</v>
      </c>
      <c r="B86" s="0" t="s">
        <v>86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634</v>
      </c>
    </row>
    <row r="88" customFormat="false" ht="15" hidden="false" customHeight="false" outlineLevel="0" collapsed="false">
      <c r="A88" s="4" t="s">
        <v>635</v>
      </c>
      <c r="B88" s="0" t="s">
        <v>301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636</v>
      </c>
      <c r="B89" s="0" t="s">
        <v>301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637</v>
      </c>
      <c r="B90" s="0" t="s">
        <v>301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638</v>
      </c>
      <c r="B91" s="0" t="s">
        <v>301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501</v>
      </c>
      <c r="B92" s="0" t="s">
        <v>301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639</v>
      </c>
    </row>
    <row r="93" customFormat="false" ht="15" hidden="false" customHeight="false" outlineLevel="0" collapsed="false">
      <c r="A93" s="4" t="s">
        <v>640</v>
      </c>
      <c r="B93" s="0" t="s">
        <v>46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641</v>
      </c>
      <c r="B94" s="0" t="s">
        <v>46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642</v>
      </c>
      <c r="B95" s="0" t="s">
        <v>46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643</v>
      </c>
    </row>
    <row r="97" customFormat="false" ht="17.15" hidden="false" customHeight="false" outlineLevel="0" collapsed="false">
      <c r="A97" s="0" t="s">
        <v>644</v>
      </c>
      <c r="B97" s="0" t="s">
        <v>301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645</v>
      </c>
      <c r="B98" s="0" t="s">
        <v>46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646</v>
      </c>
    </row>
    <row r="99" customFormat="false" ht="15" hidden="false" customHeight="false" outlineLevel="0" collapsed="false">
      <c r="A99" s="4" t="s">
        <v>517</v>
      </c>
      <c r="B99" s="0" t="s">
        <v>301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520</v>
      </c>
      <c r="B100" s="0" t="s">
        <v>46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647</v>
      </c>
      <c r="B101" s="0" t="s">
        <v>301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524</v>
      </c>
      <c r="B102" s="0" t="s">
        <v>301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598</v>
      </c>
      <c r="B103" s="0" t="s">
        <v>46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526</v>
      </c>
      <c r="B104" s="0" t="s">
        <v>301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528</v>
      </c>
      <c r="B105" s="0" t="s">
        <v>301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529</v>
      </c>
      <c r="B106" s="0" t="s">
        <v>301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530</v>
      </c>
      <c r="B107" s="0" t="s">
        <v>301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532</v>
      </c>
      <c r="B108" s="0" t="s">
        <v>301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648</v>
      </c>
      <c r="B109" s="4" t="s">
        <v>346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537</v>
      </c>
      <c r="B110" s="0" t="s">
        <v>403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649</v>
      </c>
      <c r="B111" s="0" t="s">
        <v>46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650</v>
      </c>
      <c r="B112" s="0" t="s">
        <v>46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651</v>
      </c>
    </row>
    <row r="116" customFormat="false" ht="17.15" hidden="false" customHeight="false" outlineLevel="0" collapsed="false">
      <c r="A116" s="5" t="s">
        <v>22</v>
      </c>
      <c r="B116" s="5" t="s">
        <v>23</v>
      </c>
      <c r="C116" s="14" t="s">
        <v>494</v>
      </c>
      <c r="D116" s="14" t="s">
        <v>587</v>
      </c>
      <c r="E116" s="14" t="s">
        <v>588</v>
      </c>
      <c r="F116" s="14" t="s">
        <v>589</v>
      </c>
      <c r="G116" s="14" t="s">
        <v>590</v>
      </c>
      <c r="H116" s="14" t="s">
        <v>591</v>
      </c>
      <c r="I116" s="14" t="s">
        <v>592</v>
      </c>
      <c r="J116" s="14" t="s">
        <v>593</v>
      </c>
      <c r="K116" s="5" t="s">
        <v>557</v>
      </c>
    </row>
    <row r="117" customFormat="false" ht="17.15" hidden="false" customHeight="false" outlineLevel="0" collapsed="false">
      <c r="A117" s="6" t="s">
        <v>609</v>
      </c>
    </row>
    <row r="118" customFormat="false" ht="17.15" hidden="false" customHeight="false" outlineLevel="0" collapsed="false">
      <c r="A118" s="0" t="s">
        <v>610</v>
      </c>
      <c r="B118" s="4" t="s">
        <v>33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611</v>
      </c>
      <c r="B119" s="4" t="s">
        <v>33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561</v>
      </c>
      <c r="B120" s="0" t="s">
        <v>46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612</v>
      </c>
      <c r="B121" s="0" t="s">
        <v>46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563</v>
      </c>
      <c r="B122" s="4" t="s">
        <v>33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613</v>
      </c>
      <c r="B123" s="4" t="s">
        <v>33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614</v>
      </c>
      <c r="B124" s="0" t="s">
        <v>102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615</v>
      </c>
      <c r="B125" s="0" t="s">
        <v>102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616</v>
      </c>
      <c r="B126" s="0" t="s">
        <v>194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617</v>
      </c>
      <c r="B127" s="0" t="s">
        <v>86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618</v>
      </c>
      <c r="B128" s="0" t="s">
        <v>86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619</v>
      </c>
      <c r="B129" s="0" t="s">
        <v>86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620</v>
      </c>
      <c r="B130" s="0" t="s">
        <v>86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621</v>
      </c>
      <c r="B131" s="0" t="s">
        <v>86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622</v>
      </c>
    </row>
    <row r="132" customFormat="false" ht="17.15" hidden="false" customHeight="false" outlineLevel="0" collapsed="false">
      <c r="A132" s="4" t="s">
        <v>623</v>
      </c>
      <c r="B132" s="0" t="s">
        <v>86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624</v>
      </c>
      <c r="B133" s="0" t="s">
        <v>279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625</v>
      </c>
      <c r="B134" s="0" t="s">
        <v>65</v>
      </c>
      <c r="D134" s="20" t="n">
        <f aca="false">dc26/D133</f>
        <v>1.07309401333727</v>
      </c>
      <c r="K134" s="8" t="s">
        <v>626</v>
      </c>
    </row>
    <row r="135" customFormat="false" ht="17.15" hidden="false" customHeight="false" outlineLevel="0" collapsed="false">
      <c r="A135" s="0" t="s">
        <v>627</v>
      </c>
      <c r="B135" s="0" t="s">
        <v>279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628</v>
      </c>
      <c r="B136" s="0" t="s">
        <v>288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629</v>
      </c>
      <c r="B137" s="0" t="s">
        <v>301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630</v>
      </c>
      <c r="B138" s="0" t="s">
        <v>301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631</v>
      </c>
      <c r="B139" s="0" t="s">
        <v>301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632</v>
      </c>
      <c r="B140" s="4" t="s">
        <v>33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633</v>
      </c>
      <c r="B141" s="0" t="s">
        <v>86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634</v>
      </c>
    </row>
    <row r="143" customFormat="false" ht="15" hidden="false" customHeight="false" outlineLevel="0" collapsed="false">
      <c r="A143" s="4" t="s">
        <v>635</v>
      </c>
      <c r="B143" s="0" t="s">
        <v>301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636</v>
      </c>
      <c r="B144" s="0" t="s">
        <v>301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637</v>
      </c>
      <c r="B145" s="0" t="s">
        <v>301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638</v>
      </c>
      <c r="B146" s="0" t="s">
        <v>301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501</v>
      </c>
      <c r="B147" s="0" t="s">
        <v>301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639</v>
      </c>
    </row>
    <row r="148" customFormat="false" ht="15" hidden="false" customHeight="false" outlineLevel="0" collapsed="false">
      <c r="A148" s="4" t="s">
        <v>640</v>
      </c>
      <c r="B148" s="0" t="s">
        <v>46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641</v>
      </c>
      <c r="B149" s="0" t="s">
        <v>46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642</v>
      </c>
      <c r="B150" s="0" t="s">
        <v>46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643</v>
      </c>
    </row>
    <row r="152" customFormat="false" ht="17.15" hidden="false" customHeight="false" outlineLevel="0" collapsed="false">
      <c r="A152" s="0" t="s">
        <v>644</v>
      </c>
      <c r="B152" s="0" t="s">
        <v>301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645</v>
      </c>
      <c r="B153" s="0" t="s">
        <v>46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646</v>
      </c>
    </row>
    <row r="154" customFormat="false" ht="15" hidden="false" customHeight="false" outlineLevel="0" collapsed="false">
      <c r="A154" s="4" t="s">
        <v>517</v>
      </c>
      <c r="B154" s="0" t="s">
        <v>301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520</v>
      </c>
      <c r="B155" s="0" t="s">
        <v>46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647</v>
      </c>
      <c r="B156" s="0" t="s">
        <v>301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524</v>
      </c>
      <c r="B157" s="0" t="s">
        <v>301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598</v>
      </c>
      <c r="B158" s="0" t="s">
        <v>46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526</v>
      </c>
      <c r="B159" s="0" t="s">
        <v>301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528</v>
      </c>
      <c r="B160" s="0" t="s">
        <v>301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529</v>
      </c>
      <c r="B161" s="0" t="s">
        <v>301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530</v>
      </c>
      <c r="B162" s="0" t="s">
        <v>301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532</v>
      </c>
      <c r="B163" s="0" t="s">
        <v>301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648</v>
      </c>
      <c r="B164" s="4" t="s">
        <v>346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537</v>
      </c>
      <c r="B165" s="0" t="s">
        <v>403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649</v>
      </c>
      <c r="B166" s="0" t="s">
        <v>46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650</v>
      </c>
      <c r="B167" s="0" t="s">
        <v>46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652</v>
      </c>
    </row>
    <row r="171" customFormat="false" ht="17.15" hidden="false" customHeight="false" outlineLevel="0" collapsed="false">
      <c r="A171" s="5" t="s">
        <v>22</v>
      </c>
      <c r="B171" s="5" t="s">
        <v>23</v>
      </c>
      <c r="C171" s="14" t="s">
        <v>494</v>
      </c>
      <c r="D171" s="14" t="s">
        <v>587</v>
      </c>
      <c r="E171" s="14" t="s">
        <v>588</v>
      </c>
      <c r="F171" s="14" t="s">
        <v>589</v>
      </c>
      <c r="G171" s="14" t="s">
        <v>590</v>
      </c>
      <c r="H171" s="14" t="s">
        <v>591</v>
      </c>
      <c r="I171" s="14" t="s">
        <v>592</v>
      </c>
      <c r="J171" s="14" t="s">
        <v>593</v>
      </c>
      <c r="K171" s="5" t="s">
        <v>557</v>
      </c>
    </row>
    <row r="172" customFormat="false" ht="17.15" hidden="false" customHeight="false" outlineLevel="0" collapsed="false">
      <c r="A172" s="6" t="s">
        <v>609</v>
      </c>
    </row>
    <row r="173" customFormat="false" ht="17.15" hidden="false" customHeight="false" outlineLevel="0" collapsed="false">
      <c r="A173" s="0" t="s">
        <v>610</v>
      </c>
      <c r="B173" s="4" t="s">
        <v>33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611</v>
      </c>
      <c r="B174" s="4" t="s">
        <v>33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561</v>
      </c>
      <c r="B175" s="0" t="s">
        <v>46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612</v>
      </c>
      <c r="B176" s="0" t="s">
        <v>46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563</v>
      </c>
      <c r="B177" s="4" t="s">
        <v>33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613</v>
      </c>
      <c r="B178" s="4" t="s">
        <v>33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614</v>
      </c>
      <c r="B179" s="0" t="s">
        <v>102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615</v>
      </c>
      <c r="B180" s="0" t="s">
        <v>102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616</v>
      </c>
      <c r="B181" s="0" t="s">
        <v>194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617</v>
      </c>
      <c r="B182" s="0" t="s">
        <v>86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618</v>
      </c>
      <c r="B183" s="0" t="s">
        <v>86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619</v>
      </c>
      <c r="B184" s="0" t="s">
        <v>86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620</v>
      </c>
      <c r="B185" s="0" t="s">
        <v>86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621</v>
      </c>
      <c r="B186" s="0" t="s">
        <v>86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622</v>
      </c>
    </row>
    <row r="187" customFormat="false" ht="17.15" hidden="false" customHeight="false" outlineLevel="0" collapsed="false">
      <c r="A187" s="4" t="s">
        <v>623</v>
      </c>
      <c r="B187" s="0" t="s">
        <v>86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624</v>
      </c>
      <c r="B188" s="0" t="s">
        <v>279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625</v>
      </c>
      <c r="B189" s="0" t="s">
        <v>65</v>
      </c>
      <c r="D189" s="20" t="n">
        <f aca="false">dc26/D188</f>
        <v>1.07309401333727</v>
      </c>
      <c r="K189" s="8" t="s">
        <v>626</v>
      </c>
    </row>
    <row r="190" customFormat="false" ht="17.15" hidden="false" customHeight="false" outlineLevel="0" collapsed="false">
      <c r="A190" s="0" t="s">
        <v>627</v>
      </c>
      <c r="B190" s="0" t="s">
        <v>279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628</v>
      </c>
      <c r="B191" s="0" t="s">
        <v>288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629</v>
      </c>
      <c r="B192" s="0" t="s">
        <v>301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630</v>
      </c>
      <c r="B193" s="0" t="s">
        <v>301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631</v>
      </c>
      <c r="B194" s="0" t="s">
        <v>301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632</v>
      </c>
      <c r="B195" s="4" t="s">
        <v>33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633</v>
      </c>
      <c r="B196" s="0" t="s">
        <v>86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634</v>
      </c>
    </row>
    <row r="198" customFormat="false" ht="15" hidden="false" customHeight="false" outlineLevel="0" collapsed="false">
      <c r="A198" s="4" t="s">
        <v>635</v>
      </c>
      <c r="B198" s="0" t="s">
        <v>301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636</v>
      </c>
      <c r="B199" s="0" t="s">
        <v>301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637</v>
      </c>
      <c r="B200" s="0" t="s">
        <v>301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638</v>
      </c>
      <c r="B201" s="0" t="s">
        <v>301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501</v>
      </c>
      <c r="B202" s="0" t="s">
        <v>301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639</v>
      </c>
    </row>
    <row r="203" customFormat="false" ht="15" hidden="false" customHeight="false" outlineLevel="0" collapsed="false">
      <c r="A203" s="4" t="s">
        <v>640</v>
      </c>
      <c r="B203" s="0" t="s">
        <v>46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641</v>
      </c>
      <c r="B204" s="0" t="s">
        <v>46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642</v>
      </c>
      <c r="B205" s="0" t="s">
        <v>46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643</v>
      </c>
    </row>
    <row r="207" customFormat="false" ht="17.15" hidden="false" customHeight="false" outlineLevel="0" collapsed="false">
      <c r="A207" s="0" t="s">
        <v>644</v>
      </c>
      <c r="B207" s="0" t="s">
        <v>301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645</v>
      </c>
      <c r="B208" s="0" t="s">
        <v>46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646</v>
      </c>
    </row>
    <row r="209" customFormat="false" ht="15" hidden="false" customHeight="false" outlineLevel="0" collapsed="false">
      <c r="A209" s="4" t="s">
        <v>517</v>
      </c>
      <c r="B209" s="0" t="s">
        <v>301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520</v>
      </c>
      <c r="B210" s="0" t="s">
        <v>46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647</v>
      </c>
      <c r="B211" s="0" t="s">
        <v>301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524</v>
      </c>
      <c r="B212" s="0" t="s">
        <v>301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598</v>
      </c>
      <c r="B213" s="0" t="s">
        <v>46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526</v>
      </c>
      <c r="B214" s="0" t="s">
        <v>301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528</v>
      </c>
      <c r="B215" s="0" t="s">
        <v>301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529</v>
      </c>
      <c r="B216" s="0" t="s">
        <v>301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530</v>
      </c>
      <c r="B217" s="0" t="s">
        <v>301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532</v>
      </c>
      <c r="B218" s="0" t="s">
        <v>301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648</v>
      </c>
      <c r="B219" s="4" t="s">
        <v>346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537</v>
      </c>
      <c r="B220" s="0" t="s">
        <v>403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649</v>
      </c>
      <c r="B221" s="0" t="s">
        <v>46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650</v>
      </c>
      <c r="B222" s="0" t="s">
        <v>46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653</v>
      </c>
    </row>
    <row r="2" customFormat="false" ht="17.15" hidden="false" customHeight="false" outlineLevel="0" collapsed="false">
      <c r="A2" s="4" t="s">
        <v>654</v>
      </c>
    </row>
    <row r="4" customFormat="false" ht="17.15" hidden="false" customHeight="false" outlineLevel="0" collapsed="false">
      <c r="A4" s="6" t="s">
        <v>655</v>
      </c>
    </row>
    <row r="5" customFormat="false" ht="17.15" hidden="false" customHeight="false" outlineLevel="0" collapsed="false">
      <c r="A5" s="6" t="s">
        <v>656</v>
      </c>
    </row>
    <row r="6" customFormat="false" ht="17.15" hidden="false" customHeight="false" outlineLevel="0" collapsed="false">
      <c r="A6" s="5" t="s">
        <v>22</v>
      </c>
      <c r="B6" s="14" t="s">
        <v>657</v>
      </c>
      <c r="C6" s="14" t="s">
        <v>658</v>
      </c>
      <c r="D6" s="14" t="s">
        <v>659</v>
      </c>
      <c r="E6" s="5" t="s">
        <v>557</v>
      </c>
    </row>
    <row r="7" customFormat="false" ht="17.15" hidden="false" customHeight="false" outlineLevel="0" collapsed="false">
      <c r="A7" s="4" t="s">
        <v>660</v>
      </c>
      <c r="E7" s="0" t="s">
        <v>661</v>
      </c>
    </row>
    <row r="8" customFormat="false" ht="15" hidden="false" customHeight="false" outlineLevel="0" collapsed="false">
      <c r="A8" s="0" t="s">
        <v>662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663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664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665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666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667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668</v>
      </c>
    </row>
    <row r="15" customFormat="false" ht="17.15" hidden="false" customHeight="false" outlineLevel="0" collapsed="false">
      <c r="A15" s="4" t="s">
        <v>669</v>
      </c>
      <c r="B15" s="19" t="n">
        <f aca="false">MIN(tp_g/tp_roe,0.8)</f>
        <v>0.165631469979296</v>
      </c>
      <c r="E15" s="8" t="s">
        <v>670</v>
      </c>
    </row>
    <row r="16" customFormat="false" ht="15" hidden="false" customHeight="false" outlineLevel="0" collapsed="false">
      <c r="A16" s="0" t="s">
        <v>662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663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664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665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666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667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671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672</v>
      </c>
    </row>
    <row r="23" customFormat="false" ht="17.15" hidden="false" customHeight="false" outlineLevel="0" collapsed="false">
      <c r="A23" s="0" t="s">
        <v>673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674</v>
      </c>
      <c r="B24" s="29" t="n">
        <f aca="false">tp_wA*B23+tp_wB*C23+tp_wC*D23</f>
        <v>1845.58121944081</v>
      </c>
      <c r="E24" s="8" t="s">
        <v>675</v>
      </c>
    </row>
    <row r="26" customFormat="false" ht="17.15" hidden="false" customHeight="false" outlineLevel="0" collapsed="false">
      <c r="A26" s="6" t="s">
        <v>676</v>
      </c>
    </row>
    <row r="27" customFormat="false" ht="17.15" hidden="false" customHeight="false" outlineLevel="0" collapsed="false">
      <c r="A27" s="5" t="s">
        <v>677</v>
      </c>
      <c r="B27" s="5" t="s">
        <v>678</v>
      </c>
      <c r="C27" s="5" t="s">
        <v>679</v>
      </c>
      <c r="D27" s="5" t="s">
        <v>680</v>
      </c>
      <c r="E27" s="5" t="s">
        <v>681</v>
      </c>
      <c r="F27" s="5" t="s">
        <v>27</v>
      </c>
    </row>
    <row r="28" customFormat="false" ht="17.15" hidden="false" customHeight="false" outlineLevel="0" collapsed="false">
      <c r="A28" s="4" t="s">
        <v>682</v>
      </c>
      <c r="B28" s="0" t="s">
        <v>683</v>
      </c>
      <c r="C28" s="30" t="n">
        <v>18.98</v>
      </c>
      <c r="D28" s="8" t="s">
        <v>684</v>
      </c>
      <c r="E28" s="8" t="s">
        <v>685</v>
      </c>
      <c r="F28" s="8" t="s">
        <v>34</v>
      </c>
    </row>
    <row r="29" customFormat="false" ht="17.15" hidden="false" customHeight="false" outlineLevel="0" collapsed="false">
      <c r="A29" s="4" t="s">
        <v>686</v>
      </c>
      <c r="B29" s="0" t="s">
        <v>687</v>
      </c>
      <c r="C29" s="30" t="n">
        <v>18.52</v>
      </c>
      <c r="D29" s="8" t="s">
        <v>684</v>
      </c>
      <c r="E29" s="8" t="s">
        <v>685</v>
      </c>
      <c r="F29" s="8" t="s">
        <v>34</v>
      </c>
    </row>
    <row r="30" customFormat="false" ht="17.15" hidden="false" customHeight="false" outlineLevel="0" collapsed="false">
      <c r="A30" s="4" t="s">
        <v>688</v>
      </c>
      <c r="B30" s="0" t="s">
        <v>689</v>
      </c>
      <c r="C30" s="30" t="n">
        <v>40.44</v>
      </c>
      <c r="D30" s="8" t="s">
        <v>684</v>
      </c>
      <c r="E30" s="8" t="s">
        <v>685</v>
      </c>
      <c r="F30" s="8" t="s">
        <v>34</v>
      </c>
    </row>
    <row r="31" customFormat="false" ht="17.15" hidden="false" customHeight="false" outlineLevel="0" collapsed="false">
      <c r="A31" s="4" t="s">
        <v>690</v>
      </c>
      <c r="B31" s="0" t="s">
        <v>691</v>
      </c>
      <c r="C31" s="30" t="n">
        <v>17.15</v>
      </c>
      <c r="D31" s="8" t="s">
        <v>692</v>
      </c>
      <c r="E31" s="8" t="s">
        <v>685</v>
      </c>
      <c r="F31" s="8" t="s">
        <v>34</v>
      </c>
    </row>
    <row r="32" customFormat="false" ht="17.15" hidden="false" customHeight="false" outlineLevel="0" collapsed="false">
      <c r="A32" s="4" t="s">
        <v>693</v>
      </c>
      <c r="B32" s="0" t="s">
        <v>694</v>
      </c>
      <c r="C32" s="30" t="n">
        <v>102.85</v>
      </c>
      <c r="D32" s="8" t="s">
        <v>695</v>
      </c>
      <c r="E32" s="8" t="s">
        <v>685</v>
      </c>
      <c r="F32" s="8" t="s">
        <v>34</v>
      </c>
    </row>
    <row r="33" customFormat="false" ht="17.15" hidden="false" customHeight="false" outlineLevel="0" collapsed="false">
      <c r="A33" s="4" t="s">
        <v>696</v>
      </c>
      <c r="B33" s="31" t="n">
        <f aca="false">MEDIAN(C28:C32)</f>
        <v>18.98</v>
      </c>
      <c r="E33" s="4" t="s">
        <v>697</v>
      </c>
    </row>
    <row r="34" customFormat="false" ht="17.15" hidden="false" customHeight="false" outlineLevel="0" collapsed="false">
      <c r="A34" s="0" t="s">
        <v>698</v>
      </c>
      <c r="B34" s="16" t="n">
        <f aca="false">tp_wA*(2/12*B8+10/12*B9)+tp_wB*(2/12*C8+10/12*C9)+tp_wC*(2/12*D8+10/12*D9)</f>
        <v>119.487816242682</v>
      </c>
      <c r="E34" s="4" t="s">
        <v>699</v>
      </c>
    </row>
    <row r="35" customFormat="false" ht="17.15" hidden="false" customHeight="false" outlineLevel="0" collapsed="false">
      <c r="A35" s="0" t="s">
        <v>700</v>
      </c>
      <c r="B35" s="29" t="n">
        <f aca="false">B33*B34</f>
        <v>2267.8787522861</v>
      </c>
      <c r="E35" s="4" t="s">
        <v>701</v>
      </c>
    </row>
    <row r="37" customFormat="false" ht="17.15" hidden="false" customHeight="false" outlineLevel="0" collapsed="false">
      <c r="A37" s="6" t="s">
        <v>702</v>
      </c>
    </row>
    <row r="38" customFormat="false" ht="15" hidden="false" customHeight="false" outlineLevel="0" collapsed="false">
      <c r="A38" s="5" t="s">
        <v>22</v>
      </c>
      <c r="B38" s="5" t="s">
        <v>703</v>
      </c>
      <c r="C38" s="5"/>
      <c r="D38" s="5"/>
      <c r="E38" s="5" t="s">
        <v>557</v>
      </c>
    </row>
    <row r="39" customFormat="false" ht="17.15" hidden="false" customHeight="false" outlineLevel="0" collapsed="false">
      <c r="A39" s="4" t="s">
        <v>704</v>
      </c>
      <c r="B39" s="29" t="n">
        <f aca="false">tp_w_dcf*B24+(1-tp_w_dcf)*B35</f>
        <v>2056.72998586345</v>
      </c>
      <c r="E39" s="8" t="s">
        <v>705</v>
      </c>
    </row>
    <row r="40" customFormat="false" ht="17.15" hidden="false" customHeight="false" outlineLevel="0" collapsed="false">
      <c r="A40" s="0" t="s">
        <v>706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707</v>
      </c>
      <c r="B41" s="16" t="n">
        <f aca="false">cons_tp</f>
        <v>6067</v>
      </c>
      <c r="E41" s="8" t="s">
        <v>708</v>
      </c>
    </row>
    <row r="42" customFormat="false" ht="17.15" hidden="false" customHeight="false" outlineLevel="0" collapsed="false">
      <c r="A42" s="4" t="s">
        <v>709</v>
      </c>
      <c r="B42" s="19" t="n">
        <f aca="false">B39/px-1</f>
        <v>-0.487099754148765</v>
      </c>
      <c r="E42" s="4" t="s">
        <v>710</v>
      </c>
    </row>
    <row r="43" customFormat="false" ht="17.15" hidden="false" customHeight="false" outlineLevel="0" collapsed="false">
      <c r="A43" s="4" t="s">
        <v>711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712</v>
      </c>
      <c r="B44" s="19" t="n">
        <f aca="false">B34/cons_feps-1</f>
        <v>0.154651590873793</v>
      </c>
      <c r="E44" s="4" t="s">
        <v>713</v>
      </c>
    </row>
    <row r="45" customFormat="false" ht="17.15" hidden="false" customHeight="false" outlineLevel="0" collapsed="false">
      <c r="A45" s="4" t="s">
        <v>714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715</v>
      </c>
      <c r="B46" s="32" t="str">
        <f aca="false">TEXT(D23,"#,##0")&amp;"～"&amp;TEXT(B23,"#,##0")</f>
        <v>1,012～2,466</v>
      </c>
      <c r="E46" s="8" t="s">
        <v>716</v>
      </c>
    </row>
    <row r="47" customFormat="false" ht="17.15" hidden="false" customHeight="false" outlineLevel="0" collapsed="false">
      <c r="A47" s="4" t="s">
        <v>717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718</v>
      </c>
    </row>
    <row r="48" customFormat="false" ht="17.15" hidden="false" customHeight="false" outlineLevel="0" collapsed="false">
      <c r="A48" s="4" t="s">
        <v>719</v>
      </c>
      <c r="B48" s="0" t="s">
        <v>720</v>
      </c>
    </row>
    <row r="51" customFormat="false" ht="17.15" hidden="false" customHeight="false" outlineLevel="0" collapsed="false">
      <c r="A51" s="6" t="s">
        <v>721</v>
      </c>
    </row>
    <row r="52" customFormat="false" ht="15" hidden="false" customHeight="false" outlineLevel="0" collapsed="false">
      <c r="A52" s="5" t="s">
        <v>22</v>
      </c>
      <c r="B52" s="14" t="s">
        <v>722</v>
      </c>
      <c r="C52" s="14" t="s">
        <v>723</v>
      </c>
      <c r="D52" s="14" t="s">
        <v>724</v>
      </c>
      <c r="E52" s="5" t="s">
        <v>557</v>
      </c>
    </row>
    <row r="53" customFormat="false" ht="17.15" hidden="false" customHeight="false" outlineLevel="0" collapsed="false">
      <c r="A53" s="4" t="s">
        <v>725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726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727</v>
      </c>
    </row>
    <row r="55" customFormat="false" ht="17.15" hidden="false" customHeight="false" outlineLevel="0" collapsed="false">
      <c r="A55" s="4" t="s">
        <v>728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729</v>
      </c>
    </row>
    <row r="56" customFormat="false" ht="17.15" hidden="false" customHeight="false" outlineLevel="0" collapsed="false">
      <c r="A56" s="4" t="s">
        <v>730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731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732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733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435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439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734</v>
      </c>
    </row>
    <row r="64" customFormat="false" ht="17.15" hidden="false" customHeight="false" outlineLevel="0" collapsed="false">
      <c r="A64" s="5" t="s">
        <v>735</v>
      </c>
      <c r="B64" s="5" t="s">
        <v>736</v>
      </c>
      <c r="C64" s="14" t="s">
        <v>737</v>
      </c>
      <c r="D64" s="5" t="s">
        <v>738</v>
      </c>
      <c r="E64" s="5" t="s">
        <v>739</v>
      </c>
      <c r="F64" s="5" t="s">
        <v>557</v>
      </c>
    </row>
    <row r="65" customFormat="false" ht="17.15" hidden="false" customHeight="false" outlineLevel="0" collapsed="false">
      <c r="A65" s="0" t="s">
        <v>722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740</v>
      </c>
    </row>
    <row r="66" customFormat="false" ht="15" hidden="false" customHeight="false" outlineLevel="0" collapsed="false">
      <c r="A66" s="0" t="s">
        <v>723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40</v>
      </c>
    </row>
    <row r="67" customFormat="false" ht="15" hidden="false" customHeight="false" outlineLevel="0" collapsed="false">
      <c r="A67" s="0" t="s">
        <v>724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40</v>
      </c>
    </row>
    <row r="69" customFormat="false" ht="17.15" hidden="false" customHeight="false" outlineLevel="0" collapsed="false">
      <c r="A69" s="6" t="s">
        <v>741</v>
      </c>
    </row>
    <row r="70" customFormat="false" ht="17.15" hidden="false" customHeight="false" outlineLevel="0" collapsed="false">
      <c r="A70" s="5" t="s">
        <v>735</v>
      </c>
      <c r="B70" s="14" t="s">
        <v>742</v>
      </c>
      <c r="C70" s="5" t="s">
        <v>743</v>
      </c>
      <c r="D70" s="5" t="s">
        <v>744</v>
      </c>
      <c r="E70" s="5" t="s">
        <v>745</v>
      </c>
      <c r="F70" s="5" t="s">
        <v>746</v>
      </c>
      <c r="G70" s="5" t="s">
        <v>747</v>
      </c>
    </row>
    <row r="71" customFormat="false" ht="15" hidden="false" customHeight="false" outlineLevel="0" collapsed="false">
      <c r="A71" s="9" t="s">
        <v>722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723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724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748</v>
      </c>
    </row>
    <row r="76" customFormat="false" ht="17.15" hidden="false" customHeight="false" outlineLevel="0" collapsed="false">
      <c r="A76" s="14" t="s">
        <v>749</v>
      </c>
      <c r="B76" s="5" t="s">
        <v>750</v>
      </c>
      <c r="C76" s="5" t="s">
        <v>751</v>
      </c>
      <c r="D76" s="5" t="s">
        <v>752</v>
      </c>
      <c r="E76" s="5" t="s">
        <v>753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754</v>
      </c>
    </row>
    <row r="84" customFormat="false" ht="17.15" hidden="false" customHeight="false" outlineLevel="0" collapsed="false">
      <c r="A84" s="6" t="s">
        <v>755</v>
      </c>
    </row>
    <row r="85" customFormat="false" ht="17.15" hidden="false" customHeight="false" outlineLevel="0" collapsed="false">
      <c r="A85" s="5" t="s">
        <v>756</v>
      </c>
      <c r="B85" s="5" t="s">
        <v>757</v>
      </c>
      <c r="C85" s="14" t="s">
        <v>758</v>
      </c>
      <c r="D85" s="5" t="s">
        <v>759</v>
      </c>
    </row>
    <row r="86" customFormat="false" ht="15" hidden="false" customHeight="false" outlineLevel="0" collapsed="false">
      <c r="A86" s="0" t="s">
        <v>760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761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762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763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764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765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766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767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768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769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770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771</v>
      </c>
    </row>
    <row r="101" customFormat="false" ht="17.15" hidden="false" customHeight="false" outlineLevel="0" collapsed="false">
      <c r="A101" s="4" t="s">
        <v>772</v>
      </c>
    </row>
    <row r="103" customFormat="false" ht="17.15" hidden="false" customHeight="false" outlineLevel="0" collapsed="false">
      <c r="A103" s="6" t="s">
        <v>773</v>
      </c>
    </row>
    <row r="104" customFormat="false" ht="17.15" hidden="false" customHeight="false" outlineLevel="0" collapsed="false">
      <c r="A104" s="5" t="s">
        <v>756</v>
      </c>
      <c r="B104" s="14" t="s">
        <v>774</v>
      </c>
      <c r="C104" s="5" t="s">
        <v>775</v>
      </c>
      <c r="D104" s="5" t="s">
        <v>776</v>
      </c>
    </row>
    <row r="105" customFormat="false" ht="17.15" hidden="false" customHeight="false" outlineLevel="0" collapsed="false">
      <c r="A105" s="0" t="s">
        <v>760</v>
      </c>
      <c r="B105" s="39" t="n">
        <v>9.22</v>
      </c>
      <c r="D105" s="8" t="s">
        <v>777</v>
      </c>
    </row>
    <row r="106" customFormat="false" ht="15" hidden="false" customHeight="false" outlineLevel="0" collapsed="false">
      <c r="A106" s="0" t="s">
        <v>761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762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763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764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765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766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767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768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769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778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779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780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781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782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783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784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785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786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787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788</v>
      </c>
    </row>
    <row r="127" customFormat="false" ht="17.15" hidden="false" customHeight="false" outlineLevel="0" collapsed="false">
      <c r="A127" s="5" t="s">
        <v>789</v>
      </c>
      <c r="B127" s="5" t="s">
        <v>790</v>
      </c>
      <c r="C127" s="5" t="s">
        <v>791</v>
      </c>
      <c r="D127" s="5" t="s">
        <v>25</v>
      </c>
      <c r="E127" s="5" t="s">
        <v>792</v>
      </c>
      <c r="F127" s="5" t="s">
        <v>745</v>
      </c>
      <c r="G127" s="5" t="s">
        <v>793</v>
      </c>
      <c r="H127" s="5" t="s">
        <v>794</v>
      </c>
    </row>
    <row r="128" customFormat="false" ht="17.15" hidden="false" customHeight="false" outlineLevel="0" collapsed="false">
      <c r="A128" s="4" t="s">
        <v>795</v>
      </c>
      <c r="B128" s="0" t="s">
        <v>796</v>
      </c>
      <c r="C128" s="21" t="n">
        <f aca="false">B120</f>
        <v>14.54</v>
      </c>
      <c r="D128" s="8" t="s">
        <v>797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798</v>
      </c>
      <c r="B129" s="4" t="s">
        <v>799</v>
      </c>
      <c r="C129" s="21" t="n">
        <f aca="false">B121</f>
        <v>18.44</v>
      </c>
      <c r="D129" s="8" t="s">
        <v>797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800</v>
      </c>
      <c r="B130" s="0" t="s">
        <v>801</v>
      </c>
      <c r="C130" s="21" t="n">
        <f aca="false">B122</f>
        <v>21.12</v>
      </c>
      <c r="D130" s="8" t="s">
        <v>797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802</v>
      </c>
      <c r="B134" s="0" t="str">
        <f aca="false">IF(B42&gt;0.5,"大於 50%",IF(B42&gt;0.25,"25%–50%",IF(B42&gt;=0,"0%–25%",IF(B42&gt;=-0.25,"0%～−25%",IF(B42&gt;=-0.5,"−25%～−50%","小於 −50%")))))</f>
        <v>−25%～−50%</v>
      </c>
      <c r="E134" s="4" t="s">
        <v>803</v>
      </c>
    </row>
    <row r="135" customFormat="false" ht="17.15" hidden="false" customHeight="false" outlineLevel="0" collapsed="false">
      <c r="A135" s="4" t="s">
        <v>804</v>
      </c>
      <c r="B135" s="0" t="str">
        <f aca="false">IF(B42&gt;0.5,"強力買進",IF(B42&gt;0.25,"買進",IF(B42&gt;=-0.25,"中立",IF(B42&gt;=-0.5,"放空","強力放空"))))</f>
        <v>放空</v>
      </c>
      <c r="E135" s="4" t="s">
        <v>805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806</v>
      </c>
    </row>
    <row r="3" customFormat="false" ht="17.15" hidden="false" customHeight="false" outlineLevel="0" collapsed="false">
      <c r="A3" s="5" t="s">
        <v>22</v>
      </c>
      <c r="B3" s="5" t="s">
        <v>807</v>
      </c>
      <c r="C3" s="5" t="s">
        <v>808</v>
      </c>
      <c r="D3" s="5" t="s">
        <v>809</v>
      </c>
      <c r="E3" s="5" t="s">
        <v>810</v>
      </c>
      <c r="F3" s="5" t="s">
        <v>811</v>
      </c>
      <c r="G3" s="5" t="s">
        <v>812</v>
      </c>
      <c r="H3" s="5" t="s">
        <v>813</v>
      </c>
      <c r="I3" s="5" t="s">
        <v>814</v>
      </c>
      <c r="J3" s="5" t="s">
        <v>557</v>
      </c>
    </row>
    <row r="4" customFormat="false" ht="17.15" hidden="false" customHeight="false" outlineLevel="0" collapsed="false">
      <c r="A4" s="6" t="s">
        <v>815</v>
      </c>
    </row>
    <row r="5" customFormat="false" ht="17.15" hidden="false" customHeight="false" outlineLevel="0" collapsed="false">
      <c r="A5" s="0" t="s">
        <v>816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817</v>
      </c>
      <c r="J5" s="4" t="s">
        <v>818</v>
      </c>
    </row>
    <row r="6" customFormat="false" ht="17.15" hidden="false" customHeight="false" outlineLevel="0" collapsed="false">
      <c r="A6" s="0" t="s">
        <v>819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817</v>
      </c>
      <c r="J6" s="4" t="s">
        <v>820</v>
      </c>
    </row>
    <row r="7" customFormat="false" ht="17.15" hidden="false" customHeight="false" outlineLevel="0" collapsed="false">
      <c r="A7" s="0" t="s">
        <v>821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822</v>
      </c>
      <c r="J7" s="8" t="s">
        <v>823</v>
      </c>
    </row>
    <row r="8" customFormat="false" ht="17.15" hidden="false" customHeight="false" outlineLevel="0" collapsed="false">
      <c r="A8" s="6" t="s">
        <v>824</v>
      </c>
    </row>
    <row r="9" customFormat="false" ht="17.15" hidden="false" customHeight="false" outlineLevel="0" collapsed="false">
      <c r="A9" s="0" t="s">
        <v>825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822</v>
      </c>
      <c r="J9" s="4" t="s">
        <v>826</v>
      </c>
    </row>
    <row r="10" customFormat="false" ht="17.15" hidden="false" customHeight="false" outlineLevel="0" collapsed="false">
      <c r="A10" s="0" t="s">
        <v>827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414</v>
      </c>
    </row>
    <row r="11" customFormat="false" ht="17.15" hidden="false" customHeight="false" outlineLevel="0" collapsed="false">
      <c r="A11" s="0" t="s">
        <v>828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829</v>
      </c>
    </row>
    <row r="12" customFormat="false" ht="17.15" hidden="false" customHeight="false" outlineLevel="0" collapsed="false">
      <c r="A12" s="0" t="s">
        <v>830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831</v>
      </c>
      <c r="J12" s="4" t="s">
        <v>832</v>
      </c>
    </row>
    <row r="13" customFormat="false" ht="17.15" hidden="false" customHeight="false" outlineLevel="0" collapsed="false">
      <c r="A13" s="0" t="s">
        <v>833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834</v>
      </c>
      <c r="J13" s="4" t="s">
        <v>835</v>
      </c>
    </row>
    <row r="14" customFormat="false" ht="17.15" hidden="false" customHeight="false" outlineLevel="0" collapsed="false">
      <c r="A14" s="0" t="s">
        <v>836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834</v>
      </c>
      <c r="J14" s="8" t="s">
        <v>837</v>
      </c>
    </row>
    <row r="15" customFormat="false" ht="17.15" hidden="false" customHeight="false" outlineLevel="0" collapsed="false">
      <c r="A15" s="0" t="s">
        <v>838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834</v>
      </c>
      <c r="J15" s="4" t="s">
        <v>839</v>
      </c>
    </row>
    <row r="16" customFormat="false" ht="17.15" hidden="false" customHeight="false" outlineLevel="0" collapsed="false">
      <c r="A16" s="6" t="s">
        <v>840</v>
      </c>
    </row>
    <row r="17" customFormat="false" ht="17.15" hidden="false" customHeight="false" outlineLevel="0" collapsed="false">
      <c r="A17" s="0" t="s">
        <v>841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831</v>
      </c>
    </row>
    <row r="18" customFormat="false" ht="17.15" hidden="false" customHeight="false" outlineLevel="0" collapsed="false">
      <c r="A18" s="0" t="s">
        <v>842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414</v>
      </c>
    </row>
    <row r="19" customFormat="false" ht="17.15" hidden="false" customHeight="false" outlineLevel="0" collapsed="false">
      <c r="A19" s="0" t="s">
        <v>843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831</v>
      </c>
      <c r="J19" s="4" t="s">
        <v>844</v>
      </c>
    </row>
    <row r="20" customFormat="false" ht="17.15" hidden="false" customHeight="false" outlineLevel="0" collapsed="false">
      <c r="A20" s="0" t="s">
        <v>845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414</v>
      </c>
    </row>
    <row r="21" customFormat="false" ht="17.15" hidden="false" customHeight="false" outlineLevel="0" collapsed="false">
      <c r="A21" s="0" t="s">
        <v>846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831</v>
      </c>
    </row>
    <row r="22" customFormat="false" ht="17.15" hidden="false" customHeight="false" outlineLevel="0" collapsed="false">
      <c r="A22" s="4" t="s">
        <v>847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848</v>
      </c>
      <c r="J22" s="4" t="s">
        <v>849</v>
      </c>
    </row>
    <row r="23" customFormat="false" ht="17.15" hidden="false" customHeight="false" outlineLevel="0" collapsed="false">
      <c r="A23" s="6" t="s">
        <v>850</v>
      </c>
    </row>
    <row r="24" customFormat="false" ht="17.15" hidden="false" customHeight="false" outlineLevel="0" collapsed="false">
      <c r="A24" s="0" t="s">
        <v>851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852</v>
      </c>
      <c r="J24" s="4" t="s">
        <v>853</v>
      </c>
    </row>
    <row r="25" customFormat="false" ht="17.15" hidden="false" customHeight="false" outlineLevel="0" collapsed="false">
      <c r="A25" s="4" t="s">
        <v>580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854</v>
      </c>
      <c r="J25" s="8" t="s">
        <v>855</v>
      </c>
    </row>
    <row r="26" customFormat="false" ht="17.15" hidden="false" customHeight="false" outlineLevel="0" collapsed="false">
      <c r="A26" s="0" t="s">
        <v>856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857</v>
      </c>
      <c r="J26" s="4" t="s">
        <v>858</v>
      </c>
    </row>
    <row r="27" customFormat="false" ht="17.15" hidden="false" customHeight="false" outlineLevel="0" collapsed="false">
      <c r="A27" s="0" t="s">
        <v>859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860</v>
      </c>
    </row>
    <row r="28" customFormat="false" ht="17.15" hidden="false" customHeight="false" outlineLevel="0" collapsed="false">
      <c r="A28" s="0" t="s">
        <v>861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860</v>
      </c>
    </row>
    <row r="29" customFormat="false" ht="17.15" hidden="false" customHeight="false" outlineLevel="0" collapsed="false">
      <c r="A29" s="6" t="s">
        <v>862</v>
      </c>
    </row>
    <row r="30" customFormat="false" ht="17.15" hidden="false" customHeight="false" outlineLevel="0" collapsed="false">
      <c r="A30" s="0" t="s">
        <v>863</v>
      </c>
      <c r="J30" s="4" t="s">
        <v>864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865</v>
      </c>
    </row>
    <row r="3" customFormat="false" ht="17.15" hidden="false" customHeight="false" outlineLevel="0" collapsed="false">
      <c r="A3" s="5" t="s">
        <v>866</v>
      </c>
      <c r="B3" s="5" t="s">
        <v>867</v>
      </c>
      <c r="C3" s="14" t="s">
        <v>868</v>
      </c>
      <c r="D3" s="14" t="s">
        <v>869</v>
      </c>
      <c r="E3" s="14" t="s">
        <v>742</v>
      </c>
      <c r="F3" s="14" t="s">
        <v>870</v>
      </c>
      <c r="G3" s="14" t="s">
        <v>871</v>
      </c>
      <c r="H3" s="14" t="s">
        <v>872</v>
      </c>
      <c r="I3" s="14" t="s">
        <v>873</v>
      </c>
      <c r="J3" s="14" t="s">
        <v>874</v>
      </c>
    </row>
    <row r="4" customFormat="false" ht="17.15" hidden="false" customHeight="false" outlineLevel="0" collapsed="false">
      <c r="A4" s="4" t="s">
        <v>875</v>
      </c>
      <c r="B4" s="0" t="s">
        <v>876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877</v>
      </c>
      <c r="B5" s="0" t="s">
        <v>878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879</v>
      </c>
      <c r="B6" s="0" t="s">
        <v>880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881</v>
      </c>
      <c r="B7" s="0" t="s">
        <v>882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883</v>
      </c>
      <c r="B8" s="0" t="s">
        <v>884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885</v>
      </c>
      <c r="B9" s="0" t="s">
        <v>886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887</v>
      </c>
      <c r="B10" s="0" t="s">
        <v>888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889</v>
      </c>
      <c r="B11" s="0" t="s">
        <v>890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891</v>
      </c>
      <c r="B12" s="4" t="s">
        <v>892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893</v>
      </c>
      <c r="B13" s="4" t="s">
        <v>894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895</v>
      </c>
      <c r="B14" s="4" t="s">
        <v>896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897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898</v>
      </c>
      <c r="B16" s="0" t="s">
        <v>899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900</v>
      </c>
      <c r="B17" s="0" t="s">
        <v>901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902</v>
      </c>
      <c r="B18" s="0" t="s">
        <v>903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904</v>
      </c>
      <c r="B19" s="4" t="s">
        <v>905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906</v>
      </c>
      <c r="B20" s="4" t="s">
        <v>907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908</v>
      </c>
      <c r="B21" s="4" t="s">
        <v>909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910</v>
      </c>
      <c r="B22" s="4" t="s">
        <v>911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912</v>
      </c>
      <c r="B23" s="4" t="s">
        <v>913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914</v>
      </c>
      <c r="B24" s="0" t="s">
        <v>915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916</v>
      </c>
      <c r="B25" s="0" t="s">
        <v>917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918</v>
      </c>
    </row>
    <row r="29" customFormat="false" ht="17.15" hidden="false" customHeight="false" outlineLevel="0" collapsed="false">
      <c r="A29" s="1" t="s">
        <v>919</v>
      </c>
    </row>
    <row r="30" customFormat="false" ht="17.15" hidden="false" customHeight="false" outlineLevel="0" collapsed="false">
      <c r="A30" s="5" t="s">
        <v>866</v>
      </c>
      <c r="B30" s="5" t="s">
        <v>867</v>
      </c>
      <c r="C30" s="14" t="s">
        <v>920</v>
      </c>
      <c r="D30" s="14" t="s">
        <v>921</v>
      </c>
      <c r="E30" s="5" t="s">
        <v>922</v>
      </c>
      <c r="F30" s="5" t="s">
        <v>923</v>
      </c>
    </row>
    <row r="31" customFormat="false" ht="17.15" hidden="false" customHeight="false" outlineLevel="0" collapsed="false">
      <c r="A31" s="4" t="s">
        <v>25</v>
      </c>
      <c r="B31" s="0" t="s">
        <v>924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Val!B35</f>
        <v>2267.8787522861</v>
      </c>
      <c r="E31" s="16" t="n">
        <f aca="false">tp_w_dcf*C31+(1-tp_w_dcf)*D31</f>
        <v>2056.72998586345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925</v>
      </c>
      <c r="B32" s="0" t="s">
        <v>926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Val!B35</f>
        <v>2267.8787522861</v>
      </c>
      <c r="E32" s="16" t="n">
        <f aca="false">tp_w_dcf*C32+(1-tp_w_dcf)*D32</f>
        <v>1931.49504180964</v>
      </c>
      <c r="F32" s="19" t="n">
        <f aca="false">E32/E$31-1</f>
        <v>-0.0608903185710282</v>
      </c>
    </row>
    <row r="33" customFormat="false" ht="17.15" hidden="false" customHeight="false" outlineLevel="0" collapsed="false">
      <c r="A33" s="4" t="s">
        <v>927</v>
      </c>
      <c r="B33" s="0" t="s">
        <v>928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Val!B35</f>
        <v>2267.8787522861</v>
      </c>
      <c r="E33" s="16" t="n">
        <f aca="false">tp_w_dcf*C33+(1-tp_w_dcf)*D33</f>
        <v>2232.03747778796</v>
      </c>
      <c r="F33" s="19" t="n">
        <f aca="false">E33/E$31-1</f>
        <v>0.0852360266682806</v>
      </c>
    </row>
    <row r="34" customFormat="false" ht="17.15" hidden="false" customHeight="false" outlineLevel="0" collapsed="false">
      <c r="A34" s="4" t="s">
        <v>929</v>
      </c>
      <c r="B34" s="0" t="s">
        <v>930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Val!B35</f>
        <v>2267.8787522861</v>
      </c>
      <c r="E34" s="16" t="n">
        <f aca="false">tp_w_dcf*C34+(1-tp_w_dcf)*D34</f>
        <v>2144.01031860874</v>
      </c>
      <c r="F34" s="19" t="n">
        <f aca="false">E34/E$31-1</f>
        <v>0.0424364565816575</v>
      </c>
    </row>
    <row r="35" customFormat="false" ht="17.15" hidden="false" customHeight="false" outlineLevel="0" collapsed="false">
      <c r="A35" s="4" t="s">
        <v>931</v>
      </c>
      <c r="B35" s="0" t="s">
        <v>932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Val!B35</f>
        <v>2267.8787522861</v>
      </c>
      <c r="E35" s="16" t="n">
        <f aca="false">tp_w_dcf*C35+(1-tp_w_dcf)*D35</f>
        <v>1997.54410978137</v>
      </c>
      <c r="F35" s="19" t="n">
        <f aca="false">E35/E$31-1</f>
        <v>-0.0287766875034059</v>
      </c>
    </row>
    <row r="36" customFormat="false" ht="17.15" hidden="false" customHeight="false" outlineLevel="0" collapsed="false">
      <c r="A36" s="0" t="s">
        <v>933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Val!B35</f>
        <v>2267.8787522861</v>
      </c>
      <c r="E36" s="16" t="n">
        <f aca="false">0.3*C36+(1-0.3)*D36</f>
        <v>2141.18949243251</v>
      </c>
      <c r="F36" s="19" t="n">
        <f aca="false">E36/E$31-1</f>
        <v>0.0410649463709747</v>
      </c>
    </row>
    <row r="37" customFormat="false" ht="17.15" hidden="false" customHeight="false" outlineLevel="0" collapsed="false">
      <c r="A37" s="0" t="s">
        <v>934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Val!B35</f>
        <v>2267.8787522861</v>
      </c>
      <c r="E37" s="16" t="n">
        <f aca="false">0.7*C37+(1-0.7)*D37</f>
        <v>1972.27047929439</v>
      </c>
      <c r="F37" s="19" t="n">
        <f aca="false">E37/E$31-1</f>
        <v>-0.0410649463709745</v>
      </c>
    </row>
    <row r="40" customFormat="false" ht="17.15" hidden="false" customHeight="false" outlineLevel="0" collapsed="false">
      <c r="A40" s="1" t="s">
        <v>935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4" t="s">
        <v>494</v>
      </c>
      <c r="D41" s="14" t="s">
        <v>587</v>
      </c>
      <c r="E41" s="14" t="s">
        <v>588</v>
      </c>
      <c r="F41" s="14" t="s">
        <v>589</v>
      </c>
      <c r="G41" s="14" t="s">
        <v>590</v>
      </c>
      <c r="H41" s="14" t="s">
        <v>591</v>
      </c>
      <c r="I41" s="14" t="s">
        <v>592</v>
      </c>
      <c r="J41" s="14" t="s">
        <v>593</v>
      </c>
      <c r="K41" s="5" t="s">
        <v>557</v>
      </c>
    </row>
    <row r="42" customFormat="false" ht="17.15" hidden="false" customHeight="false" outlineLevel="0" collapsed="false">
      <c r="A42" s="6" t="s">
        <v>609</v>
      </c>
    </row>
    <row r="43" customFormat="false" ht="17.15" hidden="false" customHeight="false" outlineLevel="0" collapsed="false">
      <c r="A43" s="0" t="s">
        <v>610</v>
      </c>
      <c r="B43" s="4" t="s">
        <v>33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611</v>
      </c>
      <c r="B44" s="4" t="s">
        <v>33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561</v>
      </c>
      <c r="B45" s="0" t="s">
        <v>46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612</v>
      </c>
      <c r="B46" s="0" t="s">
        <v>46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563</v>
      </c>
      <c r="B47" s="4" t="s">
        <v>33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613</v>
      </c>
      <c r="B48" s="4" t="s">
        <v>33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614</v>
      </c>
      <c r="B49" s="0" t="s">
        <v>102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615</v>
      </c>
      <c r="B50" s="0" t="s">
        <v>102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616</v>
      </c>
      <c r="B51" s="0" t="s">
        <v>194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617</v>
      </c>
      <c r="B52" s="0" t="s">
        <v>86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618</v>
      </c>
      <c r="B53" s="0" t="s">
        <v>86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619</v>
      </c>
      <c r="B54" s="0" t="s">
        <v>86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620</v>
      </c>
      <c r="B55" s="0" t="s">
        <v>86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621</v>
      </c>
      <c r="B56" s="0" t="s">
        <v>86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622</v>
      </c>
    </row>
    <row r="57" customFormat="false" ht="17.15" hidden="false" customHeight="false" outlineLevel="0" collapsed="false">
      <c r="A57" s="4" t="s">
        <v>623</v>
      </c>
      <c r="B57" s="0" t="s">
        <v>86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624</v>
      </c>
      <c r="B58" s="0" t="s">
        <v>279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625</v>
      </c>
      <c r="B59" s="0" t="s">
        <v>65</v>
      </c>
      <c r="D59" s="20" t="n">
        <f aca="false">dc26/D58</f>
        <v>1.07309401333727</v>
      </c>
      <c r="K59" s="8" t="s">
        <v>626</v>
      </c>
    </row>
    <row r="60" customFormat="false" ht="17.15" hidden="false" customHeight="false" outlineLevel="0" collapsed="false">
      <c r="A60" s="0" t="s">
        <v>627</v>
      </c>
      <c r="B60" s="0" t="s">
        <v>279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628</v>
      </c>
      <c r="B61" s="0" t="s">
        <v>288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629</v>
      </c>
      <c r="B62" s="0" t="s">
        <v>301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630</v>
      </c>
      <c r="B63" s="0" t="s">
        <v>301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631</v>
      </c>
      <c r="B64" s="0" t="s">
        <v>301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632</v>
      </c>
      <c r="B65" s="4" t="s">
        <v>33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633</v>
      </c>
      <c r="B66" s="0" t="s">
        <v>86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634</v>
      </c>
    </row>
    <row r="68" customFormat="false" ht="15" hidden="false" customHeight="false" outlineLevel="0" collapsed="false">
      <c r="A68" s="4" t="s">
        <v>635</v>
      </c>
      <c r="B68" s="0" t="s">
        <v>301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636</v>
      </c>
      <c r="B69" s="0" t="s">
        <v>301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637</v>
      </c>
      <c r="B70" s="0" t="s">
        <v>301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638</v>
      </c>
      <c r="B71" s="0" t="s">
        <v>301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501</v>
      </c>
      <c r="B72" s="0" t="s">
        <v>301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639</v>
      </c>
    </row>
    <row r="73" customFormat="false" ht="15" hidden="false" customHeight="false" outlineLevel="0" collapsed="false">
      <c r="A73" s="4" t="s">
        <v>640</v>
      </c>
      <c r="B73" s="0" t="s">
        <v>46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641</v>
      </c>
      <c r="B74" s="0" t="s">
        <v>46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642</v>
      </c>
      <c r="B75" s="0" t="s">
        <v>46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643</v>
      </c>
    </row>
    <row r="77" customFormat="false" ht="17.15" hidden="false" customHeight="false" outlineLevel="0" collapsed="false">
      <c r="A77" s="0" t="s">
        <v>644</v>
      </c>
      <c r="B77" s="0" t="s">
        <v>301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645</v>
      </c>
      <c r="B78" s="0" t="s">
        <v>46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646</v>
      </c>
    </row>
    <row r="79" customFormat="false" ht="15" hidden="false" customHeight="false" outlineLevel="0" collapsed="false">
      <c r="A79" s="4" t="s">
        <v>517</v>
      </c>
      <c r="B79" s="0" t="s">
        <v>301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520</v>
      </c>
      <c r="B80" s="0" t="s">
        <v>46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647</v>
      </c>
      <c r="B81" s="0" t="s">
        <v>301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524</v>
      </c>
      <c r="B82" s="0" t="s">
        <v>301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598</v>
      </c>
      <c r="B83" s="0" t="s">
        <v>46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526</v>
      </c>
      <c r="B84" s="0" t="s">
        <v>301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528</v>
      </c>
      <c r="B85" s="0" t="s">
        <v>301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529</v>
      </c>
      <c r="B86" s="0" t="s">
        <v>301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530</v>
      </c>
      <c r="B87" s="0" t="s">
        <v>301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532</v>
      </c>
      <c r="B88" s="0" t="s">
        <v>301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648</v>
      </c>
      <c r="B89" s="4" t="s">
        <v>346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537</v>
      </c>
      <c r="B90" s="0" t="s">
        <v>403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649</v>
      </c>
      <c r="B91" s="0" t="s">
        <v>46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650</v>
      </c>
      <c r="B92" s="0" t="s">
        <v>46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936</v>
      </c>
    </row>
    <row r="96" customFormat="false" ht="17.15" hidden="false" customHeight="false" outlineLevel="0" collapsed="false">
      <c r="A96" s="5" t="s">
        <v>22</v>
      </c>
      <c r="B96" s="5" t="s">
        <v>23</v>
      </c>
      <c r="C96" s="14" t="s">
        <v>494</v>
      </c>
      <c r="D96" s="14" t="s">
        <v>587</v>
      </c>
      <c r="E96" s="14" t="s">
        <v>588</v>
      </c>
      <c r="F96" s="14" t="s">
        <v>589</v>
      </c>
      <c r="G96" s="14" t="s">
        <v>590</v>
      </c>
      <c r="H96" s="14" t="s">
        <v>591</v>
      </c>
      <c r="I96" s="14" t="s">
        <v>592</v>
      </c>
      <c r="J96" s="14" t="s">
        <v>593</v>
      </c>
      <c r="K96" s="5" t="s">
        <v>557</v>
      </c>
    </row>
    <row r="97" customFormat="false" ht="17.15" hidden="false" customHeight="false" outlineLevel="0" collapsed="false">
      <c r="A97" s="6" t="s">
        <v>609</v>
      </c>
    </row>
    <row r="98" customFormat="false" ht="17.15" hidden="false" customHeight="false" outlineLevel="0" collapsed="false">
      <c r="A98" s="0" t="s">
        <v>610</v>
      </c>
      <c r="B98" s="4" t="s">
        <v>33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611</v>
      </c>
      <c r="B99" s="4" t="s">
        <v>33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561</v>
      </c>
      <c r="B100" s="0" t="s">
        <v>46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612</v>
      </c>
      <c r="B101" s="0" t="s">
        <v>46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563</v>
      </c>
      <c r="B102" s="4" t="s">
        <v>33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613</v>
      </c>
      <c r="B103" s="4" t="s">
        <v>33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614</v>
      </c>
      <c r="B104" s="0" t="s">
        <v>102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615</v>
      </c>
      <c r="B105" s="0" t="s">
        <v>102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616</v>
      </c>
      <c r="B106" s="0" t="s">
        <v>194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617</v>
      </c>
      <c r="B107" s="0" t="s">
        <v>86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618</v>
      </c>
      <c r="B108" s="0" t="s">
        <v>86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619</v>
      </c>
      <c r="B109" s="0" t="s">
        <v>86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620</v>
      </c>
      <c r="B110" s="0" t="s">
        <v>86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621</v>
      </c>
      <c r="B111" s="0" t="s">
        <v>86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622</v>
      </c>
    </row>
    <row r="112" customFormat="false" ht="17.15" hidden="false" customHeight="false" outlineLevel="0" collapsed="false">
      <c r="A112" s="4" t="s">
        <v>623</v>
      </c>
      <c r="B112" s="0" t="s">
        <v>86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624</v>
      </c>
      <c r="B113" s="0" t="s">
        <v>279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625</v>
      </c>
      <c r="B114" s="0" t="s">
        <v>65</v>
      </c>
      <c r="D114" s="20" t="n">
        <f aca="false">dc26/D113</f>
        <v>1.07309401333727</v>
      </c>
      <c r="K114" s="8" t="s">
        <v>626</v>
      </c>
    </row>
    <row r="115" customFormat="false" ht="17.15" hidden="false" customHeight="false" outlineLevel="0" collapsed="false">
      <c r="A115" s="0" t="s">
        <v>627</v>
      </c>
      <c r="B115" s="0" t="s">
        <v>279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628</v>
      </c>
      <c r="B116" s="0" t="s">
        <v>288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629</v>
      </c>
      <c r="B117" s="0" t="s">
        <v>301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630</v>
      </c>
      <c r="B118" s="0" t="s">
        <v>301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631</v>
      </c>
      <c r="B119" s="0" t="s">
        <v>301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632</v>
      </c>
      <c r="B120" s="4" t="s">
        <v>33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633</v>
      </c>
      <c r="B121" s="0" t="s">
        <v>86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634</v>
      </c>
    </row>
    <row r="123" customFormat="false" ht="15" hidden="false" customHeight="false" outlineLevel="0" collapsed="false">
      <c r="A123" s="4" t="s">
        <v>635</v>
      </c>
      <c r="B123" s="0" t="s">
        <v>301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636</v>
      </c>
      <c r="B124" s="0" t="s">
        <v>301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637</v>
      </c>
      <c r="B125" s="0" t="s">
        <v>301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638</v>
      </c>
      <c r="B126" s="0" t="s">
        <v>301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501</v>
      </c>
      <c r="B127" s="0" t="s">
        <v>301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639</v>
      </c>
    </row>
    <row r="128" customFormat="false" ht="15" hidden="false" customHeight="false" outlineLevel="0" collapsed="false">
      <c r="A128" s="4" t="s">
        <v>640</v>
      </c>
      <c r="B128" s="0" t="s">
        <v>46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641</v>
      </c>
      <c r="B129" s="0" t="s">
        <v>46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642</v>
      </c>
      <c r="B130" s="0" t="s">
        <v>46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643</v>
      </c>
    </row>
    <row r="132" customFormat="false" ht="17.15" hidden="false" customHeight="false" outlineLevel="0" collapsed="false">
      <c r="A132" s="0" t="s">
        <v>644</v>
      </c>
      <c r="B132" s="0" t="s">
        <v>301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645</v>
      </c>
      <c r="B133" s="0" t="s">
        <v>46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646</v>
      </c>
    </row>
    <row r="134" customFormat="false" ht="15" hidden="false" customHeight="false" outlineLevel="0" collapsed="false">
      <c r="A134" s="4" t="s">
        <v>517</v>
      </c>
      <c r="B134" s="0" t="s">
        <v>301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520</v>
      </c>
      <c r="B135" s="0" t="s">
        <v>46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647</v>
      </c>
      <c r="B136" s="0" t="s">
        <v>301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524</v>
      </c>
      <c r="B137" s="0" t="s">
        <v>301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598</v>
      </c>
      <c r="B138" s="0" t="s">
        <v>46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526</v>
      </c>
      <c r="B139" s="0" t="s">
        <v>301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528</v>
      </c>
      <c r="B140" s="0" t="s">
        <v>301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529</v>
      </c>
      <c r="B141" s="0" t="s">
        <v>301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530</v>
      </c>
      <c r="B142" s="0" t="s">
        <v>301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532</v>
      </c>
      <c r="B143" s="0" t="s">
        <v>301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648</v>
      </c>
      <c r="B144" s="4" t="s">
        <v>346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537</v>
      </c>
      <c r="B145" s="0" t="s">
        <v>403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649</v>
      </c>
      <c r="B146" s="0" t="s">
        <v>46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650</v>
      </c>
      <c r="B147" s="0" t="s">
        <v>46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937</v>
      </c>
    </row>
    <row r="151" customFormat="false" ht="17.15" hidden="false" customHeight="false" outlineLevel="0" collapsed="false">
      <c r="A151" s="5" t="s">
        <v>22</v>
      </c>
      <c r="B151" s="5" t="s">
        <v>23</v>
      </c>
      <c r="C151" s="14" t="s">
        <v>494</v>
      </c>
      <c r="D151" s="14" t="s">
        <v>587</v>
      </c>
      <c r="E151" s="14" t="s">
        <v>588</v>
      </c>
      <c r="F151" s="14" t="s">
        <v>589</v>
      </c>
      <c r="G151" s="14" t="s">
        <v>590</v>
      </c>
      <c r="H151" s="14" t="s">
        <v>591</v>
      </c>
      <c r="I151" s="14" t="s">
        <v>592</v>
      </c>
      <c r="J151" s="14" t="s">
        <v>593</v>
      </c>
      <c r="K151" s="5" t="s">
        <v>557</v>
      </c>
    </row>
    <row r="152" customFormat="false" ht="17.15" hidden="false" customHeight="false" outlineLevel="0" collapsed="false">
      <c r="A152" s="6" t="s">
        <v>609</v>
      </c>
    </row>
    <row r="153" customFormat="false" ht="17.15" hidden="false" customHeight="false" outlineLevel="0" collapsed="false">
      <c r="A153" s="0" t="s">
        <v>610</v>
      </c>
      <c r="B153" s="4" t="s">
        <v>33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611</v>
      </c>
      <c r="B154" s="4" t="s">
        <v>33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561</v>
      </c>
      <c r="B155" s="0" t="s">
        <v>46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612</v>
      </c>
      <c r="B156" s="0" t="s">
        <v>46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563</v>
      </c>
      <c r="B157" s="4" t="s">
        <v>33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613</v>
      </c>
      <c r="B158" s="4" t="s">
        <v>33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614</v>
      </c>
      <c r="B159" s="0" t="s">
        <v>102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615</v>
      </c>
      <c r="B160" s="0" t="s">
        <v>102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616</v>
      </c>
      <c r="B161" s="0" t="s">
        <v>194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617</v>
      </c>
      <c r="B162" s="0" t="s">
        <v>86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618</v>
      </c>
      <c r="B163" s="0" t="s">
        <v>86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619</v>
      </c>
      <c r="B164" s="0" t="s">
        <v>86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620</v>
      </c>
      <c r="B165" s="0" t="s">
        <v>86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621</v>
      </c>
      <c r="B166" s="0" t="s">
        <v>86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622</v>
      </c>
    </row>
    <row r="167" customFormat="false" ht="17.15" hidden="false" customHeight="false" outlineLevel="0" collapsed="false">
      <c r="A167" s="4" t="s">
        <v>623</v>
      </c>
      <c r="B167" s="0" t="s">
        <v>86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624</v>
      </c>
      <c r="B168" s="0" t="s">
        <v>279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625</v>
      </c>
      <c r="B169" s="0" t="s">
        <v>65</v>
      </c>
      <c r="D169" s="20" t="n">
        <f aca="false">dc26/D168</f>
        <v>1.07309401333727</v>
      </c>
      <c r="K169" s="8" t="s">
        <v>626</v>
      </c>
    </row>
    <row r="170" customFormat="false" ht="17.15" hidden="false" customHeight="false" outlineLevel="0" collapsed="false">
      <c r="A170" s="0" t="s">
        <v>627</v>
      </c>
      <c r="B170" s="0" t="s">
        <v>279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628</v>
      </c>
      <c r="B171" s="0" t="s">
        <v>288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629</v>
      </c>
      <c r="B172" s="0" t="s">
        <v>301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630</v>
      </c>
      <c r="B173" s="0" t="s">
        <v>301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631</v>
      </c>
      <c r="B174" s="0" t="s">
        <v>301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632</v>
      </c>
      <c r="B175" s="4" t="s">
        <v>33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633</v>
      </c>
      <c r="B176" s="0" t="s">
        <v>86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634</v>
      </c>
    </row>
    <row r="178" customFormat="false" ht="15" hidden="false" customHeight="false" outlineLevel="0" collapsed="false">
      <c r="A178" s="4" t="s">
        <v>635</v>
      </c>
      <c r="B178" s="0" t="s">
        <v>301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636</v>
      </c>
      <c r="B179" s="0" t="s">
        <v>301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637</v>
      </c>
      <c r="B180" s="0" t="s">
        <v>301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638</v>
      </c>
      <c r="B181" s="0" t="s">
        <v>301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501</v>
      </c>
      <c r="B182" s="0" t="s">
        <v>301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639</v>
      </c>
    </row>
    <row r="183" customFormat="false" ht="15" hidden="false" customHeight="false" outlineLevel="0" collapsed="false">
      <c r="A183" s="4" t="s">
        <v>640</v>
      </c>
      <c r="B183" s="0" t="s">
        <v>46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641</v>
      </c>
      <c r="B184" s="0" t="s">
        <v>46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642</v>
      </c>
      <c r="B185" s="0" t="s">
        <v>46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643</v>
      </c>
    </row>
    <row r="187" customFormat="false" ht="17.15" hidden="false" customHeight="false" outlineLevel="0" collapsed="false">
      <c r="A187" s="0" t="s">
        <v>644</v>
      </c>
      <c r="B187" s="0" t="s">
        <v>301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645</v>
      </c>
      <c r="B188" s="0" t="s">
        <v>46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646</v>
      </c>
    </row>
    <row r="189" customFormat="false" ht="15" hidden="false" customHeight="false" outlineLevel="0" collapsed="false">
      <c r="A189" s="4" t="s">
        <v>517</v>
      </c>
      <c r="B189" s="0" t="s">
        <v>301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520</v>
      </c>
      <c r="B190" s="0" t="s">
        <v>46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647</v>
      </c>
      <c r="B191" s="0" t="s">
        <v>301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524</v>
      </c>
      <c r="B192" s="0" t="s">
        <v>301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598</v>
      </c>
      <c r="B193" s="0" t="s">
        <v>46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526</v>
      </c>
      <c r="B194" s="0" t="s">
        <v>301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528</v>
      </c>
      <c r="B195" s="0" t="s">
        <v>301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529</v>
      </c>
      <c r="B196" s="0" t="s">
        <v>301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530</v>
      </c>
      <c r="B197" s="0" t="s">
        <v>301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532</v>
      </c>
      <c r="B198" s="0" t="s">
        <v>301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648</v>
      </c>
      <c r="B199" s="4" t="s">
        <v>346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537</v>
      </c>
      <c r="B200" s="0" t="s">
        <v>403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649</v>
      </c>
      <c r="B201" s="0" t="s">
        <v>46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650</v>
      </c>
      <c r="B202" s="0" t="s">
        <v>46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938</v>
      </c>
    </row>
    <row r="206" customFormat="false" ht="17.15" hidden="false" customHeight="false" outlineLevel="0" collapsed="false">
      <c r="A206" s="5" t="s">
        <v>22</v>
      </c>
      <c r="B206" s="5" t="s">
        <v>23</v>
      </c>
      <c r="C206" s="14" t="s">
        <v>494</v>
      </c>
      <c r="D206" s="14" t="s">
        <v>587</v>
      </c>
      <c r="E206" s="14" t="s">
        <v>588</v>
      </c>
      <c r="F206" s="14" t="s">
        <v>589</v>
      </c>
      <c r="G206" s="14" t="s">
        <v>590</v>
      </c>
      <c r="H206" s="14" t="s">
        <v>591</v>
      </c>
      <c r="I206" s="14" t="s">
        <v>592</v>
      </c>
      <c r="J206" s="14" t="s">
        <v>593</v>
      </c>
      <c r="K206" s="5" t="s">
        <v>557</v>
      </c>
    </row>
    <row r="207" customFormat="false" ht="17.15" hidden="false" customHeight="false" outlineLevel="0" collapsed="false">
      <c r="A207" s="6" t="s">
        <v>609</v>
      </c>
    </row>
    <row r="208" customFormat="false" ht="17.15" hidden="false" customHeight="false" outlineLevel="0" collapsed="false">
      <c r="A208" s="0" t="s">
        <v>610</v>
      </c>
      <c r="B208" s="4" t="s">
        <v>33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611</v>
      </c>
      <c r="B209" s="4" t="s">
        <v>33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561</v>
      </c>
      <c r="B210" s="0" t="s">
        <v>46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612</v>
      </c>
      <c r="B211" s="0" t="s">
        <v>46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563</v>
      </c>
      <c r="B212" s="4" t="s">
        <v>33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613</v>
      </c>
      <c r="B213" s="4" t="s">
        <v>33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614</v>
      </c>
      <c r="B214" s="0" t="s">
        <v>102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615</v>
      </c>
      <c r="B215" s="0" t="s">
        <v>102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616</v>
      </c>
      <c r="B216" s="0" t="s">
        <v>194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617</v>
      </c>
      <c r="B217" s="0" t="s">
        <v>86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618</v>
      </c>
      <c r="B218" s="0" t="s">
        <v>86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619</v>
      </c>
      <c r="B219" s="0" t="s">
        <v>86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620</v>
      </c>
      <c r="B220" s="0" t="s">
        <v>86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621</v>
      </c>
      <c r="B221" s="0" t="s">
        <v>86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622</v>
      </c>
    </row>
    <row r="222" customFormat="false" ht="17.15" hidden="false" customHeight="false" outlineLevel="0" collapsed="false">
      <c r="A222" s="4" t="s">
        <v>623</v>
      </c>
      <c r="B222" s="0" t="s">
        <v>86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624</v>
      </c>
      <c r="B223" s="0" t="s">
        <v>279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625</v>
      </c>
      <c r="B224" s="0" t="s">
        <v>65</v>
      </c>
      <c r="D224" s="20" t="n">
        <f aca="false">dc26/D223</f>
        <v>1.07309401333727</v>
      </c>
      <c r="K224" s="8" t="s">
        <v>626</v>
      </c>
    </row>
    <row r="225" customFormat="false" ht="17.15" hidden="false" customHeight="false" outlineLevel="0" collapsed="false">
      <c r="A225" s="0" t="s">
        <v>627</v>
      </c>
      <c r="B225" s="0" t="s">
        <v>279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628</v>
      </c>
      <c r="B226" s="0" t="s">
        <v>288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629</v>
      </c>
      <c r="B227" s="0" t="s">
        <v>301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630</v>
      </c>
      <c r="B228" s="0" t="s">
        <v>301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631</v>
      </c>
      <c r="B229" s="0" t="s">
        <v>301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632</v>
      </c>
      <c r="B230" s="4" t="s">
        <v>33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633</v>
      </c>
      <c r="B231" s="0" t="s">
        <v>86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634</v>
      </c>
    </row>
    <row r="233" customFormat="false" ht="15" hidden="false" customHeight="false" outlineLevel="0" collapsed="false">
      <c r="A233" s="4" t="s">
        <v>635</v>
      </c>
      <c r="B233" s="0" t="s">
        <v>301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636</v>
      </c>
      <c r="B234" s="0" t="s">
        <v>301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637</v>
      </c>
      <c r="B235" s="0" t="s">
        <v>301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638</v>
      </c>
      <c r="B236" s="0" t="s">
        <v>301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501</v>
      </c>
      <c r="B237" s="0" t="s">
        <v>301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639</v>
      </c>
    </row>
    <row r="238" customFormat="false" ht="15" hidden="false" customHeight="false" outlineLevel="0" collapsed="false">
      <c r="A238" s="4" t="s">
        <v>640</v>
      </c>
      <c r="B238" s="0" t="s">
        <v>46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641</v>
      </c>
      <c r="B239" s="0" t="s">
        <v>46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642</v>
      </c>
      <c r="B240" s="0" t="s">
        <v>46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643</v>
      </c>
    </row>
    <row r="242" customFormat="false" ht="17.15" hidden="false" customHeight="false" outlineLevel="0" collapsed="false">
      <c r="A242" s="0" t="s">
        <v>644</v>
      </c>
      <c r="B242" s="0" t="s">
        <v>301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645</v>
      </c>
      <c r="B243" s="0" t="s">
        <v>46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646</v>
      </c>
    </row>
    <row r="244" customFormat="false" ht="15" hidden="false" customHeight="false" outlineLevel="0" collapsed="false">
      <c r="A244" s="4" t="s">
        <v>517</v>
      </c>
      <c r="B244" s="0" t="s">
        <v>301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520</v>
      </c>
      <c r="B245" s="0" t="s">
        <v>46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647</v>
      </c>
      <c r="B246" s="0" t="s">
        <v>301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524</v>
      </c>
      <c r="B247" s="0" t="s">
        <v>301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598</v>
      </c>
      <c r="B248" s="0" t="s">
        <v>46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526</v>
      </c>
      <c r="B249" s="0" t="s">
        <v>301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528</v>
      </c>
      <c r="B250" s="0" t="s">
        <v>301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529</v>
      </c>
      <c r="B251" s="0" t="s">
        <v>301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530</v>
      </c>
      <c r="B252" s="0" t="s">
        <v>301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532</v>
      </c>
      <c r="B253" s="0" t="s">
        <v>301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648</v>
      </c>
      <c r="B254" s="4" t="s">
        <v>346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537</v>
      </c>
      <c r="B255" s="0" t="s">
        <v>403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649</v>
      </c>
      <c r="B256" s="0" t="s">
        <v>46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650</v>
      </c>
      <c r="B257" s="0" t="s">
        <v>46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939</v>
      </c>
    </row>
    <row r="261" customFormat="false" ht="17.15" hidden="false" customHeight="false" outlineLevel="0" collapsed="false">
      <c r="A261" s="5" t="s">
        <v>22</v>
      </c>
      <c r="B261" s="5" t="s">
        <v>23</v>
      </c>
      <c r="C261" s="14" t="s">
        <v>494</v>
      </c>
      <c r="D261" s="14" t="s">
        <v>587</v>
      </c>
      <c r="E261" s="14" t="s">
        <v>588</v>
      </c>
      <c r="F261" s="14" t="s">
        <v>589</v>
      </c>
      <c r="G261" s="14" t="s">
        <v>590</v>
      </c>
      <c r="H261" s="14" t="s">
        <v>591</v>
      </c>
      <c r="I261" s="14" t="s">
        <v>592</v>
      </c>
      <c r="J261" s="14" t="s">
        <v>593</v>
      </c>
      <c r="K261" s="5" t="s">
        <v>557</v>
      </c>
    </row>
    <row r="262" customFormat="false" ht="17.15" hidden="false" customHeight="false" outlineLevel="0" collapsed="false">
      <c r="A262" s="6" t="s">
        <v>609</v>
      </c>
    </row>
    <row r="263" customFormat="false" ht="17.15" hidden="false" customHeight="false" outlineLevel="0" collapsed="false">
      <c r="A263" s="0" t="s">
        <v>610</v>
      </c>
      <c r="B263" s="4" t="s">
        <v>33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611</v>
      </c>
      <c r="B264" s="4" t="s">
        <v>33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561</v>
      </c>
      <c r="B265" s="0" t="s">
        <v>46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612</v>
      </c>
      <c r="B266" s="0" t="s">
        <v>46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563</v>
      </c>
      <c r="B267" s="4" t="s">
        <v>33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613</v>
      </c>
      <c r="B268" s="4" t="s">
        <v>33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614</v>
      </c>
      <c r="B269" s="0" t="s">
        <v>102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615</v>
      </c>
      <c r="B270" s="0" t="s">
        <v>102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616</v>
      </c>
      <c r="B271" s="0" t="s">
        <v>194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617</v>
      </c>
      <c r="B272" s="0" t="s">
        <v>86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618</v>
      </c>
      <c r="B273" s="0" t="s">
        <v>86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619</v>
      </c>
      <c r="B274" s="0" t="s">
        <v>86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620</v>
      </c>
      <c r="B275" s="0" t="s">
        <v>86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621</v>
      </c>
      <c r="B276" s="0" t="s">
        <v>86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622</v>
      </c>
    </row>
    <row r="277" customFormat="false" ht="17.15" hidden="false" customHeight="false" outlineLevel="0" collapsed="false">
      <c r="A277" s="4" t="s">
        <v>623</v>
      </c>
      <c r="B277" s="0" t="s">
        <v>86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624</v>
      </c>
      <c r="B278" s="0" t="s">
        <v>279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625</v>
      </c>
      <c r="B279" s="0" t="s">
        <v>65</v>
      </c>
      <c r="D279" s="20" t="n">
        <f aca="false">dc26/D278</f>
        <v>1.07309401333727</v>
      </c>
      <c r="K279" s="8" t="s">
        <v>626</v>
      </c>
    </row>
    <row r="280" customFormat="false" ht="17.15" hidden="false" customHeight="false" outlineLevel="0" collapsed="false">
      <c r="A280" s="0" t="s">
        <v>627</v>
      </c>
      <c r="B280" s="0" t="s">
        <v>279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628</v>
      </c>
      <c r="B281" s="0" t="s">
        <v>288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629</v>
      </c>
      <c r="B282" s="0" t="s">
        <v>301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630</v>
      </c>
      <c r="B283" s="0" t="s">
        <v>301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631</v>
      </c>
      <c r="B284" s="0" t="s">
        <v>301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632</v>
      </c>
      <c r="B285" s="4" t="s">
        <v>33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633</v>
      </c>
      <c r="B286" s="0" t="s">
        <v>86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634</v>
      </c>
    </row>
    <row r="288" customFormat="false" ht="15" hidden="false" customHeight="false" outlineLevel="0" collapsed="false">
      <c r="A288" s="4" t="s">
        <v>635</v>
      </c>
      <c r="B288" s="0" t="s">
        <v>301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636</v>
      </c>
      <c r="B289" s="0" t="s">
        <v>301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637</v>
      </c>
      <c r="B290" s="0" t="s">
        <v>301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638</v>
      </c>
      <c r="B291" s="0" t="s">
        <v>301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501</v>
      </c>
      <c r="B292" s="0" t="s">
        <v>301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639</v>
      </c>
    </row>
    <row r="293" customFormat="false" ht="15" hidden="false" customHeight="false" outlineLevel="0" collapsed="false">
      <c r="A293" s="4" t="s">
        <v>640</v>
      </c>
      <c r="B293" s="0" t="s">
        <v>46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641</v>
      </c>
      <c r="B294" s="0" t="s">
        <v>46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642</v>
      </c>
      <c r="B295" s="0" t="s">
        <v>46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643</v>
      </c>
    </row>
    <row r="297" customFormat="false" ht="17.15" hidden="false" customHeight="false" outlineLevel="0" collapsed="false">
      <c r="A297" s="0" t="s">
        <v>644</v>
      </c>
      <c r="B297" s="0" t="s">
        <v>301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645</v>
      </c>
      <c r="B298" s="0" t="s">
        <v>46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646</v>
      </c>
    </row>
    <row r="299" customFormat="false" ht="15" hidden="false" customHeight="false" outlineLevel="0" collapsed="false">
      <c r="A299" s="4" t="s">
        <v>517</v>
      </c>
      <c r="B299" s="0" t="s">
        <v>301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520</v>
      </c>
      <c r="B300" s="0" t="s">
        <v>46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647</v>
      </c>
      <c r="B301" s="0" t="s">
        <v>301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524</v>
      </c>
      <c r="B302" s="0" t="s">
        <v>301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598</v>
      </c>
      <c r="B303" s="0" t="s">
        <v>46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526</v>
      </c>
      <c r="B304" s="0" t="s">
        <v>301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528</v>
      </c>
      <c r="B305" s="0" t="s">
        <v>301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529</v>
      </c>
      <c r="B306" s="0" t="s">
        <v>301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530</v>
      </c>
      <c r="B307" s="0" t="s">
        <v>301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532</v>
      </c>
      <c r="B308" s="0" t="s">
        <v>301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648</v>
      </c>
      <c r="B309" s="4" t="s">
        <v>346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537</v>
      </c>
      <c r="B310" s="0" t="s">
        <v>403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649</v>
      </c>
      <c r="B311" s="0" t="s">
        <v>46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650</v>
      </c>
      <c r="B312" s="0" t="s">
        <v>46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940</v>
      </c>
    </row>
    <row r="316" customFormat="false" ht="17.15" hidden="false" customHeight="false" outlineLevel="0" collapsed="false">
      <c r="A316" s="5" t="s">
        <v>22</v>
      </c>
      <c r="B316" s="5" t="s">
        <v>23</v>
      </c>
      <c r="C316" s="14" t="s">
        <v>494</v>
      </c>
      <c r="D316" s="14" t="s">
        <v>587</v>
      </c>
      <c r="E316" s="14" t="s">
        <v>588</v>
      </c>
      <c r="F316" s="14" t="s">
        <v>589</v>
      </c>
      <c r="G316" s="14" t="s">
        <v>590</v>
      </c>
      <c r="H316" s="14" t="s">
        <v>591</v>
      </c>
      <c r="I316" s="14" t="s">
        <v>592</v>
      </c>
      <c r="J316" s="14" t="s">
        <v>593</v>
      </c>
      <c r="K316" s="5" t="s">
        <v>557</v>
      </c>
    </row>
    <row r="317" customFormat="false" ht="17.15" hidden="false" customHeight="false" outlineLevel="0" collapsed="false">
      <c r="A317" s="6" t="s">
        <v>609</v>
      </c>
    </row>
    <row r="318" customFormat="false" ht="17.15" hidden="false" customHeight="false" outlineLevel="0" collapsed="false">
      <c r="A318" s="0" t="s">
        <v>610</v>
      </c>
      <c r="B318" s="4" t="s">
        <v>33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611</v>
      </c>
      <c r="B319" s="4" t="s">
        <v>33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561</v>
      </c>
      <c r="B320" s="0" t="s">
        <v>46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612</v>
      </c>
      <c r="B321" s="0" t="s">
        <v>46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563</v>
      </c>
      <c r="B322" s="4" t="s">
        <v>33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613</v>
      </c>
      <c r="B323" s="4" t="s">
        <v>33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614</v>
      </c>
      <c r="B324" s="0" t="s">
        <v>102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615</v>
      </c>
      <c r="B325" s="0" t="s">
        <v>102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616</v>
      </c>
      <c r="B326" s="0" t="s">
        <v>194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617</v>
      </c>
      <c r="B327" s="0" t="s">
        <v>86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618</v>
      </c>
      <c r="B328" s="0" t="s">
        <v>86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619</v>
      </c>
      <c r="B329" s="0" t="s">
        <v>86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620</v>
      </c>
      <c r="B330" s="0" t="s">
        <v>86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621</v>
      </c>
      <c r="B331" s="0" t="s">
        <v>86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622</v>
      </c>
    </row>
    <row r="332" customFormat="false" ht="17.15" hidden="false" customHeight="false" outlineLevel="0" collapsed="false">
      <c r="A332" s="4" t="s">
        <v>623</v>
      </c>
      <c r="B332" s="0" t="s">
        <v>86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624</v>
      </c>
      <c r="B333" s="0" t="s">
        <v>279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625</v>
      </c>
      <c r="B334" s="0" t="s">
        <v>65</v>
      </c>
      <c r="D334" s="20" t="n">
        <f aca="false">dc26/D333</f>
        <v>1.07309401333727</v>
      </c>
      <c r="K334" s="8" t="s">
        <v>626</v>
      </c>
    </row>
    <row r="335" customFormat="false" ht="17.15" hidden="false" customHeight="false" outlineLevel="0" collapsed="false">
      <c r="A335" s="0" t="s">
        <v>627</v>
      </c>
      <c r="B335" s="0" t="s">
        <v>279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628</v>
      </c>
      <c r="B336" s="0" t="s">
        <v>288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629</v>
      </c>
      <c r="B337" s="0" t="s">
        <v>301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630</v>
      </c>
      <c r="B338" s="0" t="s">
        <v>301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631</v>
      </c>
      <c r="B339" s="0" t="s">
        <v>301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632</v>
      </c>
      <c r="B340" s="4" t="s">
        <v>33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633</v>
      </c>
      <c r="B341" s="0" t="s">
        <v>86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634</v>
      </c>
    </row>
    <row r="343" customFormat="false" ht="15" hidden="false" customHeight="false" outlineLevel="0" collapsed="false">
      <c r="A343" s="4" t="s">
        <v>635</v>
      </c>
      <c r="B343" s="0" t="s">
        <v>301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636</v>
      </c>
      <c r="B344" s="0" t="s">
        <v>301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637</v>
      </c>
      <c r="B345" s="0" t="s">
        <v>301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638</v>
      </c>
      <c r="B346" s="0" t="s">
        <v>301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501</v>
      </c>
      <c r="B347" s="0" t="s">
        <v>301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639</v>
      </c>
    </row>
    <row r="348" customFormat="false" ht="15" hidden="false" customHeight="false" outlineLevel="0" collapsed="false">
      <c r="A348" s="4" t="s">
        <v>640</v>
      </c>
      <c r="B348" s="0" t="s">
        <v>46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641</v>
      </c>
      <c r="B349" s="0" t="s">
        <v>46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642</v>
      </c>
      <c r="B350" s="0" t="s">
        <v>46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643</v>
      </c>
    </row>
    <row r="352" customFormat="false" ht="17.15" hidden="false" customHeight="false" outlineLevel="0" collapsed="false">
      <c r="A352" s="0" t="s">
        <v>644</v>
      </c>
      <c r="B352" s="0" t="s">
        <v>301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645</v>
      </c>
      <c r="B353" s="0" t="s">
        <v>46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646</v>
      </c>
    </row>
    <row r="354" customFormat="false" ht="15" hidden="false" customHeight="false" outlineLevel="0" collapsed="false">
      <c r="A354" s="4" t="s">
        <v>517</v>
      </c>
      <c r="B354" s="0" t="s">
        <v>301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520</v>
      </c>
      <c r="B355" s="0" t="s">
        <v>46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647</v>
      </c>
      <c r="B356" s="0" t="s">
        <v>301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524</v>
      </c>
      <c r="B357" s="0" t="s">
        <v>301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598</v>
      </c>
      <c r="B358" s="0" t="s">
        <v>46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526</v>
      </c>
      <c r="B359" s="0" t="s">
        <v>301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528</v>
      </c>
      <c r="B360" s="0" t="s">
        <v>301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529</v>
      </c>
      <c r="B361" s="0" t="s">
        <v>301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530</v>
      </c>
      <c r="B362" s="0" t="s">
        <v>301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532</v>
      </c>
      <c r="B363" s="0" t="s">
        <v>301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648</v>
      </c>
      <c r="B364" s="4" t="s">
        <v>346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537</v>
      </c>
      <c r="B365" s="0" t="s">
        <v>403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649</v>
      </c>
      <c r="B366" s="0" t="s">
        <v>46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650</v>
      </c>
      <c r="B367" s="0" t="s">
        <v>46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941</v>
      </c>
    </row>
    <row r="371" customFormat="false" ht="17.15" hidden="false" customHeight="false" outlineLevel="0" collapsed="false">
      <c r="A371" s="5" t="s">
        <v>22</v>
      </c>
      <c r="B371" s="5" t="s">
        <v>23</v>
      </c>
      <c r="C371" s="14" t="s">
        <v>494</v>
      </c>
      <c r="D371" s="14" t="s">
        <v>587</v>
      </c>
      <c r="E371" s="14" t="s">
        <v>588</v>
      </c>
      <c r="F371" s="14" t="s">
        <v>589</v>
      </c>
      <c r="G371" s="14" t="s">
        <v>590</v>
      </c>
      <c r="H371" s="14" t="s">
        <v>591</v>
      </c>
      <c r="I371" s="14" t="s">
        <v>592</v>
      </c>
      <c r="J371" s="14" t="s">
        <v>593</v>
      </c>
      <c r="K371" s="5" t="s">
        <v>557</v>
      </c>
    </row>
    <row r="372" customFormat="false" ht="17.15" hidden="false" customHeight="false" outlineLevel="0" collapsed="false">
      <c r="A372" s="6" t="s">
        <v>609</v>
      </c>
    </row>
    <row r="373" customFormat="false" ht="17.15" hidden="false" customHeight="false" outlineLevel="0" collapsed="false">
      <c r="A373" s="0" t="s">
        <v>610</v>
      </c>
      <c r="B373" s="4" t="s">
        <v>33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611</v>
      </c>
      <c r="B374" s="4" t="s">
        <v>33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561</v>
      </c>
      <c r="B375" s="0" t="s">
        <v>46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612</v>
      </c>
      <c r="B376" s="0" t="s">
        <v>46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563</v>
      </c>
      <c r="B377" s="4" t="s">
        <v>33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613</v>
      </c>
      <c r="B378" s="4" t="s">
        <v>33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614</v>
      </c>
      <c r="B379" s="0" t="s">
        <v>102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615</v>
      </c>
      <c r="B380" s="0" t="s">
        <v>102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616</v>
      </c>
      <c r="B381" s="0" t="s">
        <v>194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617</v>
      </c>
      <c r="B382" s="0" t="s">
        <v>86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618</v>
      </c>
      <c r="B383" s="0" t="s">
        <v>86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619</v>
      </c>
      <c r="B384" s="0" t="s">
        <v>86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620</v>
      </c>
      <c r="B385" s="0" t="s">
        <v>86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621</v>
      </c>
      <c r="B386" s="0" t="s">
        <v>86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622</v>
      </c>
    </row>
    <row r="387" customFormat="false" ht="17.15" hidden="false" customHeight="false" outlineLevel="0" collapsed="false">
      <c r="A387" s="4" t="s">
        <v>623</v>
      </c>
      <c r="B387" s="0" t="s">
        <v>86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624</v>
      </c>
      <c r="B388" s="0" t="s">
        <v>279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625</v>
      </c>
      <c r="B389" s="0" t="s">
        <v>65</v>
      </c>
      <c r="D389" s="20" t="n">
        <f aca="false">dc26/D388</f>
        <v>1.07309401333727</v>
      </c>
      <c r="K389" s="8" t="s">
        <v>626</v>
      </c>
    </row>
    <row r="390" customFormat="false" ht="17.15" hidden="false" customHeight="false" outlineLevel="0" collapsed="false">
      <c r="A390" s="0" t="s">
        <v>627</v>
      </c>
      <c r="B390" s="0" t="s">
        <v>279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628</v>
      </c>
      <c r="B391" s="0" t="s">
        <v>288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629</v>
      </c>
      <c r="B392" s="0" t="s">
        <v>301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630</v>
      </c>
      <c r="B393" s="0" t="s">
        <v>301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631</v>
      </c>
      <c r="B394" s="0" t="s">
        <v>301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632</v>
      </c>
      <c r="B395" s="4" t="s">
        <v>33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633</v>
      </c>
      <c r="B396" s="0" t="s">
        <v>86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634</v>
      </c>
    </row>
    <row r="398" customFormat="false" ht="15" hidden="false" customHeight="false" outlineLevel="0" collapsed="false">
      <c r="A398" s="4" t="s">
        <v>635</v>
      </c>
      <c r="B398" s="0" t="s">
        <v>301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636</v>
      </c>
      <c r="B399" s="0" t="s">
        <v>301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637</v>
      </c>
      <c r="B400" s="0" t="s">
        <v>301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638</v>
      </c>
      <c r="B401" s="0" t="s">
        <v>301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501</v>
      </c>
      <c r="B402" s="0" t="s">
        <v>301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639</v>
      </c>
    </row>
    <row r="403" customFormat="false" ht="15" hidden="false" customHeight="false" outlineLevel="0" collapsed="false">
      <c r="A403" s="4" t="s">
        <v>640</v>
      </c>
      <c r="B403" s="0" t="s">
        <v>46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641</v>
      </c>
      <c r="B404" s="0" t="s">
        <v>46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642</v>
      </c>
      <c r="B405" s="0" t="s">
        <v>46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643</v>
      </c>
    </row>
    <row r="407" customFormat="false" ht="17.15" hidden="false" customHeight="false" outlineLevel="0" collapsed="false">
      <c r="A407" s="0" t="s">
        <v>644</v>
      </c>
      <c r="B407" s="0" t="s">
        <v>301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645</v>
      </c>
      <c r="B408" s="0" t="s">
        <v>46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646</v>
      </c>
    </row>
    <row r="409" customFormat="false" ht="15" hidden="false" customHeight="false" outlineLevel="0" collapsed="false">
      <c r="A409" s="4" t="s">
        <v>517</v>
      </c>
      <c r="B409" s="0" t="s">
        <v>301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520</v>
      </c>
      <c r="B410" s="0" t="s">
        <v>46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647</v>
      </c>
      <c r="B411" s="0" t="s">
        <v>301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524</v>
      </c>
      <c r="B412" s="0" t="s">
        <v>301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598</v>
      </c>
      <c r="B413" s="0" t="s">
        <v>46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526</v>
      </c>
      <c r="B414" s="0" t="s">
        <v>301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528</v>
      </c>
      <c r="B415" s="0" t="s">
        <v>301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529</v>
      </c>
      <c r="B416" s="0" t="s">
        <v>301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530</v>
      </c>
      <c r="B417" s="0" t="s">
        <v>301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532</v>
      </c>
      <c r="B418" s="0" t="s">
        <v>301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648</v>
      </c>
      <c r="B419" s="4" t="s">
        <v>346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537</v>
      </c>
      <c r="B420" s="0" t="s">
        <v>403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649</v>
      </c>
      <c r="B421" s="0" t="s">
        <v>46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650</v>
      </c>
      <c r="B422" s="0" t="s">
        <v>46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942</v>
      </c>
    </row>
    <row r="426" customFormat="false" ht="17.15" hidden="false" customHeight="false" outlineLevel="0" collapsed="false">
      <c r="A426" s="5" t="s">
        <v>22</v>
      </c>
      <c r="B426" s="5" t="s">
        <v>23</v>
      </c>
      <c r="C426" s="14" t="s">
        <v>494</v>
      </c>
      <c r="D426" s="14" t="s">
        <v>587</v>
      </c>
      <c r="E426" s="14" t="s">
        <v>588</v>
      </c>
      <c r="F426" s="14" t="s">
        <v>589</v>
      </c>
      <c r="G426" s="14" t="s">
        <v>590</v>
      </c>
      <c r="H426" s="14" t="s">
        <v>591</v>
      </c>
      <c r="I426" s="14" t="s">
        <v>592</v>
      </c>
      <c r="J426" s="14" t="s">
        <v>593</v>
      </c>
      <c r="K426" s="5" t="s">
        <v>557</v>
      </c>
    </row>
    <row r="427" customFormat="false" ht="17.15" hidden="false" customHeight="false" outlineLevel="0" collapsed="false">
      <c r="A427" s="6" t="s">
        <v>609</v>
      </c>
    </row>
    <row r="428" customFormat="false" ht="17.15" hidden="false" customHeight="false" outlineLevel="0" collapsed="false">
      <c r="A428" s="0" t="s">
        <v>610</v>
      </c>
      <c r="B428" s="4" t="s">
        <v>33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611</v>
      </c>
      <c r="B429" s="4" t="s">
        <v>33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561</v>
      </c>
      <c r="B430" s="0" t="s">
        <v>46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612</v>
      </c>
      <c r="B431" s="0" t="s">
        <v>46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563</v>
      </c>
      <c r="B432" s="4" t="s">
        <v>33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613</v>
      </c>
      <c r="B433" s="4" t="s">
        <v>33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614</v>
      </c>
      <c r="B434" s="0" t="s">
        <v>102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615</v>
      </c>
      <c r="B435" s="0" t="s">
        <v>102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616</v>
      </c>
      <c r="B436" s="0" t="s">
        <v>194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617</v>
      </c>
      <c r="B437" s="0" t="s">
        <v>86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618</v>
      </c>
      <c r="B438" s="0" t="s">
        <v>86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619</v>
      </c>
      <c r="B439" s="0" t="s">
        <v>86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620</v>
      </c>
      <c r="B440" s="0" t="s">
        <v>86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621</v>
      </c>
      <c r="B441" s="0" t="s">
        <v>86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622</v>
      </c>
    </row>
    <row r="442" customFormat="false" ht="17.15" hidden="false" customHeight="false" outlineLevel="0" collapsed="false">
      <c r="A442" s="4" t="s">
        <v>623</v>
      </c>
      <c r="B442" s="0" t="s">
        <v>86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624</v>
      </c>
      <c r="B443" s="0" t="s">
        <v>279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625</v>
      </c>
      <c r="B444" s="0" t="s">
        <v>65</v>
      </c>
      <c r="D444" s="20" t="n">
        <f aca="false">dc26/D443</f>
        <v>1.17516767292357</v>
      </c>
      <c r="K444" s="8" t="s">
        <v>626</v>
      </c>
    </row>
    <row r="445" customFormat="false" ht="17.15" hidden="false" customHeight="false" outlineLevel="0" collapsed="false">
      <c r="A445" s="0" t="s">
        <v>627</v>
      </c>
      <c r="B445" s="0" t="s">
        <v>279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628</v>
      </c>
      <c r="B446" s="0" t="s">
        <v>288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629</v>
      </c>
      <c r="B447" s="0" t="s">
        <v>301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630</v>
      </c>
      <c r="B448" s="0" t="s">
        <v>301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631</v>
      </c>
      <c r="B449" s="0" t="s">
        <v>301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632</v>
      </c>
      <c r="B450" s="4" t="s">
        <v>33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633</v>
      </c>
      <c r="B451" s="0" t="s">
        <v>86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634</v>
      </c>
    </row>
    <row r="453" customFormat="false" ht="15" hidden="false" customHeight="false" outlineLevel="0" collapsed="false">
      <c r="A453" s="4" t="s">
        <v>635</v>
      </c>
      <c r="B453" s="0" t="s">
        <v>301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636</v>
      </c>
      <c r="B454" s="0" t="s">
        <v>301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637</v>
      </c>
      <c r="B455" s="0" t="s">
        <v>301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638</v>
      </c>
      <c r="B456" s="0" t="s">
        <v>301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501</v>
      </c>
      <c r="B457" s="0" t="s">
        <v>301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639</v>
      </c>
    </row>
    <row r="458" customFormat="false" ht="15" hidden="false" customHeight="false" outlineLevel="0" collapsed="false">
      <c r="A458" s="4" t="s">
        <v>640</v>
      </c>
      <c r="B458" s="0" t="s">
        <v>46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641</v>
      </c>
      <c r="B459" s="0" t="s">
        <v>46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642</v>
      </c>
      <c r="B460" s="0" t="s">
        <v>46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643</v>
      </c>
    </row>
    <row r="462" customFormat="false" ht="17.15" hidden="false" customHeight="false" outlineLevel="0" collapsed="false">
      <c r="A462" s="0" t="s">
        <v>644</v>
      </c>
      <c r="B462" s="0" t="s">
        <v>301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645</v>
      </c>
      <c r="B463" s="0" t="s">
        <v>46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646</v>
      </c>
    </row>
    <row r="464" customFormat="false" ht="15" hidden="false" customHeight="false" outlineLevel="0" collapsed="false">
      <c r="A464" s="4" t="s">
        <v>517</v>
      </c>
      <c r="B464" s="0" t="s">
        <v>301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520</v>
      </c>
      <c r="B465" s="0" t="s">
        <v>46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647</v>
      </c>
      <c r="B466" s="0" t="s">
        <v>301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524</v>
      </c>
      <c r="B467" s="0" t="s">
        <v>301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598</v>
      </c>
      <c r="B468" s="0" t="s">
        <v>46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526</v>
      </c>
      <c r="B469" s="0" t="s">
        <v>301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528</v>
      </c>
      <c r="B470" s="0" t="s">
        <v>301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529</v>
      </c>
      <c r="B471" s="0" t="s">
        <v>301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530</v>
      </c>
      <c r="B472" s="0" t="s">
        <v>301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532</v>
      </c>
      <c r="B473" s="0" t="s">
        <v>301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648</v>
      </c>
      <c r="B474" s="4" t="s">
        <v>346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537</v>
      </c>
      <c r="B475" s="0" t="s">
        <v>403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649</v>
      </c>
      <c r="B476" s="0" t="s">
        <v>46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650</v>
      </c>
      <c r="B477" s="0" t="s">
        <v>46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943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494</v>
      </c>
      <c r="D481" s="14" t="s">
        <v>587</v>
      </c>
      <c r="E481" s="14" t="s">
        <v>588</v>
      </c>
      <c r="F481" s="14" t="s">
        <v>589</v>
      </c>
      <c r="G481" s="14" t="s">
        <v>590</v>
      </c>
      <c r="H481" s="14" t="s">
        <v>591</v>
      </c>
      <c r="I481" s="14" t="s">
        <v>592</v>
      </c>
      <c r="J481" s="14" t="s">
        <v>593</v>
      </c>
      <c r="K481" s="5" t="s">
        <v>557</v>
      </c>
    </row>
    <row r="482" customFormat="false" ht="17.15" hidden="false" customHeight="false" outlineLevel="0" collapsed="false">
      <c r="A482" s="6" t="s">
        <v>609</v>
      </c>
    </row>
    <row r="483" customFormat="false" ht="17.15" hidden="false" customHeight="false" outlineLevel="0" collapsed="false">
      <c r="A483" s="0" t="s">
        <v>610</v>
      </c>
      <c r="B483" s="4" t="s">
        <v>33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611</v>
      </c>
      <c r="B484" s="4" t="s">
        <v>33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561</v>
      </c>
      <c r="B485" s="0" t="s">
        <v>46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612</v>
      </c>
      <c r="B486" s="0" t="s">
        <v>46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563</v>
      </c>
      <c r="B487" s="4" t="s">
        <v>33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613</v>
      </c>
      <c r="B488" s="4" t="s">
        <v>33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614</v>
      </c>
      <c r="B489" s="0" t="s">
        <v>102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615</v>
      </c>
      <c r="B490" s="0" t="s">
        <v>102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616</v>
      </c>
      <c r="B491" s="0" t="s">
        <v>194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617</v>
      </c>
      <c r="B492" s="0" t="s">
        <v>86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618</v>
      </c>
      <c r="B493" s="0" t="s">
        <v>86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619</v>
      </c>
      <c r="B494" s="0" t="s">
        <v>86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620</v>
      </c>
      <c r="B495" s="0" t="s">
        <v>86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621</v>
      </c>
      <c r="B496" s="0" t="s">
        <v>86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622</v>
      </c>
    </row>
    <row r="497" customFormat="false" ht="17.15" hidden="false" customHeight="false" outlineLevel="0" collapsed="false">
      <c r="A497" s="4" t="s">
        <v>623</v>
      </c>
      <c r="B497" s="0" t="s">
        <v>86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624</v>
      </c>
      <c r="B498" s="0" t="s">
        <v>279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625</v>
      </c>
      <c r="B499" s="0" t="s">
        <v>65</v>
      </c>
      <c r="D499" s="20" t="n">
        <f aca="false">dc26/D498</f>
        <v>0.961716009109374</v>
      </c>
      <c r="K499" s="8" t="s">
        <v>626</v>
      </c>
    </row>
    <row r="500" customFormat="false" ht="17.15" hidden="false" customHeight="false" outlineLevel="0" collapsed="false">
      <c r="A500" s="0" t="s">
        <v>627</v>
      </c>
      <c r="B500" s="0" t="s">
        <v>279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628</v>
      </c>
      <c r="B501" s="0" t="s">
        <v>288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629</v>
      </c>
      <c r="B502" s="0" t="s">
        <v>301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630</v>
      </c>
      <c r="B503" s="0" t="s">
        <v>301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631</v>
      </c>
      <c r="B504" s="0" t="s">
        <v>301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632</v>
      </c>
      <c r="B505" s="4" t="s">
        <v>33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633</v>
      </c>
      <c r="B506" s="0" t="s">
        <v>86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634</v>
      </c>
    </row>
    <row r="508" customFormat="false" ht="15" hidden="false" customHeight="false" outlineLevel="0" collapsed="false">
      <c r="A508" s="4" t="s">
        <v>635</v>
      </c>
      <c r="B508" s="0" t="s">
        <v>301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636</v>
      </c>
      <c r="B509" s="0" t="s">
        <v>301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637</v>
      </c>
      <c r="B510" s="0" t="s">
        <v>301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638</v>
      </c>
      <c r="B511" s="0" t="s">
        <v>301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501</v>
      </c>
      <c r="B512" s="0" t="s">
        <v>301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639</v>
      </c>
    </row>
    <row r="513" customFormat="false" ht="15" hidden="false" customHeight="false" outlineLevel="0" collapsed="false">
      <c r="A513" s="4" t="s">
        <v>640</v>
      </c>
      <c r="B513" s="0" t="s">
        <v>46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641</v>
      </c>
      <c r="B514" s="0" t="s">
        <v>46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642</v>
      </c>
      <c r="B515" s="0" t="s">
        <v>46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643</v>
      </c>
    </row>
    <row r="517" customFormat="false" ht="17.15" hidden="false" customHeight="false" outlineLevel="0" collapsed="false">
      <c r="A517" s="0" t="s">
        <v>644</v>
      </c>
      <c r="B517" s="0" t="s">
        <v>301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645</v>
      </c>
      <c r="B518" s="0" t="s">
        <v>46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646</v>
      </c>
    </row>
    <row r="519" customFormat="false" ht="15" hidden="false" customHeight="false" outlineLevel="0" collapsed="false">
      <c r="A519" s="4" t="s">
        <v>517</v>
      </c>
      <c r="B519" s="0" t="s">
        <v>301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520</v>
      </c>
      <c r="B520" s="0" t="s">
        <v>46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647</v>
      </c>
      <c r="B521" s="0" t="s">
        <v>301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524</v>
      </c>
      <c r="B522" s="0" t="s">
        <v>301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598</v>
      </c>
      <c r="B523" s="0" t="s">
        <v>46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526</v>
      </c>
      <c r="B524" s="0" t="s">
        <v>301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528</v>
      </c>
      <c r="B525" s="0" t="s">
        <v>301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529</v>
      </c>
      <c r="B526" s="0" t="s">
        <v>301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530</v>
      </c>
      <c r="B527" s="0" t="s">
        <v>301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532</v>
      </c>
      <c r="B528" s="0" t="s">
        <v>301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648</v>
      </c>
      <c r="B529" s="4" t="s">
        <v>346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537</v>
      </c>
      <c r="B530" s="0" t="s">
        <v>403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649</v>
      </c>
      <c r="B531" s="0" t="s">
        <v>46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650</v>
      </c>
      <c r="B532" s="0" t="s">
        <v>46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944</v>
      </c>
    </row>
    <row r="536" customFormat="false" ht="17.15" hidden="false" customHeight="false" outlineLevel="0" collapsed="false">
      <c r="A536" s="5" t="s">
        <v>22</v>
      </c>
      <c r="B536" s="5" t="s">
        <v>23</v>
      </c>
      <c r="C536" s="14" t="s">
        <v>494</v>
      </c>
      <c r="D536" s="14" t="s">
        <v>587</v>
      </c>
      <c r="E536" s="14" t="s">
        <v>588</v>
      </c>
      <c r="F536" s="14" t="s">
        <v>589</v>
      </c>
      <c r="G536" s="14" t="s">
        <v>590</v>
      </c>
      <c r="H536" s="14" t="s">
        <v>591</v>
      </c>
      <c r="I536" s="14" t="s">
        <v>592</v>
      </c>
      <c r="J536" s="14" t="s">
        <v>593</v>
      </c>
      <c r="K536" s="5" t="s">
        <v>557</v>
      </c>
    </row>
    <row r="537" customFormat="false" ht="17.15" hidden="false" customHeight="false" outlineLevel="0" collapsed="false">
      <c r="A537" s="6" t="s">
        <v>609</v>
      </c>
    </row>
    <row r="538" customFormat="false" ht="17.15" hidden="false" customHeight="false" outlineLevel="0" collapsed="false">
      <c r="A538" s="0" t="s">
        <v>610</v>
      </c>
      <c r="B538" s="4" t="s">
        <v>33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611</v>
      </c>
      <c r="B539" s="4" t="s">
        <v>33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561</v>
      </c>
      <c r="B540" s="0" t="s">
        <v>46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612</v>
      </c>
      <c r="B541" s="0" t="s">
        <v>46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563</v>
      </c>
      <c r="B542" s="4" t="s">
        <v>33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613</v>
      </c>
      <c r="B543" s="4" t="s">
        <v>33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614</v>
      </c>
      <c r="B544" s="0" t="s">
        <v>102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615</v>
      </c>
      <c r="B545" s="0" t="s">
        <v>102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616</v>
      </c>
      <c r="B546" s="0" t="s">
        <v>194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617</v>
      </c>
      <c r="B547" s="0" t="s">
        <v>86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618</v>
      </c>
      <c r="B548" s="0" t="s">
        <v>86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619</v>
      </c>
      <c r="B549" s="0" t="s">
        <v>86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620</v>
      </c>
      <c r="B550" s="0" t="s">
        <v>86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621</v>
      </c>
      <c r="B551" s="0" t="s">
        <v>86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622</v>
      </c>
    </row>
    <row r="552" customFormat="false" ht="17.15" hidden="false" customHeight="false" outlineLevel="0" collapsed="false">
      <c r="A552" s="4" t="s">
        <v>623</v>
      </c>
      <c r="B552" s="0" t="s">
        <v>86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624</v>
      </c>
      <c r="B553" s="0" t="s">
        <v>279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625</v>
      </c>
      <c r="B554" s="0" t="s">
        <v>65</v>
      </c>
      <c r="D554" s="20" t="n">
        <f aca="false">dc26/D553</f>
        <v>1.07309401333727</v>
      </c>
      <c r="K554" s="8" t="s">
        <v>626</v>
      </c>
    </row>
    <row r="555" customFormat="false" ht="17.15" hidden="false" customHeight="false" outlineLevel="0" collapsed="false">
      <c r="A555" s="0" t="s">
        <v>627</v>
      </c>
      <c r="B555" s="0" t="s">
        <v>279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628</v>
      </c>
      <c r="B556" s="0" t="s">
        <v>288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629</v>
      </c>
      <c r="B557" s="0" t="s">
        <v>301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630</v>
      </c>
      <c r="B558" s="0" t="s">
        <v>301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631</v>
      </c>
      <c r="B559" s="0" t="s">
        <v>301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632</v>
      </c>
      <c r="B560" s="4" t="s">
        <v>33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633</v>
      </c>
      <c r="B561" s="0" t="s">
        <v>86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634</v>
      </c>
    </row>
    <row r="563" customFormat="false" ht="15" hidden="false" customHeight="false" outlineLevel="0" collapsed="false">
      <c r="A563" s="4" t="s">
        <v>635</v>
      </c>
      <c r="B563" s="0" t="s">
        <v>301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636</v>
      </c>
      <c r="B564" s="0" t="s">
        <v>301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637</v>
      </c>
      <c r="B565" s="0" t="s">
        <v>301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638</v>
      </c>
      <c r="B566" s="0" t="s">
        <v>301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501</v>
      </c>
      <c r="B567" s="0" t="s">
        <v>301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639</v>
      </c>
    </row>
    <row r="568" customFormat="false" ht="15" hidden="false" customHeight="false" outlineLevel="0" collapsed="false">
      <c r="A568" s="4" t="s">
        <v>640</v>
      </c>
      <c r="B568" s="0" t="s">
        <v>46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641</v>
      </c>
      <c r="B569" s="0" t="s">
        <v>46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642</v>
      </c>
      <c r="B570" s="0" t="s">
        <v>46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643</v>
      </c>
    </row>
    <row r="572" customFormat="false" ht="17.15" hidden="false" customHeight="false" outlineLevel="0" collapsed="false">
      <c r="A572" s="0" t="s">
        <v>644</v>
      </c>
      <c r="B572" s="0" t="s">
        <v>301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645</v>
      </c>
      <c r="B573" s="0" t="s">
        <v>46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646</v>
      </c>
    </row>
    <row r="574" customFormat="false" ht="15" hidden="false" customHeight="false" outlineLevel="0" collapsed="false">
      <c r="A574" s="4" t="s">
        <v>517</v>
      </c>
      <c r="B574" s="0" t="s">
        <v>301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520</v>
      </c>
      <c r="B575" s="0" t="s">
        <v>46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647</v>
      </c>
      <c r="B576" s="0" t="s">
        <v>301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524</v>
      </c>
      <c r="B577" s="0" t="s">
        <v>301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598</v>
      </c>
      <c r="B578" s="0" t="s">
        <v>46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526</v>
      </c>
      <c r="B579" s="0" t="s">
        <v>301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528</v>
      </c>
      <c r="B580" s="0" t="s">
        <v>301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529</v>
      </c>
      <c r="B581" s="0" t="s">
        <v>301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530</v>
      </c>
      <c r="B582" s="0" t="s">
        <v>301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532</v>
      </c>
      <c r="B583" s="0" t="s">
        <v>301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648</v>
      </c>
      <c r="B584" s="4" t="s">
        <v>346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537</v>
      </c>
      <c r="B585" s="0" t="s">
        <v>403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649</v>
      </c>
      <c r="B586" s="0" t="s">
        <v>46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650</v>
      </c>
      <c r="B587" s="0" t="s">
        <v>46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945</v>
      </c>
    </row>
    <row r="591" customFormat="false" ht="17.15" hidden="false" customHeight="false" outlineLevel="0" collapsed="false">
      <c r="A591" s="5" t="s">
        <v>22</v>
      </c>
      <c r="B591" s="5" t="s">
        <v>23</v>
      </c>
      <c r="C591" s="14" t="s">
        <v>494</v>
      </c>
      <c r="D591" s="14" t="s">
        <v>587</v>
      </c>
      <c r="E591" s="14" t="s">
        <v>588</v>
      </c>
      <c r="F591" s="14" t="s">
        <v>589</v>
      </c>
      <c r="G591" s="14" t="s">
        <v>590</v>
      </c>
      <c r="H591" s="14" t="s">
        <v>591</v>
      </c>
      <c r="I591" s="14" t="s">
        <v>592</v>
      </c>
      <c r="J591" s="14" t="s">
        <v>593</v>
      </c>
      <c r="K591" s="5" t="s">
        <v>557</v>
      </c>
    </row>
    <row r="592" customFormat="false" ht="17.15" hidden="false" customHeight="false" outlineLevel="0" collapsed="false">
      <c r="A592" s="6" t="s">
        <v>609</v>
      </c>
    </row>
    <row r="593" customFormat="false" ht="17.15" hidden="false" customHeight="false" outlineLevel="0" collapsed="false">
      <c r="A593" s="0" t="s">
        <v>610</v>
      </c>
      <c r="B593" s="4" t="s">
        <v>33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611</v>
      </c>
      <c r="B594" s="4" t="s">
        <v>33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561</v>
      </c>
      <c r="B595" s="0" t="s">
        <v>46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612</v>
      </c>
      <c r="B596" s="0" t="s">
        <v>46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563</v>
      </c>
      <c r="B597" s="4" t="s">
        <v>33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613</v>
      </c>
      <c r="B598" s="4" t="s">
        <v>33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614</v>
      </c>
      <c r="B599" s="0" t="s">
        <v>102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615</v>
      </c>
      <c r="B600" s="0" t="s">
        <v>102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616</v>
      </c>
      <c r="B601" s="0" t="s">
        <v>194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617</v>
      </c>
      <c r="B602" s="0" t="s">
        <v>86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618</v>
      </c>
      <c r="B603" s="0" t="s">
        <v>86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619</v>
      </c>
      <c r="B604" s="0" t="s">
        <v>86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620</v>
      </c>
      <c r="B605" s="0" t="s">
        <v>86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621</v>
      </c>
      <c r="B606" s="0" t="s">
        <v>86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622</v>
      </c>
    </row>
    <row r="607" customFormat="false" ht="17.15" hidden="false" customHeight="false" outlineLevel="0" collapsed="false">
      <c r="A607" s="4" t="s">
        <v>623</v>
      </c>
      <c r="B607" s="0" t="s">
        <v>86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624</v>
      </c>
      <c r="B608" s="0" t="s">
        <v>279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625</v>
      </c>
      <c r="B609" s="0" t="s">
        <v>65</v>
      </c>
      <c r="D609" s="20" t="n">
        <f aca="false">dc26/D608</f>
        <v>1.07309401333727</v>
      </c>
      <c r="K609" s="8" t="s">
        <v>626</v>
      </c>
    </row>
    <row r="610" customFormat="false" ht="17.15" hidden="false" customHeight="false" outlineLevel="0" collapsed="false">
      <c r="A610" s="0" t="s">
        <v>627</v>
      </c>
      <c r="B610" s="0" t="s">
        <v>279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628</v>
      </c>
      <c r="B611" s="0" t="s">
        <v>288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629</v>
      </c>
      <c r="B612" s="0" t="s">
        <v>301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630</v>
      </c>
      <c r="B613" s="0" t="s">
        <v>301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631</v>
      </c>
      <c r="B614" s="0" t="s">
        <v>301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632</v>
      </c>
      <c r="B615" s="4" t="s">
        <v>33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633</v>
      </c>
      <c r="B616" s="0" t="s">
        <v>86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634</v>
      </c>
    </row>
    <row r="618" customFormat="false" ht="15" hidden="false" customHeight="false" outlineLevel="0" collapsed="false">
      <c r="A618" s="4" t="s">
        <v>635</v>
      </c>
      <c r="B618" s="0" t="s">
        <v>301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636</v>
      </c>
      <c r="B619" s="0" t="s">
        <v>301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637</v>
      </c>
      <c r="B620" s="0" t="s">
        <v>301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638</v>
      </c>
      <c r="B621" s="0" t="s">
        <v>301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501</v>
      </c>
      <c r="B622" s="0" t="s">
        <v>301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639</v>
      </c>
    </row>
    <row r="623" customFormat="false" ht="15" hidden="false" customHeight="false" outlineLevel="0" collapsed="false">
      <c r="A623" s="4" t="s">
        <v>640</v>
      </c>
      <c r="B623" s="0" t="s">
        <v>46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641</v>
      </c>
      <c r="B624" s="0" t="s">
        <v>46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642</v>
      </c>
      <c r="B625" s="0" t="s">
        <v>46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643</v>
      </c>
    </row>
    <row r="627" customFormat="false" ht="17.15" hidden="false" customHeight="false" outlineLevel="0" collapsed="false">
      <c r="A627" s="0" t="s">
        <v>644</v>
      </c>
      <c r="B627" s="0" t="s">
        <v>301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645</v>
      </c>
      <c r="B628" s="0" t="s">
        <v>46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646</v>
      </c>
    </row>
    <row r="629" customFormat="false" ht="15" hidden="false" customHeight="false" outlineLevel="0" collapsed="false">
      <c r="A629" s="4" t="s">
        <v>517</v>
      </c>
      <c r="B629" s="0" t="s">
        <v>301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520</v>
      </c>
      <c r="B630" s="0" t="s">
        <v>46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647</v>
      </c>
      <c r="B631" s="0" t="s">
        <v>301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524</v>
      </c>
      <c r="B632" s="0" t="s">
        <v>301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598</v>
      </c>
      <c r="B633" s="0" t="s">
        <v>46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526</v>
      </c>
      <c r="B634" s="0" t="s">
        <v>301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528</v>
      </c>
      <c r="B635" s="0" t="s">
        <v>301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529</v>
      </c>
      <c r="B636" s="0" t="s">
        <v>301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530</v>
      </c>
      <c r="B637" s="0" t="s">
        <v>301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532</v>
      </c>
      <c r="B638" s="0" t="s">
        <v>301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648</v>
      </c>
      <c r="B639" s="4" t="s">
        <v>346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537</v>
      </c>
      <c r="B640" s="0" t="s">
        <v>403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649</v>
      </c>
      <c r="B641" s="0" t="s">
        <v>46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650</v>
      </c>
      <c r="B642" s="0" t="s">
        <v>46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946</v>
      </c>
    </row>
    <row r="646" customFormat="false" ht="17.15" hidden="false" customHeight="false" outlineLevel="0" collapsed="false">
      <c r="A646" s="5" t="s">
        <v>22</v>
      </c>
      <c r="B646" s="5" t="s">
        <v>23</v>
      </c>
      <c r="C646" s="14" t="s">
        <v>494</v>
      </c>
      <c r="D646" s="14" t="s">
        <v>587</v>
      </c>
      <c r="E646" s="14" t="s">
        <v>588</v>
      </c>
      <c r="F646" s="14" t="s">
        <v>589</v>
      </c>
      <c r="G646" s="14" t="s">
        <v>590</v>
      </c>
      <c r="H646" s="14" t="s">
        <v>591</v>
      </c>
      <c r="I646" s="14" t="s">
        <v>592</v>
      </c>
      <c r="J646" s="14" t="s">
        <v>593</v>
      </c>
      <c r="K646" s="5" t="s">
        <v>557</v>
      </c>
    </row>
    <row r="647" customFormat="false" ht="17.15" hidden="false" customHeight="false" outlineLevel="0" collapsed="false">
      <c r="A647" s="6" t="s">
        <v>609</v>
      </c>
    </row>
    <row r="648" customFormat="false" ht="17.15" hidden="false" customHeight="false" outlineLevel="0" collapsed="false">
      <c r="A648" s="0" t="s">
        <v>610</v>
      </c>
      <c r="B648" s="4" t="s">
        <v>33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611</v>
      </c>
      <c r="B649" s="4" t="s">
        <v>33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561</v>
      </c>
      <c r="B650" s="0" t="s">
        <v>46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612</v>
      </c>
      <c r="B651" s="0" t="s">
        <v>46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563</v>
      </c>
      <c r="B652" s="4" t="s">
        <v>33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613</v>
      </c>
      <c r="B653" s="4" t="s">
        <v>33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614</v>
      </c>
      <c r="B654" s="0" t="s">
        <v>102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615</v>
      </c>
      <c r="B655" s="0" t="s">
        <v>102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616</v>
      </c>
      <c r="B656" s="0" t="s">
        <v>194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617</v>
      </c>
      <c r="B657" s="0" t="s">
        <v>86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618</v>
      </c>
      <c r="B658" s="0" t="s">
        <v>86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619</v>
      </c>
      <c r="B659" s="0" t="s">
        <v>86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620</v>
      </c>
      <c r="B660" s="0" t="s">
        <v>86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621</v>
      </c>
      <c r="B661" s="0" t="s">
        <v>86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622</v>
      </c>
    </row>
    <row r="662" customFormat="false" ht="17.15" hidden="false" customHeight="false" outlineLevel="0" collapsed="false">
      <c r="A662" s="4" t="s">
        <v>623</v>
      </c>
      <c r="B662" s="0" t="s">
        <v>86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624</v>
      </c>
      <c r="B663" s="0" t="s">
        <v>279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625</v>
      </c>
      <c r="B664" s="0" t="s">
        <v>65</v>
      </c>
      <c r="D664" s="20" t="n">
        <f aca="false">dc26/D663</f>
        <v>1.07309401333727</v>
      </c>
      <c r="K664" s="8" t="s">
        <v>626</v>
      </c>
    </row>
    <row r="665" customFormat="false" ht="17.15" hidden="false" customHeight="false" outlineLevel="0" collapsed="false">
      <c r="A665" s="0" t="s">
        <v>627</v>
      </c>
      <c r="B665" s="0" t="s">
        <v>279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628</v>
      </c>
      <c r="B666" s="0" t="s">
        <v>288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629</v>
      </c>
      <c r="B667" s="0" t="s">
        <v>301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630</v>
      </c>
      <c r="B668" s="0" t="s">
        <v>301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631</v>
      </c>
      <c r="B669" s="0" t="s">
        <v>301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632</v>
      </c>
      <c r="B670" s="4" t="s">
        <v>33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633</v>
      </c>
      <c r="B671" s="0" t="s">
        <v>86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634</v>
      </c>
    </row>
    <row r="673" customFormat="false" ht="15" hidden="false" customHeight="false" outlineLevel="0" collapsed="false">
      <c r="A673" s="4" t="s">
        <v>635</v>
      </c>
      <c r="B673" s="0" t="s">
        <v>301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636</v>
      </c>
      <c r="B674" s="0" t="s">
        <v>301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637</v>
      </c>
      <c r="B675" s="0" t="s">
        <v>301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638</v>
      </c>
      <c r="B676" s="0" t="s">
        <v>301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501</v>
      </c>
      <c r="B677" s="0" t="s">
        <v>301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639</v>
      </c>
    </row>
    <row r="678" customFormat="false" ht="15" hidden="false" customHeight="false" outlineLevel="0" collapsed="false">
      <c r="A678" s="4" t="s">
        <v>640</v>
      </c>
      <c r="B678" s="0" t="s">
        <v>46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641</v>
      </c>
      <c r="B679" s="0" t="s">
        <v>46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642</v>
      </c>
      <c r="B680" s="0" t="s">
        <v>46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643</v>
      </c>
    </row>
    <row r="682" customFormat="false" ht="17.15" hidden="false" customHeight="false" outlineLevel="0" collapsed="false">
      <c r="A682" s="0" t="s">
        <v>644</v>
      </c>
      <c r="B682" s="0" t="s">
        <v>301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645</v>
      </c>
      <c r="B683" s="0" t="s">
        <v>46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646</v>
      </c>
    </row>
    <row r="684" customFormat="false" ht="15" hidden="false" customHeight="false" outlineLevel="0" collapsed="false">
      <c r="A684" s="4" t="s">
        <v>517</v>
      </c>
      <c r="B684" s="0" t="s">
        <v>301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520</v>
      </c>
      <c r="B685" s="0" t="s">
        <v>46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647</v>
      </c>
      <c r="B686" s="0" t="s">
        <v>301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524</v>
      </c>
      <c r="B687" s="0" t="s">
        <v>301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598</v>
      </c>
      <c r="B688" s="0" t="s">
        <v>46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526</v>
      </c>
      <c r="B689" s="0" t="s">
        <v>301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528</v>
      </c>
      <c r="B690" s="0" t="s">
        <v>301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529</v>
      </c>
      <c r="B691" s="0" t="s">
        <v>301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530</v>
      </c>
      <c r="B692" s="0" t="s">
        <v>301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532</v>
      </c>
      <c r="B693" s="0" t="s">
        <v>301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648</v>
      </c>
      <c r="B694" s="4" t="s">
        <v>346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537</v>
      </c>
      <c r="B695" s="0" t="s">
        <v>403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649</v>
      </c>
      <c r="B696" s="0" t="s">
        <v>46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650</v>
      </c>
      <c r="B697" s="0" t="s">
        <v>46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947</v>
      </c>
    </row>
    <row r="701" customFormat="false" ht="17.15" hidden="false" customHeight="false" outlineLevel="0" collapsed="false">
      <c r="A701" s="5" t="s">
        <v>22</v>
      </c>
      <c r="B701" s="5" t="s">
        <v>23</v>
      </c>
      <c r="C701" s="14" t="s">
        <v>494</v>
      </c>
      <c r="D701" s="14" t="s">
        <v>587</v>
      </c>
      <c r="E701" s="14" t="s">
        <v>588</v>
      </c>
      <c r="F701" s="14" t="s">
        <v>589</v>
      </c>
      <c r="G701" s="14" t="s">
        <v>590</v>
      </c>
      <c r="H701" s="14" t="s">
        <v>591</v>
      </c>
      <c r="I701" s="14" t="s">
        <v>592</v>
      </c>
      <c r="J701" s="14" t="s">
        <v>593</v>
      </c>
      <c r="K701" s="5" t="s">
        <v>557</v>
      </c>
    </row>
    <row r="702" customFormat="false" ht="17.15" hidden="false" customHeight="false" outlineLevel="0" collapsed="false">
      <c r="A702" s="6" t="s">
        <v>609</v>
      </c>
    </row>
    <row r="703" customFormat="false" ht="17.15" hidden="false" customHeight="false" outlineLevel="0" collapsed="false">
      <c r="A703" s="0" t="s">
        <v>610</v>
      </c>
      <c r="B703" s="4" t="s">
        <v>33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611</v>
      </c>
      <c r="B704" s="4" t="s">
        <v>33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561</v>
      </c>
      <c r="B705" s="0" t="s">
        <v>46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612</v>
      </c>
      <c r="B706" s="0" t="s">
        <v>46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563</v>
      </c>
      <c r="B707" s="4" t="s">
        <v>33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613</v>
      </c>
      <c r="B708" s="4" t="s">
        <v>33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614</v>
      </c>
      <c r="B709" s="0" t="s">
        <v>102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615</v>
      </c>
      <c r="B710" s="0" t="s">
        <v>102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616</v>
      </c>
      <c r="B711" s="0" t="s">
        <v>194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617</v>
      </c>
      <c r="B712" s="0" t="s">
        <v>86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618</v>
      </c>
      <c r="B713" s="0" t="s">
        <v>86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619</v>
      </c>
      <c r="B714" s="0" t="s">
        <v>86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620</v>
      </c>
      <c r="B715" s="0" t="s">
        <v>86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621</v>
      </c>
      <c r="B716" s="0" t="s">
        <v>86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622</v>
      </c>
    </row>
    <row r="717" customFormat="false" ht="17.15" hidden="false" customHeight="false" outlineLevel="0" collapsed="false">
      <c r="A717" s="4" t="s">
        <v>623</v>
      </c>
      <c r="B717" s="0" t="s">
        <v>86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624</v>
      </c>
      <c r="B718" s="0" t="s">
        <v>279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625</v>
      </c>
      <c r="B719" s="0" t="s">
        <v>65</v>
      </c>
      <c r="D719" s="20" t="n">
        <f aca="false">dc26/D718</f>
        <v>1.07309401333727</v>
      </c>
      <c r="K719" s="8" t="s">
        <v>626</v>
      </c>
    </row>
    <row r="720" customFormat="false" ht="17.15" hidden="false" customHeight="false" outlineLevel="0" collapsed="false">
      <c r="A720" s="0" t="s">
        <v>627</v>
      </c>
      <c r="B720" s="0" t="s">
        <v>279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628</v>
      </c>
      <c r="B721" s="0" t="s">
        <v>288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629</v>
      </c>
      <c r="B722" s="0" t="s">
        <v>301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630</v>
      </c>
      <c r="B723" s="0" t="s">
        <v>301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631</v>
      </c>
      <c r="B724" s="0" t="s">
        <v>301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632</v>
      </c>
      <c r="B725" s="4" t="s">
        <v>33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633</v>
      </c>
      <c r="B726" s="0" t="s">
        <v>86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634</v>
      </c>
    </row>
    <row r="728" customFormat="false" ht="15" hidden="false" customHeight="false" outlineLevel="0" collapsed="false">
      <c r="A728" s="4" t="s">
        <v>635</v>
      </c>
      <c r="B728" s="0" t="s">
        <v>301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636</v>
      </c>
      <c r="B729" s="0" t="s">
        <v>301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637</v>
      </c>
      <c r="B730" s="0" t="s">
        <v>301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638</v>
      </c>
      <c r="B731" s="0" t="s">
        <v>301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501</v>
      </c>
      <c r="B732" s="0" t="s">
        <v>301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639</v>
      </c>
    </row>
    <row r="733" customFormat="false" ht="15" hidden="false" customHeight="false" outlineLevel="0" collapsed="false">
      <c r="A733" s="4" t="s">
        <v>640</v>
      </c>
      <c r="B733" s="0" t="s">
        <v>46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641</v>
      </c>
      <c r="B734" s="0" t="s">
        <v>46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642</v>
      </c>
      <c r="B735" s="0" t="s">
        <v>46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643</v>
      </c>
    </row>
    <row r="737" customFormat="false" ht="17.15" hidden="false" customHeight="false" outlineLevel="0" collapsed="false">
      <c r="A737" s="0" t="s">
        <v>644</v>
      </c>
      <c r="B737" s="0" t="s">
        <v>301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645</v>
      </c>
      <c r="B738" s="0" t="s">
        <v>46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646</v>
      </c>
    </row>
    <row r="739" customFormat="false" ht="15" hidden="false" customHeight="false" outlineLevel="0" collapsed="false">
      <c r="A739" s="4" t="s">
        <v>517</v>
      </c>
      <c r="B739" s="0" t="s">
        <v>301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520</v>
      </c>
      <c r="B740" s="0" t="s">
        <v>46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647</v>
      </c>
      <c r="B741" s="0" t="s">
        <v>301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524</v>
      </c>
      <c r="B742" s="0" t="s">
        <v>301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598</v>
      </c>
      <c r="B743" s="0" t="s">
        <v>46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526</v>
      </c>
      <c r="B744" s="0" t="s">
        <v>301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528</v>
      </c>
      <c r="B745" s="0" t="s">
        <v>301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529</v>
      </c>
      <c r="B746" s="0" t="s">
        <v>301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530</v>
      </c>
      <c r="B747" s="0" t="s">
        <v>301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532</v>
      </c>
      <c r="B748" s="0" t="s">
        <v>301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648</v>
      </c>
      <c r="B749" s="4" t="s">
        <v>346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537</v>
      </c>
      <c r="B750" s="0" t="s">
        <v>403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649</v>
      </c>
      <c r="B751" s="0" t="s">
        <v>46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650</v>
      </c>
      <c r="B752" s="0" t="s">
        <v>46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948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4" t="s">
        <v>494</v>
      </c>
      <c r="D756" s="14" t="s">
        <v>587</v>
      </c>
      <c r="E756" s="14" t="s">
        <v>588</v>
      </c>
      <c r="F756" s="14" t="s">
        <v>589</v>
      </c>
      <c r="G756" s="14" t="s">
        <v>590</v>
      </c>
      <c r="H756" s="14" t="s">
        <v>591</v>
      </c>
      <c r="I756" s="14" t="s">
        <v>592</v>
      </c>
      <c r="J756" s="14" t="s">
        <v>593</v>
      </c>
      <c r="K756" s="5" t="s">
        <v>557</v>
      </c>
    </row>
    <row r="757" customFormat="false" ht="17.15" hidden="false" customHeight="false" outlineLevel="0" collapsed="false">
      <c r="A757" s="6" t="s">
        <v>609</v>
      </c>
    </row>
    <row r="758" customFormat="false" ht="17.15" hidden="false" customHeight="false" outlineLevel="0" collapsed="false">
      <c r="A758" s="0" t="s">
        <v>610</v>
      </c>
      <c r="B758" s="4" t="s">
        <v>33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611</v>
      </c>
      <c r="B759" s="4" t="s">
        <v>33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561</v>
      </c>
      <c r="B760" s="0" t="s">
        <v>46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612</v>
      </c>
      <c r="B761" s="0" t="s">
        <v>46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563</v>
      </c>
      <c r="B762" s="4" t="s">
        <v>33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613</v>
      </c>
      <c r="B763" s="4" t="s">
        <v>33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614</v>
      </c>
      <c r="B764" s="0" t="s">
        <v>102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615</v>
      </c>
      <c r="B765" s="0" t="s">
        <v>102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616</v>
      </c>
      <c r="B766" s="0" t="s">
        <v>194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617</v>
      </c>
      <c r="B767" s="0" t="s">
        <v>86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618</v>
      </c>
      <c r="B768" s="0" t="s">
        <v>86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619</v>
      </c>
      <c r="B769" s="0" t="s">
        <v>86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620</v>
      </c>
      <c r="B770" s="0" t="s">
        <v>86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621</v>
      </c>
      <c r="B771" s="0" t="s">
        <v>86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622</v>
      </c>
    </row>
    <row r="772" customFormat="false" ht="17.15" hidden="false" customHeight="false" outlineLevel="0" collapsed="false">
      <c r="A772" s="4" t="s">
        <v>623</v>
      </c>
      <c r="B772" s="0" t="s">
        <v>86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624</v>
      </c>
      <c r="B773" s="0" t="s">
        <v>279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625</v>
      </c>
      <c r="B774" s="0" t="s">
        <v>65</v>
      </c>
      <c r="D774" s="20" t="n">
        <f aca="false">dc26/D773</f>
        <v>1.07309401333727</v>
      </c>
      <c r="K774" s="8" t="s">
        <v>626</v>
      </c>
    </row>
    <row r="775" customFormat="false" ht="17.15" hidden="false" customHeight="false" outlineLevel="0" collapsed="false">
      <c r="A775" s="0" t="s">
        <v>627</v>
      </c>
      <c r="B775" s="0" t="s">
        <v>279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628</v>
      </c>
      <c r="B776" s="0" t="s">
        <v>288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629</v>
      </c>
      <c r="B777" s="0" t="s">
        <v>301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630</v>
      </c>
      <c r="B778" s="0" t="s">
        <v>301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631</v>
      </c>
      <c r="B779" s="0" t="s">
        <v>301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632</v>
      </c>
      <c r="B780" s="4" t="s">
        <v>33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633</v>
      </c>
      <c r="B781" s="0" t="s">
        <v>86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634</v>
      </c>
    </row>
    <row r="783" customFormat="false" ht="15" hidden="false" customHeight="false" outlineLevel="0" collapsed="false">
      <c r="A783" s="4" t="s">
        <v>635</v>
      </c>
      <c r="B783" s="0" t="s">
        <v>301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636</v>
      </c>
      <c r="B784" s="0" t="s">
        <v>301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637</v>
      </c>
      <c r="B785" s="0" t="s">
        <v>301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638</v>
      </c>
      <c r="B786" s="0" t="s">
        <v>301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501</v>
      </c>
      <c r="B787" s="0" t="s">
        <v>301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639</v>
      </c>
    </row>
    <row r="788" customFormat="false" ht="15" hidden="false" customHeight="false" outlineLevel="0" collapsed="false">
      <c r="A788" s="4" t="s">
        <v>640</v>
      </c>
      <c r="B788" s="0" t="s">
        <v>46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641</v>
      </c>
      <c r="B789" s="0" t="s">
        <v>46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642</v>
      </c>
      <c r="B790" s="0" t="s">
        <v>46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643</v>
      </c>
    </row>
    <row r="792" customFormat="false" ht="17.15" hidden="false" customHeight="false" outlineLevel="0" collapsed="false">
      <c r="A792" s="0" t="s">
        <v>644</v>
      </c>
      <c r="B792" s="0" t="s">
        <v>301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645</v>
      </c>
      <c r="B793" s="0" t="s">
        <v>46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646</v>
      </c>
    </row>
    <row r="794" customFormat="false" ht="15" hidden="false" customHeight="false" outlineLevel="0" collapsed="false">
      <c r="A794" s="4" t="s">
        <v>517</v>
      </c>
      <c r="B794" s="0" t="s">
        <v>301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520</v>
      </c>
      <c r="B795" s="0" t="s">
        <v>46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647</v>
      </c>
      <c r="B796" s="0" t="s">
        <v>301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524</v>
      </c>
      <c r="B797" s="0" t="s">
        <v>301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598</v>
      </c>
      <c r="B798" s="0" t="s">
        <v>46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526</v>
      </c>
      <c r="B799" s="0" t="s">
        <v>301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528</v>
      </c>
      <c r="B800" s="0" t="s">
        <v>301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529</v>
      </c>
      <c r="B801" s="0" t="s">
        <v>301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530</v>
      </c>
      <c r="B802" s="0" t="s">
        <v>301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532</v>
      </c>
      <c r="B803" s="0" t="s">
        <v>301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648</v>
      </c>
      <c r="B804" s="4" t="s">
        <v>346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537</v>
      </c>
      <c r="B805" s="0" t="s">
        <v>403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649</v>
      </c>
      <c r="B806" s="0" t="s">
        <v>46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650</v>
      </c>
      <c r="B807" s="0" t="s">
        <v>46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949</v>
      </c>
    </row>
    <row r="811" customFormat="false" ht="17.15" hidden="false" customHeight="false" outlineLevel="0" collapsed="false">
      <c r="A811" s="5" t="s">
        <v>22</v>
      </c>
      <c r="B811" s="5" t="s">
        <v>23</v>
      </c>
      <c r="C811" s="14" t="s">
        <v>494</v>
      </c>
      <c r="D811" s="14" t="s">
        <v>587</v>
      </c>
      <c r="E811" s="14" t="s">
        <v>588</v>
      </c>
      <c r="F811" s="14" t="s">
        <v>589</v>
      </c>
      <c r="G811" s="14" t="s">
        <v>590</v>
      </c>
      <c r="H811" s="14" t="s">
        <v>591</v>
      </c>
      <c r="I811" s="14" t="s">
        <v>592</v>
      </c>
      <c r="J811" s="14" t="s">
        <v>593</v>
      </c>
      <c r="K811" s="5" t="s">
        <v>557</v>
      </c>
    </row>
    <row r="812" customFormat="false" ht="17.15" hidden="false" customHeight="false" outlineLevel="0" collapsed="false">
      <c r="A812" s="6" t="s">
        <v>609</v>
      </c>
    </row>
    <row r="813" customFormat="false" ht="17.15" hidden="false" customHeight="false" outlineLevel="0" collapsed="false">
      <c r="A813" s="0" t="s">
        <v>610</v>
      </c>
      <c r="B813" s="4" t="s">
        <v>33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611</v>
      </c>
      <c r="B814" s="4" t="s">
        <v>33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561</v>
      </c>
      <c r="B815" s="0" t="s">
        <v>46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612</v>
      </c>
      <c r="B816" s="0" t="s">
        <v>46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563</v>
      </c>
      <c r="B817" s="4" t="s">
        <v>33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613</v>
      </c>
      <c r="B818" s="4" t="s">
        <v>33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614</v>
      </c>
      <c r="B819" s="0" t="s">
        <v>102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615</v>
      </c>
      <c r="B820" s="0" t="s">
        <v>102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616</v>
      </c>
      <c r="B821" s="0" t="s">
        <v>194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617</v>
      </c>
      <c r="B822" s="0" t="s">
        <v>86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618</v>
      </c>
      <c r="B823" s="0" t="s">
        <v>86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619</v>
      </c>
      <c r="B824" s="0" t="s">
        <v>86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620</v>
      </c>
      <c r="B825" s="0" t="s">
        <v>86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621</v>
      </c>
      <c r="B826" s="0" t="s">
        <v>86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622</v>
      </c>
    </row>
    <row r="827" customFormat="false" ht="17.15" hidden="false" customHeight="false" outlineLevel="0" collapsed="false">
      <c r="A827" s="4" t="s">
        <v>623</v>
      </c>
      <c r="B827" s="0" t="s">
        <v>86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624</v>
      </c>
      <c r="B828" s="0" t="s">
        <v>279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625</v>
      </c>
      <c r="B829" s="0" t="s">
        <v>65</v>
      </c>
      <c r="D829" s="20" t="n">
        <f aca="false">dc26/D828</f>
        <v>1.07309401333727</v>
      </c>
      <c r="K829" s="8" t="s">
        <v>626</v>
      </c>
    </row>
    <row r="830" customFormat="false" ht="17.15" hidden="false" customHeight="false" outlineLevel="0" collapsed="false">
      <c r="A830" s="0" t="s">
        <v>627</v>
      </c>
      <c r="B830" s="0" t="s">
        <v>279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628</v>
      </c>
      <c r="B831" s="0" t="s">
        <v>288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629</v>
      </c>
      <c r="B832" s="0" t="s">
        <v>301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630</v>
      </c>
      <c r="B833" s="0" t="s">
        <v>301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631</v>
      </c>
      <c r="B834" s="0" t="s">
        <v>301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632</v>
      </c>
      <c r="B835" s="4" t="s">
        <v>33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633</v>
      </c>
      <c r="B836" s="0" t="s">
        <v>86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634</v>
      </c>
    </row>
    <row r="838" customFormat="false" ht="15" hidden="false" customHeight="false" outlineLevel="0" collapsed="false">
      <c r="A838" s="4" t="s">
        <v>635</v>
      </c>
      <c r="B838" s="0" t="s">
        <v>301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636</v>
      </c>
      <c r="B839" s="0" t="s">
        <v>301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637</v>
      </c>
      <c r="B840" s="0" t="s">
        <v>301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638</v>
      </c>
      <c r="B841" s="0" t="s">
        <v>301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501</v>
      </c>
      <c r="B842" s="0" t="s">
        <v>301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639</v>
      </c>
    </row>
    <row r="843" customFormat="false" ht="15" hidden="false" customHeight="false" outlineLevel="0" collapsed="false">
      <c r="A843" s="4" t="s">
        <v>640</v>
      </c>
      <c r="B843" s="0" t="s">
        <v>46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641</v>
      </c>
      <c r="B844" s="0" t="s">
        <v>46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642</v>
      </c>
      <c r="B845" s="0" t="s">
        <v>46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643</v>
      </c>
    </row>
    <row r="847" customFormat="false" ht="17.15" hidden="false" customHeight="false" outlineLevel="0" collapsed="false">
      <c r="A847" s="0" t="s">
        <v>644</v>
      </c>
      <c r="B847" s="0" t="s">
        <v>301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645</v>
      </c>
      <c r="B848" s="0" t="s">
        <v>46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646</v>
      </c>
    </row>
    <row r="849" customFormat="false" ht="15" hidden="false" customHeight="false" outlineLevel="0" collapsed="false">
      <c r="A849" s="4" t="s">
        <v>517</v>
      </c>
      <c r="B849" s="0" t="s">
        <v>301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520</v>
      </c>
      <c r="B850" s="0" t="s">
        <v>46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647</v>
      </c>
      <c r="B851" s="0" t="s">
        <v>301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524</v>
      </c>
      <c r="B852" s="0" t="s">
        <v>301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598</v>
      </c>
      <c r="B853" s="0" t="s">
        <v>46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526</v>
      </c>
      <c r="B854" s="0" t="s">
        <v>301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528</v>
      </c>
      <c r="B855" s="0" t="s">
        <v>301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529</v>
      </c>
      <c r="B856" s="0" t="s">
        <v>301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530</v>
      </c>
      <c r="B857" s="0" t="s">
        <v>301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532</v>
      </c>
      <c r="B858" s="0" t="s">
        <v>301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648</v>
      </c>
      <c r="B859" s="4" t="s">
        <v>346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537</v>
      </c>
      <c r="B860" s="0" t="s">
        <v>403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649</v>
      </c>
      <c r="B861" s="0" t="s">
        <v>46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650</v>
      </c>
      <c r="B862" s="0" t="s">
        <v>46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950</v>
      </c>
    </row>
    <row r="866" customFormat="false" ht="17.15" hidden="false" customHeight="false" outlineLevel="0" collapsed="false">
      <c r="A866" s="5" t="s">
        <v>22</v>
      </c>
      <c r="B866" s="5" t="s">
        <v>23</v>
      </c>
      <c r="C866" s="14" t="s">
        <v>494</v>
      </c>
      <c r="D866" s="14" t="s">
        <v>587</v>
      </c>
      <c r="E866" s="14" t="s">
        <v>588</v>
      </c>
      <c r="F866" s="14" t="s">
        <v>589</v>
      </c>
      <c r="G866" s="14" t="s">
        <v>590</v>
      </c>
      <c r="H866" s="14" t="s">
        <v>591</v>
      </c>
      <c r="I866" s="14" t="s">
        <v>592</v>
      </c>
      <c r="J866" s="14" t="s">
        <v>593</v>
      </c>
      <c r="K866" s="5" t="s">
        <v>557</v>
      </c>
    </row>
    <row r="867" customFormat="false" ht="17.15" hidden="false" customHeight="false" outlineLevel="0" collapsed="false">
      <c r="A867" s="6" t="s">
        <v>609</v>
      </c>
    </row>
    <row r="868" customFormat="false" ht="17.15" hidden="false" customHeight="false" outlineLevel="0" collapsed="false">
      <c r="A868" s="0" t="s">
        <v>610</v>
      </c>
      <c r="B868" s="4" t="s">
        <v>33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611</v>
      </c>
      <c r="B869" s="4" t="s">
        <v>33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561</v>
      </c>
      <c r="B870" s="0" t="s">
        <v>46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612</v>
      </c>
      <c r="B871" s="0" t="s">
        <v>46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563</v>
      </c>
      <c r="B872" s="4" t="s">
        <v>33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613</v>
      </c>
      <c r="B873" s="4" t="s">
        <v>33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614</v>
      </c>
      <c r="B874" s="0" t="s">
        <v>102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615</v>
      </c>
      <c r="B875" s="0" t="s">
        <v>102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616</v>
      </c>
      <c r="B876" s="0" t="s">
        <v>194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617</v>
      </c>
      <c r="B877" s="0" t="s">
        <v>86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618</v>
      </c>
      <c r="B878" s="0" t="s">
        <v>86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619</v>
      </c>
      <c r="B879" s="0" t="s">
        <v>86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620</v>
      </c>
      <c r="B880" s="0" t="s">
        <v>86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621</v>
      </c>
      <c r="B881" s="0" t="s">
        <v>86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622</v>
      </c>
    </row>
    <row r="882" customFormat="false" ht="17.15" hidden="false" customHeight="false" outlineLevel="0" collapsed="false">
      <c r="A882" s="4" t="s">
        <v>623</v>
      </c>
      <c r="B882" s="0" t="s">
        <v>86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624</v>
      </c>
      <c r="B883" s="0" t="s">
        <v>279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625</v>
      </c>
      <c r="B884" s="0" t="s">
        <v>65</v>
      </c>
      <c r="D884" s="20" t="n">
        <f aca="false">dc26/D883</f>
        <v>1.07309401333727</v>
      </c>
      <c r="K884" s="8" t="s">
        <v>626</v>
      </c>
    </row>
    <row r="885" customFormat="false" ht="17.15" hidden="false" customHeight="false" outlineLevel="0" collapsed="false">
      <c r="A885" s="0" t="s">
        <v>627</v>
      </c>
      <c r="B885" s="0" t="s">
        <v>279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628</v>
      </c>
      <c r="B886" s="0" t="s">
        <v>288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629</v>
      </c>
      <c r="B887" s="0" t="s">
        <v>301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630</v>
      </c>
      <c r="B888" s="0" t="s">
        <v>301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631</v>
      </c>
      <c r="B889" s="0" t="s">
        <v>301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632</v>
      </c>
      <c r="B890" s="4" t="s">
        <v>33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633</v>
      </c>
      <c r="B891" s="0" t="s">
        <v>86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634</v>
      </c>
    </row>
    <row r="893" customFormat="false" ht="15" hidden="false" customHeight="false" outlineLevel="0" collapsed="false">
      <c r="A893" s="4" t="s">
        <v>635</v>
      </c>
      <c r="B893" s="0" t="s">
        <v>301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636</v>
      </c>
      <c r="B894" s="0" t="s">
        <v>301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637</v>
      </c>
      <c r="B895" s="0" t="s">
        <v>301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638</v>
      </c>
      <c r="B896" s="0" t="s">
        <v>301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501</v>
      </c>
      <c r="B897" s="0" t="s">
        <v>301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639</v>
      </c>
    </row>
    <row r="898" customFormat="false" ht="15" hidden="false" customHeight="false" outlineLevel="0" collapsed="false">
      <c r="A898" s="4" t="s">
        <v>640</v>
      </c>
      <c r="B898" s="0" t="s">
        <v>46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641</v>
      </c>
      <c r="B899" s="0" t="s">
        <v>46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642</v>
      </c>
      <c r="B900" s="0" t="s">
        <v>46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643</v>
      </c>
    </row>
    <row r="902" customFormat="false" ht="17.15" hidden="false" customHeight="false" outlineLevel="0" collapsed="false">
      <c r="A902" s="0" t="s">
        <v>644</v>
      </c>
      <c r="B902" s="0" t="s">
        <v>301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645</v>
      </c>
      <c r="B903" s="0" t="s">
        <v>46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646</v>
      </c>
    </row>
    <row r="904" customFormat="false" ht="15" hidden="false" customHeight="false" outlineLevel="0" collapsed="false">
      <c r="A904" s="4" t="s">
        <v>517</v>
      </c>
      <c r="B904" s="0" t="s">
        <v>301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520</v>
      </c>
      <c r="B905" s="0" t="s">
        <v>46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647</v>
      </c>
      <c r="B906" s="0" t="s">
        <v>301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524</v>
      </c>
      <c r="B907" s="0" t="s">
        <v>301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598</v>
      </c>
      <c r="B908" s="0" t="s">
        <v>46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526</v>
      </c>
      <c r="B909" s="0" t="s">
        <v>301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528</v>
      </c>
      <c r="B910" s="0" t="s">
        <v>301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529</v>
      </c>
      <c r="B911" s="0" t="s">
        <v>301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530</v>
      </c>
      <c r="B912" s="0" t="s">
        <v>301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532</v>
      </c>
      <c r="B913" s="0" t="s">
        <v>301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648</v>
      </c>
      <c r="B914" s="4" t="s">
        <v>346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537</v>
      </c>
      <c r="B915" s="0" t="s">
        <v>403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649</v>
      </c>
      <c r="B916" s="0" t="s">
        <v>46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650</v>
      </c>
      <c r="B917" s="0" t="s">
        <v>46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951</v>
      </c>
    </row>
    <row r="921" customFormat="false" ht="17.15" hidden="false" customHeight="false" outlineLevel="0" collapsed="false">
      <c r="A921" s="5" t="s">
        <v>22</v>
      </c>
      <c r="B921" s="5" t="s">
        <v>23</v>
      </c>
      <c r="C921" s="14" t="s">
        <v>494</v>
      </c>
      <c r="D921" s="14" t="s">
        <v>587</v>
      </c>
      <c r="E921" s="14" t="s">
        <v>588</v>
      </c>
      <c r="F921" s="14" t="s">
        <v>589</v>
      </c>
      <c r="G921" s="14" t="s">
        <v>590</v>
      </c>
      <c r="H921" s="14" t="s">
        <v>591</v>
      </c>
      <c r="I921" s="14" t="s">
        <v>592</v>
      </c>
      <c r="J921" s="14" t="s">
        <v>593</v>
      </c>
      <c r="K921" s="5" t="s">
        <v>557</v>
      </c>
    </row>
    <row r="922" customFormat="false" ht="17.15" hidden="false" customHeight="false" outlineLevel="0" collapsed="false">
      <c r="A922" s="6" t="s">
        <v>609</v>
      </c>
    </row>
    <row r="923" customFormat="false" ht="17.15" hidden="false" customHeight="false" outlineLevel="0" collapsed="false">
      <c r="A923" s="0" t="s">
        <v>610</v>
      </c>
      <c r="B923" s="4" t="s">
        <v>33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611</v>
      </c>
      <c r="B924" s="4" t="s">
        <v>33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561</v>
      </c>
      <c r="B925" s="0" t="s">
        <v>46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612</v>
      </c>
      <c r="B926" s="0" t="s">
        <v>46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563</v>
      </c>
      <c r="B927" s="4" t="s">
        <v>33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613</v>
      </c>
      <c r="B928" s="4" t="s">
        <v>33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614</v>
      </c>
      <c r="B929" s="0" t="s">
        <v>102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615</v>
      </c>
      <c r="B930" s="0" t="s">
        <v>102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616</v>
      </c>
      <c r="B931" s="0" t="s">
        <v>194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617</v>
      </c>
      <c r="B932" s="0" t="s">
        <v>86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618</v>
      </c>
      <c r="B933" s="0" t="s">
        <v>86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619</v>
      </c>
      <c r="B934" s="0" t="s">
        <v>86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620</v>
      </c>
      <c r="B935" s="0" t="s">
        <v>86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621</v>
      </c>
      <c r="B936" s="0" t="s">
        <v>86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622</v>
      </c>
    </row>
    <row r="937" customFormat="false" ht="17.15" hidden="false" customHeight="false" outlineLevel="0" collapsed="false">
      <c r="A937" s="4" t="s">
        <v>623</v>
      </c>
      <c r="B937" s="0" t="s">
        <v>86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624</v>
      </c>
      <c r="B938" s="0" t="s">
        <v>279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625</v>
      </c>
      <c r="B939" s="0" t="s">
        <v>65</v>
      </c>
      <c r="D939" s="20" t="n">
        <f aca="false">dc26/D938</f>
        <v>1.07309401333727</v>
      </c>
      <c r="K939" s="8" t="s">
        <v>626</v>
      </c>
    </row>
    <row r="940" customFormat="false" ht="17.15" hidden="false" customHeight="false" outlineLevel="0" collapsed="false">
      <c r="A940" s="0" t="s">
        <v>627</v>
      </c>
      <c r="B940" s="0" t="s">
        <v>279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628</v>
      </c>
      <c r="B941" s="0" t="s">
        <v>288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629</v>
      </c>
      <c r="B942" s="0" t="s">
        <v>301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630</v>
      </c>
      <c r="B943" s="0" t="s">
        <v>301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631</v>
      </c>
      <c r="B944" s="0" t="s">
        <v>301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632</v>
      </c>
      <c r="B945" s="4" t="s">
        <v>33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633</v>
      </c>
      <c r="B946" s="0" t="s">
        <v>86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634</v>
      </c>
    </row>
    <row r="948" customFormat="false" ht="15" hidden="false" customHeight="false" outlineLevel="0" collapsed="false">
      <c r="A948" s="4" t="s">
        <v>635</v>
      </c>
      <c r="B948" s="0" t="s">
        <v>301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636</v>
      </c>
      <c r="B949" s="0" t="s">
        <v>301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637</v>
      </c>
      <c r="B950" s="0" t="s">
        <v>301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638</v>
      </c>
      <c r="B951" s="0" t="s">
        <v>301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501</v>
      </c>
      <c r="B952" s="0" t="s">
        <v>301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639</v>
      </c>
    </row>
    <row r="953" customFormat="false" ht="15" hidden="false" customHeight="false" outlineLevel="0" collapsed="false">
      <c r="A953" s="4" t="s">
        <v>640</v>
      </c>
      <c r="B953" s="0" t="s">
        <v>46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641</v>
      </c>
      <c r="B954" s="0" t="s">
        <v>46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642</v>
      </c>
      <c r="B955" s="0" t="s">
        <v>46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643</v>
      </c>
    </row>
    <row r="957" customFormat="false" ht="17.15" hidden="false" customHeight="false" outlineLevel="0" collapsed="false">
      <c r="A957" s="0" t="s">
        <v>644</v>
      </c>
      <c r="B957" s="0" t="s">
        <v>301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645</v>
      </c>
      <c r="B958" s="0" t="s">
        <v>46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646</v>
      </c>
    </row>
    <row r="959" customFormat="false" ht="15" hidden="false" customHeight="false" outlineLevel="0" collapsed="false">
      <c r="A959" s="4" t="s">
        <v>517</v>
      </c>
      <c r="B959" s="0" t="s">
        <v>301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520</v>
      </c>
      <c r="B960" s="0" t="s">
        <v>46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647</v>
      </c>
      <c r="B961" s="0" t="s">
        <v>301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524</v>
      </c>
      <c r="B962" s="0" t="s">
        <v>301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598</v>
      </c>
      <c r="B963" s="0" t="s">
        <v>46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526</v>
      </c>
      <c r="B964" s="0" t="s">
        <v>301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528</v>
      </c>
      <c r="B965" s="0" t="s">
        <v>301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529</v>
      </c>
      <c r="B966" s="0" t="s">
        <v>301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530</v>
      </c>
      <c r="B967" s="0" t="s">
        <v>301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532</v>
      </c>
      <c r="B968" s="0" t="s">
        <v>301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648</v>
      </c>
      <c r="B969" s="4" t="s">
        <v>346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537</v>
      </c>
      <c r="B970" s="0" t="s">
        <v>403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649</v>
      </c>
      <c r="B971" s="0" t="s">
        <v>46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650</v>
      </c>
      <c r="B972" s="0" t="s">
        <v>46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952</v>
      </c>
    </row>
    <row r="976" customFormat="false" ht="17.15" hidden="false" customHeight="false" outlineLevel="0" collapsed="false">
      <c r="A976" s="5" t="s">
        <v>22</v>
      </c>
      <c r="B976" s="5" t="s">
        <v>23</v>
      </c>
      <c r="C976" s="14" t="s">
        <v>494</v>
      </c>
      <c r="D976" s="14" t="s">
        <v>587</v>
      </c>
      <c r="E976" s="14" t="s">
        <v>588</v>
      </c>
      <c r="F976" s="14" t="s">
        <v>589</v>
      </c>
      <c r="G976" s="14" t="s">
        <v>590</v>
      </c>
      <c r="H976" s="14" t="s">
        <v>591</v>
      </c>
      <c r="I976" s="14" t="s">
        <v>592</v>
      </c>
      <c r="J976" s="14" t="s">
        <v>593</v>
      </c>
      <c r="K976" s="5" t="s">
        <v>557</v>
      </c>
    </row>
    <row r="977" customFormat="false" ht="17.15" hidden="false" customHeight="false" outlineLevel="0" collapsed="false">
      <c r="A977" s="6" t="s">
        <v>609</v>
      </c>
    </row>
    <row r="978" customFormat="false" ht="17.15" hidden="false" customHeight="false" outlineLevel="0" collapsed="false">
      <c r="A978" s="0" t="s">
        <v>610</v>
      </c>
      <c r="B978" s="4" t="s">
        <v>33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611</v>
      </c>
      <c r="B979" s="4" t="s">
        <v>33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561</v>
      </c>
      <c r="B980" s="0" t="s">
        <v>46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612</v>
      </c>
      <c r="B981" s="0" t="s">
        <v>46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563</v>
      </c>
      <c r="B982" s="4" t="s">
        <v>33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613</v>
      </c>
      <c r="B983" s="4" t="s">
        <v>33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614</v>
      </c>
      <c r="B984" s="0" t="s">
        <v>102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615</v>
      </c>
      <c r="B985" s="0" t="s">
        <v>102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616</v>
      </c>
      <c r="B986" s="0" t="s">
        <v>194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617</v>
      </c>
      <c r="B987" s="0" t="s">
        <v>86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618</v>
      </c>
      <c r="B988" s="0" t="s">
        <v>86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619</v>
      </c>
      <c r="B989" s="0" t="s">
        <v>86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620</v>
      </c>
      <c r="B990" s="0" t="s">
        <v>86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621</v>
      </c>
      <c r="B991" s="0" t="s">
        <v>86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622</v>
      </c>
    </row>
    <row r="992" customFormat="false" ht="17.15" hidden="false" customHeight="false" outlineLevel="0" collapsed="false">
      <c r="A992" s="4" t="s">
        <v>623</v>
      </c>
      <c r="B992" s="0" t="s">
        <v>86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624</v>
      </c>
      <c r="B993" s="0" t="s">
        <v>279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625</v>
      </c>
      <c r="B994" s="0" t="s">
        <v>65</v>
      </c>
      <c r="D994" s="20" t="n">
        <f aca="false">dc26/D993</f>
        <v>1.07309401333727</v>
      </c>
      <c r="K994" s="8" t="s">
        <v>626</v>
      </c>
    </row>
    <row r="995" customFormat="false" ht="17.15" hidden="false" customHeight="false" outlineLevel="0" collapsed="false">
      <c r="A995" s="0" t="s">
        <v>627</v>
      </c>
      <c r="B995" s="0" t="s">
        <v>279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628</v>
      </c>
      <c r="B996" s="0" t="s">
        <v>288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629</v>
      </c>
      <c r="B997" s="0" t="s">
        <v>301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630</v>
      </c>
      <c r="B998" s="0" t="s">
        <v>301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631</v>
      </c>
      <c r="B999" s="0" t="s">
        <v>301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632</v>
      </c>
      <c r="B1000" s="4" t="s">
        <v>33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633</v>
      </c>
      <c r="B1001" s="0" t="s">
        <v>86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634</v>
      </c>
    </row>
    <row r="1003" customFormat="false" ht="15" hidden="false" customHeight="false" outlineLevel="0" collapsed="false">
      <c r="A1003" s="4" t="s">
        <v>635</v>
      </c>
      <c r="B1003" s="0" t="s">
        <v>301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636</v>
      </c>
      <c r="B1004" s="0" t="s">
        <v>301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637</v>
      </c>
      <c r="B1005" s="0" t="s">
        <v>301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638</v>
      </c>
      <c r="B1006" s="0" t="s">
        <v>301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501</v>
      </c>
      <c r="B1007" s="0" t="s">
        <v>301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639</v>
      </c>
    </row>
    <row r="1008" customFormat="false" ht="15" hidden="false" customHeight="false" outlineLevel="0" collapsed="false">
      <c r="A1008" s="4" t="s">
        <v>640</v>
      </c>
      <c r="B1008" s="0" t="s">
        <v>46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641</v>
      </c>
      <c r="B1009" s="0" t="s">
        <v>46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642</v>
      </c>
      <c r="B1010" s="0" t="s">
        <v>46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643</v>
      </c>
    </row>
    <row r="1012" customFormat="false" ht="17.15" hidden="false" customHeight="false" outlineLevel="0" collapsed="false">
      <c r="A1012" s="0" t="s">
        <v>644</v>
      </c>
      <c r="B1012" s="0" t="s">
        <v>301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645</v>
      </c>
      <c r="B1013" s="0" t="s">
        <v>46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646</v>
      </c>
    </row>
    <row r="1014" customFormat="false" ht="15" hidden="false" customHeight="false" outlineLevel="0" collapsed="false">
      <c r="A1014" s="4" t="s">
        <v>517</v>
      </c>
      <c r="B1014" s="0" t="s">
        <v>301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520</v>
      </c>
      <c r="B1015" s="0" t="s">
        <v>46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647</v>
      </c>
      <c r="B1016" s="0" t="s">
        <v>301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524</v>
      </c>
      <c r="B1017" s="0" t="s">
        <v>301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598</v>
      </c>
      <c r="B1018" s="0" t="s">
        <v>46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526</v>
      </c>
      <c r="B1019" s="0" t="s">
        <v>301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528</v>
      </c>
      <c r="B1020" s="0" t="s">
        <v>301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529</v>
      </c>
      <c r="B1021" s="0" t="s">
        <v>301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530</v>
      </c>
      <c r="B1022" s="0" t="s">
        <v>301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532</v>
      </c>
      <c r="B1023" s="0" t="s">
        <v>301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648</v>
      </c>
      <c r="B1024" s="4" t="s">
        <v>346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537</v>
      </c>
      <c r="B1025" s="0" t="s">
        <v>403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649</v>
      </c>
      <c r="B1026" s="0" t="s">
        <v>46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650</v>
      </c>
      <c r="B1027" s="0" t="s">
        <v>46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953</v>
      </c>
    </row>
    <row r="1031" customFormat="false" ht="17.15" hidden="false" customHeight="false" outlineLevel="0" collapsed="false">
      <c r="A1031" s="5" t="s">
        <v>22</v>
      </c>
      <c r="B1031" s="5" t="s">
        <v>23</v>
      </c>
      <c r="C1031" s="14" t="s">
        <v>494</v>
      </c>
      <c r="D1031" s="14" t="s">
        <v>587</v>
      </c>
      <c r="E1031" s="14" t="s">
        <v>588</v>
      </c>
      <c r="F1031" s="14" t="s">
        <v>589</v>
      </c>
      <c r="G1031" s="14" t="s">
        <v>590</v>
      </c>
      <c r="H1031" s="14" t="s">
        <v>591</v>
      </c>
      <c r="I1031" s="14" t="s">
        <v>592</v>
      </c>
      <c r="J1031" s="14" t="s">
        <v>593</v>
      </c>
      <c r="K1031" s="5" t="s">
        <v>557</v>
      </c>
    </row>
    <row r="1032" customFormat="false" ht="17.15" hidden="false" customHeight="false" outlineLevel="0" collapsed="false">
      <c r="A1032" s="6" t="s">
        <v>609</v>
      </c>
    </row>
    <row r="1033" customFormat="false" ht="17.15" hidden="false" customHeight="false" outlineLevel="0" collapsed="false">
      <c r="A1033" s="0" t="s">
        <v>610</v>
      </c>
      <c r="B1033" s="4" t="s">
        <v>33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611</v>
      </c>
      <c r="B1034" s="4" t="s">
        <v>33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561</v>
      </c>
      <c r="B1035" s="0" t="s">
        <v>46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612</v>
      </c>
      <c r="B1036" s="0" t="s">
        <v>46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563</v>
      </c>
      <c r="B1037" s="4" t="s">
        <v>33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613</v>
      </c>
      <c r="B1038" s="4" t="s">
        <v>33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614</v>
      </c>
      <c r="B1039" s="0" t="s">
        <v>102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615</v>
      </c>
      <c r="B1040" s="0" t="s">
        <v>102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616</v>
      </c>
      <c r="B1041" s="0" t="s">
        <v>194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617</v>
      </c>
      <c r="B1042" s="0" t="s">
        <v>86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618</v>
      </c>
      <c r="B1043" s="0" t="s">
        <v>86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619</v>
      </c>
      <c r="B1044" s="0" t="s">
        <v>86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620</v>
      </c>
      <c r="B1045" s="0" t="s">
        <v>86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621</v>
      </c>
      <c r="B1046" s="0" t="s">
        <v>86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622</v>
      </c>
    </row>
    <row r="1047" customFormat="false" ht="17.15" hidden="false" customHeight="false" outlineLevel="0" collapsed="false">
      <c r="A1047" s="4" t="s">
        <v>623</v>
      </c>
      <c r="B1047" s="0" t="s">
        <v>86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624</v>
      </c>
      <c r="B1048" s="0" t="s">
        <v>279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625</v>
      </c>
      <c r="B1049" s="0" t="s">
        <v>65</v>
      </c>
      <c r="D1049" s="20" t="n">
        <f aca="false">dc26/D1048</f>
        <v>1.07309401333727</v>
      </c>
      <c r="K1049" s="8" t="s">
        <v>626</v>
      </c>
    </row>
    <row r="1050" customFormat="false" ht="17.15" hidden="false" customHeight="false" outlineLevel="0" collapsed="false">
      <c r="A1050" s="0" t="s">
        <v>627</v>
      </c>
      <c r="B1050" s="0" t="s">
        <v>279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628</v>
      </c>
      <c r="B1051" s="0" t="s">
        <v>288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629</v>
      </c>
      <c r="B1052" s="0" t="s">
        <v>301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630</v>
      </c>
      <c r="B1053" s="0" t="s">
        <v>301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631</v>
      </c>
      <c r="B1054" s="0" t="s">
        <v>301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632</v>
      </c>
      <c r="B1055" s="4" t="s">
        <v>33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633</v>
      </c>
      <c r="B1056" s="0" t="s">
        <v>86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634</v>
      </c>
    </row>
    <row r="1058" customFormat="false" ht="15" hidden="false" customHeight="false" outlineLevel="0" collapsed="false">
      <c r="A1058" s="4" t="s">
        <v>635</v>
      </c>
      <c r="B1058" s="0" t="s">
        <v>301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636</v>
      </c>
      <c r="B1059" s="0" t="s">
        <v>301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637</v>
      </c>
      <c r="B1060" s="0" t="s">
        <v>301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638</v>
      </c>
      <c r="B1061" s="0" t="s">
        <v>301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501</v>
      </c>
      <c r="B1062" s="0" t="s">
        <v>301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639</v>
      </c>
    </row>
    <row r="1063" customFormat="false" ht="15" hidden="false" customHeight="false" outlineLevel="0" collapsed="false">
      <c r="A1063" s="4" t="s">
        <v>640</v>
      </c>
      <c r="B1063" s="0" t="s">
        <v>46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641</v>
      </c>
      <c r="B1064" s="0" t="s">
        <v>46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642</v>
      </c>
      <c r="B1065" s="0" t="s">
        <v>46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643</v>
      </c>
    </row>
    <row r="1067" customFormat="false" ht="17.15" hidden="false" customHeight="false" outlineLevel="0" collapsed="false">
      <c r="A1067" s="0" t="s">
        <v>644</v>
      </c>
      <c r="B1067" s="0" t="s">
        <v>301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645</v>
      </c>
      <c r="B1068" s="0" t="s">
        <v>46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646</v>
      </c>
    </row>
    <row r="1069" customFormat="false" ht="15" hidden="false" customHeight="false" outlineLevel="0" collapsed="false">
      <c r="A1069" s="4" t="s">
        <v>517</v>
      </c>
      <c r="B1069" s="0" t="s">
        <v>301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520</v>
      </c>
      <c r="B1070" s="0" t="s">
        <v>46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647</v>
      </c>
      <c r="B1071" s="0" t="s">
        <v>301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524</v>
      </c>
      <c r="B1072" s="0" t="s">
        <v>301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598</v>
      </c>
      <c r="B1073" s="0" t="s">
        <v>46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526</v>
      </c>
      <c r="B1074" s="0" t="s">
        <v>301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528</v>
      </c>
      <c r="B1075" s="0" t="s">
        <v>301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529</v>
      </c>
      <c r="B1076" s="0" t="s">
        <v>301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530</v>
      </c>
      <c r="B1077" s="0" t="s">
        <v>301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532</v>
      </c>
      <c r="B1078" s="0" t="s">
        <v>301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648</v>
      </c>
      <c r="B1079" s="4" t="s">
        <v>346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537</v>
      </c>
      <c r="B1080" s="0" t="s">
        <v>403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649</v>
      </c>
      <c r="B1081" s="0" t="s">
        <v>46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650</v>
      </c>
      <c r="B1082" s="0" t="s">
        <v>46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954</v>
      </c>
    </row>
    <row r="2" customFormat="false" ht="17.15" hidden="false" customHeight="false" outlineLevel="0" collapsed="false">
      <c r="A2" s="4" t="s">
        <v>955</v>
      </c>
      <c r="B2" s="0" t="s">
        <v>956</v>
      </c>
    </row>
    <row r="3" customFormat="false" ht="17.15" hidden="false" customHeight="false" outlineLevel="0" collapsed="false">
      <c r="A3" s="4" t="s">
        <v>957</v>
      </c>
      <c r="B3" s="0" t="s">
        <v>958</v>
      </c>
    </row>
    <row r="4" customFormat="false" ht="17.15" hidden="false" customHeight="false" outlineLevel="0" collapsed="false">
      <c r="A4" s="4" t="s">
        <v>959</v>
      </c>
      <c r="B4" s="0" t="s">
        <v>960</v>
      </c>
    </row>
    <row r="5" customFormat="false" ht="17.15" hidden="false" customHeight="false" outlineLevel="0" collapsed="false">
      <c r="A5" s="4" t="s">
        <v>961</v>
      </c>
      <c r="B5" s="0" t="s">
        <v>962</v>
      </c>
    </row>
    <row r="6" customFormat="false" ht="17.15" hidden="false" customHeight="false" outlineLevel="0" collapsed="false">
      <c r="A6" s="4" t="s">
        <v>963</v>
      </c>
      <c r="B6" s="0" t="s">
        <v>964</v>
      </c>
    </row>
    <row r="7" customFormat="false" ht="17.15" hidden="false" customHeight="false" outlineLevel="0" collapsed="false">
      <c r="A7" s="4" t="s">
        <v>965</v>
      </c>
      <c r="B7" s="0" t="s">
        <v>966</v>
      </c>
    </row>
    <row r="8" customFormat="false" ht="17.15" hidden="false" customHeight="false" outlineLevel="0" collapsed="false">
      <c r="A8" s="4" t="s">
        <v>967</v>
      </c>
      <c r="B8" s="0" t="s">
        <v>968</v>
      </c>
    </row>
    <row r="9" customFormat="false" ht="17.15" hidden="false" customHeight="false" outlineLevel="0" collapsed="false">
      <c r="A9" s="4" t="s">
        <v>969</v>
      </c>
      <c r="B9" s="0" t="s">
        <v>970</v>
      </c>
    </row>
    <row r="10" customFormat="false" ht="17.15" hidden="false" customHeight="false" outlineLevel="0" collapsed="false">
      <c r="A10" s="4" t="s">
        <v>971</v>
      </c>
      <c r="B10" s="0" t="s">
        <v>972</v>
      </c>
    </row>
    <row r="11" customFormat="false" ht="17.15" hidden="false" customHeight="false" outlineLevel="0" collapsed="false">
      <c r="A11" s="4" t="s">
        <v>973</v>
      </c>
      <c r="B11" s="0" t="s">
        <v>974</v>
      </c>
    </row>
    <row r="12" customFormat="false" ht="17.15" hidden="false" customHeight="false" outlineLevel="0" collapsed="false">
      <c r="A12" s="4" t="s">
        <v>975</v>
      </c>
      <c r="B12" s="0" t="s">
        <v>976</v>
      </c>
    </row>
    <row r="13" customFormat="false" ht="17.15" hidden="false" customHeight="false" outlineLevel="0" collapsed="false">
      <c r="A13" s="4" t="s">
        <v>977</v>
      </c>
      <c r="B13" s="0" t="s">
        <v>978</v>
      </c>
    </row>
    <row r="14" customFormat="false" ht="17.15" hidden="false" customHeight="false" outlineLevel="0" collapsed="false">
      <c r="A14" s="4" t="s">
        <v>979</v>
      </c>
      <c r="B14" s="0" t="s">
        <v>980</v>
      </c>
    </row>
    <row r="15" customFormat="false" ht="17.15" hidden="false" customHeight="false" outlineLevel="0" collapsed="false">
      <c r="A15" s="4" t="s">
        <v>981</v>
      </c>
      <c r="B15" s="0" t="s">
        <v>982</v>
      </c>
    </row>
    <row r="16" customFormat="false" ht="17.15" hidden="false" customHeight="false" outlineLevel="0" collapsed="false">
      <c r="A16" s="4" t="s">
        <v>983</v>
      </c>
      <c r="B16" s="0" t="s">
        <v>984</v>
      </c>
    </row>
    <row r="17" customFormat="false" ht="17.15" hidden="false" customHeight="false" outlineLevel="0" collapsed="false">
      <c r="A17" s="4" t="s">
        <v>985</v>
      </c>
      <c r="B17" s="0" t="s">
        <v>986</v>
      </c>
    </row>
    <row r="18" customFormat="false" ht="17.15" hidden="false" customHeight="false" outlineLevel="0" collapsed="false">
      <c r="A18" s="4" t="s">
        <v>987</v>
      </c>
      <c r="B18" s="0" t="s">
        <v>988</v>
      </c>
    </row>
    <row r="19" customFormat="false" ht="17.15" hidden="false" customHeight="false" outlineLevel="0" collapsed="false">
      <c r="A19" s="4" t="s">
        <v>989</v>
      </c>
      <c r="B19" s="0" t="s">
        <v>990</v>
      </c>
    </row>
    <row r="20" customFormat="false" ht="17.15" hidden="false" customHeight="false" outlineLevel="0" collapsed="false">
      <c r="A20" s="4" t="s">
        <v>991</v>
      </c>
      <c r="B20" s="0" t="s">
        <v>992</v>
      </c>
    </row>
    <row r="21" customFormat="false" ht="17.15" hidden="false" customHeight="false" outlineLevel="0" collapsed="false">
      <c r="A21" s="4" t="s">
        <v>993</v>
      </c>
      <c r="B21" s="0" t="s">
        <v>994</v>
      </c>
    </row>
    <row r="22" customFormat="false" ht="17.15" hidden="false" customHeight="false" outlineLevel="0" collapsed="false">
      <c r="A22" s="4" t="s">
        <v>995</v>
      </c>
      <c r="B22" s="4" t="s">
        <v>996</v>
      </c>
    </row>
    <row r="23" customFormat="false" ht="15" hidden="false" customHeight="false" outlineLevel="0" collapsed="false">
      <c r="A23" s="0" t="s">
        <v>997</v>
      </c>
      <c r="B23" s="4" t="s">
        <v>998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2026-10-28T09:19:17Z</dcterms:created>
  <dc:creator>openpyxl</dc:creator>
  <dc:description/>
  <dc:language>en-US</dc:language>
  <cp:lastModifiedBy/>
  <dcterms:modified xsi:type="dcterms:W3CDTF">2026-10-28T09:19:18Z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