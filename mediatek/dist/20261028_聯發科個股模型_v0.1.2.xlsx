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sic" vbProcedure="false">Q!$B$8</definedName>
    <definedName function="false" hidden="false" name="a25_eps" vbProcedure="false">Q!$B$21</definedName>
    <definedName function="false" hidden="false" name="a25_gp" vbProcedure="false">Q!$B$10</definedName>
    <definedName function="false" hidden="false" name="a25_mob" vbProcedure="false">Q!$B$5</definedName>
    <definedName function="false" hidden="false" name="a25_nci" vbProcedure="false">Q!$B$17</definedName>
    <definedName function="false" hidden="false" name="a25_ni" vbProcedure="false">Q!$B$18</definedName>
    <definedName function="false" hidden="false" name="a25_nonop" vbProcedure="false">Q!$B$14</definedName>
    <definedName function="false" hidden="false" name="a25_oi" vbProcedure="false">Q!$B$13</definedName>
    <definedName function="false" hidden="false" name="a25_opx" vbProcedure="false">Q!$B$12</definedName>
    <definedName function="false" hidden="false" name="a25_pic" vbProcedure="false">Q!$B$7</definedName>
    <definedName function="false" hidden="false" name="a25_rev" vbProcedure="false">Q!$B$4</definedName>
    <definedName function="false" hidden="false" name="a25_sep" vbProcedure="false">Q!$B$6</definedName>
    <definedName function="false" hidden="false" name="a25_sepx" vbProcedure="false">Q!$B$9</definedName>
    <definedName function="false" hidden="false" name="a25_sh" vbProcedure="false">Q!$B$20</definedName>
    <definedName function="false" hidden="false" name="a25_tax" vbProcedure="false">Q!$B$16</definedName>
    <definedName function="false" hidden="false" name="a26_asic" vbProcedure="false">Q!$G$8</definedName>
    <definedName function="false" hidden="false" name="a26_eps" vbProcedure="false">Q!$G$21</definedName>
    <definedName function="false" hidden="false" name="a26_gp" vbProcedure="false">Q!$G$10</definedName>
    <definedName function="false" hidden="false" name="a26_mob" vbProcedure="false">Q!$G$5</definedName>
    <definedName function="false" hidden="false" name="a26_nci" vbProcedure="false">Q!$G$17</definedName>
    <definedName function="false" hidden="false" name="a26_ni" vbProcedure="false">Q!$G$18</definedName>
    <definedName function="false" hidden="false" name="a26_nonop" vbProcedure="false">Q!$G$14</definedName>
    <definedName function="false" hidden="false" name="a26_oi" vbProcedure="false">Q!$G$13</definedName>
    <definedName function="false" hidden="false" name="a26_opx" vbProcedure="false">Q!$G$12</definedName>
    <definedName function="false" hidden="false" name="a26_pic" vbProcedure="false">Q!$G$7</definedName>
    <definedName function="false" hidden="false" name="a26_rev" vbProcedure="false">Q!$G$4</definedName>
    <definedName function="false" hidden="false" name="a26_sep" vbProcedure="false">Q!$G$6</definedName>
    <definedName function="false" hidden="false" name="a26_sepx" vbProcedure="false">Q!$G$9</definedName>
    <definedName function="false" hidden="false" name="a26_sh" vbProcedure="false">Q!$G$20</definedName>
    <definedName function="false" hidden="false" name="a26_tax" vbProcedure="false">Q!$G$16</definedName>
    <definedName function="false" hidden="false" name="asic13" vbProcedure="false">In!$E$87</definedName>
    <definedName function="false" hidden="false" name="asic13_hi" vbProcedure="false">In!$F$87</definedName>
    <definedName function="false" hidden="false" name="asic13_lo" vbProcedure="false">In!$D$87</definedName>
    <definedName function="false" hidden="false" name="av_oth_26" vbProcedure="false">In!$E$36</definedName>
    <definedName function="false" hidden="false" name="av_oth_27" vbProcedure="false">In!$E$38</definedName>
    <definedName function="false" hidden="false" name="av_oth_28" vbProcedure="false">In!$E$40</definedName>
    <definedName function="false" hidden="false" name="av_tpu_26" vbProcedure="false">In!$E$30</definedName>
    <definedName function="false" hidden="false" name="av_tpu_27" vbProcedure="false">In!$E$32</definedName>
    <definedName function="false" hidden="false" name="av_tpu_28" vbProcedure="false">In!$E$34</definedName>
    <definedName function="false" hidden="false" name="citi_eps27" vbProcedure="false">In!$E$125</definedName>
    <definedName function="false" hidden="false" name="citi_eps28" vbProcedure="false">In!$E$127</definedName>
    <definedName function="false" hidden="false" name="cons_eps26" vbProcedure="false">In!$E$122</definedName>
    <definedName function="false" hidden="false" name="cons_eps26_hi" vbProcedure="false">In!$F$122</definedName>
    <definedName function="false" hidden="false" name="cons_eps26_lo" vbProcedure="false">In!$D$122</definedName>
    <definedName function="false" hidden="false" name="cons_feps" vbProcedure="false">In!$E$135</definedName>
    <definedName function="false" hidden="false" name="cons_rev26" vbProcedure="false">In!$E$121</definedName>
    <definedName function="false" hidden="false" name="cons_rev26_hi" vbProcedure="false">In!$F$121</definedName>
    <definedName function="false" hidden="false" name="cons_rev26_lo" vbProcedure="false">In!$D$121</definedName>
    <definedName function="false" hidden="false" name="cons_tp" vbProcedure="false">In!$E$136</definedName>
    <definedName function="false" hidden="false" name="cons_tp_hi" vbProcedure="false">In!$F$136</definedName>
    <definedName function="false" hidden="false" name="cons_tp_lo" vbProcedure="false">In!$D$136</definedName>
    <definedName function="false" hidden="false" name="core_oth" vbProcedure="false">In!$E$21</definedName>
    <definedName function="false" hidden="false" name="core_oth_hi" vbProcedure="false">In!$F$21</definedName>
    <definedName function="false" hidden="false" name="core_oth_lo" vbProcedure="false">In!$D$21</definedName>
    <definedName function="false" hidden="false" name="core_tpu" vbProcedure="false">In!$E$20</definedName>
    <definedName function="false" hidden="false" name="core_tpu_hi" vbProcedure="false">In!$F$20</definedName>
    <definedName function="false" hidden="false" name="core_tpu_lo" vbProcedure="false">In!$D$20</definedName>
    <definedName function="false" hidden="false" name="co_dc27sh" vbProcedure="false">In!$E$120</definedName>
    <definedName function="false" hidden="false" name="co_g26" vbProcedure="false">In!$E$117</definedName>
    <definedName function="false" hidden="false" name="co_g26_hi" vbProcedure="false">In!$F$117</definedName>
    <definedName function="false" hidden="false" name="co_g26_lo" vbProcedure="false">In!$D$117</definedName>
    <definedName function="false" hidden="false" name="co_sam27" vbProcedure="false">In!$E$118</definedName>
    <definedName function="false" hidden="false" name="co_sam27_hi" vbProcedure="false">In!$F$118</definedName>
    <definedName function="false" hidden="false" name="co_sam27_lo" vbProcedure="false">In!$D$118</definedName>
    <definedName function="false" hidden="false" name="co_sh27" vbProcedure="false">In!$E$119</definedName>
    <definedName function="false" hidden="false" name="co_sh27_hi" vbProcedure="false">In!$F$119</definedName>
    <definedName function="false" hidden="false" name="co_sh27_lo" vbProcedure="false">In!$D$119</definedName>
    <definedName function="false" hidden="false" name="co_usd25" vbProcedure="false">In!$E$116</definedName>
    <definedName function="false" hidden="false" name="dc26" vbProcedure="false">In!$E$86</definedName>
    <definedName function="false" hidden="false" name="dc26_hi" vbProcedure="false">In!$F$86</definedName>
    <definedName function="false" hidden="false" name="dc26_lo" vbProcedure="false">In!$D$86</definedName>
    <definedName function="false" hidden="false" name="fade_gA" vbProcedure="false">In!$E$146</definedName>
    <definedName function="false" hidden="false" name="fade_gB" vbProcedure="false">In!$E$147</definedName>
    <definedName function="false" hidden="false" name="fade_gC" vbProcedure="false">In!$E$148</definedName>
    <definedName function="false" hidden="false" name="fade_mA" vbProcedure="false">In!$E$149</definedName>
    <definedName function="false" hidden="false" name="fade_mB" vbProcedure="false">In!$E$150</definedName>
    <definedName function="false" hidden="false" name="fade_mC" vbProcedure="false">In!$E$151</definedName>
    <definedName function="false" hidden="false" name="fpe" vbProcedure="false">In!$E$134</definedName>
    <definedName function="false" hidden="false" name="fx" vbProcedure="false">In!$E$114</definedName>
    <definedName function="false" hidden="false" name="fx26" vbProcedure="false">In!$E$90</definedName>
    <definedName function="false" hidden="false" name="fx26_hi" vbProcedure="false">In!$F$90</definedName>
    <definedName function="false" hidden="false" name="fx26_lo" vbProcedure="false">In!$D$90</definedName>
    <definedName function="false" hidden="false" name="fx_hi" vbProcedure="false">In!$F$114</definedName>
    <definedName function="false" hidden="false" name="fx_lo" vbProcedure="false">In!$D$114</definedName>
    <definedName function="false" hidden="false" name="fx_q1" vbProcedure="false">In!$E$88</definedName>
    <definedName function="false" hidden="false" name="fx_q2" vbProcedure="false">In!$E$89</definedName>
    <definedName function="false" hidden="false" name="f_hbm" vbProcedure="false">In!$E$22</definedName>
    <definedName function="false" hidden="false" name="f_hbm_hi" vbProcedure="false">In!$F$22</definedName>
    <definedName function="false" hidden="false" name="f_hbm_lo" vbProcedure="false">In!$D$22</definedName>
    <definedName function="false" hidden="false" name="g29_oth" vbProcedure="false">In!$E$12</definedName>
    <definedName function="false" hidden="false" name="g29_tpu" vbProcedure="false">In!$E$8</definedName>
    <definedName function="false" hidden="false" name="gb_oth_26" vbProcedure="false">In!$E$27</definedName>
    <definedName function="false" hidden="false" name="gb_oth_27" vbProcedure="false">In!$E$28</definedName>
    <definedName function="false" hidden="false" name="gb_oth_28" vbProcedure="false">In!$E$29</definedName>
    <definedName function="false" hidden="false" name="gb_tpu_26" vbProcedure="false">In!$E$24</definedName>
    <definedName function="false" hidden="false" name="gb_tpu_27" vbProcedure="false">In!$E$25</definedName>
    <definedName function="false" hidden="false" name="gb_tpu_28" vbProcedure="false">In!$E$26</definedName>
    <definedName function="false" hidden="false" name="gmadj" vbProcedure="false">In!$E$84</definedName>
    <definedName function="false" hidden="false" name="gmadj_hi" vbProcedure="false">In!$F$84</definedName>
    <definedName function="false" hidden="false" name="gmadj_lo" vbProcedure="false">In!$D$84</definedName>
    <definedName function="false" hidden="false" name="g_mob27_A" vbProcedure="false">In!$E$66</definedName>
    <definedName function="false" hidden="false" name="g_mob27_A_hi" vbProcedure="false">In!$F$66</definedName>
    <definedName function="false" hidden="false" name="g_mob27_A_lo" vbProcedure="false">In!$D$66</definedName>
    <definedName function="false" hidden="false" name="g_mob27_B" vbProcedure="false">In!$E$68</definedName>
    <definedName function="false" hidden="false" name="g_mob27_B_hi" vbProcedure="false">In!$F$68</definedName>
    <definedName function="false" hidden="false" name="g_mob27_B_lo" vbProcedure="false">In!$D$68</definedName>
    <definedName function="false" hidden="false" name="g_mob27_C" vbProcedure="false">In!$E$70</definedName>
    <definedName function="false" hidden="false" name="g_mob27_C_hi" vbProcedure="false">In!$F$70</definedName>
    <definedName function="false" hidden="false" name="g_mob27_C_lo" vbProcedure="false">In!$D$70</definedName>
    <definedName function="false" hidden="false" name="g_mobL_A" vbProcedure="false">In!$E$67</definedName>
    <definedName function="false" hidden="false" name="g_mobL_A_hi" vbProcedure="false">In!$F$67</definedName>
    <definedName function="false" hidden="false" name="g_mobL_A_lo" vbProcedure="false">In!$D$67</definedName>
    <definedName function="false" hidden="false" name="g_mobL_B" vbProcedure="false">In!$E$69</definedName>
    <definedName function="false" hidden="false" name="g_mobL_B_hi" vbProcedure="false">In!$F$69</definedName>
    <definedName function="false" hidden="false" name="g_mobL_B_lo" vbProcedure="false">In!$D$69</definedName>
    <definedName function="false" hidden="false" name="g_mobL_C" vbProcedure="false">In!$E$71</definedName>
    <definedName function="false" hidden="false" name="g_mobL_C_hi" vbProcedure="false">In!$F$71</definedName>
    <definedName function="false" hidden="false" name="g_mobL_C_lo" vbProcedure="false">In!$D$71</definedName>
    <definedName function="false" hidden="false" name="g_opx_min" vbProcedure="false">In!$E$108</definedName>
    <definedName function="false" hidden="false" name="g_opx_min_hi" vbProcedure="false">In!$F$108</definedName>
    <definedName function="false" hidden="false" name="g_opx_min_lo" vbProcedure="false">In!$D$108</definedName>
    <definedName function="false" hidden="false" name="g_pic27_A" vbProcedure="false">In!$E$78</definedName>
    <definedName function="false" hidden="false" name="g_pic27_A_hi" vbProcedure="false">In!$F$78</definedName>
    <definedName function="false" hidden="false" name="g_pic27_A_lo" vbProcedure="false">In!$D$78</definedName>
    <definedName function="false" hidden="false" name="g_pic27_B" vbProcedure="false">In!$E$80</definedName>
    <definedName function="false" hidden="false" name="g_pic27_B_hi" vbProcedure="false">In!$F$80</definedName>
    <definedName function="false" hidden="false" name="g_pic27_B_lo" vbProcedure="false">In!$D$80</definedName>
    <definedName function="false" hidden="false" name="g_pic27_C" vbProcedure="false">In!$E$82</definedName>
    <definedName function="false" hidden="false" name="g_pic27_C_hi" vbProcedure="false">In!$F$82</definedName>
    <definedName function="false" hidden="false" name="g_pic27_C_lo" vbProcedure="false">In!$D$82</definedName>
    <definedName function="false" hidden="false" name="g_picL_A" vbProcedure="false">In!$E$79</definedName>
    <definedName function="false" hidden="false" name="g_picL_A_hi" vbProcedure="false">In!$F$79</definedName>
    <definedName function="false" hidden="false" name="g_picL_A_lo" vbProcedure="false">In!$D$79</definedName>
    <definedName function="false" hidden="false" name="g_picL_B" vbProcedure="false">In!$E$81</definedName>
    <definedName function="false" hidden="false" name="g_picL_B_hi" vbProcedure="false">In!$F$81</definedName>
    <definedName function="false" hidden="false" name="g_picL_B_lo" vbProcedure="false">In!$D$81</definedName>
    <definedName function="false" hidden="false" name="g_picL_C" vbProcedure="false">In!$E$83</definedName>
    <definedName function="false" hidden="false" name="g_picL_C_hi" vbProcedure="false">In!$F$83</definedName>
    <definedName function="false" hidden="false" name="g_picL_C_lo" vbProcedure="false">In!$D$83</definedName>
    <definedName function="false" hidden="false" name="g_sep27_A" vbProcedure="false">In!$E$72</definedName>
    <definedName function="false" hidden="false" name="g_sep27_A_hi" vbProcedure="false">In!$F$72</definedName>
    <definedName function="false" hidden="false" name="g_sep27_A_lo" vbProcedure="false">In!$D$72</definedName>
    <definedName function="false" hidden="false" name="g_sep27_B" vbProcedure="false">In!$E$74</definedName>
    <definedName function="false" hidden="false" name="g_sep27_B_hi" vbProcedure="false">In!$F$74</definedName>
    <definedName function="false" hidden="false" name="g_sep27_B_lo" vbProcedure="false">In!$D$74</definedName>
    <definedName function="false" hidden="false" name="g_sep27_C" vbProcedure="false">In!$E$76</definedName>
    <definedName function="false" hidden="false" name="g_sep27_C_hi" vbProcedure="false">In!$F$76</definedName>
    <definedName function="false" hidden="false" name="g_sep27_C_lo" vbProcedure="false">In!$D$76</definedName>
    <definedName function="false" hidden="false" name="g_sepL_A" vbProcedure="false">In!$E$73</definedName>
    <definedName function="false" hidden="false" name="g_sepL_A_hi" vbProcedure="false">In!$F$73</definedName>
    <definedName function="false" hidden="false" name="g_sepL_A_lo" vbProcedure="false">In!$D$73</definedName>
    <definedName function="false" hidden="false" name="g_sepL_B" vbProcedure="false">In!$E$75</definedName>
    <definedName function="false" hidden="false" name="g_sepL_B_hi" vbProcedure="false">In!$F$75</definedName>
    <definedName function="false" hidden="false" name="g_sepL_B_lo" vbProcedure="false">In!$D$75</definedName>
    <definedName function="false" hidden="false" name="g_sepL_C" vbProcedure="false">In!$E$77</definedName>
    <definedName function="false" hidden="false" name="g_sepL_C_hi" vbProcedure="false">In!$F$77</definedName>
    <definedName function="false" hidden="false" name="g_sepL_C_lo" vbProcedure="false">In!$D$77</definedName>
    <definedName function="false" hidden="false" name="hbm_A_26" vbProcedure="false">In!$E$53</definedName>
    <definedName function="false" hidden="false" name="hbm_A_27" vbProcedure="false">In!$E$54</definedName>
    <definedName function="false" hidden="false" name="hbm_A_28" vbProcedure="false">In!$E$55</definedName>
    <definedName function="false" hidden="false" name="hbm_A_29" vbProcedure="false">In!$E$56</definedName>
    <definedName function="false" hidden="false" name="hbm_B_26" vbProcedure="false">In!$E$57</definedName>
    <definedName function="false" hidden="false" name="hbm_B_27" vbProcedure="false">In!$E$58</definedName>
    <definedName function="false" hidden="false" name="hbm_B_28" vbProcedure="false">In!$E$59</definedName>
    <definedName function="false" hidden="false" name="hbm_B_29" vbProcedure="false">In!$E$60</definedName>
    <definedName function="false" hidden="false" name="hbm_C_26" vbProcedure="false">In!$E$61</definedName>
    <definedName function="false" hidden="false" name="hbm_C_27" vbProcedure="false">In!$E$62</definedName>
    <definedName function="false" hidden="false" name="hbm_C_28" vbProcedure="false">In!$E$63</definedName>
    <definedName function="false" hidden="false" name="hbm_C_29" vbProcedure="false">In!$E$64</definedName>
    <definedName function="false" hidden="false" name="hf26" vbProcedure="false">In!$E$51</definedName>
    <definedName function="false" hidden="false" name="kgi_eps27" vbProcedure="false">In!$E$124</definedName>
    <definedName function="false" hidden="false" name="kgi_eps28" vbProcedure="false">In!$E$126</definedName>
    <definedName function="false" hidden="false" name="kgi_rev27" vbProcedure="false">In!$E$123</definedName>
    <definedName function="false" hidden="false" name="mtk_oth_26" vbProcedure="false">In!$E$45</definedName>
    <definedName function="false" hidden="false" name="mtk_oth_26_hi" vbProcedure="false">In!$F$45</definedName>
    <definedName function="false" hidden="false" name="mtk_oth_26_lo" vbProcedure="false">In!$D$45</definedName>
    <definedName function="false" hidden="false" name="mtk_oth_27" vbProcedure="false">In!$E$46</definedName>
    <definedName function="false" hidden="false" name="mtk_oth_27_hi" vbProcedure="false">In!$F$46</definedName>
    <definedName function="false" hidden="false" name="mtk_oth_27_lo" vbProcedure="false">In!$D$46</definedName>
    <definedName function="false" hidden="false" name="mtk_oth_28" vbProcedure="false">In!$E$47</definedName>
    <definedName function="false" hidden="false" name="mtk_oth_28_hi" vbProcedure="false">In!$F$47</definedName>
    <definedName function="false" hidden="false" name="mtk_oth_28_lo" vbProcedure="false">In!$D$47</definedName>
    <definedName function="false" hidden="false" name="mtk_tpu_26" vbProcedure="false">In!$E$42</definedName>
    <definedName function="false" hidden="false" name="mtk_tpu_26_hi" vbProcedure="false">In!$F$42</definedName>
    <definedName function="false" hidden="false" name="mtk_tpu_26_lo" vbProcedure="false">In!$D$42</definedName>
    <definedName function="false" hidden="false" name="mtk_tpu_27" vbProcedure="false">In!$E$43</definedName>
    <definedName function="false" hidden="false" name="mtk_tpu_27_hi" vbProcedure="false">In!$F$43</definedName>
    <definedName function="false" hidden="false" name="mtk_tpu_27_lo" vbProcedure="false">In!$D$43</definedName>
    <definedName function="false" hidden="false" name="mtk_tpu_28" vbProcedure="false">In!$E$44</definedName>
    <definedName function="false" hidden="false" name="mtk_tpu_28_hi" vbProcedure="false">In!$F$44</definedName>
    <definedName function="false" hidden="false" name="mtk_tpu_28_lo" vbProcedure="false">In!$D$44</definedName>
    <definedName function="false" hidden="false" name="mv_oth_26" vbProcedure="false">In!$E$37</definedName>
    <definedName function="false" hidden="false" name="mv_oth_27" vbProcedure="false">In!$E$39</definedName>
    <definedName function="false" hidden="false" name="mv_oth_28" vbProcedure="false">In!$E$41</definedName>
    <definedName function="false" hidden="false" name="mv_tpu_26" vbProcedure="false">In!$E$31</definedName>
    <definedName function="false" hidden="false" name="mv_tpu_27" vbProcedure="false">In!$E$33</definedName>
    <definedName function="false" hidden="false" name="mv_tpu_28" vbProcedure="false">In!$E$35</definedName>
    <definedName function="false" hidden="false" name="m_core" vbProcedure="false">In!$E$50</definedName>
    <definedName function="false" hidden="false" name="m_core_hi" vbProcedure="false">In!$F$50</definedName>
    <definedName function="false" hidden="false" name="m_core_lo" vbProcedure="false">In!$D$50</definedName>
    <definedName function="false" hidden="false" name="m_hbm" vbProcedure="false">In!$E$23</definedName>
    <definedName function="false" hidden="false" name="m_hbm_hi" vbProcedure="false">In!$F$23</definedName>
    <definedName function="false" hidden="false" name="m_hbm_lo" vbProcedure="false">In!$D$23</definedName>
    <definedName function="false" hidden="false" name="nci" vbProcedure="false">In!$E$112</definedName>
    <definedName function="false" hidden="false" name="nim5" vbProcedure="false">In!$E$137</definedName>
    <definedName function="false" hidden="false" name="nonop_f" vbProcedure="false">In!$E$110</definedName>
    <definedName function="false" hidden="false" name="nonop_f_hi" vbProcedure="false">In!$F$110</definedName>
    <definedName function="false" hidden="false" name="nonop_f_lo" vbProcedure="false">In!$D$110</definedName>
    <definedName function="false" hidden="false" name="opx_adj" vbProcedure="false">In!$E$109</definedName>
    <definedName function="false" hidden="false" name="opx_adj_hi" vbProcedure="false">In!$F$109</definedName>
    <definedName function="false" hidden="false" name="opx_adj_lo" vbProcedure="false">In!$D$109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In!$E$133</definedName>
    <definedName function="false" hidden="false" name="pfc" vbProcedure="false">In!$E$48</definedName>
    <definedName function="false" hidden="false" name="pfc_hi" vbProcedure="false">In!$F$48</definedName>
    <definedName function="false" hidden="false" name="pfc_lo" vbProcedure="false">In!$D$48</definedName>
    <definedName function="false" hidden="false" name="phi" vbProcedure="false">In!$E$107</definedName>
    <definedName function="false" hidden="false" name="phi_hi" vbProcedure="false">In!$F$107</definedName>
    <definedName function="false" hidden="false" name="phi_lo" vbProcedure="false">In!$D$107</definedName>
    <definedName function="false" hidden="false" name="px" vbProcedure="false">In!$E$132</definedName>
    <definedName function="false" hidden="false" name="q3_gm" vbProcedure="false">In!$E$95</definedName>
    <definedName function="false" hidden="false" name="q3_gm_hi" vbProcedure="false">In!$F$95</definedName>
    <definedName function="false" hidden="false" name="q3_gm_lo" vbProcedure="false">In!$D$95</definedName>
    <definedName function="false" hidden="false" name="q3_mob" vbProcedure="false">In!$E$92</definedName>
    <definedName function="false" hidden="false" name="q3_mob_hi" vbProcedure="false">In!$F$92</definedName>
    <definedName function="false" hidden="false" name="q3_mob_lo" vbProcedure="false">In!$D$92</definedName>
    <definedName function="false" hidden="false" name="q3_opx" vbProcedure="false">In!$E$96</definedName>
    <definedName function="false" hidden="false" name="q3_opx_hi" vbProcedure="false">In!$F$96</definedName>
    <definedName function="false" hidden="false" name="q3_opx_lo" vbProcedure="false">In!$D$96</definedName>
    <definedName function="false" hidden="false" name="q3_pic" vbProcedure="false">In!$E$94</definedName>
    <definedName function="false" hidden="false" name="q3_pic_hi" vbProcedure="false">In!$F$94</definedName>
    <definedName function="false" hidden="false" name="q3_pic_lo" vbProcedure="false">In!$D$94</definedName>
    <definedName function="false" hidden="false" name="q3_rev" vbProcedure="false">In!$E$91</definedName>
    <definedName function="false" hidden="false" name="q3_sep" vbProcedure="false">In!$E$93</definedName>
    <definedName function="false" hidden="false" name="q3_sep_hi" vbProcedure="false">In!$F$93</definedName>
    <definedName function="false" hidden="false" name="q3_sep_lo" vbProcedure="false">In!$D$93</definedName>
    <definedName function="false" hidden="false" name="q4_gmx" vbProcedure="false">In!$E$100</definedName>
    <definedName function="false" hidden="false" name="q4_gmx_hi" vbProcedure="false">In!$F$100</definedName>
    <definedName function="false" hidden="false" name="q4_gmx_lo" vbProcedure="false">In!$D$100</definedName>
    <definedName function="false" hidden="false" name="q4_mob" vbProcedure="false">In!$E$97</definedName>
    <definedName function="false" hidden="false" name="q4_mob_hi" vbProcedure="false">In!$F$97</definedName>
    <definedName function="false" hidden="false" name="q4_mob_lo" vbProcedure="false">In!$D$97</definedName>
    <definedName function="false" hidden="false" name="q4_opx" vbProcedure="false">In!$E$101</definedName>
    <definedName function="false" hidden="false" name="q4_opx_hi" vbProcedure="false">In!$F$101</definedName>
    <definedName function="false" hidden="false" name="q4_opx_lo" vbProcedure="false">In!$D$101</definedName>
    <definedName function="false" hidden="false" name="q4_pic" vbProcedure="false">In!$E$99</definedName>
    <definedName function="false" hidden="false" name="q4_pic_hi" vbProcedure="false">In!$F$99</definedName>
    <definedName function="false" hidden="false" name="q4_pic_lo" vbProcedure="false">In!$D$99</definedName>
    <definedName function="false" hidden="false" name="q4_sepx" vbProcedure="false">In!$E$98</definedName>
    <definedName function="false" hidden="false" name="q4_sepx_hi" vbProcedure="false">In!$F$98</definedName>
    <definedName function="false" hidden="false" name="q4_sepx_lo" vbProcedure="false">In!$D$98</definedName>
    <definedName function="false" hidden="false" name="q_nci" vbProcedure="false">In!$E$104</definedName>
    <definedName function="false" hidden="false" name="q_nonop" vbProcedure="false">In!$E$102</definedName>
    <definedName function="false" hidden="false" name="q_nonop_hi" vbProcedure="false">In!$F$102</definedName>
    <definedName function="false" hidden="false" name="q_nonop_lo" vbProcedure="false">In!$D$102</definedName>
    <definedName function="false" hidden="false" name="q_sh" vbProcedure="false">In!$E$105</definedName>
    <definedName function="false" hidden="false" name="q_tax" vbProcedure="false">In!$E$103</definedName>
    <definedName function="false" hidden="false" name="q_tax_hi" vbProcedure="false">In!$F$103</definedName>
    <definedName function="false" hidden="false" name="q_tax_lo" vbProcedure="false">In!$D$103</definedName>
    <definedName function="false" hidden="false" name="sh_g" vbProcedure="false">In!$E$113</definedName>
    <definedName function="false" hidden="false" name="sh_g_hi" vbProcedure="false">In!$F$113</definedName>
    <definedName function="false" hidden="false" name="sh_g_lo" vbProcedure="false">In!$D$113</definedName>
    <definedName function="false" hidden="false" name="ss_asic27" vbProcedure="false">In!$E$130</definedName>
    <definedName function="false" hidden="false" name="ss_asic27_hi" vbProcedure="false">In!$F$130</definedName>
    <definedName function="false" hidden="false" name="ss_asic27_lo" vbProcedure="false">In!$D$130</definedName>
    <definedName function="false" hidden="false" name="ss_asic28" vbProcedure="false">In!$E$128</definedName>
    <definedName function="false" hidden="false" name="ss_asic28_hi" vbProcedure="false">In!$F$128</definedName>
    <definedName function="false" hidden="false" name="ss_asic28_lo" vbProcedure="false">In!$D$128</definedName>
    <definedName function="false" hidden="false" name="ss_hu28" vbProcedure="false">In!$E$129</definedName>
    <definedName function="false" hidden="false" name="tax" vbProcedure="false">In!$E$111</definedName>
    <definedName function="false" hidden="false" name="tax_hi" vbProcedure="false">In!$F$111</definedName>
    <definedName function="false" hidden="false" name="tax_lo" vbProcedure="false">In!$D$111</definedName>
    <definedName function="false" hidden="false" name="tp_g" vbProcedure="false">In!$E$143</definedName>
    <definedName function="false" hidden="false" name="tp_r" vbProcedure="false">In!$E$142</definedName>
    <definedName function="false" hidden="false" name="tp_roe" vbProcedure="false">In!$E$144</definedName>
    <definedName function="false" hidden="false" name="tp_wA" vbProcedure="false">In!$E$139</definedName>
    <definedName function="false" hidden="false" name="tp_wB" vbProcedure="false">In!$E$140</definedName>
    <definedName function="false" hidden="false" name="tp_wC" vbProcedure="false">In!$E$141</definedName>
    <definedName function="false" hidden="false" name="tp_w_dcf" vbProcedure="false">In!$E$145</definedName>
    <definedName function="false" hidden="false" name="uf" vbProcedure="false">In!$E$49</definedName>
    <definedName function="false" hidden="false" name="uf_hi" vbProcedure="false">In!$F$49</definedName>
    <definedName function="false" hidden="false" name="uf_lo" vbProcedure="false">In!$D$49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u_oth_26" vbProcedure="false">In!$E$9</definedName>
    <definedName function="false" hidden="false" name="u_oth_27" vbProcedure="false">In!$E$10</definedName>
    <definedName function="false" hidden="false" name="u_oth_28" vbProcedure="false">In!$E$11</definedName>
    <definedName function="false" hidden="false" name="u_tpu_26" vbProcedure="false">In!$E$5</definedName>
    <definedName function="false" hidden="false" name="u_tpu_27" vbProcedure="false">In!$E$6</definedName>
    <definedName function="false" hidden="false" name="u_tpu_28" vbProcedure="false">In!$E$7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<sst xmlns="http://schemas.openxmlformats.org/spreadsheetml/2006/main" count="4036" uniqueCount="999">
  <si>
    <r>
      <rPr>
        <b val="true"/>
        <sz val="11"/>
        <rFont val="Noto Sans CJK SC"/>
        <family val="2"/>
      </rPr>
      <t xml:space="preserve">聯發科（</t>
    </r>
    <r>
      <rPr>
        <b val="true"/>
        <sz val="11"/>
        <rFont val="Cambria"/>
        <family val="0"/>
        <charset val="1"/>
      </rPr>
      <t xml:space="preserve">2454.TW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：運算層，手機 </t>
    </r>
    <r>
      <rPr>
        <b val="true"/>
        <sz val="11"/>
        <rFont val="Cambria"/>
        <family val="0"/>
        <charset val="1"/>
      </rPr>
      <t xml:space="preserve">SoC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AI ASIC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</si>
  <si>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每顆規格（核心售價、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代購）讀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模型（本專案權威），份額與 </t>
    </r>
    <r>
      <rPr>
        <sz val="11"/>
        <rFont val="Cambria"/>
        <family val="0"/>
        <charset val="1"/>
      </rPr>
      <t xml:space="preserve">Broadcom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合計不超過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；手機、智慧邊緣平台、電源 </t>
    </r>
    <r>
      <rPr>
        <sz val="11"/>
        <rFont val="Cambria"/>
        <family val="0"/>
        <charset val="1"/>
      </rPr>
      <t xml:space="preserve">IC </t>
    </r>
    <r>
      <rPr>
        <sz val="11"/>
        <rFont val="Noto Sans CJK SC"/>
        <family val="2"/>
      </rPr>
      <t xml:space="preserve">用簡化成長率。本版未做先驗。</t>
    </r>
  </si>
  <si>
    <r>
      <rPr>
        <sz val="11"/>
        <rFont val="Noto Sans CJK SC"/>
        <family val="2"/>
      </rPr>
      <t xml:space="preserve">模型命題：聯發科的 </t>
    </r>
    <r>
      <rPr>
        <sz val="11"/>
        <rFont val="Cambria"/>
        <family val="0"/>
        <charset val="1"/>
      </rPr>
      <t xml:space="preserve">AI ASIC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顆數（市場層）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聯發科份額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每顆營收（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模型規格）；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只有約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億美元，賣方卻估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達 </t>
    </r>
    <r>
      <rPr>
        <sz val="11"/>
        <rFont val="Cambria"/>
        <family val="0"/>
        <charset val="1"/>
      </rPr>
      <t xml:space="preserve">500 </t>
    </r>
    <r>
      <rPr>
        <sz val="11"/>
        <rFont val="Noto Sans CJK SC"/>
        <family val="2"/>
      </rPr>
      <t xml:space="preserve">億美元。在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占 </t>
    </r>
    <r>
      <rPr>
        <sz val="11"/>
        <rFont val="Cambria"/>
        <family val="0"/>
        <charset val="1"/>
      </rPr>
      <t xml:space="preserve">TPU 75%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Marvell 5% </t>
    </r>
    <r>
      <rPr>
        <sz val="11"/>
        <rFont val="Noto Sans CJK SC"/>
        <family val="2"/>
      </rPr>
      <t xml:space="preserve">的份額口徑下，聯發科最多拿到兩成 </t>
    </r>
    <r>
      <rPr>
        <sz val="11"/>
        <rFont val="Cambria"/>
        <family val="0"/>
        <charset val="1"/>
      </rPr>
      <t xml:space="preserve">TPU</t>
    </r>
    <r>
      <rPr>
        <sz val="11"/>
        <rFont val="Noto Sans CJK SC"/>
        <family val="2"/>
      </rPr>
      <t xml:space="preserve">，推得出多少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？</t>
    </r>
  </si>
  <si>
    <r>
      <rPr>
        <sz val="11"/>
        <rFont val="Noto Sans CJK SC"/>
        <family val="2"/>
      </rPr>
      <t xml:space="preserve">核心問題：以市場層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顆數與份額上限往前推，聯發科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離公司目標、賣方估計有多遠；差距要靠顆數、份額還是單價補上，現價約 </t>
    </r>
    <r>
      <rPr>
        <sz val="11"/>
        <rFont val="Cambria"/>
        <family val="0"/>
        <charset val="1"/>
      </rPr>
      <t xml:space="preserve">39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隱含哪一條路徑。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</si>
  <si>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</t>
    </r>
    <r>
      <rPr>
        <sz val="11"/>
        <rFont val="Cambria"/>
        <family val="0"/>
        <charset val="1"/>
      </rPr>
      <t xml:space="preserve">FY2025A </t>
    </r>
    <r>
      <rPr>
        <sz val="11"/>
        <rFont val="Noto Sans CJK SC"/>
        <family val="2"/>
      </rPr>
      <t xml:space="preserve">實績、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錨點、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驅動因子推導、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收斂法。金額：十億新台幣；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：新台幣（基本）。口徑：歸屬母公司淨利（</t>
    </r>
    <r>
      <rPr>
        <sz val="11"/>
        <rFont val="Cambria"/>
        <family val="0"/>
        <charset val="1"/>
      </rPr>
      <t xml:space="preserve">TIFRS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</si>
  <si>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</si>
  <si>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ASIC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CY2028–29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聯發科份額（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CY2026 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CY2027 15%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18%</t>
    </r>
    <r>
      <rPr>
        <sz val="11"/>
        <rFont val="Noto Sans CJK SC"/>
        <family val="2"/>
      </rPr>
      <t xml:space="preserve">，高值以 </t>
    </r>
    <r>
      <rPr>
        <sz val="11"/>
        <rFont val="Cambria"/>
        <family val="0"/>
        <charset val="1"/>
      </rPr>
      <t xml:space="preserve">1 − Broadcom − Marvell </t>
    </r>
    <r>
      <rPr>
        <sz val="11"/>
        <rFont val="Noto Sans CJK SC"/>
        <family val="2"/>
      </rPr>
      <t xml:space="preserve">份額為上限）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（核心售價 </t>
    </r>
    <r>
      <rPr>
        <sz val="11"/>
        <rFont val="Cambria"/>
        <family val="0"/>
        <charset val="1"/>
      </rPr>
      <t xml:space="preserve">8K × </t>
    </r>
    <r>
      <rPr>
        <sz val="11"/>
        <rFont val="Noto Sans CJK SC"/>
        <family val="2"/>
      </rPr>
      <t xml:space="preserve">第二顆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單價係數＋代購比例 </t>
    </r>
    <r>
      <rPr>
        <sz val="11"/>
        <rFont val="Cambria"/>
        <family val="0"/>
        <charset val="1"/>
      </rPr>
      <t xml:space="preserve">0.6 × HBM </t>
    </r>
    <r>
      <rPr>
        <sz val="11"/>
        <rFont val="Noto Sans CJK SC"/>
        <family val="2"/>
      </rPr>
      <t xml:space="preserve">金額）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以公司「超過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億美元」校準）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32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</si>
  <si>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：手機、智慧邊緣平台（不含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）、電源 </t>
    </r>
    <r>
      <rPr>
        <sz val="11"/>
        <rFont val="Cambria"/>
        <family val="0"/>
        <charset val="1"/>
      </rPr>
      <t xml:space="preserve">IC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錨點依情境成長率推（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順利／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平平／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不如預期）。</t>
    </r>
  </si>
  <si>
    <r>
      <rPr>
        <sz val="11"/>
        <rFont val="Noto Sans CJK SC"/>
        <family val="2"/>
      </rPr>
      <t xml:space="preserve">毛利：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核心毛利率 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）、代購 </t>
    </r>
    <r>
      <rPr>
        <sz val="11"/>
        <rFont val="Cambria"/>
        <family val="0"/>
        <charset val="1"/>
      </rPr>
      <t xml:space="preserve">HBM 10%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模型）；非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）後沿用。營業費用彈性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營業費用低）、年增下限 </t>
    </r>
    <r>
      <rPr>
        <sz val="11"/>
        <rFont val="Cambria"/>
        <family val="0"/>
        <charset val="1"/>
      </rPr>
      <t xml:space="preserve">6%</t>
    </r>
    <r>
      <rPr>
        <sz val="11"/>
        <rFont val="Noto Sans CJK SC"/>
        <family val="2"/>
      </rPr>
      <t xml:space="preserve">；營業外 </t>
    </r>
    <r>
      <rPr>
        <sz val="11"/>
        <rFont val="Cambria"/>
        <family val="0"/>
        <charset val="1"/>
      </rPr>
      <t xml:space="preserve">18</t>
    </r>
    <r>
      <rPr>
        <sz val="11"/>
        <rFont val="Noto Sans CJK SC"/>
        <family val="2"/>
      </rPr>
      <t xml:space="preserve">、稅率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、股數持平。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</si>
  <si>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指引（毛利率 </t>
    </r>
    <r>
      <rPr>
        <sz val="11"/>
        <rFont val="Cambria"/>
        <family val="0"/>
        <charset val="1"/>
      </rPr>
      <t xml:space="preserve">46%</t>
    </r>
    <r>
      <rPr>
        <sz val="11"/>
        <rFont val="Noto Sans CJK SC"/>
        <family val="2"/>
      </rPr>
      <t xml:space="preserve">、費用 </t>
    </r>
    <r>
      <rPr>
        <sz val="11"/>
        <rFont val="Cambria"/>
        <family val="0"/>
        <charset val="1"/>
      </rPr>
      <t xml:space="preserve">48.5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假設（手機 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、智慧邊緣 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億美元量產）。不用券商數字（只在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</si>
  <si>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目標價（高通、博通、邁威爾、世芯、創意前瞻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</si>
  <si>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依工作單以 </t>
    </r>
    <r>
      <rPr>
        <sz val="11"/>
        <rFont val="Cambria"/>
        <family val="0"/>
        <charset val="1"/>
      </rPr>
      <t xml:space="preserve">FY2029 × 0.8 </t>
    </r>
    <r>
      <rPr>
        <sz val="11"/>
        <rFont val="Noto Sans CJK SC"/>
        <family val="2"/>
      </rPr>
      <t xml:space="preserve">代替。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</si>
  <si>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未使用。公司數字取自聯發科法說營運報告與講稿；券商與資料商為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</si>
  <si>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公司未揭露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客戶、每顆單價、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採購方式，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份額與單價為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ASIC </t>
    </r>
    <r>
      <rPr>
        <sz val="11"/>
        <rFont val="Noto Sans CJK SC"/>
        <family val="2"/>
      </rPr>
      <t xml:space="preserve">份額受 </t>
    </r>
    <r>
      <rPr>
        <sz val="11"/>
        <rFont val="Cambria"/>
        <family val="0"/>
        <charset val="1"/>
      </rPr>
      <t xml:space="preserve">avgo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Broadcom TPU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CY2028 75%</t>
    </r>
    <r>
      <rPr>
        <sz val="11"/>
        <rFont val="Noto Sans CJK SC"/>
        <family val="2"/>
      </rPr>
      <t xml:space="preserve">）限制，賣方路徑（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500 </t>
    </r>
    <r>
      <rPr>
        <sz val="11"/>
        <rFont val="Noto Sans CJK SC"/>
        <family val="2"/>
      </rPr>
      <t xml:space="preserve">億美元）與本專案市場層口徑不相容，需由 </t>
    </r>
    <r>
      <rPr>
        <sz val="11"/>
        <rFont val="Cambria"/>
        <family val="0"/>
        <charset val="1"/>
      </rPr>
      <t xml:space="preserve">avgo </t>
    </r>
    <r>
      <rPr>
        <sz val="11"/>
        <rFont val="Noto Sans CJK SC"/>
        <family val="2"/>
      </rPr>
      <t xml:space="preserve">或市場層修訂，不在本模型自改；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第二顆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單價數倍（賣方說法）只放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FY2025 </t>
    </r>
    <r>
      <rPr>
        <sz val="11"/>
        <rFont val="Noto Sans CJK SC"/>
        <family val="2"/>
      </rPr>
      <t xml:space="preserve">產品線占比為 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3Q26 </t>
    </r>
    <r>
      <rPr>
        <sz val="11"/>
        <rFont val="Noto Sans CJK SC"/>
        <family val="2"/>
      </rPr>
      <t xml:space="preserve">毛利與費用為指引值；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為手機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期，未含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成長溢價；</t>
    </r>
    <r>
      <rPr>
        <sz val="11"/>
        <rFont val="Cambria"/>
        <family val="0"/>
        <charset val="1"/>
      </rPr>
      <t xml:space="preserve">2016 EPS </t>
    </r>
    <r>
      <rPr>
        <sz val="11"/>
        <rFont val="Noto Sans CJK SC"/>
        <family val="2"/>
      </rPr>
      <t xml:space="preserve">未找到；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</si>
  <si>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</si>
  <si>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NT$2,057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1,846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2,268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4,010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48.7%</t>
    </r>
    <r>
      <rPr>
        <sz val="11"/>
        <color theme="1"/>
        <rFont val="Noto Sans CJK SC"/>
        <family val="2"/>
      </rPr>
      <t xml:space="preserve">，級距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43.4%</t>
    </r>
    <r>
      <rPr>
        <sz val="11"/>
        <color theme="1"/>
        <rFont val="Noto Sans CJK SC"/>
        <family val="2"/>
      </rPr>
      <t xml:space="preserve">。主因是倍數不是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119.49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103.48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15.5%</t>
    </r>
    <r>
      <rPr>
        <sz val="11"/>
        <color theme="1"/>
        <rFont val="Noto Sans CJK SC"/>
        <family val="2"/>
      </rPr>
      <t xml:space="preserve">，但同業（高通、博通、邁威爾、世芯、創意）前瞻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19.0 </t>
    </r>
    <r>
      <rPr>
        <sz val="11"/>
        <color theme="1"/>
        <rFont val="Noto Sans CJK SC"/>
        <family val="2"/>
      </rPr>
      <t xml:space="preserve">倍，現價隱含 </t>
    </r>
    <r>
      <rPr>
        <sz val="11"/>
        <color theme="1"/>
        <rFont val="Calibri"/>
        <family val="2"/>
        <charset val="1"/>
      </rPr>
      <t xml:space="preserve">38.8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6,067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58.6 </t>
    </r>
    <r>
      <rPr>
        <sz val="11"/>
        <color theme="1"/>
        <rFont val="Noto Sans CJK SC"/>
        <family val="2"/>
      </rPr>
      <t xml:space="preserve">倍（比同業高 </t>
    </r>
    <r>
      <rPr>
        <sz val="11"/>
        <color theme="1"/>
        <rFont val="Calibri"/>
        <family val="2"/>
        <charset val="1"/>
      </rPr>
      <t xml:space="preserve">208.9%</t>
    </r>
    <r>
      <rPr>
        <sz val="11"/>
        <color theme="1"/>
        <rFont val="Noto Sans CJK SC"/>
        <family val="2"/>
      </rPr>
      <t xml:space="preserve">）；市場給聯發科的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成長溢價，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未計入。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</si>
  <si>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149.3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119.5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85.3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1,012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2,466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、手機 −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100.1</t>
    </r>
    <r>
      <rPr>
        <sz val="11"/>
        <color theme="1"/>
        <rFont val="Noto Sans CJK SC"/>
        <family val="2"/>
      </rPr>
      <t xml:space="preserve">。即使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2,466 </t>
    </r>
    <r>
      <rPr>
        <sz val="11"/>
        <color theme="1"/>
        <rFont val="Noto Sans CJK SC"/>
        <family val="2"/>
      </rPr>
      <t xml:space="preserve">也比現價低 </t>
    </r>
    <r>
      <rPr>
        <sz val="11"/>
        <color theme="1"/>
        <rFont val="Calibri"/>
        <family val="2"/>
        <charset val="1"/>
      </rPr>
      <t xml:space="preserve">38.5%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</si>
  <si>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份額是最敏感變數：聯發科占 </t>
    </r>
    <r>
      <rPr>
        <sz val="11"/>
        <color theme="1"/>
        <rFont val="Calibri"/>
        <family val="2"/>
        <charset val="1"/>
      </rPr>
      <t xml:space="preserve">TPU −5pt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−13.2%</t>
    </r>
    <r>
      <rPr>
        <sz val="11"/>
        <color theme="1"/>
        <rFont val="Noto Sans CJK SC"/>
        <family val="2"/>
      </rPr>
      <t xml:space="preserve">、取上限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+13.2%</t>
    </r>
    <r>
      <rPr>
        <sz val="11"/>
        <color theme="1"/>
        <rFont val="Noto Sans CJK SC"/>
        <family val="2"/>
      </rPr>
      <t xml:space="preserve">；營業費用彈性 </t>
    </r>
    <r>
      <rPr>
        <sz val="11"/>
        <color theme="1"/>
        <rFont val="Calibri"/>
        <family val="2"/>
        <charset val="1"/>
      </rPr>
      <t xml:space="preserve">0.6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12.7%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底）的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營收與客戶進度。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</si>
  <si>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</si>
  <si>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）；顆數：百萬顆；匯率：新台幣／美元。每個輸入附兩個來源（找不到者寫「未找到」）；公司原文算一個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</si>
  <si>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未使用。公司原文＝聯發科法說營運報告、新聞稿、法說逐字稿與講稿（</t>
    </r>
    <r>
      <rPr>
        <sz val="11"/>
        <color theme="1"/>
        <rFont val="Calibri"/>
        <family val="2"/>
        <charset val="1"/>
      </rPr>
      <t xml:space="preserve">mediatek.com</t>
    </r>
    <r>
      <rPr>
        <sz val="11"/>
        <color theme="1"/>
        <rFont val="Noto Sans CJK SC"/>
        <family val="2"/>
      </rPr>
      <t xml:space="preserve">）；公司指引與目標為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；券商、資料商、媒體為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</si>
  <si>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</si>
  <si>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</si>
  <si>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</si>
  <si>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</si>
  <si>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</si>
  <si>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</si>
  <si>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</si>
  <si>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</si>
  <si>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</si>
  <si>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模型同一份；情境係數讀台積電模型，不另訂）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</si>
  <si>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</si>
  <si>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</si>
  <si>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</si>
  <si>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</si>
  <si>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</si>
  <si>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成品同值（建置時檢查）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</si>
  <si>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</si>
  <si>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</si>
  <si>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</si>
  <si>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同上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</si>
  <si>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</si>
  <si>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</si>
  <si>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</si>
  <si>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</si>
  <si>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CY2029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</si>
  <si>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</si>
  <si>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</si>
  <si>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</si>
  <si>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</si>
  <si>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</si>
  <si>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</si>
  <si>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</si>
  <si>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</si>
  <si>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</si>
  <si>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</si>
  <si>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</si>
  <si>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</si>
  <si>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</si>
  <si>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</si>
  <si>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</si>
  <si>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</si>
  <si>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</si>
  <si>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</si>
  <si>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</si>
  <si>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</si>
  <si>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</si>
  <si>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</si>
  <si>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</si>
  <si>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</si>
  <si>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</si>
  <si>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</si>
  <si>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</si>
  <si>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</si>
  <si>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</si>
  <si>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</si>
  <si>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</si>
  <si>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</si>
  <si>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</si>
  <si>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</si>
  <si>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</si>
  <si>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</si>
  <si>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</si>
  <si>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ASIC </t>
    </r>
    <r>
      <rPr>
        <b val="true"/>
        <sz val="11"/>
        <rFont val="Noto Sans CJK SC"/>
        <family val="2"/>
      </rPr>
      <t xml:space="preserve">每顆規格（權威在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頁，唯讀；本模型只加聯發科份額）與份額</t>
    </r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</si>
  <si>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</si>
  <si>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</si>
  <si>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</si>
  <si>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</si>
  <si>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每顆規格（本專案權威）；本模型不另訂；聯發科負責的世代與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是否同價：未找到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</si>
  <si>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</si>
  <si>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</si>
  <si>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</si>
  <si>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</si>
  <si>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設計夥伴代購並計入營收的比例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</si>
  <si>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</si>
  <si>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模型；聯發科客戶是否自購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：未找到（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法說未回答）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</si>
  <si>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</si>
  <si>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</si>
  <si>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</si>
  <si>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</t>
    </r>
  </si>
  <si>
    <t xml:space="preserve">gb_tpu_26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</si>
  <si>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</si>
  <si>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</si>
  <si>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In!E43</t>
    </r>
  </si>
  <si>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CY2028</t>
    </r>
  </si>
  <si>
    <t xml:space="preserve">gb_tpu_27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</si>
  <si>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</si>
  <si>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In!E44</t>
    </r>
  </si>
  <si>
    <t xml:space="preserve">gb_tpu_28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</si>
  <si>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</si>
  <si>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In!E45</t>
    </r>
  </si>
  <si>
    <t xml:space="preserve">gb_oth_26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</si>
  <si>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CY2026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</si>
  <si>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In!E46</t>
    </r>
  </si>
  <si>
    <t xml:space="preserve">gb_oth_27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</si>
  <si>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CY2027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</si>
  <si>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In!E47</t>
    </r>
  </si>
  <si>
    <t xml:space="preserve">gb_oth_28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</si>
  <si>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CY2028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</si>
  <si>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</si>
  <si>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t xml:space="preserve">av_tpu_26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</si>
  <si>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</si>
  <si>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</si>
  <si>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（建置時檢查）</t>
    </r>
  </si>
  <si>
    <t xml:space="preserve">mv_tpu_26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</si>
  <si>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</si>
  <si>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mrvl/dist/20261028_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</si>
  <si>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</t>
    </r>
  </si>
  <si>
    <t xml:space="preserve">av_tpu_27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</si>
  <si>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</si>
  <si>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</si>
  <si>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t xml:space="preserve">mv_tpu_27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</si>
  <si>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</si>
  <si>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mrvl/dist/20261028_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</si>
  <si>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av_tpu_28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</si>
  <si>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</si>
  <si>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</si>
  <si>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mv_tpu_28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</si>
  <si>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</si>
  <si>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mrvl/dist/20261028_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</si>
  <si>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av_oth_26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</si>
  <si>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</si>
  <si>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</si>
  <si>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mv_oth_26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</si>
  <si>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</si>
  <si>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mrvl/dist/20261028_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</si>
  <si>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t xml:space="preserve">av_oth_27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</si>
  <si>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</si>
  <si>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In!E54</t>
    </r>
  </si>
  <si>
    <t xml:space="preserve">mv_oth_27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</si>
  <si>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</si>
  <si>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mrvl/dist/20261028_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In!E49</t>
    </r>
  </si>
  <si>
    <t xml:space="preserve">av_oth_28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</si>
  <si>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</si>
  <si>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</si>
  <si>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t xml:space="preserve">mv_oth_28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</si>
  <si>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</si>
  <si>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mrvl/dist/20261028_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</si>
  <si>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</si>
  <si>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</si>
  <si>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</si>
  <si>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</si>
  <si>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</si>
  <si>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</si>
  <si>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—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</si>
  <si>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</si>
  <si>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</si>
  <si>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</si>
  <si>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</si>
  <si>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</si>
  <si>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</si>
  <si>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</si>
  <si>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</si>
  <si>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</si>
  <si>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</si>
  <si>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pfc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</si>
  <si>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核心售價係數（第二顆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</si>
  <si>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2026-05-03 </t>
    </r>
    <r>
      <rPr>
        <sz val="11"/>
        <color theme="1"/>
        <rFont val="Noto Sans CJK SC"/>
        <family val="2"/>
      </rPr>
      <t xml:space="preserve">轉述高盛：下一代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平均單價為現行數倍（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）；凱基：</t>
    </r>
    <r>
      <rPr>
        <sz val="11"/>
        <color theme="1"/>
        <rFont val="Calibri"/>
        <family val="2"/>
        <charset val="1"/>
      </rPr>
      <t xml:space="preserve">v9 </t>
    </r>
    <r>
      <rPr>
        <sz val="11"/>
        <color theme="1"/>
        <rFont val="Noto Sans CJK SC"/>
        <family val="2"/>
      </rPr>
      <t xml:space="preserve">單價至少 </t>
    </r>
    <r>
      <rPr>
        <sz val="11"/>
        <color theme="1"/>
        <rFont val="Calibri"/>
        <family val="2"/>
        <charset val="1"/>
      </rPr>
      <t xml:space="preserve">+200%</t>
    </r>
  </si>
  <si>
    <r>
      <rPr>
        <sz val="11"/>
        <color theme="1"/>
        <rFont val="Noto Sans CJK SC"/>
        <family val="2"/>
      </rPr>
      <t xml:space="preserve">基準沿用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模型規格（不另訂）；高值 </t>
    </r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只放 </t>
    </r>
    <r>
      <rPr>
        <sz val="11"/>
        <color theme="1"/>
        <rFont val="Calibri"/>
        <family val="2"/>
        <charset val="1"/>
      </rPr>
      <t xml:space="preserve">Sens</t>
    </r>
  </si>
  <si>
    <t xml:space="preserve">uf</t>
  </si>
  <si>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</si>
  <si>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</si>
  <si>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</si>
  <si>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t xml:space="preserve">m_core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</si>
  <si>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核心（不含代購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）毛利率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</si>
  <si>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放量將使營業利益率上升（營業費用低；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毛利率未揭露</t>
    </r>
  </si>
  <si>
    <t xml:space="preserve">第二來源：未找到</t>
  </si>
  <si>
    <t xml:space="preserve">hf26</t>
  </si>
  <si>
    <r>
      <rPr>
        <sz val="11"/>
        <color theme="1"/>
        <rFont val="Calibri"/>
        <family val="2"/>
        <charset val="1"/>
      </rPr>
      <t xml:space="preserve">CY2026 TPU </t>
    </r>
    <r>
      <rPr>
        <sz val="11"/>
        <color theme="1"/>
        <rFont val="Noto Sans CJK SC"/>
        <family val="2"/>
      </rPr>
      <t xml:space="preserve">每顆營收中代購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的比例（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頁第四季毛利用）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</si>
  <si>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</si>
  <si>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</si>
  <si>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模型成品，其來源為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</si>
  <si>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</si>
  <si>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</si>
  <si>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</si>
  <si>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</si>
  <si>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</si>
  <si>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</si>
  <si>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</si>
  <si>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</si>
  <si>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</si>
  <si>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</si>
  <si>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</si>
  <si>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</si>
  <si>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</si>
  <si>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</si>
  <si>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</si>
  <si>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</si>
  <si>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</si>
  <si>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</si>
  <si>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</si>
  <si>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In!E67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</si>
  <si>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</si>
  <si>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</si>
  <si>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In!E68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</si>
  <si>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</si>
  <si>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</si>
  <si>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In!E69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</si>
  <si>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</si>
  <si>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</si>
  <si>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In!E70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</si>
  <si>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</si>
  <si>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</si>
  <si>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In!E71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</si>
  <si>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</si>
  <si>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</si>
  <si>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</si>
  <si>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</si>
  <si>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</si>
  <si>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In!E73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</si>
  <si>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手機、智慧邊緣平台（不含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）、電源 </t>
    </r>
    <r>
      <rPr>
        <b val="true"/>
        <sz val="11"/>
        <rFont val="Cambria"/>
        <family val="0"/>
        <charset val="1"/>
      </rPr>
      <t xml:space="preserve">IC</t>
    </r>
    <r>
      <rPr>
        <b val="true"/>
        <sz val="11"/>
        <rFont val="Noto Sans CJK SC"/>
        <family val="2"/>
      </rPr>
      <t xml:space="preserve">：簡化成長率（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起；情境別）</t>
    </r>
  </si>
  <si>
    <t xml:space="preserve">g_mob27_A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</si>
  <si>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</si>
  <si>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年全球智慧型手機出貨約 −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（記憶體成本）、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年持續擴大旗艦市占（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</si>
  <si>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錨點手機約 −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＝記憶體成本續壓、市占流失</t>
    </r>
  </si>
  <si>
    <t xml:space="preserve">g_mobL_A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</si>
  <si>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</si>
  <si>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g_mob27_B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</si>
  <si>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</si>
  <si>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g_mobL_B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</si>
  <si>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</si>
  <si>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g_mob27_C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</si>
  <si>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</si>
  <si>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g_mobL_C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</si>
  <si>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</si>
  <si>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g_sep27_A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</si>
  <si>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</si>
  <si>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公司：連網、電視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內容）、車用、運算市占提升；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</si>
  <si>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（含記憶體轉嫁，偏高基期）</t>
    </r>
  </si>
  <si>
    <t xml:space="preserve">g_sepL_A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</si>
  <si>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</si>
  <si>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g_sep27_B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</si>
  <si>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</si>
  <si>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g_sepL_B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</si>
  <si>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</si>
  <si>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g_sep27_C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</si>
  <si>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</si>
  <si>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g_sepL_C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</si>
  <si>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</si>
  <si>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g_pic27_A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</si>
  <si>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</si>
  <si>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公司：運算與資料中心市占提升（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</si>
  <si>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g_picL_A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</si>
  <si>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</si>
  <si>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g_pic27_B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</si>
  <si>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</si>
  <si>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g_picL_B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</si>
  <si>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</si>
  <si>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g_pic27_C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</si>
  <si>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</si>
  <si>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g_picL_C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</si>
  <si>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</si>
  <si>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gmadj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</si>
  <si>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</si>
  <si>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</si>
  <si>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），之後沿用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</si>
  <si>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</t>
    </r>
  </si>
  <si>
    <t xml:space="preserve">dc26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</si>
  <si>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為主）營收</t>
    </r>
  </si>
  <si>
    <t xml:space="preserve">US$B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</si>
  <si>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</si>
  <si>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2026-08-03 </t>
    </r>
    <r>
      <rPr>
        <sz val="11"/>
        <color theme="1"/>
        <rFont val="Noto Sans CJK SC"/>
        <family val="2"/>
      </rPr>
      <t xml:space="preserve">轉述高盛約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法說為「超過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億美元」（一年內上修）</t>
    </r>
  </si>
  <si>
    <t xml:space="preserve">asic13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</si>
  <si>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1–3Q26</t>
    </r>
    <r>
      <rPr>
        <sz val="11"/>
        <color theme="1"/>
        <rFont val="Noto Sans CJK SC"/>
        <family val="2"/>
      </rPr>
      <t xml:space="preserve">（量產前：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、樣品等；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頁全數放在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</si>
  <si>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公司：第一顆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</si>
  <si>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逐字稿：「第四季約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億美元」說法與年度說法不易區分（原文含糊）</t>
    </r>
  </si>
  <si>
    <t xml:space="preserve">fx_q1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</si>
  <si>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匯率（公司指引假設）</t>
    </r>
  </si>
  <si>
    <t xml:space="preserve">NT$/US$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</si>
  <si>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指引匯率 </t>
    </r>
    <r>
      <rPr>
        <sz val="11"/>
        <color theme="1"/>
        <rFont val="Calibri"/>
        <family val="2"/>
        <charset val="1"/>
      </rPr>
      <t xml:space="preserve">31.2</t>
    </r>
  </si>
  <si>
    <t xml:space="preserve">實際平均匯率：未找到</t>
  </si>
  <si>
    <t xml:space="preserve">fx_q2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</si>
  <si>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平均匯率</t>
    </r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</si>
  <si>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</si>
  <si>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</t>
    </r>
  </si>
  <si>
    <t xml:space="preserve">風傳媒同值</t>
  </si>
  <si>
    <t xml:space="preserve">fx26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</si>
  <si>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匯率（公司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指引假設；</t>
    </r>
    <r>
      <rPr>
        <sz val="11"/>
        <color theme="1"/>
        <rFont val="Calibri"/>
        <family val="2"/>
        <charset val="1"/>
      </rPr>
      <t xml:space="preserve">FY2026 ASIC </t>
    </r>
    <r>
      <rPr>
        <sz val="11"/>
        <color theme="1"/>
        <rFont val="Noto Sans CJK SC"/>
        <family val="2"/>
      </rPr>
      <t xml:space="preserve">換算用）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</si>
  <si>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指引匯率 </t>
    </r>
    <r>
      <rPr>
        <sz val="11"/>
        <color theme="1"/>
        <rFont val="Calibri"/>
        <family val="2"/>
        <charset val="1"/>
      </rPr>
      <t xml:space="preserve">32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</si>
  <si>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</si>
  <si>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營收（月營收實績；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月合計）</t>
    </r>
  </si>
  <si>
    <t xml:space="preserve">NT$B</t>
  </si>
  <si>
    <r>
      <rPr>
        <sz val="11"/>
        <color theme="1"/>
        <rFont val="Noto Sans CJK SC"/>
        <family val="2"/>
      </rPr>
      <t xml:space="preserve">科技新報（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月營收，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4,693.91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3,013.34 </t>
    </r>
    <r>
      <rPr>
        <sz val="11"/>
        <color theme="1"/>
        <rFont val="Noto Sans CJK SC"/>
        <family val="2"/>
      </rPr>
      <t xml:space="preserve">億（公司）</t>
    </r>
  </si>
  <si>
    <r>
      <rPr>
        <sz val="11"/>
        <color theme="1"/>
        <rFont val="Noto Sans CJK SC"/>
        <family val="2"/>
      </rPr>
      <t xml:space="preserve">財報狗（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營收，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3Q26 1,680.58 </t>
    </r>
    <r>
      <rPr>
        <sz val="11"/>
        <color theme="1"/>
        <rFont val="Noto Sans CJK SC"/>
        <family val="2"/>
      </rPr>
      <t xml:space="preserve">億，高於財測上緣 </t>
    </r>
    <r>
      <rPr>
        <sz val="11"/>
        <color theme="1"/>
        <rFont val="Calibri"/>
        <family val="2"/>
        <charset val="1"/>
      </rPr>
      <t xml:space="preserve">1,598 </t>
    </r>
    <r>
      <rPr>
        <sz val="11"/>
        <color theme="1"/>
        <rFont val="Noto Sans CJK SC"/>
        <family val="2"/>
      </rPr>
      <t xml:space="preserve">億</t>
    </r>
  </si>
  <si>
    <t xml:space="preserve">q3_mob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</si>
  <si>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手機季增（公司指引：持平至中個位數下滑）</t>
    </r>
  </si>
  <si>
    <r>
      <rPr>
        <sz val="11"/>
        <color theme="1"/>
        <rFont val="Noto Sans CJK SC"/>
        <family val="2"/>
      </rPr>
      <t xml:space="preserve">只用來拆分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營收（等比例放大到實績）</t>
    </r>
  </si>
  <si>
    <t xml:space="preserve">q3_sep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</si>
  <si>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智慧邊緣平台季增（公司指引：中至高個位數）</t>
    </r>
  </si>
  <si>
    <t xml:space="preserve">q3_pic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</si>
  <si>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季增（公司指引：約持平）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</si>
  <si>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</si>
  <si>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毛利率（指引 </t>
    </r>
    <r>
      <rPr>
        <sz val="11"/>
        <color theme="1"/>
        <rFont val="Calibri"/>
        <family val="2"/>
        <charset val="1"/>
      </rPr>
      <t xml:space="preserve">46% ± 1.5pt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</si>
  <si>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月底公布（確切日期未找到）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</si>
  <si>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</si>
  <si>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營業費用（指引費用率 </t>
    </r>
    <r>
      <rPr>
        <sz val="11"/>
        <color theme="1"/>
        <rFont val="Calibri"/>
        <family val="2"/>
        <charset val="1"/>
      </rPr>
      <t xml:space="preserve">31% × </t>
    </r>
    <r>
      <rPr>
        <sz val="11"/>
        <color theme="1"/>
        <rFont val="Noto Sans CJK SC"/>
        <family val="2"/>
      </rPr>
      <t xml:space="preserve">營收指引中點）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</si>
  <si>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法說講稿：費用率 </t>
    </r>
    <r>
      <rPr>
        <sz val="11"/>
        <color theme="1"/>
        <rFont val="Calibri"/>
        <family val="2"/>
        <charset val="1"/>
      </rPr>
      <t xml:space="preserve">31% ± 2pt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1,522–1,598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</si>
  <si>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2Q26 47.44</t>
    </r>
    <r>
      <rPr>
        <sz val="11"/>
        <color theme="1"/>
        <rFont val="Noto Sans CJK SC"/>
        <family val="2"/>
      </rPr>
      <t xml:space="preserve">（公司）</t>
    </r>
  </si>
  <si>
    <t xml:space="preserve">q4_mob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</si>
  <si>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手機季增</t>
    </r>
  </si>
  <si>
    <r>
      <rPr>
        <sz val="11"/>
        <color theme="1"/>
        <rFont val="Noto Sans CJK SC"/>
        <family val="2"/>
      </rPr>
      <t xml:space="preserve">公司：旗艦新機帶動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出貨（財報狗轉述）</t>
    </r>
  </si>
  <si>
    <r>
      <rPr>
        <sz val="11"/>
        <color theme="1"/>
        <rFont val="Noto Sans CJK SC"/>
        <family val="2"/>
      </rPr>
      <t xml:space="preserve">供應鏈：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月起手機需求轉弱（財報狗，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</si>
  <si>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q4_sepx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</si>
  <si>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）季增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</si>
  <si>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為消費性旺季（電視、連網）；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季節性下滑</t>
    </r>
  </si>
  <si>
    <t xml:space="preserve">q4_pic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</si>
  <si>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季增</t>
    </r>
  </si>
  <si>
    <t xml:space="preserve">q4_gmx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</si>
  <si>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</si>
  <si>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公司：全年毛利率維持在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指引區間（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</si>
  <si>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Calibri"/>
        <family val="2"/>
        <charset val="1"/>
      </rPr>
      <t xml:space="preserve">1Q26 46.3%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46.2%</t>
    </r>
    <r>
      <rPr>
        <sz val="11"/>
        <color theme="1"/>
        <rFont val="Noto Sans CJK SC"/>
        <family val="2"/>
      </rPr>
      <t xml:space="preserve">（公司）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</si>
  <si>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</si>
  <si>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</si>
  <si>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Noto Sans CJK SC"/>
        <family val="2"/>
      </rPr>
      <t xml:space="preserve">研發費用逐季增加（</t>
    </r>
    <r>
      <rPr>
        <sz val="11"/>
        <color theme="1"/>
        <rFont val="Calibri"/>
        <family val="2"/>
        <charset val="1"/>
      </rPr>
      <t xml:space="preserve">1Q 38.3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39.4</t>
    </r>
    <r>
      <rPr>
        <sz val="11"/>
        <color theme="1"/>
        <rFont val="Noto Sans CJK SC"/>
        <family val="2"/>
      </rPr>
      <t xml:space="preserve">；公司）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</si>
  <si>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</si>
  <si>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</si>
  <si>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4.13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5.09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</si>
  <si>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US$5B </t>
    </r>
    <r>
      <rPr>
        <sz val="11"/>
        <color theme="1"/>
        <rFont val="Noto Sans CJK SC"/>
        <family val="2"/>
      </rPr>
      <t xml:space="preserve">融資額度若動用，利息收入下降（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</si>
  <si>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</si>
  <si>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</si>
  <si>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1Q26 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12.0%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15.0%</t>
    </r>
    <r>
      <rPr>
        <sz val="11"/>
        <color theme="1"/>
        <rFont val="Noto Sans CJK SC"/>
        <family val="2"/>
      </rPr>
      <t xml:space="preserve">（公司）</t>
    </r>
  </si>
  <si>
    <t xml:space="preserve">q_nci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</si>
  <si>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非控制權益（每季）</t>
    </r>
  </si>
  <si>
    <r>
      <rPr>
        <sz val="11"/>
        <color theme="1"/>
        <rFont val="Calibri"/>
        <family val="2"/>
        <charset val="1"/>
      </rPr>
      <t xml:space="preserve">1Q26 0.222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0.270</t>
    </r>
    <r>
      <rPr>
        <sz val="11"/>
        <color theme="1"/>
        <rFont val="Noto Sans CJK SC"/>
        <family val="2"/>
      </rPr>
      <t xml:space="preserve">（公司）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</si>
  <si>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</si>
  <si>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加權股數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</si>
  <si>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</si>
  <si>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</si>
  <si>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：流通股數 </t>
    </r>
    <r>
      <rPr>
        <sz val="11"/>
        <color theme="1"/>
        <rFont val="Calibri"/>
        <family val="2"/>
        <charset val="1"/>
      </rPr>
      <t xml:space="preserve">1.60B</t>
    </r>
  </si>
  <si>
    <r>
      <rPr>
        <b val="true"/>
        <sz val="11"/>
        <rFont val="Cambria"/>
        <family val="0"/>
        <charset val="1"/>
      </rPr>
      <t xml:space="preserve">F. FY2027 </t>
    </r>
    <r>
      <rPr>
        <b val="true"/>
        <sz val="11"/>
        <rFont val="Noto Sans CJK SC"/>
        <family val="2"/>
      </rPr>
      <t xml:space="preserve">起：營業費用、營業外、稅、股數、匯率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</si>
  <si>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</si>
  <si>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</si>
  <si>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營收放量所需營業費用低（公司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法說：營業利益率上升）；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+11.6%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+12.3%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</si>
  <si>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，經濟日報）</t>
    </r>
  </si>
  <si>
    <t xml:space="preserve">g_opx_min</t>
  </si>
  <si>
    <t xml:space="preserve">營業費用年增下限</t>
  </si>
  <si>
    <r>
      <rPr>
        <sz val="11"/>
        <color theme="1"/>
        <rFont val="Noto Sans CJK SC"/>
        <family val="2"/>
      </rPr>
      <t xml:space="preserve">研發費用年增 </t>
    </r>
    <r>
      <rPr>
        <sz val="11"/>
        <color theme="1"/>
        <rFont val="Calibri"/>
        <family val="2"/>
        <charset val="1"/>
      </rPr>
      <t xml:space="preserve">FY2025 +12.4%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</si>
  <si>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</si>
  <si>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</si>
  <si>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</si>
  <si>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nonop_f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</si>
  <si>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</si>
  <si>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21.4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9.2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</si>
  <si>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現金與流動金融資產 </t>
    </r>
    <r>
      <rPr>
        <sz val="11"/>
        <color theme="1"/>
        <rFont val="Calibri"/>
        <family val="2"/>
        <charset val="1"/>
      </rPr>
      <t xml:space="preserve">2Q26 198.4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US$5B </t>
    </r>
    <r>
      <rPr>
        <sz val="11"/>
        <color theme="1"/>
        <rFont val="Noto Sans CJK SC"/>
        <family val="2"/>
      </rPr>
      <t xml:space="preserve">融資額度（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</si>
  <si>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</si>
  <si>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</si>
  <si>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FY2024 10.4%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15.0%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10.9%</t>
    </r>
    <r>
      <rPr>
        <sz val="11"/>
        <color theme="1"/>
        <rFont val="Noto Sans CJK SC"/>
        <family val="2"/>
      </rPr>
      <t xml:space="preserve">（公司）</t>
    </r>
  </si>
  <si>
    <t xml:space="preserve">nci</t>
  </si>
  <si>
    <t xml:space="preserve">非控制權益（每年）</t>
  </si>
  <si>
    <r>
      <rPr>
        <sz val="11"/>
        <color theme="1"/>
        <rFont val="Calibri"/>
        <family val="2"/>
        <charset val="1"/>
      </rPr>
      <t xml:space="preserve">FY2025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0.49</t>
    </r>
    <r>
      <rPr>
        <sz val="11"/>
        <color theme="1"/>
        <rFont val="Noto Sans CJK SC"/>
        <family val="2"/>
      </rPr>
      <t xml:space="preserve">（公司）</t>
    </r>
  </si>
  <si>
    <t xml:space="preserve">sh_g</t>
  </si>
  <si>
    <t xml:space="preserve">加權股數年變動</t>
  </si>
  <si>
    <r>
      <rPr>
        <sz val="11"/>
        <color theme="1"/>
        <rFont val="Calibri"/>
        <family val="2"/>
        <charset val="1"/>
      </rPr>
      <t xml:space="preserve">FY2025 1.592 → 2Q26 1.593 </t>
    </r>
    <r>
      <rPr>
        <sz val="11"/>
        <color theme="1"/>
        <rFont val="Noto Sans CJK SC"/>
        <family val="2"/>
      </rPr>
      <t xml:space="preserve">十億股（公司）</t>
    </r>
  </si>
  <si>
    <t xml:space="preserve">員工酬勞股票：小</t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</si>
  <si>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</si>
  <si>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美元營收換算）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</si>
  <si>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指引假設 </t>
    </r>
    <r>
      <rPr>
        <sz val="11"/>
        <color theme="1"/>
        <rFont val="Calibri"/>
        <family val="2"/>
        <charset val="1"/>
      </rPr>
      <t xml:space="preserve">32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</si>
  <si>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以新台幣成長率推，未另換算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</si>
  <si>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公司展望、目標與共識、券商（只作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</si>
  <si>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co_usd25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</si>
  <si>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美元營收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</si>
  <si>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法說逐字稿：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億美元（年增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）</t>
    </r>
  </si>
  <si>
    <t xml:space="preserve">經濟日報同</t>
  </si>
  <si>
    <t xml:space="preserve">co_g26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</si>
  <si>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美元營收年增（高個位數、目標區間上緣）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</si>
  <si>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法說為中至高個位數；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營收已超出指引</t>
    </r>
  </si>
  <si>
    <t xml:space="preserve">co_sam27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</si>
  <si>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可服務市場（</t>
    </r>
    <r>
      <rPr>
        <sz val="11"/>
        <color theme="1"/>
        <rFont val="Calibri"/>
        <family val="2"/>
        <charset val="1"/>
      </rPr>
      <t xml:space="preserve">SAM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</si>
  <si>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</t>
    </r>
    <r>
      <rPr>
        <sz val="11"/>
        <color theme="1"/>
        <rFont val="Calibri"/>
        <family val="2"/>
        <charset val="1"/>
      </rPr>
      <t xml:space="preserve">800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</si>
  <si>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法說逐字稿：</t>
    </r>
    <r>
      <rPr>
        <sz val="11"/>
        <color theme="1"/>
        <rFont val="Calibri"/>
        <family val="2"/>
        <charset val="1"/>
      </rPr>
      <t xml:space="preserve">700–800 </t>
    </r>
    <r>
      <rPr>
        <sz val="11"/>
        <color theme="1"/>
        <rFont val="Noto Sans CJK SC"/>
        <family val="2"/>
      </rPr>
      <t xml:space="preserve">億美元</t>
    </r>
  </si>
  <si>
    <t xml:space="preserve">co_sh27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</si>
  <si>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SAM </t>
    </r>
    <r>
      <rPr>
        <sz val="11"/>
        <color theme="1"/>
        <rFont val="Noto Sans CJK SC"/>
        <family val="2"/>
      </rPr>
      <t xml:space="preserve">份額目標（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</si>
  <si>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法說講稿：由 </t>
    </r>
    <r>
      <rPr>
        <sz val="11"/>
        <color theme="1"/>
        <rFont val="Calibri"/>
        <family val="2"/>
        <charset val="1"/>
      </rPr>
      <t xml:space="preserve">10–15% </t>
    </r>
    <r>
      <rPr>
        <sz val="11"/>
        <color theme="1"/>
        <rFont val="Noto Sans CJK SC"/>
        <family val="2"/>
      </rPr>
      <t xml:space="preserve">上調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</si>
  <si>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法說逐字稿：</t>
    </r>
    <r>
      <rPr>
        <sz val="11"/>
        <color theme="1"/>
        <rFont val="Calibri"/>
        <family val="2"/>
        <charset val="1"/>
      </rPr>
      <t xml:space="preserve">10–15%</t>
    </r>
    <r>
      <rPr>
        <sz val="11"/>
        <color theme="1"/>
        <rFont val="Noto Sans CJK SC"/>
        <family val="2"/>
      </rPr>
      <t xml:space="preserve">（「相當安全」）</t>
    </r>
  </si>
  <si>
    <t xml:space="preserve">co_dc27sh</t>
  </si>
  <si>
    <r>
      <rPr>
        <sz val="11"/>
        <color theme="1"/>
        <rFont val="Noto Sans CJK SC"/>
        <family val="2"/>
      </rPr>
      <t xml:space="preserve">公司說法：</t>
    </r>
    <r>
      <rPr>
        <sz val="11"/>
        <color theme="1"/>
        <rFont val="Calibri"/>
        <family val="2"/>
        <charset val="1"/>
      </rPr>
      <t xml:space="preserve">FY2027 ASIC </t>
    </r>
    <r>
      <rPr>
        <sz val="11"/>
        <color theme="1"/>
        <rFont val="Noto Sans CJK SC"/>
        <family val="2"/>
      </rPr>
      <t xml:space="preserve">占營收約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「可能」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</si>
  <si>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</si>
  <si>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</si>
  <si>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</si>
  <si>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</si>
  <si>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678.0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</si>
  <si>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</si>
  <si>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</si>
  <si>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</si>
  <si>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</si>
  <si>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68.97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Citi 68.53</t>
    </r>
  </si>
  <si>
    <t xml:space="preserve">kgi_rev27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</si>
  <si>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</si>
  <si>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2026-07-23 </t>
    </r>
    <r>
      <rPr>
        <sz val="11"/>
        <color theme="1"/>
        <rFont val="Noto Sans CJK SC"/>
        <family val="2"/>
      </rPr>
      <t xml:space="preserve">報告</t>
    </r>
  </si>
  <si>
    <t xml:space="preserve">kgi_eps27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</si>
  <si>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</si>
  <si>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Citi 133.87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）；高盛 </t>
    </r>
    <r>
      <rPr>
        <sz val="11"/>
        <color theme="1"/>
        <rFont val="Calibri"/>
        <family val="2"/>
        <charset val="1"/>
      </rPr>
      <t xml:space="preserve">132.18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</si>
  <si>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citi_eps27</t>
  </si>
  <si>
    <t xml:space="preserve">Citi FY2027 EPS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</si>
  <si>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2026-08-03</t>
    </r>
  </si>
  <si>
    <t xml:space="preserve">kgi_eps28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</si>
  <si>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</si>
  <si>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Citi 260.38</t>
    </r>
    <r>
      <rPr>
        <sz val="11"/>
        <color theme="1"/>
        <rFont val="Noto Sans CJK SC"/>
        <family val="2"/>
      </rPr>
      <t xml:space="preserve">；高盛 </t>
    </r>
    <r>
      <rPr>
        <sz val="11"/>
        <color theme="1"/>
        <rFont val="Calibri"/>
        <family val="2"/>
        <charset val="1"/>
      </rPr>
      <t xml:space="preserve">406.51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</si>
  <si>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citi_eps28</t>
  </si>
  <si>
    <t xml:space="preserve">Citi FY2028 EPS</t>
  </si>
  <si>
    <t xml:space="preserve">ss_asic28</t>
  </si>
  <si>
    <r>
      <rPr>
        <sz val="11"/>
        <color theme="1"/>
        <rFont val="Noto Sans CJK SC"/>
        <family val="2"/>
      </rPr>
      <t xml:space="preserve">賣方 </t>
    </r>
    <r>
      <rPr>
        <sz val="11"/>
        <color theme="1"/>
        <rFont val="Calibri"/>
        <family val="2"/>
        <charset val="1"/>
      </rPr>
      <t xml:space="preserve">FY2028 AI ASIC </t>
    </r>
    <r>
      <rPr>
        <sz val="11"/>
        <color theme="1"/>
        <rFont val="Noto Sans CJK SC"/>
        <family val="2"/>
      </rPr>
      <t xml:space="preserve">營收（凱基）</t>
    </r>
  </si>
  <si>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2026-07-23 </t>
    </r>
    <r>
      <rPr>
        <sz val="11"/>
        <color theme="1"/>
        <rFont val="Noto Sans CJK SC"/>
        <family val="2"/>
      </rPr>
      <t xml:space="preserve">報告：約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億美元（營收 </t>
    </r>
    <r>
      <rPr>
        <sz val="11"/>
        <color theme="1"/>
        <rFont val="Calibri"/>
        <family val="2"/>
        <charset val="1"/>
      </rPr>
      <t xml:space="preserve">67%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</si>
  <si>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525 </t>
    </r>
    <r>
      <rPr>
        <sz val="11"/>
        <color theme="1"/>
        <rFont val="Noto Sans CJK SC"/>
        <family val="2"/>
      </rPr>
      <t xml:space="preserve">億美元（經濟日報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480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</si>
  <si>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ss_hu28</t>
  </si>
  <si>
    <r>
      <rPr>
        <sz val="11"/>
        <color theme="1"/>
        <rFont val="Noto Sans CJK SC"/>
        <family val="2"/>
      </rPr>
      <t xml:space="preserve">凱基假設：</t>
    </r>
    <r>
      <rPr>
        <sz val="11"/>
        <color theme="1"/>
        <rFont val="Calibri"/>
        <family val="2"/>
        <charset val="1"/>
      </rPr>
      <t xml:space="preserve">FY2028 v9 Humufish </t>
    </r>
    <r>
      <rPr>
        <sz val="11"/>
        <color theme="1"/>
        <rFont val="Noto Sans CJK SC"/>
        <family val="2"/>
      </rPr>
      <t xml:space="preserve">出貨</t>
    </r>
  </si>
  <si>
    <t xml:space="preserve">ss_asic27</t>
  </si>
  <si>
    <r>
      <rPr>
        <sz val="11"/>
        <color theme="1"/>
        <rFont val="Noto Sans CJK SC"/>
        <family val="2"/>
      </rPr>
      <t xml:space="preserve">賣方 </t>
    </r>
    <r>
      <rPr>
        <sz val="11"/>
        <color theme="1"/>
        <rFont val="Calibri"/>
        <family val="2"/>
        <charset val="1"/>
      </rPr>
      <t xml:space="preserve">FY2027 AI ASIC </t>
    </r>
    <r>
      <rPr>
        <sz val="11"/>
        <color theme="1"/>
        <rFont val="Noto Sans CJK SC"/>
        <family val="2"/>
      </rPr>
      <t xml:space="preserve">營收（高盛，區間中點）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</si>
  <si>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120–160 </t>
    </r>
    <r>
      <rPr>
        <sz val="11"/>
        <color theme="1"/>
        <rFont val="Noto Sans CJK SC"/>
        <family val="2"/>
      </rPr>
      <t xml:space="preserve">億美元（同文另有 </t>
    </r>
    <r>
      <rPr>
        <sz val="11"/>
        <color theme="1"/>
        <rFont val="Calibri"/>
        <family val="2"/>
        <charset val="1"/>
      </rPr>
      <t xml:space="preserve">203 </t>
    </r>
    <r>
      <rPr>
        <sz val="11"/>
        <color theme="1"/>
        <rFont val="Noto Sans CJK SC"/>
        <family val="2"/>
      </rPr>
      <t xml:space="preserve">億美元）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</si>
  <si>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</si>
  <si>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</si>
  <si>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</si>
  <si>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4,010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3.14%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</si>
  <si>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財報狗同值；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</si>
  <si>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</si>
  <si>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</si>
  <si>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</si>
  <si>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companiesmarketcap 61.6</t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</si>
  <si>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</si>
  <si>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</si>
  <si>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</si>
  <si>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</si>
  <si>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38.75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</si>
  <si>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</si>
  <si>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</si>
  <si>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</si>
  <si>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6,067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5,861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4,000–10,369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</si>
  <si>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首頁：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6,075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</si>
  <si>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</si>
  <si>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；對照用）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</si>
  <si>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</t>
    </r>
  </si>
  <si>
    <r>
      <rPr>
        <sz val="11"/>
        <color theme="1"/>
        <rFont val="Noto Sans CJK SC"/>
        <family val="2"/>
      </rPr>
      <t xml:space="preserve">十年平均（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營收與淨利未取得）；收斂法依工作單改用最後一年 </t>
    </r>
    <r>
      <rPr>
        <sz val="11"/>
        <color theme="1"/>
        <rFont val="Calibri"/>
        <family val="2"/>
        <charset val="1"/>
      </rPr>
      <t xml:space="preserve">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</si>
  <si>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</si>
  <si>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</si>
  <si>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</si>
  <si>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</si>
  <si>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</si>
  <si>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</si>
  <si>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</si>
  <si>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</si>
  <si>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</si>
  <si>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</si>
  <si>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</si>
  <si>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</si>
  <si>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美、台、日、韓同一值</t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</si>
  <si>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</si>
  <si>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</si>
  <si>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</si>
  <si>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</si>
  <si>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</si>
  <si>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</si>
  <si>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18.89%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27.50%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26.06%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</si>
  <si>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23.86%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</si>
  <si>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</si>
  <si>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</si>
  <si>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</si>
  <si>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</si>
  <si>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</si>
  <si>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</si>
  <si>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</si>
  <si>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</si>
  <si>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</si>
  <si>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</si>
  <si>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</si>
  <si>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</si>
  <si>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</si>
  <si>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</si>
  <si>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</si>
  <si>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」的中點）</t>
    </r>
  </si>
  <si>
    <r>
      <rPr>
        <sz val="11"/>
        <color theme="1"/>
        <rFont val="Noto Sans CJK SC"/>
        <family val="2"/>
      </rPr>
      <t xml:space="preserve">十年平均未找到，依工作單以最後一年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</si>
  <si>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</si>
  <si>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</si>
  <si>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為新台幣、基本；股數為十億股）。藍字＝輸入（公司營運報告）；黑字＝公式。產品線金額＝公司公布占比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</si>
  <si>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營收實績（月營收）與指引（毛利率、費用）＋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（資料中心）全年取公司「超過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億美元」，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部分全數放在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欄（簡化）。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月底公布，屆時以實績取代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</si>
  <si>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</si>
  <si>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</si>
  <si>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</si>
  <si>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（營收實績＋指引）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</si>
  <si>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</si>
  <si>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</si>
  <si>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</si>
  <si>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</si>
  <si>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</si>
  <si>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營運報告；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營運報告（公司）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</si>
  <si>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：月營收實績（科技新報、財報狗）</t>
    </r>
  </si>
  <si>
    <t xml:space="preserve">  手機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</si>
  <si>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</si>
  <si>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1Q26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41%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53%</t>
    </r>
    <r>
      <rPr>
        <sz val="11"/>
        <color theme="1"/>
        <rFont val="Noto Sans CJK SC"/>
        <family val="2"/>
      </rPr>
      <t xml:space="preserve">（公司：手機超過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 191 </t>
    </r>
    <r>
      <rPr>
        <sz val="11"/>
        <color theme="1"/>
        <rFont val="Noto Sans CJK SC"/>
        <family val="2"/>
      </rPr>
      <t xml:space="preserve">億美元；占比未揭露，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</si>
  <si>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智慧邊緣平台（含 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</si>
  <si>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1Q26 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53%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41.5%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；公司僅揭露美元年增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</si>
  <si>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電源 </t>
    </r>
    <r>
      <rPr>
        <sz val="11"/>
        <color theme="1"/>
        <rFont val="Calibri"/>
        <family val="2"/>
        <charset val="1"/>
      </rPr>
      <t xml:space="preserve">IC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</si>
  <si>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1Q26 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</si>
  <si>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（資料中心）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</si>
  <si>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</si>
  <si>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</si>
  <si>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（量產自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部分放在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欄</t>
    </r>
  </si>
  <si>
    <r>
      <rPr>
        <sz val="11"/>
        <color theme="1"/>
        <rFont val="Noto Sans CJK SC"/>
        <family val="2"/>
      </rPr>
      <t xml:space="preserve">  智慧邊緣平台（不含 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</si>
  <si>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</si>
  <si>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</si>
  <si>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ASIC × </t>
    </r>
    <r>
      <rPr>
        <sz val="11"/>
        <color theme="1"/>
        <rFont val="Noto Sans CJK SC"/>
        <family val="2"/>
      </rPr>
      <t xml:space="preserve">毛利率＋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（核心 </t>
    </r>
    <r>
      <rPr>
        <sz val="11"/>
        <color theme="1"/>
        <rFont val="Calibri"/>
        <family val="2"/>
        <charset val="1"/>
      </rPr>
      <t xml:space="preserve">m_core</t>
    </r>
    <r>
      <rPr>
        <sz val="11"/>
        <color theme="1"/>
        <rFont val="Noto Sans CJK SC"/>
        <family val="2"/>
      </rPr>
      <t xml:space="preserve">、代購 </t>
    </r>
    <r>
      <rPr>
        <sz val="11"/>
        <color theme="1"/>
        <rFont val="Calibri"/>
        <family val="2"/>
        <charset val="1"/>
      </rPr>
      <t xml:space="preserve">HBM m_hbm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</si>
  <si>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</si>
  <si>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47.5%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46.3%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46.2%</t>
    </r>
  </si>
  <si>
    <t xml:space="preserve">營業費用（推銷＋管理＋研發）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</si>
  <si>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</si>
  <si>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</si>
  <si>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103.470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22.891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22.868</t>
    </r>
    <r>
      <rPr>
        <sz val="11"/>
        <color theme="1"/>
        <rFont val="Noto Sans CJK SC"/>
        <family val="2"/>
      </rPr>
      <t xml:space="preserve">（核對見下方）</t>
    </r>
  </si>
  <si>
    <t xml:space="preserve">營業外淨額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</si>
  <si>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</si>
  <si>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稅前利益</t>
  </si>
  <si>
    <t xml:space="preserve">所得稅</t>
  </si>
  <si>
    <t xml:space="preserve">非控制權益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</si>
  <si>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</si>
  <si>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歸屬母公司淨利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</si>
  <si>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105.319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24.154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24.335</t>
    </r>
  </si>
  <si>
    <t xml:space="preserve">  公司揭露歸屬母公司淨利</t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</si>
  <si>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</si>
  <si>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</si>
  <si>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</si>
  <si>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</si>
  <si>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</si>
  <si>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</si>
  <si>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</si>
  <si>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美元營收年增（各季營收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匯率；對照公司高個位數）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</si>
  <si>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手機年增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</si>
  <si>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</si>
  <si>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指引上緣 </t>
    </r>
    <r>
      <rPr>
        <sz val="11"/>
        <color theme="1"/>
        <rFont val="Calibri"/>
        <family val="2"/>
        <charset val="1"/>
      </rPr>
      <t xml:space="preserve">159.8 − 1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</si>
  <si>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</si>
  <si>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 自算 − 公司 </t>
    </r>
    <r>
      <rPr>
        <sz val="11"/>
        <color theme="1"/>
        <rFont val="Calibri"/>
        <family val="2"/>
        <charset val="1"/>
      </rPr>
      <t xml:space="preserve">103.470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</si>
  <si>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歸屬淨利 自算 − 公司 </t>
    </r>
    <r>
      <rPr>
        <sz val="11"/>
        <color theme="1"/>
        <rFont val="Calibri"/>
        <family val="2"/>
        <charset val="1"/>
      </rPr>
      <t xml:space="preserve">48.489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</si>
  <si>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歸屬淨利 自算 − 公司（應約為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</si>
  <si>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</si>
  <si>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追加）：產品線別營收；分部宣告見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</si>
  <si>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規格（情境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核心售價、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代購比例取自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模型（本專案權威，唯讀）；顆數：百萬顆（日曆年；與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</si>
  <si>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</si>
  <si>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</si>
  <si>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</si>
  <si>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</si>
  <si>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</si>
  <si>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b val="true"/>
        <sz val="11"/>
        <rFont val="Cambria"/>
        <family val="0"/>
        <charset val="1"/>
      </rPr>
      <t xml:space="preserve">1. Google TPU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；聯發科營收口徑＝核心售價＋代購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</si>
  <si>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</si>
  <si>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</si>
  <si>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聯發科份額：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</si>
  <si>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</si>
  <si>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聯發科顆數：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</si>
  <si>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</si>
  <si>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</si>
  <si>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單價（情境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</si>
  <si>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每顆聯發科營收（校準後）：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</si>
  <si>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</si>
  <si>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</si>
  <si>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Noto Sans CJK SC"/>
        <family val="2"/>
      </rPr>
      <t xml:space="preserve">含其他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（基準份額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</si>
  <si>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份額加總檢查（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＋聯發科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份額讀各自成品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</si>
  <si>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</si>
  <si>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其餘為世芯、創意、華為等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</si>
  <si>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</si>
  <si>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份額上限（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</si>
  <si>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頁份額高值受此上限限制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</si>
  <si>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已發生的實績、當季指引與公司全年資料中心說法；不用共識、不用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起的目標）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</si>
  <si>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</si>
  <si>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未校準由下而上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</si>
  <si>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殘差）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</si>
  <si>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</si>
  <si>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資料中心營收（公司）</t>
    </r>
  </si>
  <si>
    <r>
      <rPr>
        <b val="true"/>
        <sz val="11"/>
        <rFont val="Noto Sans CJK SC"/>
        <family val="2"/>
      </rPr>
      <t xml:space="preserve">讀法：聯發科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營收受市場層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顆數與 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份額共同限制；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份額上限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1 − 75% − 5%</t>
    </r>
    <r>
      <rPr>
        <b val="true"/>
        <sz val="11"/>
        <rFont val="Noto Sans CJK SC"/>
        <family val="2"/>
      </rPr>
      <t xml:space="preserve">）。賣方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500 </t>
    </r>
    <r>
      <rPr>
        <b val="true"/>
        <sz val="11"/>
        <rFont val="Noto Sans CJK SC"/>
        <family val="2"/>
      </rPr>
      <t xml:space="preserve">億美元的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營收需要的顆數或單價遠高於此口徑（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節）。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</si>
  <si>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聯發科損益（十億新台幣；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</si>
  <si>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</si>
  <si>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</si>
  <si>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</si>
  <si>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</si>
  <si>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</si>
  <si>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</si>
  <si>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</si>
  <si>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</si>
  <si>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</si>
  <si>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</si>
  <si>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</si>
  <si>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AI ASIC</t>
  </si>
  <si>
    <r>
      <rPr>
        <sz val="11"/>
        <color theme="1"/>
        <rFont val="Noto Sans CJK SC"/>
        <family val="2"/>
      </rPr>
      <t xml:space="preserve">  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</si>
  <si>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</si>
  <si>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</si>
  <si>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</si>
  <si>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</si>
  <si>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</si>
  <si>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</si>
  <si>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</si>
  <si>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</si>
  <si>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</si>
  <si>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由下而上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</si>
  <si>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（順利）：顆數基準；手機 </t>
    </r>
    <r>
      <rPr>
        <b val="true"/>
        <sz val="11"/>
        <rFont val="Cambria"/>
        <family val="0"/>
        <charset val="1"/>
      </rPr>
      <t xml:space="preserve">FY2027 +5%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；智慧邊緣 </t>
    </r>
    <r>
      <rPr>
        <b val="true"/>
        <sz val="11"/>
        <rFont val="Cambria"/>
        <family val="0"/>
        <charset val="1"/>
      </rPr>
      <t xml:space="preserve">+8%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+7%</t>
    </r>
    <r>
      <rPr>
        <b val="true"/>
        <sz val="11"/>
        <rFont val="Noto Sans CJK SC"/>
        <family val="2"/>
      </rPr>
      <t xml:space="preserve">；電源 </t>
    </r>
    <r>
      <rPr>
        <b val="true"/>
        <sz val="11"/>
        <rFont val="Cambria"/>
        <family val="0"/>
        <charset val="1"/>
      </rPr>
      <t xml:space="preserve">IC +8%</t>
    </r>
  </si>
  <si>
    <r>
      <rPr>
        <b val="true"/>
        <sz val="11"/>
        <rFont val="Cambria"/>
        <family val="0"/>
        <charset val="1"/>
      </rPr>
      <t xml:space="preserve">A. AI ASIC</t>
    </r>
    <r>
      <rPr>
        <b val="true"/>
        <sz val="11"/>
        <rFont val="Noto Sans CJK SC"/>
        <family val="2"/>
      </rPr>
      <t xml:space="preserve">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</si>
  <si>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市場顆數（含情境係數）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</si>
  <si>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市場顆數（含情境係數）</t>
    </r>
  </si>
  <si>
    <r>
      <rPr>
        <sz val="11"/>
        <color theme="1"/>
        <rFont val="Noto Sans CJK SC"/>
        <family val="2"/>
      </rPr>
      <t xml:space="preserve">聯發科份額：其他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</si>
  <si>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聯發科顆數：其他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</si>
  <si>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</si>
  <si>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</si>
  <si>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</si>
  <si>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</si>
  <si>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每顆核心售價：其他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</si>
  <si>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</si>
  <si>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</si>
  <si>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每顆聯發科營收（核心＋代購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</si>
  <si>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核心售價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</si>
  <si>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每顆聯發科營收（核心＋代購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</si>
  <si>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</si>
  <si>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</si>
  <si>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：以公司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「超過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億美元」校準；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起沿用。顆數、份額、單價的合併係數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</si>
  <si>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營收（美元）</t>
    </r>
  </si>
  <si>
    <t xml:space="preserve">匯率</t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</si>
  <si>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</si>
  <si>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</si>
  <si>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其中核心（設計＋晶片＋封裝）</t>
  </si>
  <si>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顆數合計</t>
    </r>
  </si>
  <si>
    <r>
      <rPr>
        <sz val="11"/>
        <color theme="1"/>
        <rFont val="Noto Sans CJK SC"/>
        <family val="2"/>
      </rPr>
      <t xml:space="preserve">每顆聯發科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營收（校準後）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</si>
  <si>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手機、智慧邊緣平台（不含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）、電源 </t>
    </r>
    <r>
      <rPr>
        <b val="true"/>
        <sz val="11"/>
        <rFont val="Cambria"/>
        <family val="0"/>
        <charset val="1"/>
      </rPr>
      <t xml:space="preserve">IC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起簡化成長率）</t>
    </r>
  </si>
  <si>
    <t xml:space="preserve">手機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</si>
  <si>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</si>
  <si>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</si>
  <si>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</si>
  <si>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</si>
  <si>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</si>
  <si>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ASIC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</si>
  <si>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手機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</si>
  <si>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毛利與損益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</si>
  <si>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毛利 ＝ </t>
    </r>
    <r>
      <rPr>
        <sz val="11"/>
        <color theme="1"/>
        <rFont val="Calibri"/>
        <family val="2"/>
        <charset val="1"/>
      </rPr>
      <t xml:space="preserve">m_core × </t>
    </r>
    <r>
      <rPr>
        <sz val="11"/>
        <color theme="1"/>
        <rFont val="Noto Sans CJK SC"/>
        <family val="2"/>
      </rPr>
      <t xml:space="preserve">核心 ＋ </t>
    </r>
    <r>
      <rPr>
        <sz val="11"/>
        <color theme="1"/>
        <rFont val="Calibri"/>
        <family val="2"/>
        <charset val="1"/>
      </rPr>
      <t xml:space="preserve">m_hbm × </t>
    </r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</si>
  <si>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殘差，之後沿用＋調整）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</si>
  <si>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</si>
  <si>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t xml:space="preserve">營業費用</t>
  </si>
  <si>
    <t xml:space="preserve">加權股數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</si>
  <si>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</si>
  <si>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</si>
  <si>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；手機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+2%</t>
    </r>
    <r>
      <rPr>
        <b val="true"/>
        <sz val="11"/>
        <rFont val="Noto Sans CJK SC"/>
        <family val="2"/>
      </rPr>
      <t xml:space="preserve">；智慧邊緣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；電源 </t>
    </r>
    <r>
      <rPr>
        <b val="true"/>
        <sz val="11"/>
        <rFont val="Cambria"/>
        <family val="0"/>
        <charset val="1"/>
      </rPr>
      <t xml:space="preserve">IC +4%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</si>
  <si>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；手機 −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；智慧邊緣 −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+1%</t>
    </r>
    <r>
      <rPr>
        <b val="true"/>
        <sz val="11"/>
        <rFont val="Noto Sans CJK SC"/>
        <family val="2"/>
      </rPr>
      <t xml:space="preserve">；電源 </t>
    </r>
    <r>
      <rPr>
        <b val="true"/>
        <sz val="11"/>
        <rFont val="Cambria"/>
        <family val="0"/>
        <charset val="1"/>
      </rPr>
      <t xml:space="preserve">IC 0%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</si>
  <si>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</si>
  <si>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循環位置：聯發科不是設備股，不套設備市場見頂年；以本模型營收最高的會計年度為見頂年（比照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、廣達；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</si>
  <si>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</si>
  <si>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</si>
  <si>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</si>
  <si>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</si>
  <si>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</si>
  <si>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</si>
  <si>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</si>
  <si>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</si>
  <si>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</si>
  <si>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</si>
  <si>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</si>
  <si>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</si>
  <si>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</si>
  <si>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</si>
  <si>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</si>
  <si>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</si>
  <si>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</si>
  <si>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</si>
  <si>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</si>
  <si>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</si>
  <si>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</si>
  <si>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</si>
  <si>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</si>
  <si>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</si>
  <si>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</si>
  <si>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</si>
  <si>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</si>
  <si>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高通（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）</t>
    </r>
  </si>
  <si>
    <t xml:space="preserve">QCOM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</si>
  <si>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</si>
  <si>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</si>
  <si>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博通（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</t>
    </r>
  </si>
  <si>
    <t xml:space="preserve">AVGO</t>
  </si>
  <si>
    <r>
      <rPr>
        <sz val="11"/>
        <color theme="1"/>
        <rFont val="Noto Sans CJK SC"/>
        <family val="2"/>
      </rPr>
      <t xml:space="preserve">邁威爾（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）</t>
    </r>
  </si>
  <si>
    <t xml:space="preserve">MRVL</t>
  </si>
  <si>
    <r>
      <rPr>
        <sz val="11"/>
        <color theme="1"/>
        <rFont val="Noto Sans CJK SC"/>
        <family val="2"/>
      </rPr>
      <t xml:space="preserve">世芯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</t>
    </r>
  </si>
  <si>
    <t xml:space="preserve">3661.TW</t>
  </si>
  <si>
    <t xml:space="preserve">2026-10-22</t>
  </si>
  <si>
    <r>
      <rPr>
        <sz val="11"/>
        <color theme="1"/>
        <rFont val="Noto Sans CJK SC"/>
        <family val="2"/>
      </rPr>
      <t xml:space="preserve">創意（</t>
    </r>
    <r>
      <rPr>
        <sz val="11"/>
        <color theme="1"/>
        <rFont val="Calibri"/>
        <family val="2"/>
        <charset val="1"/>
      </rPr>
      <t xml:space="preserve">GUC</t>
    </r>
    <r>
      <rPr>
        <sz val="11"/>
        <color theme="1"/>
        <rFont val="Noto Sans CJK SC"/>
        <family val="2"/>
      </rPr>
      <t xml:space="preserve">）</t>
    </r>
  </si>
  <si>
    <t xml:space="preserve">3443.TW</t>
  </si>
  <si>
    <t xml:space="preserve">2026-10-08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</si>
  <si>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</si>
  <si>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手機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（高通）＋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設計（博通、邁威爾、世芯、創意）；不含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</si>
  <si>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</si>
  <si>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</si>
  <si>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</si>
  <si>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</si>
  <si>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</si>
  <si>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</si>
  <si>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</si>
  <si>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</si>
  <si>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</si>
  <si>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</si>
  <si>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6,067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5,861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</si>
  <si>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</si>
  <si>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</si>
  <si>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</si>
  <si>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</si>
  <si>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</si>
  <si>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</si>
  <si>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</si>
  <si>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</si>
  <si>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</si>
  <si>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節兩來源平均）的分位；高於十年最大值記為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</si>
  <si>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</si>
  <si>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明確期＋永續；聯發科為輕資產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設計，不改用淨利＋折舊－資本支出。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第二、第三顆的成長未在明確期展開，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偏低估的方向。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：高通、博通、邁威爾、世芯、創意前瞻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中位數（高通 </t>
    </r>
    <r>
      <rPr>
        <sz val="11"/>
        <color theme="1"/>
        <rFont val="Calibri"/>
        <family val="2"/>
        <charset val="1"/>
      </rPr>
      <t xml:space="preserve">19x</t>
    </r>
    <r>
      <rPr>
        <sz val="11"/>
        <color theme="1"/>
        <rFont val="Noto Sans CJK SC"/>
        <family val="2"/>
      </rPr>
      <t xml:space="preserve">、博通 </t>
    </r>
    <r>
      <rPr>
        <sz val="11"/>
        <color theme="1"/>
        <rFont val="Calibri"/>
        <family val="2"/>
        <charset val="1"/>
      </rPr>
      <t xml:space="preserve">18.5x </t>
    </r>
    <r>
      <rPr>
        <sz val="11"/>
        <color theme="1"/>
        <rFont val="Noto Sans CJK SC"/>
        <family val="2"/>
      </rPr>
      <t xml:space="preserve">落在中間；創意 </t>
    </r>
    <r>
      <rPr>
        <sz val="11"/>
        <color theme="1"/>
        <rFont val="Calibri"/>
        <family val="2"/>
        <charset val="1"/>
      </rPr>
      <t xml:space="preserve">103x </t>
    </r>
    <r>
      <rPr>
        <sz val="11"/>
        <color theme="1"/>
        <rFont val="Noto Sans CJK SC"/>
        <family val="2"/>
      </rPr>
      <t xml:space="preserve">為極端值，中位數不受影響）。主要偏誤：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營收受市場層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顆數與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份額限制，遠低於賣方（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節），本模型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與目標價都偏向低估賣方路徑。情境對應：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、手機下滑）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</si>
  <si>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</si>
  <si>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</si>
  <si>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</si>
  <si>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</si>
  <si>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</si>
  <si>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</si>
  <si>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</si>
  <si>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</si>
  <si>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成長率（顆數情境係數從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</si>
  <si>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</si>
  <si>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</si>
  <si>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</si>
  <si>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</si>
  <si>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</si>
  <si>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</si>
  <si>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</si>
  <si>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</si>
  <si>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</si>
  <si>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</si>
  <si>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</si>
  <si>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</si>
  <si>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</si>
  <si>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</si>
  <si>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</si>
  <si>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</si>
  <si>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</si>
  <si>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</si>
  <si>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</si>
  <si>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</si>
  <si>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</si>
  <si>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</si>
  <si>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</si>
  <si>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</si>
  <si>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</si>
  <si>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</si>
  <si>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</si>
  <si>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</si>
  <si>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</si>
  <si>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</si>
  <si>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</si>
  <si>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</si>
  <si>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</si>
  <si>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</si>
  <si>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</si>
  <si>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</si>
  <si>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</si>
  <si>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</si>
  <si>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</si>
  <si>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</si>
  <si>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</si>
  <si>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</si>
  <si>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8.42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21.67</t>
    </r>
    <r>
      <rPr>
        <sz val="11"/>
        <color theme="1"/>
        <rFont val="Noto Sans CJK SC"/>
        <family val="2"/>
      </rPr>
      <t xml:space="preserve">）與自算相同，只作核對。聯發科為高配息公司，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早年倍數偏低（疑為除息調整價格）；十年皆為手機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期，未含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放量後的成長溢價，套用在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時偏向低估。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</si>
  <si>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</si>
  <si>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</si>
  <si>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公司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</si>
  <si>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</si>
  <si>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年；早年價格疑為除息調整後，倍數偏低）；自算（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科技新報、</t>
    </r>
    <r>
      <rPr>
        <sz val="11"/>
        <color theme="1"/>
        <rFont val="Calibri"/>
        <family val="2"/>
        <charset val="1"/>
      </rPr>
      <t xml:space="preserve">2018–2025 HiStock </t>
    </r>
    <r>
      <rPr>
        <sz val="11"/>
        <color theme="1"/>
        <rFont val="Noto Sans CJK SC"/>
        <family val="2"/>
      </rPr>
      <t xml:space="preserve">與公司；</t>
    </r>
    <r>
      <rPr>
        <sz val="11"/>
        <color theme="1"/>
        <rFont val="Calibri"/>
        <family val="2"/>
        <charset val="1"/>
      </rPr>
      <t xml:space="preserve">2016 EPS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</si>
  <si>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</si>
  <si>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</si>
  <si>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</si>
  <si>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</si>
  <si>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</si>
  <si>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</si>
  <si>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</si>
  <si>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</si>
  <si>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</si>
  <si>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</si>
  <si>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</si>
  <si>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</si>
  <si>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</si>
  <si>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</si>
  <si>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</si>
  <si>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</si>
  <si>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</si>
  <si>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</si>
  <si>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</si>
  <si>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</si>
  <si>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</si>
  <si>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</si>
  <si>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</si>
  <si>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</si>
  <si>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</si>
  <si>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B42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</si>
  <si>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</si>
  <si>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</si>
  <si>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公司指引與目標、共識、券商。只作事後對照，不為對上數字而調參數。公司 </t>
    </r>
    <r>
      <rPr>
        <sz val="11"/>
        <color theme="1"/>
        <rFont val="Calibri"/>
        <family val="2"/>
        <charset val="1"/>
      </rPr>
      <t xml:space="preserve">FY2027 SAM </t>
    </r>
    <r>
      <rPr>
        <sz val="11"/>
        <color theme="1"/>
        <rFont val="Noto Sans CJK SC"/>
        <family val="2"/>
      </rPr>
      <t xml:space="preserve">份額目標與券商 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估計為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</si>
  <si>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</si>
  <si>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</si>
  <si>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</si>
  <si>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</si>
  <si>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</si>
  <si>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</si>
  <si>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</si>
  <si>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</si>
  <si>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公司展望與共識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</si>
  <si>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</si>
  <si>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</si>
  <si>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678.0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營收已超過指引上緣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</si>
  <si>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</si>
  <si>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58.48–73.35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</si>
  <si>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美元營收年增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公司高個位數（百分點）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</si>
  <si>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</si>
  <si>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營收超出指引、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量產</t>
    </r>
  </si>
  <si>
    <r>
      <rPr>
        <b val="true"/>
        <sz val="11"/>
        <rFont val="Cambria"/>
        <family val="0"/>
        <charset val="1"/>
      </rPr>
      <t xml:space="preserve">B. AI ASIC vs </t>
    </r>
    <r>
      <rPr>
        <b val="true"/>
        <sz val="11"/>
        <rFont val="Noto Sans CJK SC"/>
        <family val="2"/>
      </rPr>
      <t xml:space="preserve">公司目標與賣方（市場層顆數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份額口徑）</t>
    </r>
  </si>
  <si>
    <r>
      <rPr>
        <sz val="11"/>
        <color theme="1"/>
        <rFont val="Calibri"/>
        <family val="2"/>
        <charset val="1"/>
      </rPr>
      <t xml:space="preserve">FY2027 ASIC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SAM × </t>
    </r>
    <r>
      <rPr>
        <sz val="11"/>
        <color theme="1"/>
        <rFont val="Noto Sans CJK SC"/>
        <family val="2"/>
      </rPr>
      <t xml:space="preserve">份額目標中點（</t>
    </r>
    <r>
      <rPr>
        <sz val="11"/>
        <color theme="1"/>
        <rFont val="Calibri"/>
        <family val="2"/>
        <charset val="1"/>
      </rPr>
      <t xml:space="preserve">80 × 17.5%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</si>
  <si>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目標區間 </t>
    </r>
    <r>
      <rPr>
        <sz val="11"/>
        <color theme="1"/>
        <rFont val="Calibri"/>
        <family val="2"/>
        <charset val="1"/>
      </rPr>
      <t xml:space="preserve">12–16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）；份額目標的分母為 </t>
    </r>
    <r>
      <rPr>
        <sz val="11"/>
        <color theme="1"/>
        <rFont val="Calibri"/>
        <family val="2"/>
        <charset val="1"/>
      </rPr>
      <t xml:space="preserve">SAM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</si>
  <si>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FY2027 ASIC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120–160 </t>
    </r>
    <r>
      <rPr>
        <sz val="11"/>
        <color theme="1"/>
        <rFont val="Noto Sans CJK SC"/>
        <family val="2"/>
      </rPr>
      <t xml:space="preserve">億美元中點</t>
    </r>
  </si>
  <si>
    <r>
      <rPr>
        <sz val="11"/>
        <color theme="1"/>
        <rFont val="Calibri"/>
        <family val="2"/>
        <charset val="1"/>
      </rPr>
      <t xml:space="preserve">FY2027 ASIC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可能」（百分點）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</si>
  <si>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</si>
  <si>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FY2028 ASIC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</si>
  <si>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</si>
  <si>
    <t xml:space="preserve">差距為本模型最大的口徑問題（見下兩列）</t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</si>
  <si>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：達到凱基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所需聯發科顆數（＝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模型每顆營收）</t>
    </r>
  </si>
  <si>
    <t xml:space="preserve">推導</t>
  </si>
  <si>
    <r>
      <rPr>
        <sz val="11"/>
        <color theme="1"/>
        <rFont val="Noto Sans CJK SC"/>
        <family val="2"/>
      </rPr>
      <t xml:space="preserve">百萬顆；凱基假設 </t>
    </r>
    <r>
      <rPr>
        <sz val="11"/>
        <color theme="1"/>
        <rFont val="Calibri"/>
        <family val="2"/>
        <charset val="1"/>
      </rPr>
      <t xml:space="preserve">v9 Humufish 400 </t>
    </r>
    <r>
      <rPr>
        <sz val="11"/>
        <color theme="1"/>
        <rFont val="Noto Sans CJK SC"/>
        <family val="2"/>
      </rPr>
      <t xml:space="preserve">萬顆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</si>
  <si>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</si>
  <si>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Broadcom 75% − Marvell 5%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即與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份額口徑衝突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</si>
  <si>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：凱基顆數下所需每顆營收（＝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400 </t>
    </r>
    <r>
      <rPr>
        <sz val="11"/>
        <color theme="1"/>
        <rFont val="Noto Sans CJK SC"/>
        <family val="2"/>
      </rPr>
      <t xml:space="preserve">萬顆）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模型每顆營收</t>
    </r>
  </si>
  <si>
    <r>
      <rPr>
        <sz val="11"/>
        <color theme="1"/>
        <rFont val="Noto Sans CJK SC"/>
        <family val="2"/>
      </rPr>
      <t xml:space="preserve">倍數；凱基稱 </t>
    </r>
    <r>
      <rPr>
        <sz val="11"/>
        <color theme="1"/>
        <rFont val="Calibri"/>
        <family val="2"/>
        <charset val="1"/>
      </rPr>
      <t xml:space="preserve">v9 </t>
    </r>
    <r>
      <rPr>
        <sz val="11"/>
        <color theme="1"/>
        <rFont val="Noto Sans CJK SC"/>
        <family val="2"/>
      </rPr>
      <t xml:space="preserve">單價至少 </t>
    </r>
    <r>
      <rPr>
        <sz val="11"/>
        <color theme="1"/>
        <rFont val="Calibri"/>
        <family val="2"/>
        <charset val="1"/>
      </rPr>
      <t xml:space="preserve">+200%</t>
    </r>
  </si>
  <si>
    <r>
      <rPr>
        <b val="true"/>
        <sz val="11"/>
        <rFont val="Cambria"/>
        <family val="0"/>
        <charset val="1"/>
      </rPr>
      <t xml:space="preserve">C. EPS vs </t>
    </r>
    <r>
      <rPr>
        <b val="true"/>
        <sz val="11"/>
        <rFont val="Noto Sans CJK SC"/>
        <family val="2"/>
      </rPr>
      <t xml:space="preserve">券商（校準未使用）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</si>
  <si>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</t>
    </r>
  </si>
  <si>
    <t xml:space="preserve">FY2027 EPS vs Citi</t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</si>
  <si>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</si>
  <si>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差距 </t>
    </r>
    <r>
      <rPr>
        <sz val="11"/>
        <color theme="1"/>
        <rFont val="Calibri"/>
        <family val="2"/>
        <charset val="1"/>
      </rPr>
      <t xml:space="preserve">&gt;30%</t>
    </r>
    <r>
      <rPr>
        <sz val="11"/>
        <color theme="1"/>
        <rFont val="Noto Sans CJK SC"/>
        <family val="2"/>
      </rPr>
      <t xml:space="preserve">：見 </t>
    </r>
    <r>
      <rPr>
        <sz val="11"/>
        <color theme="1"/>
        <rFont val="Calibri"/>
        <family val="2"/>
        <charset val="1"/>
      </rPr>
      <t xml:space="preserve">README</t>
    </r>
  </si>
  <si>
    <t xml:space="preserve">FY2028 EPS vs Citi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</si>
  <si>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</si>
  <si>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模型（情境加權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</si>
  <si>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推得</t>
    </r>
  </si>
  <si>
    <t xml:space="preserve">三欄同值（情境加權）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</si>
  <si>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校準與份額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</si>
  <si>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</si>
  <si>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</si>
  <si>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＝市場層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5% × Broadcom </t>
    </r>
    <r>
      <rPr>
        <sz val="11"/>
        <color theme="1"/>
        <rFont val="Noto Sans CJK SC"/>
        <family val="2"/>
      </rPr>
      <t xml:space="preserve">模型單價與公司說法一致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</si>
  <si>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毛利殘差</t>
    </r>
  </si>
  <si>
    <r>
      <rPr>
        <sz val="11"/>
        <color theme="1"/>
        <rFont val="Calibri"/>
        <family val="2"/>
        <charset val="1"/>
      </rPr>
      <t xml:space="preserve">FY2025 47.5%</t>
    </r>
    <r>
      <rPr>
        <sz val="11"/>
        <color theme="1"/>
        <rFont val="Noto Sans CJK SC"/>
        <family val="2"/>
      </rPr>
      <t xml:space="preserve">（全部非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</si>
  <si>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 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</si>
  <si>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</si>
  <si>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</si>
  <si>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</si>
  <si>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2026-05-03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</si>
  <si>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（百分點）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</si>
  <si>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</si>
  <si>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</si>
  <si>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</si>
  <si>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毛利率在每個案例內重算）：對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</si>
  <si>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</si>
  <si>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</si>
  <si>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</si>
  <si>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</si>
  <si>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</si>
  <si>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</si>
  <si>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</si>
  <si>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</si>
  <si>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</si>
  <si>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</si>
  <si>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</si>
  <si>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</si>
  <si>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起聯發科占 </t>
    </r>
    <r>
      <rPr>
        <sz val="11"/>
        <color theme="1"/>
        <rFont val="Calibri"/>
        <family val="2"/>
        <charset val="1"/>
      </rPr>
      <t xml:space="preserve">TPU −5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</si>
  <si>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份額取高值（上限）</t>
    </r>
  </si>
  <si>
    <r>
      <rPr>
        <sz val="11"/>
        <color theme="1"/>
        <rFont val="Calibri"/>
        <family val="2"/>
        <charset val="1"/>
      </rPr>
      <t xml:space="preserve">CY2027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</si>
  <si>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</si>
  <si>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起聯發科顆數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</si>
  <si>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</si>
  <si>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（超出份額上限，僅示意）</t>
    </r>
  </si>
  <si>
    <r>
      <rPr>
        <sz val="11"/>
        <color theme="1"/>
        <rFont val="Noto Sans CJK SC"/>
        <family val="2"/>
      </rPr>
      <t xml:space="preserve">第二顆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×2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</si>
  <si>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起核心售價 </t>
    </r>
    <r>
      <rPr>
        <sz val="11"/>
        <color theme="1"/>
        <rFont val="Calibri"/>
        <family val="2"/>
        <charset val="1"/>
      </rPr>
      <t xml:space="preserve">×2</t>
    </r>
    <r>
      <rPr>
        <sz val="11"/>
        <color theme="1"/>
        <rFont val="Noto Sans CJK SC"/>
        <family val="2"/>
      </rPr>
      <t xml:space="preserve">（賣方：新世代單價數倍）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</si>
  <si>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</si>
  <si>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</si>
  <si>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</si>
  <si>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起第二客戶（基準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</si>
  <si>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低</t>
    </r>
  </si>
  <si>
    <r>
      <rPr>
        <sz val="11"/>
        <color theme="1"/>
        <rFont val="Noto Sans CJK SC"/>
        <family val="2"/>
      </rPr>
      <t xml:space="preserve">代購比例取低值（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</si>
  <si>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高</t>
    </r>
  </si>
  <si>
    <t xml:space="preserve">代購比例取高值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</si>
  <si>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</si>
  <si>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</si>
  <si>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55%</t>
    </r>
  </si>
  <si>
    <r>
      <rPr>
        <sz val="11"/>
        <color theme="1"/>
        <rFont val="Noto Sans CJK SC"/>
        <family val="2"/>
      </rPr>
      <t xml:space="preserve">手機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</si>
  <si>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FY2027 −8%</t>
    </r>
    <r>
      <rPr>
        <sz val="11"/>
        <color theme="1"/>
        <rFont val="Noto Sans CJK SC"/>
        <family val="2"/>
      </rPr>
      <t xml:space="preserve">、之後 −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</si>
  <si>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Noto Sans CJK SC"/>
        <family val="2"/>
      </rPr>
      <t xml:space="preserve">智慧邊緣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</si>
  <si>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FY2027 −3%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+1%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</si>
  <si>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</si>
  <si>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</si>
  <si>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</si>
  <si>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</si>
  <si>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</si>
  <si>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</si>
  <si>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</si>
  <si>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美元營收換算）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</si>
  <si>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</si>
  <si>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14%</t>
    </r>
  </si>
  <si>
    <r>
      <rPr>
        <sz val="11"/>
        <color theme="1"/>
        <rFont val="Noto Sans CJK SC"/>
        <family val="2"/>
      </rPr>
      <t xml:space="preserve">營業外 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</si>
  <si>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18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</si>
  <si>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</si>
  <si>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成長較低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</si>
  <si>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</si>
  <si>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；手機 −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</si>
  <si>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成長率；顆數情境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份額高值受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份額上限限制；第二顆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×2 </t>
    </r>
    <r>
      <rPr>
        <sz val="11"/>
        <color theme="1"/>
        <rFont val="Noto Sans CJK SC"/>
        <family val="2"/>
      </rPr>
      <t xml:space="preserve">是賣方路徑的主要差異來源。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</si>
  <si>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</si>
  <si>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</si>
  <si>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</si>
  <si>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</si>
  <si>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</si>
  <si>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</si>
  <si>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</si>
  <si>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</si>
  <si>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</si>
  <si>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</si>
  <si>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</si>
  <si>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</si>
  <si>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</si>
  <si>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</si>
  <si>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</si>
  <si>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</si>
  <si>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</si>
  <si>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份額取高值（上限）（情境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</si>
  <si>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</si>
  <si>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</si>
  <si>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案例區塊：第二顆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單價 </t>
    </r>
    <r>
      <rPr>
        <b val="true"/>
        <sz val="11"/>
        <rFont val="Cambria"/>
        <family val="0"/>
        <charset val="1"/>
      </rPr>
      <t xml:space="preserve">×2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</si>
  <si>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</si>
  <si>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</si>
  <si>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</si>
  <si>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</si>
  <si>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核心毛利率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</si>
  <si>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核心毛利率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</si>
  <si>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案例區塊：手機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</si>
  <si>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案例區塊：智慧邊緣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</si>
  <si>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毛利率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</si>
  <si>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</si>
  <si>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</si>
  <si>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</si>
  <si>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</si>
  <si>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</si>
  <si>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來源（公司原文＝聯發科法說資料；券商、資料商、媒體皆為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</si>
  <si>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營運報告（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損益表、資產負債）</t>
    </r>
  </si>
  <si>
    <t xml:space="preserve">https://www.mediatek.com/hubfs/MediaTek%20Assets/Pdfs/Quarterly%20Earnings%20Release/2026/Quarterly%20Earnings%20Release-2026Q2/%5B%E6%B3%95%E8%AA%AA%E6%9C%83%E8%B3%87%E6%96%99%5DQ2%E7%87%9F%E9%81%8B%E5%A0%B1%E5%91%8A.pdf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</si>
  <si>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指引、資料中心超過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SAM 800 </t>
    </r>
    <r>
      <rPr>
        <sz val="11"/>
        <color theme="1"/>
        <rFont val="Noto Sans CJK SC"/>
        <family val="2"/>
      </rPr>
      <t xml:space="preserve">億美元、份額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、第二顆 </t>
    </r>
    <r>
      <rPr>
        <sz val="11"/>
        <color theme="1"/>
        <rFont val="Calibri"/>
        <family val="2"/>
        <charset val="1"/>
      </rPr>
      <t xml:space="preserve">ASIC 2028</t>
    </r>
    <r>
      <rPr>
        <sz val="11"/>
        <color theme="1"/>
        <rFont val="Noto Sans CJK SC"/>
        <family val="2"/>
      </rPr>
      <t xml:space="preserve">）</t>
    </r>
  </si>
  <si>
    <t xml:space="preserve">https://www.mediatek.com/hubfs/MediaTek%20Assets/Pdfs/Quarterly%20Earnings%20Release/2026/Quarterly%20Earnings%20Release-2026Q2/Prepared%20remarks.pdf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</si>
  <si>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數十億美元、</t>
    </r>
    <r>
      <rPr>
        <sz val="11"/>
        <color theme="1"/>
        <rFont val="Calibri"/>
        <family val="2"/>
        <charset val="1"/>
      </rPr>
      <t xml:space="preserve">SAM 700–800 </t>
    </r>
    <r>
      <rPr>
        <sz val="11"/>
        <color theme="1"/>
        <rFont val="Noto Sans CJK SC"/>
        <family val="2"/>
      </rPr>
      <t xml:space="preserve">億美元、份額 </t>
    </r>
    <r>
      <rPr>
        <sz val="11"/>
        <color theme="1"/>
        <rFont val="Calibri"/>
        <family val="2"/>
        <charset val="1"/>
      </rPr>
      <t xml:space="preserve">10–15%</t>
    </r>
    <r>
      <rPr>
        <sz val="11"/>
        <color theme="1"/>
        <rFont val="Noto Sans CJK SC"/>
        <family val="2"/>
      </rPr>
      <t xml:space="preserve">）</t>
    </r>
  </si>
  <si>
    <t xml:space="preserve">https://www.mediatek.com/hubfs/MediaTek%20Assets/Pdfs/Quarterly%20Earnings%20Release/2026/Quarterly%20Earnings%20Release-2026Q1/%E8%AA%AA%E6%98%8E%E6%9C%83%E9%80%90%E5%AD%97%E7%A8%BF.pdf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</si>
  <si>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營運報告（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損益表）</t>
    </r>
  </si>
  <si>
    <t xml:space="preserve">https://www.mediatek.com/hubfs/MediaTek%20Assets/Pdfs/Quarterly%20Earnings%20Release/2025/Quarterly%20Earnings%20Release-2025Q4/%5B%E6%B3%95%E8%AA%AA%E6%9C%83%E8%B3%87%E6%96%99%5DQ4%E7%87%9F%E9%81%8B%E5%A0%B1%E5%91%8A.pdf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</si>
  <si>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美元營收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億、資料中心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</si>
  <si>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https://www.mediatek.com/hubfs/MediaTek%20Assets/Pdfs/Quarterly%20Earnings%20Release/2025/Quarterly%20Earnings%20Release-2025Q4/%E8%AA%AA%E6%98%8E%E6%9C%83%E9%80%90%E5%AD%97%E7%A8%BF.pdf</t>
  </si>
  <si>
    <r>
      <rPr>
        <sz val="11"/>
        <color theme="1"/>
        <rFont val="Noto Sans CJK SC"/>
        <family val="2"/>
      </rPr>
      <t xml:space="preserve">媒體：科技新報（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</t>
    </r>
  </si>
  <si>
    <t xml:space="preserve">https://finance.technews.tw/2026/10/08/mtk-2454-202609-financial-report/</t>
  </si>
  <si>
    <r>
      <rPr>
        <sz val="11"/>
        <color theme="1"/>
        <rFont val="Noto Sans CJK SC"/>
        <family val="2"/>
      </rPr>
      <t xml:space="preserve">媒體：財報狗（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1,680.58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展望）</t>
    </r>
  </si>
  <si>
    <t xml:space="preserve">https://statementdog.com/news/17861</t>
  </si>
  <si>
    <r>
      <rPr>
        <sz val="11"/>
        <color theme="1"/>
        <rFont val="Noto Sans CJK SC"/>
        <family val="2"/>
      </rPr>
      <t xml:space="preserve">媒體：風傳媒（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法說摘要）</t>
    </r>
  </si>
  <si>
    <t xml:space="preserve">https://www.storm.mg/article/11153222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</si>
  <si>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預估、</t>
    </r>
    <r>
      <rPr>
        <sz val="11"/>
        <color theme="1"/>
        <rFont val="Calibri"/>
        <family val="2"/>
        <charset val="1"/>
      </rPr>
      <t xml:space="preserve">v8x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v10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ASIC 500 </t>
    </r>
    <r>
      <rPr>
        <sz val="11"/>
        <color theme="1"/>
        <rFont val="Noto Sans CJK SC"/>
        <family val="2"/>
      </rPr>
      <t xml:space="preserve">億美元、目標價 </t>
    </r>
    <r>
      <rPr>
        <sz val="11"/>
        <color theme="1"/>
        <rFont val="Calibri"/>
        <family val="2"/>
        <charset val="1"/>
      </rPr>
      <t xml:space="preserve">6,150</t>
    </r>
    <r>
      <rPr>
        <sz val="11"/>
        <color theme="1"/>
        <rFont val="Noto Sans CJK SC"/>
        <family val="2"/>
      </rPr>
      <t xml:space="preserve">）</t>
    </r>
  </si>
  <si>
    <t xml:space="preserve">https://www.kgi.com.hk/zh-cn/-/media/files/kgishk/research-reports/tw-reports/mediatek-2454-tt_20260723_en.pdf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</si>
  <si>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（高盛、</t>
    </r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Noto Sans CJK SC"/>
        <family val="2"/>
      </rPr>
      <t xml:space="preserve">目標價與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2026–28</t>
    </r>
    <r>
      <rPr>
        <sz val="11"/>
        <color theme="1"/>
        <rFont val="Noto Sans CJK SC"/>
        <family val="2"/>
      </rPr>
      <t xml:space="preserve">）</t>
    </r>
  </si>
  <si>
    <t xml:space="preserve">https://udn.com/news/story/7252/9668107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</si>
  <si>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2026-05-03</t>
    </r>
    <r>
      <rPr>
        <sz val="11"/>
        <color theme="1"/>
        <rFont val="Noto Sans CJK SC"/>
        <family val="2"/>
      </rPr>
      <t xml:space="preserve">（高盛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單價數倍、</t>
    </r>
    <r>
      <rPr>
        <sz val="11"/>
        <color theme="1"/>
        <rFont val="Calibri"/>
        <family val="2"/>
        <charset val="1"/>
      </rPr>
      <t xml:space="preserve">25x P/E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</si>
  <si>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https://money.udn.com/money/amp/story/5607/9479348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</si>
  <si>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財務）</t>
    </r>
  </si>
  <si>
    <t xml:space="preserve">https://stockanalysis.com/quote/tpe/2454/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</si>
  <si>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共識、目標價）</t>
    </r>
  </si>
  <si>
    <t xml:space="preserve">https://stockanalysis.com/quote/tpe/2454/forecast/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</si>
  <si>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3661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3443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</si>
  <si>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https://stockanalysis.com/stocks/qcom/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https://stockanalysis.com/stocks/avgo/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https://stockanalysis.com/stocks/mrvl/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https://stockanalysis.com/quote/tpe/3661/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https://stockanalysis.com/quote/tpe/3443/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</si>
  <si>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</si>
  <si>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https://companiesmarketcap.com/mediatek/pe-ratio/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</si>
  <si>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</si>
  <si>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https://www.digrin.com/stocks/detail/2454.TW/price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</si>
  <si>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歷年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）；科技新報 </t>
    </r>
    <r>
      <rPr>
        <sz val="11"/>
        <color theme="1"/>
        <rFont val="Calibri"/>
        <family val="2"/>
        <charset val="1"/>
      </rPr>
      <t xml:space="preserve">2017 EPS 15.56</t>
    </r>
  </si>
  <si>
    <r>
      <rPr>
        <sz val="11"/>
        <color theme="1"/>
        <rFont val="Calibri"/>
        <family val="2"/>
        <charset val="1"/>
      </rPr>
      <t xml:space="preserve">https://histock.tw/stock/2454/%E6%AF%8F%E8%82%A1%E7%9B%88%E9%A4%98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https://finance.technews.tw/2018/01/31/mediatek-2017q4/</t>
    </r>
  </si>
  <si>
    <r>
      <rPr>
        <sz val="11"/>
        <color theme="1"/>
        <rFont val="Noto Sans CJK SC"/>
        <family val="2"/>
      </rPr>
      <t xml:space="preserve">資料商：財報狗（現價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核對）</t>
    </r>
  </si>
  <si>
    <t xml:space="preserve">https://statementdog.com/analysis/2454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</si>
  <si>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</si>
  <si>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mrvl/dist/20261028_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_v0.2.3.xlsx</t>
    </r>
  </si>
  <si>
    <r>
      <rPr>
        <sz val="11"/>
        <color theme="1"/>
        <rFont val="Noto Sans CJK SC"/>
        <family val="2"/>
      </rPr>
      <t xml:space="preserve">未能讀取（權限請求逾時）：公司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講稿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finanzen.ch </t>
    </r>
    <r>
      <rPr>
        <sz val="11"/>
        <color theme="1"/>
        <rFont val="Noto Sans CJK SC"/>
        <family val="2"/>
      </rPr>
      <t xml:space="preserve">歷年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</si>
  <si>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https://www.mediatek.com/hubfs/MediaTek%20Assets/Pdfs/Quarterly%20Earnings%20Release/2026/Quarterly%20Earnings%20Release-2026Q2/Press%20Release.pdf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</si>
  <si>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月底）；客戶名稱與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世代分工；聯發科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每顆單價與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採購方式；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淨利率（十年平均）；前瞻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</si>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</sst>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%"/>
    <numFmt numFmtId="166" formatCode="General"/>
    <numFmt numFmtId="167" formatCode="#,##0.00"/>
    <numFmt numFmtId="168" formatCode="0.0000"/>
    <numFmt numFmtId="169" formatCode="0.0%"/>
    <numFmt numFmtId="170" formatCode="0.000"/>
    <numFmt numFmtId="171" formatCode="0.00"/>
    <numFmt numFmtId="172" formatCode="#,##0.0"/>
    <numFmt numFmtId="173" formatCode="0"/>
    <numFmt numFmtId="174" formatCode="0.0"/>
    <numFmt numFmtId="175" formatCode="@"/>
    <numFmt numFmtId="176" formatCode="0%"/>
    <numFmt numFmtId="17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1" t="str">
        <f aca="false">"投資建議："&amp;Val!B135&amp;"（依上檔空間固定規則）"</f>
        <v>投資建議：放空（依上檔空間固定規則）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4" t="s">
        <v>17</v>
      </c>
    </row>
    <row r="23" customFormat="false" ht="17.15" hidden="false" customHeight="false" outlineLevel="0" collapsed="false">
      <c r="A23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4" t="s">
        <v>20</v>
      </c>
    </row>
    <row r="3" customFormat="false" ht="17.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6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4" t="s">
        <v>33</v>
      </c>
      <c r="E5" s="7" t="n">
        <v>3.85</v>
      </c>
      <c r="G5" s="8" t="s">
        <v>34</v>
      </c>
      <c r="H5" s="8" t="s">
        <v>35</v>
      </c>
      <c r="I5" s="8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4" t="s">
        <v>33</v>
      </c>
      <c r="E6" s="7" t="n">
        <v>5.5</v>
      </c>
      <c r="G6" s="8" t="s">
        <v>34</v>
      </c>
      <c r="H6" s="8" t="s">
        <v>39</v>
      </c>
      <c r="I6" s="4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4" t="s">
        <v>33</v>
      </c>
      <c r="E7" s="7" t="n">
        <v>7</v>
      </c>
      <c r="G7" s="8" t="s">
        <v>34</v>
      </c>
      <c r="H7" s="8" t="s">
        <v>43</v>
      </c>
      <c r="I7" s="4" t="s">
        <v>40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46</v>
      </c>
      <c r="E8" s="7" t="n">
        <v>0.15</v>
      </c>
      <c r="G8" s="8" t="s">
        <v>47</v>
      </c>
      <c r="H8" s="8" t="s">
        <v>48</v>
      </c>
      <c r="I8" s="8" t="s">
        <v>49</v>
      </c>
    </row>
    <row r="9" customFormat="false" ht="17.15" hidden="false" customHeight="false" outlineLevel="0" collapsed="false">
      <c r="A9" s="0" t="s">
        <v>50</v>
      </c>
      <c r="B9" s="4" t="s">
        <v>51</v>
      </c>
      <c r="C9" s="4" t="s">
        <v>33</v>
      </c>
      <c r="E9" s="7" t="n">
        <v>1</v>
      </c>
      <c r="G9" s="8" t="s">
        <v>52</v>
      </c>
      <c r="H9" s="8" t="s">
        <v>53</v>
      </c>
      <c r="I9" s="8" t="s">
        <v>36</v>
      </c>
    </row>
    <row r="10" customFormat="false" ht="17.15" hidden="false" customHeight="false" outlineLevel="0" collapsed="false">
      <c r="A10" s="0" t="s">
        <v>54</v>
      </c>
      <c r="B10" s="4" t="s">
        <v>55</v>
      </c>
      <c r="C10" s="4" t="s">
        <v>33</v>
      </c>
      <c r="E10" s="7" t="n">
        <v>4.5</v>
      </c>
      <c r="G10" s="8" t="s">
        <v>52</v>
      </c>
      <c r="H10" s="8" t="s">
        <v>56</v>
      </c>
      <c r="I10" s="4" t="s">
        <v>40</v>
      </c>
    </row>
    <row r="11" customFormat="false" ht="17.15" hidden="false" customHeight="false" outlineLevel="0" collapsed="false">
      <c r="A11" s="0" t="s">
        <v>57</v>
      </c>
      <c r="B11" s="4" t="s">
        <v>58</v>
      </c>
      <c r="C11" s="4" t="s">
        <v>33</v>
      </c>
      <c r="E11" s="7" t="n">
        <v>5</v>
      </c>
      <c r="G11" s="8" t="s">
        <v>52</v>
      </c>
      <c r="H11" s="8" t="s">
        <v>59</v>
      </c>
      <c r="I11" s="4" t="s">
        <v>40</v>
      </c>
    </row>
    <row r="12" customFormat="false" ht="17.15" hidden="false" customHeight="false" outlineLevel="0" collapsed="false">
      <c r="A12" s="0" t="s">
        <v>60</v>
      </c>
      <c r="B12" s="4" t="s">
        <v>61</v>
      </c>
      <c r="C12" s="0" t="s">
        <v>46</v>
      </c>
      <c r="E12" s="7" t="n">
        <v>0.15</v>
      </c>
      <c r="G12" s="8" t="s">
        <v>47</v>
      </c>
      <c r="H12" s="8" t="s">
        <v>62</v>
      </c>
      <c r="I12" s="8" t="s">
        <v>49</v>
      </c>
    </row>
    <row r="13" customFormat="false" ht="17.15" hidden="false" customHeight="false" outlineLevel="0" collapsed="false">
      <c r="A13" s="0" t="s">
        <v>63</v>
      </c>
      <c r="B13" s="4" t="s">
        <v>64</v>
      </c>
      <c r="C13" s="0" t="s">
        <v>65</v>
      </c>
      <c r="E13" s="7" t="n">
        <v>1</v>
      </c>
      <c r="G13" s="8" t="s">
        <v>47</v>
      </c>
      <c r="H13" s="8" t="s">
        <v>66</v>
      </c>
      <c r="I13" s="8" t="s">
        <v>67</v>
      </c>
    </row>
    <row r="14" customFormat="false" ht="17.15" hidden="false" customHeight="false" outlineLevel="0" collapsed="false">
      <c r="A14" s="0" t="s">
        <v>68</v>
      </c>
      <c r="B14" s="4" t="s">
        <v>69</v>
      </c>
      <c r="C14" s="0" t="s">
        <v>65</v>
      </c>
      <c r="E14" s="7" t="n">
        <v>1</v>
      </c>
      <c r="G14" s="8" t="s">
        <v>47</v>
      </c>
      <c r="H14" s="8" t="s">
        <v>70</v>
      </c>
      <c r="I14" s="4" t="s">
        <v>40</v>
      </c>
    </row>
    <row r="15" customFormat="false" ht="17.15" hidden="false" customHeight="false" outlineLevel="0" collapsed="false">
      <c r="A15" s="0" t="s">
        <v>71</v>
      </c>
      <c r="B15" s="4" t="s">
        <v>72</v>
      </c>
      <c r="C15" s="0" t="s">
        <v>65</v>
      </c>
      <c r="E15" s="7" t="n">
        <v>0.8</v>
      </c>
      <c r="G15" s="8" t="s">
        <v>47</v>
      </c>
      <c r="H15" s="8" t="s">
        <v>73</v>
      </c>
      <c r="I15" s="4" t="s">
        <v>40</v>
      </c>
    </row>
    <row r="16" customFormat="false" ht="17.15" hidden="false" customHeight="false" outlineLevel="0" collapsed="false">
      <c r="A16" s="0" t="s">
        <v>74</v>
      </c>
      <c r="B16" s="4" t="s">
        <v>75</v>
      </c>
      <c r="C16" s="0" t="s">
        <v>65</v>
      </c>
      <c r="E16" s="7" t="n">
        <v>0.85</v>
      </c>
      <c r="G16" s="8" t="s">
        <v>47</v>
      </c>
      <c r="H16" s="8" t="s">
        <v>76</v>
      </c>
      <c r="I16" s="4" t="s">
        <v>40</v>
      </c>
    </row>
    <row r="17" customFormat="false" ht="17.15" hidden="false" customHeight="false" outlineLevel="0" collapsed="false">
      <c r="A17" s="0" t="s">
        <v>77</v>
      </c>
      <c r="B17" s="4" t="s">
        <v>78</v>
      </c>
      <c r="C17" s="0" t="s">
        <v>65</v>
      </c>
      <c r="E17" s="7" t="n">
        <v>0.6</v>
      </c>
      <c r="G17" s="8" t="s">
        <v>47</v>
      </c>
      <c r="H17" s="8" t="s">
        <v>79</v>
      </c>
      <c r="I17" s="4" t="s">
        <v>40</v>
      </c>
    </row>
    <row r="18" customFormat="false" ht="17.15" hidden="false" customHeight="false" outlineLevel="0" collapsed="false">
      <c r="A18" s="0" t="s">
        <v>80</v>
      </c>
      <c r="B18" s="4" t="s">
        <v>81</v>
      </c>
      <c r="C18" s="0" t="s">
        <v>65</v>
      </c>
      <c r="E18" s="7" t="n">
        <v>0.6</v>
      </c>
      <c r="G18" s="8" t="s">
        <v>47</v>
      </c>
      <c r="H18" s="8" t="s">
        <v>82</v>
      </c>
      <c r="I18" s="4" t="s">
        <v>40</v>
      </c>
    </row>
    <row r="19" customFormat="false" ht="17.15" hidden="false" customHeight="false" outlineLevel="0" collapsed="false">
      <c r="A19" s="6" t="s">
        <v>83</v>
      </c>
    </row>
    <row r="20" customFormat="false" ht="17.15" hidden="false" customHeight="false" outlineLevel="0" collapsed="false">
      <c r="A20" s="0" t="s">
        <v>84</v>
      </c>
      <c r="B20" s="0" t="s">
        <v>85</v>
      </c>
      <c r="C20" s="0" t="s">
        <v>86</v>
      </c>
      <c r="D20" s="7" t="n">
        <v>6</v>
      </c>
      <c r="E20" s="7" t="n">
        <v>8</v>
      </c>
      <c r="F20" s="7" t="n">
        <v>11</v>
      </c>
      <c r="G20" s="8" t="s">
        <v>47</v>
      </c>
      <c r="H20" s="8" t="s">
        <v>87</v>
      </c>
      <c r="I20" s="8" t="s">
        <v>88</v>
      </c>
    </row>
    <row r="21" customFormat="false" ht="17.15" hidden="false" customHeight="false" outlineLevel="0" collapsed="false">
      <c r="A21" s="0" t="s">
        <v>89</v>
      </c>
      <c r="B21" s="4" t="s">
        <v>90</v>
      </c>
      <c r="C21" s="0" t="s">
        <v>86</v>
      </c>
      <c r="D21" s="7" t="n">
        <v>4</v>
      </c>
      <c r="E21" s="7" t="n">
        <v>6</v>
      </c>
      <c r="F21" s="7" t="n">
        <v>9</v>
      </c>
      <c r="G21" s="8" t="s">
        <v>47</v>
      </c>
      <c r="H21" s="8" t="s">
        <v>91</v>
      </c>
      <c r="I21" s="8" t="s">
        <v>88</v>
      </c>
    </row>
    <row r="22" customFormat="false" ht="17.15" hidden="false" customHeight="false" outlineLevel="0" collapsed="false">
      <c r="A22" s="0" t="s">
        <v>92</v>
      </c>
      <c r="B22" s="0" t="s">
        <v>93</v>
      </c>
      <c r="C22" s="0" t="s">
        <v>65</v>
      </c>
      <c r="D22" s="7" t="n">
        <v>0.3</v>
      </c>
      <c r="E22" s="7" t="n">
        <v>0.6</v>
      </c>
      <c r="F22" s="7" t="n">
        <v>1</v>
      </c>
      <c r="G22" s="8" t="s">
        <v>47</v>
      </c>
      <c r="H22" s="8" t="s">
        <v>94</v>
      </c>
      <c r="I22" s="4" t="s">
        <v>95</v>
      </c>
    </row>
    <row r="23" customFormat="false" ht="17.15" hidden="false" customHeight="false" outlineLevel="0" collapsed="false">
      <c r="A23" s="0" t="s">
        <v>96</v>
      </c>
      <c r="B23" s="4" t="s">
        <v>97</v>
      </c>
      <c r="C23" s="0" t="s">
        <v>65</v>
      </c>
      <c r="D23" s="7" t="n">
        <v>0</v>
      </c>
      <c r="E23" s="7" t="n">
        <v>0.1</v>
      </c>
      <c r="F23" s="7" t="n">
        <v>0.2</v>
      </c>
      <c r="G23" s="8" t="s">
        <v>47</v>
      </c>
      <c r="H23" s="8" t="s">
        <v>98</v>
      </c>
      <c r="I23" s="4" t="s">
        <v>99</v>
      </c>
    </row>
    <row r="24" customFormat="false" ht="17.15" hidden="false" customHeight="false" outlineLevel="0" collapsed="false">
      <c r="A24" s="0" t="s">
        <v>100</v>
      </c>
      <c r="B24" s="0" t="s">
        <v>101</v>
      </c>
      <c r="C24" s="0" t="s">
        <v>102</v>
      </c>
      <c r="E24" s="7" t="n">
        <v>192</v>
      </c>
      <c r="G24" s="8" t="s">
        <v>52</v>
      </c>
      <c r="H24" s="8" t="s">
        <v>103</v>
      </c>
      <c r="I24" s="8" t="s">
        <v>104</v>
      </c>
    </row>
    <row r="25" customFormat="false" ht="17.15" hidden="false" customHeight="false" outlineLevel="0" collapsed="false">
      <c r="A25" s="0" t="s">
        <v>105</v>
      </c>
      <c r="B25" s="0" t="s">
        <v>106</v>
      </c>
      <c r="C25" s="0" t="s">
        <v>102</v>
      </c>
      <c r="E25" s="7" t="n">
        <v>250</v>
      </c>
      <c r="G25" s="8" t="s">
        <v>52</v>
      </c>
      <c r="H25" s="8" t="s">
        <v>107</v>
      </c>
      <c r="I25" s="4" t="s">
        <v>40</v>
      </c>
    </row>
    <row r="26" customFormat="false" ht="17.15" hidden="false" customHeight="false" outlineLevel="0" collapsed="false">
      <c r="A26" s="0" t="s">
        <v>108</v>
      </c>
      <c r="B26" s="0" t="s">
        <v>109</v>
      </c>
      <c r="C26" s="0" t="s">
        <v>102</v>
      </c>
      <c r="E26" s="7" t="n">
        <v>288</v>
      </c>
      <c r="G26" s="8" t="s">
        <v>52</v>
      </c>
      <c r="H26" s="8" t="s">
        <v>110</v>
      </c>
      <c r="I26" s="4" t="s">
        <v>40</v>
      </c>
    </row>
    <row r="27" customFormat="false" ht="17.15" hidden="false" customHeight="false" outlineLevel="0" collapsed="false">
      <c r="A27" s="0" t="s">
        <v>111</v>
      </c>
      <c r="B27" s="4" t="s">
        <v>112</v>
      </c>
      <c r="C27" s="0" t="s">
        <v>102</v>
      </c>
      <c r="E27" s="7" t="n">
        <v>150</v>
      </c>
      <c r="G27" s="8" t="s">
        <v>52</v>
      </c>
      <c r="H27" s="8" t="s">
        <v>113</v>
      </c>
      <c r="I27" s="8" t="s">
        <v>104</v>
      </c>
    </row>
    <row r="28" customFormat="false" ht="17.15" hidden="false" customHeight="false" outlineLevel="0" collapsed="false">
      <c r="A28" s="0" t="s">
        <v>114</v>
      </c>
      <c r="B28" s="4" t="s">
        <v>115</v>
      </c>
      <c r="C28" s="0" t="s">
        <v>102</v>
      </c>
      <c r="E28" s="7" t="n">
        <v>200</v>
      </c>
      <c r="G28" s="8" t="s">
        <v>52</v>
      </c>
      <c r="H28" s="8" t="s">
        <v>116</v>
      </c>
      <c r="I28" s="4" t="s">
        <v>40</v>
      </c>
    </row>
    <row r="29" customFormat="false" ht="17.15" hidden="false" customHeight="false" outlineLevel="0" collapsed="false">
      <c r="A29" s="0" t="s">
        <v>117</v>
      </c>
      <c r="B29" s="4" t="s">
        <v>118</v>
      </c>
      <c r="C29" s="0" t="s">
        <v>102</v>
      </c>
      <c r="E29" s="7" t="n">
        <v>250</v>
      </c>
      <c r="G29" s="8" t="s">
        <v>52</v>
      </c>
      <c r="H29" s="8" t="s">
        <v>119</v>
      </c>
      <c r="I29" s="4" t="s">
        <v>40</v>
      </c>
    </row>
    <row r="30" customFormat="false" ht="17.15" hidden="false" customHeight="false" outlineLevel="0" collapsed="false">
      <c r="A30" s="0" t="s">
        <v>120</v>
      </c>
      <c r="B30" s="0" t="s">
        <v>121</v>
      </c>
      <c r="C30" s="0" t="s">
        <v>46</v>
      </c>
      <c r="E30" s="7" t="n">
        <v>0.9</v>
      </c>
      <c r="G30" s="8" t="s">
        <v>47</v>
      </c>
      <c r="H30" s="8" t="s">
        <v>122</v>
      </c>
      <c r="I30" s="8" t="s">
        <v>123</v>
      </c>
    </row>
    <row r="31" customFormat="false" ht="17.15" hidden="false" customHeight="false" outlineLevel="0" collapsed="false">
      <c r="A31" s="0" t="s">
        <v>124</v>
      </c>
      <c r="B31" s="0" t="s">
        <v>125</v>
      </c>
      <c r="C31" s="0" t="s">
        <v>46</v>
      </c>
      <c r="E31" s="7" t="n">
        <v>0</v>
      </c>
      <c r="G31" s="8" t="s">
        <v>47</v>
      </c>
      <c r="H31" s="8" t="s">
        <v>126</v>
      </c>
      <c r="I31" s="8" t="s">
        <v>127</v>
      </c>
    </row>
    <row r="32" customFormat="false" ht="17.15" hidden="false" customHeight="false" outlineLevel="0" collapsed="false">
      <c r="A32" s="0" t="s">
        <v>128</v>
      </c>
      <c r="B32" s="0" t="s">
        <v>129</v>
      </c>
      <c r="C32" s="0" t="s">
        <v>46</v>
      </c>
      <c r="E32" s="7" t="n">
        <v>0.8</v>
      </c>
      <c r="G32" s="8" t="s">
        <v>47</v>
      </c>
      <c r="H32" s="8" t="s">
        <v>130</v>
      </c>
      <c r="I32" s="8" t="s">
        <v>123</v>
      </c>
    </row>
    <row r="33" customFormat="false" ht="17.15" hidden="false" customHeight="false" outlineLevel="0" collapsed="false">
      <c r="A33" s="0" t="s">
        <v>131</v>
      </c>
      <c r="B33" s="0" t="s">
        <v>132</v>
      </c>
      <c r="C33" s="0" t="s">
        <v>46</v>
      </c>
      <c r="E33" s="7" t="n">
        <v>0</v>
      </c>
      <c r="G33" s="8" t="s">
        <v>47</v>
      </c>
      <c r="H33" s="8" t="s">
        <v>133</v>
      </c>
      <c r="I33" s="8" t="s">
        <v>127</v>
      </c>
    </row>
    <row r="34" customFormat="false" ht="17.15" hidden="false" customHeight="false" outlineLevel="0" collapsed="false">
      <c r="A34" s="0" t="s">
        <v>134</v>
      </c>
      <c r="B34" s="0" t="s">
        <v>135</v>
      </c>
      <c r="C34" s="0" t="s">
        <v>46</v>
      </c>
      <c r="E34" s="7" t="n">
        <v>0.75</v>
      </c>
      <c r="G34" s="8" t="s">
        <v>47</v>
      </c>
      <c r="H34" s="8" t="s">
        <v>136</v>
      </c>
      <c r="I34" s="8" t="s">
        <v>123</v>
      </c>
    </row>
    <row r="35" customFormat="false" ht="17.15" hidden="false" customHeight="false" outlineLevel="0" collapsed="false">
      <c r="A35" s="0" t="s">
        <v>137</v>
      </c>
      <c r="B35" s="0" t="s">
        <v>138</v>
      </c>
      <c r="C35" s="0" t="s">
        <v>46</v>
      </c>
      <c r="E35" s="7" t="n">
        <v>0.05</v>
      </c>
      <c r="G35" s="8" t="s">
        <v>47</v>
      </c>
      <c r="H35" s="8" t="s">
        <v>139</v>
      </c>
      <c r="I35" s="8" t="s">
        <v>127</v>
      </c>
    </row>
    <row r="36" customFormat="false" ht="17.15" hidden="false" customHeight="false" outlineLevel="0" collapsed="false">
      <c r="A36" s="0" t="s">
        <v>140</v>
      </c>
      <c r="B36" s="0" t="s">
        <v>141</v>
      </c>
      <c r="C36" s="0" t="s">
        <v>46</v>
      </c>
      <c r="E36" s="7" t="n">
        <v>0.35</v>
      </c>
      <c r="G36" s="8" t="s">
        <v>47</v>
      </c>
      <c r="H36" s="8" t="s">
        <v>142</v>
      </c>
      <c r="I36" s="8" t="s">
        <v>123</v>
      </c>
    </row>
    <row r="37" customFormat="false" ht="17.15" hidden="false" customHeight="false" outlineLevel="0" collapsed="false">
      <c r="A37" s="0" t="s">
        <v>143</v>
      </c>
      <c r="B37" s="0" t="s">
        <v>144</v>
      </c>
      <c r="C37" s="0" t="s">
        <v>46</v>
      </c>
      <c r="E37" s="7" t="n">
        <v>0.05</v>
      </c>
      <c r="G37" s="8" t="s">
        <v>47</v>
      </c>
      <c r="H37" s="8" t="s">
        <v>145</v>
      </c>
      <c r="I37" s="8" t="s">
        <v>127</v>
      </c>
    </row>
    <row r="38" customFormat="false" ht="17.15" hidden="false" customHeight="false" outlineLevel="0" collapsed="false">
      <c r="A38" s="0" t="s">
        <v>146</v>
      </c>
      <c r="B38" s="0" t="s">
        <v>147</v>
      </c>
      <c r="C38" s="0" t="s">
        <v>46</v>
      </c>
      <c r="E38" s="7" t="n">
        <v>0.55</v>
      </c>
      <c r="G38" s="8" t="s">
        <v>47</v>
      </c>
      <c r="H38" s="8" t="s">
        <v>148</v>
      </c>
      <c r="I38" s="8" t="s">
        <v>123</v>
      </c>
    </row>
    <row r="39" customFormat="false" ht="17.15" hidden="false" customHeight="false" outlineLevel="0" collapsed="false">
      <c r="A39" s="0" t="s">
        <v>149</v>
      </c>
      <c r="B39" s="0" t="s">
        <v>150</v>
      </c>
      <c r="C39" s="0" t="s">
        <v>46</v>
      </c>
      <c r="E39" s="7" t="n">
        <v>0.06</v>
      </c>
      <c r="G39" s="8" t="s">
        <v>47</v>
      </c>
      <c r="H39" s="8" t="s">
        <v>151</v>
      </c>
      <c r="I39" s="8" t="s">
        <v>127</v>
      </c>
    </row>
    <row r="40" customFormat="false" ht="17.15" hidden="false" customHeight="false" outlineLevel="0" collapsed="false">
      <c r="A40" s="0" t="s">
        <v>152</v>
      </c>
      <c r="B40" s="0" t="s">
        <v>153</v>
      </c>
      <c r="C40" s="0" t="s">
        <v>46</v>
      </c>
      <c r="E40" s="7" t="n">
        <v>0.55</v>
      </c>
      <c r="G40" s="8" t="s">
        <v>47</v>
      </c>
      <c r="H40" s="8" t="s">
        <v>154</v>
      </c>
      <c r="I40" s="8" t="s">
        <v>123</v>
      </c>
    </row>
    <row r="41" customFormat="false" ht="17.15" hidden="false" customHeight="false" outlineLevel="0" collapsed="false">
      <c r="A41" s="0" t="s">
        <v>155</v>
      </c>
      <c r="B41" s="0" t="s">
        <v>156</v>
      </c>
      <c r="C41" s="0" t="s">
        <v>46</v>
      </c>
      <c r="E41" s="7" t="n">
        <v>0.15</v>
      </c>
      <c r="G41" s="8" t="s">
        <v>47</v>
      </c>
      <c r="H41" s="8" t="s">
        <v>157</v>
      </c>
      <c r="I41" s="8" t="s">
        <v>127</v>
      </c>
    </row>
    <row r="42" customFormat="false" ht="17.15" hidden="false" customHeight="false" outlineLevel="0" collapsed="false">
      <c r="A42" s="0" t="s">
        <v>158</v>
      </c>
      <c r="B42" s="4" t="s">
        <v>159</v>
      </c>
      <c r="C42" s="0" t="s">
        <v>46</v>
      </c>
      <c r="D42" s="7" t="n">
        <v>0.03</v>
      </c>
      <c r="E42" s="7" t="n">
        <v>0.05</v>
      </c>
      <c r="F42" s="7" t="n">
        <v>0.1</v>
      </c>
      <c r="G42" s="8" t="s">
        <v>47</v>
      </c>
      <c r="H42" s="4" t="s">
        <v>160</v>
      </c>
      <c r="I42" s="4" t="s">
        <v>161</v>
      </c>
    </row>
    <row r="43" customFormat="false" ht="17.15" hidden="false" customHeight="false" outlineLevel="0" collapsed="false">
      <c r="A43" s="0" t="s">
        <v>162</v>
      </c>
      <c r="B43" s="4" t="s">
        <v>163</v>
      </c>
      <c r="C43" s="0" t="s">
        <v>46</v>
      </c>
      <c r="D43" s="7" t="n">
        <v>0.08</v>
      </c>
      <c r="E43" s="7" t="n">
        <v>0.15</v>
      </c>
      <c r="F43" s="7" t="n">
        <v>0.2</v>
      </c>
      <c r="G43" s="8" t="s">
        <v>47</v>
      </c>
      <c r="H43" s="4" t="s">
        <v>40</v>
      </c>
      <c r="I43" s="8" t="s">
        <v>164</v>
      </c>
    </row>
    <row r="44" customFormat="false" ht="17.15" hidden="false" customHeight="false" outlineLevel="0" collapsed="false">
      <c r="A44" s="0" t="s">
        <v>165</v>
      </c>
      <c r="B44" s="4" t="s">
        <v>166</v>
      </c>
      <c r="C44" s="0" t="s">
        <v>46</v>
      </c>
      <c r="D44" s="7" t="n">
        <v>0.1</v>
      </c>
      <c r="E44" s="7" t="n">
        <v>0.18</v>
      </c>
      <c r="F44" s="7" t="n">
        <v>0.2</v>
      </c>
      <c r="G44" s="8" t="s">
        <v>47</v>
      </c>
      <c r="H44" s="4" t="s">
        <v>40</v>
      </c>
      <c r="I44" s="8" t="s">
        <v>164</v>
      </c>
    </row>
    <row r="45" customFormat="false" ht="17.15" hidden="false" customHeight="false" outlineLevel="0" collapsed="false">
      <c r="A45" s="0" t="s">
        <v>167</v>
      </c>
      <c r="B45" s="4" t="s">
        <v>168</v>
      </c>
      <c r="C45" s="0" t="s">
        <v>46</v>
      </c>
      <c r="D45" s="7" t="n">
        <v>0</v>
      </c>
      <c r="E45" s="7" t="n">
        <v>0</v>
      </c>
      <c r="F45" s="7" t="n">
        <v>0.02</v>
      </c>
      <c r="G45" s="8" t="s">
        <v>47</v>
      </c>
      <c r="H45" s="4" t="s">
        <v>169</v>
      </c>
      <c r="I45" s="4" t="s">
        <v>170</v>
      </c>
    </row>
    <row r="46" customFormat="false" ht="17.15" hidden="false" customHeight="false" outlineLevel="0" collapsed="false">
      <c r="A46" s="0" t="s">
        <v>171</v>
      </c>
      <c r="B46" s="4" t="s">
        <v>172</v>
      </c>
      <c r="C46" s="0" t="s">
        <v>46</v>
      </c>
      <c r="D46" s="7" t="n">
        <v>0</v>
      </c>
      <c r="E46" s="7" t="n">
        <v>0</v>
      </c>
      <c r="F46" s="7" t="n">
        <v>0.03</v>
      </c>
      <c r="G46" s="8" t="s">
        <v>47</v>
      </c>
      <c r="H46" s="4" t="s">
        <v>40</v>
      </c>
      <c r="I46" s="8" t="s">
        <v>164</v>
      </c>
    </row>
    <row r="47" customFormat="false" ht="17.15" hidden="false" customHeight="false" outlineLevel="0" collapsed="false">
      <c r="A47" s="0" t="s">
        <v>173</v>
      </c>
      <c r="B47" s="4" t="s">
        <v>174</v>
      </c>
      <c r="C47" s="0" t="s">
        <v>46</v>
      </c>
      <c r="D47" s="7" t="n">
        <v>0</v>
      </c>
      <c r="E47" s="7" t="n">
        <v>0</v>
      </c>
      <c r="F47" s="7" t="n">
        <v>0.05</v>
      </c>
      <c r="G47" s="8" t="s">
        <v>47</v>
      </c>
      <c r="H47" s="4" t="s">
        <v>40</v>
      </c>
      <c r="I47" s="8" t="s">
        <v>164</v>
      </c>
    </row>
    <row r="48" customFormat="false" ht="17.15" hidden="false" customHeight="false" outlineLevel="0" collapsed="false">
      <c r="A48" s="0" t="s">
        <v>175</v>
      </c>
      <c r="B48" s="0" t="s">
        <v>176</v>
      </c>
      <c r="C48" s="0" t="s">
        <v>65</v>
      </c>
      <c r="D48" s="7" t="n">
        <v>0.8</v>
      </c>
      <c r="E48" s="7" t="n">
        <v>1</v>
      </c>
      <c r="F48" s="7" t="n">
        <v>2</v>
      </c>
      <c r="G48" s="8" t="s">
        <v>47</v>
      </c>
      <c r="H48" s="4" t="s">
        <v>177</v>
      </c>
      <c r="I48" s="4" t="s">
        <v>178</v>
      </c>
    </row>
    <row r="49" customFormat="false" ht="17.15" hidden="false" customHeight="false" outlineLevel="0" collapsed="false">
      <c r="A49" s="0" t="s">
        <v>179</v>
      </c>
      <c r="B49" s="4" t="s">
        <v>180</v>
      </c>
      <c r="C49" s="0" t="s">
        <v>65</v>
      </c>
      <c r="D49" s="7" t="n">
        <v>0.8</v>
      </c>
      <c r="E49" s="7" t="n">
        <v>1</v>
      </c>
      <c r="F49" s="7" t="n">
        <v>1.2</v>
      </c>
      <c r="G49" s="8" t="s">
        <v>47</v>
      </c>
      <c r="H49" s="4" t="s">
        <v>181</v>
      </c>
      <c r="I49" s="8" t="s">
        <v>182</v>
      </c>
    </row>
    <row r="50" customFormat="false" ht="17.15" hidden="false" customHeight="false" outlineLevel="0" collapsed="false">
      <c r="A50" s="0" t="s">
        <v>183</v>
      </c>
      <c r="B50" s="0" t="s">
        <v>184</v>
      </c>
      <c r="C50" s="0" t="s">
        <v>65</v>
      </c>
      <c r="D50" s="7" t="n">
        <v>0.35</v>
      </c>
      <c r="E50" s="7" t="n">
        <v>0.45</v>
      </c>
      <c r="F50" s="7" t="n">
        <v>0.55</v>
      </c>
      <c r="G50" s="8" t="s">
        <v>47</v>
      </c>
      <c r="H50" s="4" t="s">
        <v>185</v>
      </c>
      <c r="I50" s="4" t="s">
        <v>186</v>
      </c>
    </row>
    <row r="51" customFormat="false" ht="17.15" hidden="false" customHeight="false" outlineLevel="0" collapsed="false">
      <c r="A51" s="0" t="s">
        <v>187</v>
      </c>
      <c r="B51" s="0" t="s">
        <v>188</v>
      </c>
      <c r="C51" s="0" t="s">
        <v>65</v>
      </c>
      <c r="E51" s="0" t="n">
        <f aca="false">f_hbm*gb_tpu_26*hbm_A_26/1000/(core_tpu+f_hbm*gb_tpu_26*hbm_A_26/1000)</f>
        <v>0.173717609730301</v>
      </c>
      <c r="G51" s="0" t="s">
        <v>189</v>
      </c>
      <c r="H51" s="0" t="s">
        <v>190</v>
      </c>
      <c r="I51" s="0" t="s">
        <v>164</v>
      </c>
    </row>
    <row r="52" customFormat="false" ht="17.15" hidden="false" customHeight="false" outlineLevel="0" collapsed="false">
      <c r="A52" s="6" t="s">
        <v>191</v>
      </c>
    </row>
    <row r="53" customFormat="false" ht="17.15" hidden="false" customHeight="false" outlineLevel="0" collapsed="false">
      <c r="A53" s="0" t="s">
        <v>192</v>
      </c>
      <c r="B53" s="0" t="s">
        <v>193</v>
      </c>
      <c r="C53" s="0" t="s">
        <v>194</v>
      </c>
      <c r="E53" s="7" t="n">
        <v>14.6</v>
      </c>
      <c r="G53" s="8" t="s">
        <v>189</v>
      </c>
      <c r="H53" s="8" t="s">
        <v>195</v>
      </c>
      <c r="I53" s="8" t="s">
        <v>196</v>
      </c>
    </row>
    <row r="54" customFormat="false" ht="17.15" hidden="false" customHeight="false" outlineLevel="0" collapsed="false">
      <c r="A54" s="0" t="s">
        <v>197</v>
      </c>
      <c r="B54" s="0" t="s">
        <v>198</v>
      </c>
      <c r="C54" s="0" t="s">
        <v>194</v>
      </c>
      <c r="E54" s="7" t="n">
        <v>26.28</v>
      </c>
      <c r="G54" s="8" t="s">
        <v>189</v>
      </c>
      <c r="H54" s="8" t="s">
        <v>199</v>
      </c>
      <c r="I54" s="4" t="s">
        <v>40</v>
      </c>
    </row>
    <row r="55" customFormat="false" ht="17.15" hidden="false" customHeight="false" outlineLevel="0" collapsed="false">
      <c r="A55" s="0" t="s">
        <v>200</v>
      </c>
      <c r="B55" s="0" t="s">
        <v>201</v>
      </c>
      <c r="C55" s="0" t="s">
        <v>194</v>
      </c>
      <c r="E55" s="7" t="n">
        <v>28.908</v>
      </c>
      <c r="G55" s="8" t="s">
        <v>189</v>
      </c>
      <c r="H55" s="8" t="s">
        <v>202</v>
      </c>
      <c r="I55" s="4" t="s">
        <v>40</v>
      </c>
    </row>
    <row r="56" customFormat="false" ht="17.15" hidden="false" customHeight="false" outlineLevel="0" collapsed="false">
      <c r="A56" s="0" t="s">
        <v>203</v>
      </c>
      <c r="B56" s="0" t="s">
        <v>204</v>
      </c>
      <c r="C56" s="0" t="s">
        <v>194</v>
      </c>
      <c r="E56" s="7" t="n">
        <v>27.4626</v>
      </c>
      <c r="G56" s="8" t="s">
        <v>189</v>
      </c>
      <c r="H56" s="8" t="s">
        <v>205</v>
      </c>
      <c r="I56" s="4" t="s">
        <v>40</v>
      </c>
    </row>
    <row r="57" customFormat="false" ht="17.15" hidden="false" customHeight="false" outlineLevel="0" collapsed="false">
      <c r="A57" s="0" t="s">
        <v>206</v>
      </c>
      <c r="B57" s="0" t="s">
        <v>207</v>
      </c>
      <c r="C57" s="0" t="s">
        <v>194</v>
      </c>
      <c r="E57" s="7" t="n">
        <v>14.6</v>
      </c>
      <c r="G57" s="8" t="s">
        <v>189</v>
      </c>
      <c r="H57" s="8" t="s">
        <v>208</v>
      </c>
      <c r="I57" s="4" t="s">
        <v>40</v>
      </c>
    </row>
    <row r="58" customFormat="false" ht="17.15" hidden="false" customHeight="false" outlineLevel="0" collapsed="false">
      <c r="A58" s="0" t="s">
        <v>209</v>
      </c>
      <c r="B58" s="0" t="s">
        <v>210</v>
      </c>
      <c r="C58" s="0" t="s">
        <v>194</v>
      </c>
      <c r="E58" s="7" t="n">
        <v>26.28</v>
      </c>
      <c r="G58" s="8" t="s">
        <v>189</v>
      </c>
      <c r="H58" s="8" t="s">
        <v>211</v>
      </c>
      <c r="I58" s="4" t="s">
        <v>40</v>
      </c>
    </row>
    <row r="59" customFormat="false" ht="17.15" hidden="false" customHeight="false" outlineLevel="0" collapsed="false">
      <c r="A59" s="0" t="s">
        <v>212</v>
      </c>
      <c r="B59" s="0" t="s">
        <v>213</v>
      </c>
      <c r="C59" s="0" t="s">
        <v>194</v>
      </c>
      <c r="E59" s="7" t="n">
        <v>19.71</v>
      </c>
      <c r="G59" s="8" t="s">
        <v>189</v>
      </c>
      <c r="H59" s="8" t="s">
        <v>214</v>
      </c>
      <c r="I59" s="4" t="s">
        <v>40</v>
      </c>
    </row>
    <row r="60" customFormat="false" ht="17.15" hidden="false" customHeight="false" outlineLevel="0" collapsed="false">
      <c r="A60" s="0" t="s">
        <v>215</v>
      </c>
      <c r="B60" s="0" t="s">
        <v>216</v>
      </c>
      <c r="C60" s="0" t="s">
        <v>194</v>
      </c>
      <c r="E60" s="7" t="n">
        <v>19.71</v>
      </c>
      <c r="G60" s="8" t="s">
        <v>189</v>
      </c>
      <c r="H60" s="8" t="s">
        <v>217</v>
      </c>
      <c r="I60" s="4" t="s">
        <v>40</v>
      </c>
    </row>
    <row r="61" customFormat="false" ht="17.15" hidden="false" customHeight="false" outlineLevel="0" collapsed="false">
      <c r="A61" s="0" t="s">
        <v>218</v>
      </c>
      <c r="B61" s="0" t="s">
        <v>219</v>
      </c>
      <c r="C61" s="0" t="s">
        <v>194</v>
      </c>
      <c r="E61" s="7" t="n">
        <v>14.6</v>
      </c>
      <c r="G61" s="8" t="s">
        <v>189</v>
      </c>
      <c r="H61" s="8" t="s">
        <v>220</v>
      </c>
      <c r="I61" s="4" t="s">
        <v>40</v>
      </c>
    </row>
    <row r="62" customFormat="false" ht="17.15" hidden="false" customHeight="false" outlineLevel="0" collapsed="false">
      <c r="A62" s="0" t="s">
        <v>221</v>
      </c>
      <c r="B62" s="0" t="s">
        <v>222</v>
      </c>
      <c r="C62" s="0" t="s">
        <v>194</v>
      </c>
      <c r="E62" s="7" t="n">
        <v>26.28</v>
      </c>
      <c r="G62" s="8" t="s">
        <v>189</v>
      </c>
      <c r="H62" s="8" t="s">
        <v>223</v>
      </c>
      <c r="I62" s="4" t="s">
        <v>40</v>
      </c>
    </row>
    <row r="63" customFormat="false" ht="17.15" hidden="false" customHeight="false" outlineLevel="0" collapsed="false">
      <c r="A63" s="0" t="s">
        <v>224</v>
      </c>
      <c r="B63" s="0" t="s">
        <v>225</v>
      </c>
      <c r="C63" s="0" t="s">
        <v>194</v>
      </c>
      <c r="E63" s="7" t="n">
        <v>15.768</v>
      </c>
      <c r="G63" s="8" t="s">
        <v>189</v>
      </c>
      <c r="H63" s="8" t="s">
        <v>226</v>
      </c>
      <c r="I63" s="4" t="s">
        <v>40</v>
      </c>
    </row>
    <row r="64" customFormat="false" ht="17.15" hidden="false" customHeight="false" outlineLevel="0" collapsed="false">
      <c r="A64" s="0" t="s">
        <v>227</v>
      </c>
      <c r="B64" s="0" t="s">
        <v>228</v>
      </c>
      <c r="C64" s="0" t="s">
        <v>194</v>
      </c>
      <c r="E64" s="7" t="n">
        <v>16.5564</v>
      </c>
      <c r="G64" s="8" t="s">
        <v>189</v>
      </c>
      <c r="H64" s="8" t="s">
        <v>229</v>
      </c>
      <c r="I64" s="4" t="s">
        <v>40</v>
      </c>
    </row>
    <row r="65" customFormat="false" ht="17.15" hidden="false" customHeight="false" outlineLevel="0" collapsed="false">
      <c r="A65" s="6" t="s">
        <v>230</v>
      </c>
    </row>
    <row r="66" customFormat="false" ht="17.15" hidden="false" customHeight="false" outlineLevel="0" collapsed="false">
      <c r="A66" s="0" t="s">
        <v>231</v>
      </c>
      <c r="B66" s="4" t="s">
        <v>232</v>
      </c>
      <c r="C66" s="0" t="s">
        <v>46</v>
      </c>
      <c r="D66" s="7" t="n">
        <v>-0.12</v>
      </c>
      <c r="E66" s="7" t="n">
        <v>0.05</v>
      </c>
      <c r="F66" s="7" t="n">
        <v>0.08</v>
      </c>
      <c r="G66" s="8" t="s">
        <v>47</v>
      </c>
      <c r="H66" s="4" t="s">
        <v>233</v>
      </c>
      <c r="I66" s="8" t="s">
        <v>234</v>
      </c>
    </row>
    <row r="67" customFormat="false" ht="17.15" hidden="false" customHeight="false" outlineLevel="0" collapsed="false">
      <c r="A67" s="0" t="s">
        <v>235</v>
      </c>
      <c r="B67" s="4" t="s">
        <v>236</v>
      </c>
      <c r="C67" s="0" t="s">
        <v>46</v>
      </c>
      <c r="D67" s="7" t="n">
        <v>-0.12</v>
      </c>
      <c r="E67" s="7" t="n">
        <v>0.04</v>
      </c>
      <c r="F67" s="7" t="n">
        <v>0.08</v>
      </c>
      <c r="G67" s="8" t="s">
        <v>47</v>
      </c>
      <c r="H67" s="4" t="s">
        <v>40</v>
      </c>
      <c r="I67" s="8" t="s">
        <v>164</v>
      </c>
    </row>
    <row r="68" customFormat="false" ht="17.15" hidden="false" customHeight="false" outlineLevel="0" collapsed="false">
      <c r="A68" s="0" t="s">
        <v>237</v>
      </c>
      <c r="B68" s="4" t="s">
        <v>238</v>
      </c>
      <c r="C68" s="0" t="s">
        <v>46</v>
      </c>
      <c r="D68" s="7" t="n">
        <v>-0.12</v>
      </c>
      <c r="E68" s="7" t="n">
        <v>0</v>
      </c>
      <c r="F68" s="7" t="n">
        <v>0.08</v>
      </c>
      <c r="G68" s="8" t="s">
        <v>47</v>
      </c>
      <c r="H68" s="4" t="s">
        <v>40</v>
      </c>
      <c r="I68" s="8" t="s">
        <v>164</v>
      </c>
    </row>
    <row r="69" customFormat="false" ht="17.15" hidden="false" customHeight="false" outlineLevel="0" collapsed="false">
      <c r="A69" s="0" t="s">
        <v>239</v>
      </c>
      <c r="B69" s="4" t="s">
        <v>240</v>
      </c>
      <c r="C69" s="0" t="s">
        <v>46</v>
      </c>
      <c r="D69" s="7" t="n">
        <v>-0.12</v>
      </c>
      <c r="E69" s="7" t="n">
        <v>0.02</v>
      </c>
      <c r="F69" s="7" t="n">
        <v>0.08</v>
      </c>
      <c r="G69" s="8" t="s">
        <v>47</v>
      </c>
      <c r="H69" s="4" t="s">
        <v>40</v>
      </c>
      <c r="I69" s="8" t="s">
        <v>164</v>
      </c>
    </row>
    <row r="70" customFormat="false" ht="17.15" hidden="false" customHeight="false" outlineLevel="0" collapsed="false">
      <c r="A70" s="0" t="s">
        <v>241</v>
      </c>
      <c r="B70" s="4" t="s">
        <v>242</v>
      </c>
      <c r="C70" s="0" t="s">
        <v>46</v>
      </c>
      <c r="D70" s="7" t="n">
        <v>-0.12</v>
      </c>
      <c r="E70" s="7" t="n">
        <v>-0.08</v>
      </c>
      <c r="F70" s="7" t="n">
        <v>0.08</v>
      </c>
      <c r="G70" s="8" t="s">
        <v>47</v>
      </c>
      <c r="H70" s="4" t="s">
        <v>40</v>
      </c>
      <c r="I70" s="8" t="s">
        <v>164</v>
      </c>
    </row>
    <row r="71" customFormat="false" ht="17.15" hidden="false" customHeight="false" outlineLevel="0" collapsed="false">
      <c r="A71" s="0" t="s">
        <v>243</v>
      </c>
      <c r="B71" s="4" t="s">
        <v>244</v>
      </c>
      <c r="C71" s="0" t="s">
        <v>46</v>
      </c>
      <c r="D71" s="7" t="n">
        <v>-0.12</v>
      </c>
      <c r="E71" s="7" t="n">
        <v>-0.03</v>
      </c>
      <c r="F71" s="7" t="n">
        <v>0.08</v>
      </c>
      <c r="G71" s="8" t="s">
        <v>47</v>
      </c>
      <c r="H71" s="4" t="s">
        <v>40</v>
      </c>
      <c r="I71" s="8" t="s">
        <v>164</v>
      </c>
    </row>
    <row r="72" customFormat="false" ht="17.15" hidden="false" customHeight="false" outlineLevel="0" collapsed="false">
      <c r="A72" s="0" t="s">
        <v>245</v>
      </c>
      <c r="B72" s="4" t="s">
        <v>246</v>
      </c>
      <c r="C72" s="0" t="s">
        <v>46</v>
      </c>
      <c r="D72" s="7" t="n">
        <v>-0.06</v>
      </c>
      <c r="E72" s="7" t="n">
        <v>0.08</v>
      </c>
      <c r="F72" s="7" t="n">
        <v>0.12</v>
      </c>
      <c r="G72" s="8" t="s">
        <v>47</v>
      </c>
      <c r="H72" s="4" t="s">
        <v>247</v>
      </c>
      <c r="I72" s="8" t="s">
        <v>248</v>
      </c>
    </row>
    <row r="73" customFormat="false" ht="17.15" hidden="false" customHeight="false" outlineLevel="0" collapsed="false">
      <c r="A73" s="0" t="s">
        <v>249</v>
      </c>
      <c r="B73" s="4" t="s">
        <v>250</v>
      </c>
      <c r="C73" s="0" t="s">
        <v>46</v>
      </c>
      <c r="D73" s="7" t="n">
        <v>-0.06</v>
      </c>
      <c r="E73" s="7" t="n">
        <v>0.07</v>
      </c>
      <c r="F73" s="7" t="n">
        <v>0.12</v>
      </c>
      <c r="G73" s="8" t="s">
        <v>47</v>
      </c>
      <c r="H73" s="4" t="s">
        <v>40</v>
      </c>
      <c r="I73" s="8" t="s">
        <v>164</v>
      </c>
    </row>
    <row r="74" customFormat="false" ht="17.15" hidden="false" customHeight="false" outlineLevel="0" collapsed="false">
      <c r="A74" s="0" t="s">
        <v>251</v>
      </c>
      <c r="B74" s="4" t="s">
        <v>252</v>
      </c>
      <c r="C74" s="0" t="s">
        <v>46</v>
      </c>
      <c r="D74" s="7" t="n">
        <v>-0.06</v>
      </c>
      <c r="E74" s="7" t="n">
        <v>0.04</v>
      </c>
      <c r="F74" s="7" t="n">
        <v>0.12</v>
      </c>
      <c r="G74" s="8" t="s">
        <v>47</v>
      </c>
      <c r="H74" s="4" t="s">
        <v>40</v>
      </c>
      <c r="I74" s="8" t="s">
        <v>164</v>
      </c>
    </row>
    <row r="75" customFormat="false" ht="17.15" hidden="false" customHeight="false" outlineLevel="0" collapsed="false">
      <c r="A75" s="0" t="s">
        <v>253</v>
      </c>
      <c r="B75" s="4" t="s">
        <v>254</v>
      </c>
      <c r="C75" s="0" t="s">
        <v>46</v>
      </c>
      <c r="D75" s="7" t="n">
        <v>-0.06</v>
      </c>
      <c r="E75" s="7" t="n">
        <v>0.04</v>
      </c>
      <c r="F75" s="7" t="n">
        <v>0.12</v>
      </c>
      <c r="G75" s="8" t="s">
        <v>47</v>
      </c>
      <c r="H75" s="4" t="s">
        <v>40</v>
      </c>
      <c r="I75" s="8" t="s">
        <v>164</v>
      </c>
    </row>
    <row r="76" customFormat="false" ht="17.15" hidden="false" customHeight="false" outlineLevel="0" collapsed="false">
      <c r="A76" s="0" t="s">
        <v>255</v>
      </c>
      <c r="B76" s="4" t="s">
        <v>256</v>
      </c>
      <c r="C76" s="0" t="s">
        <v>46</v>
      </c>
      <c r="D76" s="7" t="n">
        <v>-0.06</v>
      </c>
      <c r="E76" s="7" t="n">
        <v>-0.03</v>
      </c>
      <c r="F76" s="7" t="n">
        <v>0.12</v>
      </c>
      <c r="G76" s="8" t="s">
        <v>47</v>
      </c>
      <c r="H76" s="4" t="s">
        <v>40</v>
      </c>
      <c r="I76" s="8" t="s">
        <v>164</v>
      </c>
    </row>
    <row r="77" customFormat="false" ht="17.15" hidden="false" customHeight="false" outlineLevel="0" collapsed="false">
      <c r="A77" s="0" t="s">
        <v>257</v>
      </c>
      <c r="B77" s="4" t="s">
        <v>258</v>
      </c>
      <c r="C77" s="0" t="s">
        <v>46</v>
      </c>
      <c r="D77" s="7" t="n">
        <v>-0.06</v>
      </c>
      <c r="E77" s="7" t="n">
        <v>0.01</v>
      </c>
      <c r="F77" s="7" t="n">
        <v>0.12</v>
      </c>
      <c r="G77" s="8" t="s">
        <v>47</v>
      </c>
      <c r="H77" s="4" t="s">
        <v>40</v>
      </c>
      <c r="I77" s="8" t="s">
        <v>164</v>
      </c>
    </row>
    <row r="78" customFormat="false" ht="17.15" hidden="false" customHeight="false" outlineLevel="0" collapsed="false">
      <c r="A78" s="0" t="s">
        <v>259</v>
      </c>
      <c r="B78" s="4" t="s">
        <v>260</v>
      </c>
      <c r="C78" s="0" t="s">
        <v>46</v>
      </c>
      <c r="D78" s="7" t="n">
        <v>-0.05</v>
      </c>
      <c r="E78" s="7" t="n">
        <v>0.08</v>
      </c>
      <c r="F78" s="7" t="n">
        <v>0.12</v>
      </c>
      <c r="G78" s="8" t="s">
        <v>47</v>
      </c>
      <c r="H78" s="4" t="s">
        <v>261</v>
      </c>
      <c r="I78" s="4" t="s">
        <v>186</v>
      </c>
    </row>
    <row r="79" customFormat="false" ht="17.15" hidden="false" customHeight="false" outlineLevel="0" collapsed="false">
      <c r="A79" s="0" t="s">
        <v>262</v>
      </c>
      <c r="B79" s="4" t="s">
        <v>263</v>
      </c>
      <c r="C79" s="0" t="s">
        <v>46</v>
      </c>
      <c r="D79" s="7" t="n">
        <v>-0.05</v>
      </c>
      <c r="E79" s="7" t="n">
        <v>0.08</v>
      </c>
      <c r="F79" s="7" t="n">
        <v>0.12</v>
      </c>
      <c r="G79" s="8" t="s">
        <v>47</v>
      </c>
      <c r="H79" s="4" t="s">
        <v>40</v>
      </c>
      <c r="I79" s="8" t="s">
        <v>164</v>
      </c>
    </row>
    <row r="80" customFormat="false" ht="17.15" hidden="false" customHeight="false" outlineLevel="0" collapsed="false">
      <c r="A80" s="0" t="s">
        <v>264</v>
      </c>
      <c r="B80" s="4" t="s">
        <v>265</v>
      </c>
      <c r="C80" s="0" t="s">
        <v>46</v>
      </c>
      <c r="D80" s="7" t="n">
        <v>-0.05</v>
      </c>
      <c r="E80" s="7" t="n">
        <v>0.04</v>
      </c>
      <c r="F80" s="7" t="n">
        <v>0.12</v>
      </c>
      <c r="G80" s="8" t="s">
        <v>47</v>
      </c>
      <c r="H80" s="4" t="s">
        <v>40</v>
      </c>
      <c r="I80" s="8" t="s">
        <v>164</v>
      </c>
    </row>
    <row r="81" customFormat="false" ht="17.15" hidden="false" customHeight="false" outlineLevel="0" collapsed="false">
      <c r="A81" s="0" t="s">
        <v>266</v>
      </c>
      <c r="B81" s="4" t="s">
        <v>267</v>
      </c>
      <c r="C81" s="0" t="s">
        <v>46</v>
      </c>
      <c r="D81" s="7" t="n">
        <v>-0.05</v>
      </c>
      <c r="E81" s="7" t="n">
        <v>0.04</v>
      </c>
      <c r="F81" s="7" t="n">
        <v>0.12</v>
      </c>
      <c r="G81" s="8" t="s">
        <v>47</v>
      </c>
      <c r="H81" s="4" t="s">
        <v>40</v>
      </c>
      <c r="I81" s="8" t="s">
        <v>164</v>
      </c>
    </row>
    <row r="82" customFormat="false" ht="17.15" hidden="false" customHeight="false" outlineLevel="0" collapsed="false">
      <c r="A82" s="0" t="s">
        <v>268</v>
      </c>
      <c r="B82" s="4" t="s">
        <v>269</v>
      </c>
      <c r="C82" s="0" t="s">
        <v>46</v>
      </c>
      <c r="D82" s="7" t="n">
        <v>-0.05</v>
      </c>
      <c r="E82" s="7" t="n">
        <v>0</v>
      </c>
      <c r="F82" s="7" t="n">
        <v>0.12</v>
      </c>
      <c r="G82" s="8" t="s">
        <v>47</v>
      </c>
      <c r="H82" s="4" t="s">
        <v>40</v>
      </c>
      <c r="I82" s="8" t="s">
        <v>164</v>
      </c>
    </row>
    <row r="83" customFormat="false" ht="17.15" hidden="false" customHeight="false" outlineLevel="0" collapsed="false">
      <c r="A83" s="0" t="s">
        <v>270</v>
      </c>
      <c r="B83" s="4" t="s">
        <v>271</v>
      </c>
      <c r="C83" s="0" t="s">
        <v>46</v>
      </c>
      <c r="D83" s="7" t="n">
        <v>-0.05</v>
      </c>
      <c r="E83" s="7" t="n">
        <v>0</v>
      </c>
      <c r="F83" s="7" t="n">
        <v>0.12</v>
      </c>
      <c r="G83" s="8" t="s">
        <v>47</v>
      </c>
      <c r="H83" s="4" t="s">
        <v>40</v>
      </c>
      <c r="I83" s="8" t="s">
        <v>164</v>
      </c>
    </row>
    <row r="84" customFormat="false" ht="17.15" hidden="false" customHeight="false" outlineLevel="0" collapsed="false">
      <c r="A84" s="0" t="s">
        <v>272</v>
      </c>
      <c r="B84" s="4" t="s">
        <v>273</v>
      </c>
      <c r="C84" s="0" t="s">
        <v>274</v>
      </c>
      <c r="D84" s="7" t="n">
        <v>-0.02</v>
      </c>
      <c r="E84" s="7" t="n">
        <v>0</v>
      </c>
      <c r="F84" s="7" t="n">
        <v>0.02</v>
      </c>
      <c r="G84" s="8" t="s">
        <v>47</v>
      </c>
      <c r="H84" s="4" t="s">
        <v>181</v>
      </c>
      <c r="I84" s="4" t="s">
        <v>275</v>
      </c>
    </row>
    <row r="85" customFormat="false" ht="17.15" hidden="false" customHeight="false" outlineLevel="0" collapsed="false">
      <c r="A85" s="6" t="s">
        <v>276</v>
      </c>
    </row>
    <row r="86" customFormat="false" ht="17.15" hidden="false" customHeight="false" outlineLevel="0" collapsed="false">
      <c r="A86" s="0" t="s">
        <v>277</v>
      </c>
      <c r="B86" s="4" t="s">
        <v>278</v>
      </c>
      <c r="C86" s="0" t="s">
        <v>279</v>
      </c>
      <c r="D86" s="7" t="n">
        <v>2</v>
      </c>
      <c r="E86" s="7" t="n">
        <v>2</v>
      </c>
      <c r="F86" s="7" t="n">
        <v>2.5</v>
      </c>
      <c r="G86" s="8" t="s">
        <v>34</v>
      </c>
      <c r="H86" s="4" t="s">
        <v>280</v>
      </c>
      <c r="I86" s="4" t="s">
        <v>281</v>
      </c>
    </row>
    <row r="87" customFormat="false" ht="17.15" hidden="false" customHeight="false" outlineLevel="0" collapsed="false">
      <c r="A87" s="0" t="s">
        <v>282</v>
      </c>
      <c r="B87" s="4" t="s">
        <v>283</v>
      </c>
      <c r="C87" s="0" t="s">
        <v>279</v>
      </c>
      <c r="D87" s="7" t="n">
        <v>0.1</v>
      </c>
      <c r="E87" s="7" t="n">
        <v>0.3</v>
      </c>
      <c r="F87" s="7" t="n">
        <v>0.6</v>
      </c>
      <c r="G87" s="8" t="s">
        <v>47</v>
      </c>
      <c r="H87" s="4" t="s">
        <v>284</v>
      </c>
      <c r="I87" s="8" t="s">
        <v>285</v>
      </c>
    </row>
    <row r="88" customFormat="false" ht="17.15" hidden="false" customHeight="false" outlineLevel="0" collapsed="false">
      <c r="A88" s="0" t="s">
        <v>286</v>
      </c>
      <c r="B88" s="0" t="s">
        <v>287</v>
      </c>
      <c r="C88" s="0" t="s">
        <v>288</v>
      </c>
      <c r="E88" s="7" t="n">
        <v>31.2</v>
      </c>
      <c r="G88" s="8" t="s">
        <v>34</v>
      </c>
      <c r="H88" s="4" t="s">
        <v>289</v>
      </c>
      <c r="I88" s="4" t="s">
        <v>290</v>
      </c>
    </row>
    <row r="89" customFormat="false" ht="17.15" hidden="false" customHeight="false" outlineLevel="0" collapsed="false">
      <c r="A89" s="0" t="s">
        <v>291</v>
      </c>
      <c r="B89" s="0" t="s">
        <v>292</v>
      </c>
      <c r="C89" s="0" t="s">
        <v>288</v>
      </c>
      <c r="E89" s="7" t="n">
        <v>31.6</v>
      </c>
      <c r="G89" s="8" t="s">
        <v>293</v>
      </c>
      <c r="H89" s="4" t="s">
        <v>294</v>
      </c>
      <c r="I89" s="4" t="s">
        <v>295</v>
      </c>
    </row>
    <row r="90" customFormat="false" ht="17.15" hidden="false" customHeight="false" outlineLevel="0" collapsed="false">
      <c r="A90" s="0" t="s">
        <v>296</v>
      </c>
      <c r="B90" s="0" t="s">
        <v>297</v>
      </c>
      <c r="C90" s="0" t="s">
        <v>288</v>
      </c>
      <c r="D90" s="7" t="n">
        <v>30.5</v>
      </c>
      <c r="E90" s="7" t="n">
        <v>32</v>
      </c>
      <c r="F90" s="7" t="n">
        <v>33</v>
      </c>
      <c r="G90" s="8" t="s">
        <v>34</v>
      </c>
      <c r="H90" s="4" t="s">
        <v>298</v>
      </c>
      <c r="I90" s="4" t="s">
        <v>290</v>
      </c>
    </row>
    <row r="91" customFormat="false" ht="17.15" hidden="false" customHeight="false" outlineLevel="0" collapsed="false">
      <c r="A91" s="0" t="s">
        <v>299</v>
      </c>
      <c r="B91" s="0" t="s">
        <v>300</v>
      </c>
      <c r="C91" s="0" t="s">
        <v>301</v>
      </c>
      <c r="E91" s="0" t="n">
        <f aca="false">469.391-301.334</f>
        <v>168.057</v>
      </c>
      <c r="G91" s="0" t="s">
        <v>293</v>
      </c>
      <c r="H91" s="4" t="s">
        <v>302</v>
      </c>
      <c r="I91" s="4" t="s">
        <v>303</v>
      </c>
    </row>
    <row r="92" customFormat="false" ht="17.15" hidden="false" customHeight="false" outlineLevel="0" collapsed="false">
      <c r="A92" s="0" t="s">
        <v>304</v>
      </c>
      <c r="B92" s="0" t="s">
        <v>305</v>
      </c>
      <c r="C92" s="0" t="s">
        <v>46</v>
      </c>
      <c r="D92" s="7" t="n">
        <v>-0.06</v>
      </c>
      <c r="E92" s="7" t="n">
        <v>-0.03</v>
      </c>
      <c r="F92" s="7" t="n">
        <v>0</v>
      </c>
      <c r="G92" s="8" t="s">
        <v>34</v>
      </c>
      <c r="H92" s="4" t="s">
        <v>294</v>
      </c>
      <c r="I92" s="4" t="s">
        <v>306</v>
      </c>
    </row>
    <row r="93" customFormat="false" ht="17.15" hidden="false" customHeight="false" outlineLevel="0" collapsed="false">
      <c r="A93" s="0" t="s">
        <v>307</v>
      </c>
      <c r="B93" s="0" t="s">
        <v>308</v>
      </c>
      <c r="C93" s="0" t="s">
        <v>46</v>
      </c>
      <c r="D93" s="7" t="n">
        <v>0.04</v>
      </c>
      <c r="E93" s="7" t="n">
        <v>0.07</v>
      </c>
      <c r="F93" s="7" t="n">
        <v>0.09</v>
      </c>
      <c r="G93" s="8" t="s">
        <v>34</v>
      </c>
      <c r="H93" s="4" t="s">
        <v>294</v>
      </c>
      <c r="I93" s="4" t="s">
        <v>40</v>
      </c>
    </row>
    <row r="94" customFormat="false" ht="17.15" hidden="false" customHeight="false" outlineLevel="0" collapsed="false">
      <c r="A94" s="0" t="s">
        <v>309</v>
      </c>
      <c r="B94" s="0" t="s">
        <v>310</v>
      </c>
      <c r="C94" s="0" t="s">
        <v>46</v>
      </c>
      <c r="D94" s="7" t="n">
        <v>-0.02</v>
      </c>
      <c r="E94" s="7" t="n">
        <v>0</v>
      </c>
      <c r="F94" s="7" t="n">
        <v>0.02</v>
      </c>
      <c r="G94" s="8" t="s">
        <v>34</v>
      </c>
      <c r="H94" s="4" t="s">
        <v>294</v>
      </c>
      <c r="I94" s="4" t="s">
        <v>40</v>
      </c>
    </row>
    <row r="95" customFormat="false" ht="17.15" hidden="false" customHeight="false" outlineLevel="0" collapsed="false">
      <c r="A95" s="0" t="s">
        <v>311</v>
      </c>
      <c r="B95" s="0" t="s">
        <v>312</v>
      </c>
      <c r="C95" s="0" t="s">
        <v>46</v>
      </c>
      <c r="D95" s="7" t="n">
        <v>0.445</v>
      </c>
      <c r="E95" s="7" t="n">
        <v>0.46</v>
      </c>
      <c r="F95" s="7" t="n">
        <v>0.475</v>
      </c>
      <c r="G95" s="8" t="s">
        <v>34</v>
      </c>
      <c r="H95" s="4" t="s">
        <v>294</v>
      </c>
      <c r="I95" s="8" t="s">
        <v>313</v>
      </c>
    </row>
    <row r="96" customFormat="false" ht="17.15" hidden="false" customHeight="false" outlineLevel="0" collapsed="false">
      <c r="A96" s="0" t="s">
        <v>314</v>
      </c>
      <c r="B96" s="0" t="s">
        <v>315</v>
      </c>
      <c r="C96" s="0" t="s">
        <v>301</v>
      </c>
      <c r="D96" s="7" t="n">
        <v>46</v>
      </c>
      <c r="E96" s="7" t="n">
        <v>48.5</v>
      </c>
      <c r="F96" s="7" t="n">
        <v>51</v>
      </c>
      <c r="G96" s="8" t="s">
        <v>34</v>
      </c>
      <c r="H96" s="4" t="s">
        <v>316</v>
      </c>
      <c r="I96" s="8" t="s">
        <v>317</v>
      </c>
    </row>
    <row r="97" customFormat="false" ht="17.15" hidden="false" customHeight="false" outlineLevel="0" collapsed="false">
      <c r="A97" s="0" t="s">
        <v>318</v>
      </c>
      <c r="B97" s="0" t="s">
        <v>319</v>
      </c>
      <c r="C97" s="0" t="s">
        <v>46</v>
      </c>
      <c r="D97" s="7" t="n">
        <v>-0.12</v>
      </c>
      <c r="E97" s="7" t="n">
        <v>-0.05</v>
      </c>
      <c r="F97" s="7" t="n">
        <v>0.03</v>
      </c>
      <c r="G97" s="8" t="s">
        <v>47</v>
      </c>
      <c r="H97" s="4" t="s">
        <v>320</v>
      </c>
      <c r="I97" s="4" t="s">
        <v>321</v>
      </c>
    </row>
    <row r="98" customFormat="false" ht="17.15" hidden="false" customHeight="false" outlineLevel="0" collapsed="false">
      <c r="A98" s="0" t="s">
        <v>322</v>
      </c>
      <c r="B98" s="0" t="s">
        <v>323</v>
      </c>
      <c r="C98" s="0" t="s">
        <v>46</v>
      </c>
      <c r="D98" s="7" t="n">
        <v>-0.1</v>
      </c>
      <c r="E98" s="7" t="n">
        <v>-0.05</v>
      </c>
      <c r="F98" s="7" t="n">
        <v>0</v>
      </c>
      <c r="G98" s="8" t="s">
        <v>47</v>
      </c>
      <c r="H98" s="8" t="s">
        <v>324</v>
      </c>
      <c r="I98" s="8" t="s">
        <v>164</v>
      </c>
    </row>
    <row r="99" customFormat="false" ht="17.15" hidden="false" customHeight="false" outlineLevel="0" collapsed="false">
      <c r="A99" s="0" t="s">
        <v>325</v>
      </c>
      <c r="B99" s="0" t="s">
        <v>326</v>
      </c>
      <c r="C99" s="0" t="s">
        <v>46</v>
      </c>
      <c r="D99" s="7" t="n">
        <v>-0.08</v>
      </c>
      <c r="E99" s="7" t="n">
        <v>-0.03</v>
      </c>
      <c r="F99" s="7" t="n">
        <v>0.03</v>
      </c>
      <c r="G99" s="8" t="s">
        <v>47</v>
      </c>
      <c r="H99" s="4" t="s">
        <v>181</v>
      </c>
      <c r="I99" s="8" t="s">
        <v>164</v>
      </c>
    </row>
    <row r="100" customFormat="false" ht="17.15" hidden="false" customHeight="false" outlineLevel="0" collapsed="false">
      <c r="A100" s="0" t="s">
        <v>327</v>
      </c>
      <c r="B100" s="0" t="s">
        <v>328</v>
      </c>
      <c r="C100" s="0" t="s">
        <v>46</v>
      </c>
      <c r="D100" s="7" t="n">
        <v>0.445</v>
      </c>
      <c r="E100" s="7" t="n">
        <v>0.46</v>
      </c>
      <c r="F100" s="7" t="n">
        <v>0.47</v>
      </c>
      <c r="G100" s="8" t="s">
        <v>47</v>
      </c>
      <c r="H100" s="4" t="s">
        <v>329</v>
      </c>
      <c r="I100" s="8" t="s">
        <v>330</v>
      </c>
    </row>
    <row r="101" customFormat="false" ht="17.15" hidden="false" customHeight="false" outlineLevel="0" collapsed="false">
      <c r="A101" s="0" t="s">
        <v>331</v>
      </c>
      <c r="B101" s="0" t="s">
        <v>332</v>
      </c>
      <c r="C101" s="0" t="s">
        <v>301</v>
      </c>
      <c r="D101" s="7" t="n">
        <v>48</v>
      </c>
      <c r="E101" s="7" t="n">
        <v>50</v>
      </c>
      <c r="F101" s="7" t="n">
        <v>53</v>
      </c>
      <c r="G101" s="8" t="s">
        <v>47</v>
      </c>
      <c r="H101" s="4" t="s">
        <v>333</v>
      </c>
      <c r="I101" s="8" t="s">
        <v>164</v>
      </c>
    </row>
    <row r="102" customFormat="false" ht="17.15" hidden="false" customHeight="false" outlineLevel="0" collapsed="false">
      <c r="A102" s="0" t="s">
        <v>334</v>
      </c>
      <c r="B102" s="0" t="s">
        <v>335</v>
      </c>
      <c r="C102" s="0" t="s">
        <v>301</v>
      </c>
      <c r="D102" s="7" t="n">
        <v>3.5</v>
      </c>
      <c r="E102" s="7" t="n">
        <v>4.8</v>
      </c>
      <c r="F102" s="7" t="n">
        <v>5.5</v>
      </c>
      <c r="G102" s="8" t="s">
        <v>47</v>
      </c>
      <c r="H102" s="8" t="s">
        <v>336</v>
      </c>
      <c r="I102" s="8" t="s">
        <v>337</v>
      </c>
    </row>
    <row r="103" customFormat="false" ht="17.15" hidden="false" customHeight="false" outlineLevel="0" collapsed="false">
      <c r="A103" s="0" t="s">
        <v>338</v>
      </c>
      <c r="B103" s="0" t="s">
        <v>339</v>
      </c>
      <c r="C103" s="0" t="s">
        <v>46</v>
      </c>
      <c r="D103" s="7" t="n">
        <v>0.1</v>
      </c>
      <c r="E103" s="7" t="n">
        <v>0.13</v>
      </c>
      <c r="F103" s="7" t="n">
        <v>0.16</v>
      </c>
      <c r="G103" s="8" t="s">
        <v>47</v>
      </c>
      <c r="H103" s="8" t="s">
        <v>340</v>
      </c>
      <c r="I103" s="8" t="s">
        <v>164</v>
      </c>
    </row>
    <row r="104" customFormat="false" ht="17.15" hidden="false" customHeight="false" outlineLevel="0" collapsed="false">
      <c r="A104" s="0" t="s">
        <v>341</v>
      </c>
      <c r="B104" s="0" t="s">
        <v>342</v>
      </c>
      <c r="C104" s="0" t="s">
        <v>301</v>
      </c>
      <c r="E104" s="7" t="n">
        <v>0.25</v>
      </c>
      <c r="G104" s="8" t="s">
        <v>189</v>
      </c>
      <c r="H104" s="8" t="s">
        <v>343</v>
      </c>
      <c r="I104" s="8" t="s">
        <v>164</v>
      </c>
    </row>
    <row r="105" customFormat="false" ht="17.15" hidden="false" customHeight="false" outlineLevel="0" collapsed="false">
      <c r="A105" s="0" t="s">
        <v>344</v>
      </c>
      <c r="B105" s="0" t="s">
        <v>345</v>
      </c>
      <c r="C105" s="4" t="s">
        <v>346</v>
      </c>
      <c r="E105" s="0" t="n">
        <f aca="false">24.335/15.28</f>
        <v>1.59260471204189</v>
      </c>
      <c r="G105" s="0" t="s">
        <v>189</v>
      </c>
      <c r="H105" s="0" t="s">
        <v>347</v>
      </c>
      <c r="I105" s="0" t="s">
        <v>348</v>
      </c>
    </row>
    <row r="106" customFormat="false" ht="17.15" hidden="false" customHeight="false" outlineLevel="0" collapsed="false">
      <c r="A106" s="6" t="s">
        <v>349</v>
      </c>
    </row>
    <row r="107" customFormat="false" ht="17.15" hidden="false" customHeight="false" outlineLevel="0" collapsed="false">
      <c r="A107" s="0" t="s">
        <v>350</v>
      </c>
      <c r="B107" s="4" t="s">
        <v>351</v>
      </c>
      <c r="C107" s="0" t="s">
        <v>65</v>
      </c>
      <c r="D107" s="7" t="n">
        <v>0.2</v>
      </c>
      <c r="E107" s="7" t="n">
        <v>0.3</v>
      </c>
      <c r="F107" s="7" t="n">
        <v>0.6</v>
      </c>
      <c r="G107" s="8" t="s">
        <v>47</v>
      </c>
      <c r="H107" s="8" t="s">
        <v>352</v>
      </c>
      <c r="I107" s="4" t="s">
        <v>353</v>
      </c>
    </row>
    <row r="108" customFormat="false" ht="17.15" hidden="false" customHeight="false" outlineLevel="0" collapsed="false">
      <c r="A108" s="0" t="s">
        <v>354</v>
      </c>
      <c r="B108" s="4" t="s">
        <v>355</v>
      </c>
      <c r="C108" s="0" t="s">
        <v>46</v>
      </c>
      <c r="D108" s="7" t="n">
        <v>0.03</v>
      </c>
      <c r="E108" s="7" t="n">
        <v>0.06</v>
      </c>
      <c r="F108" s="7" t="n">
        <v>0.1</v>
      </c>
      <c r="G108" s="8" t="s">
        <v>47</v>
      </c>
      <c r="H108" s="4" t="s">
        <v>356</v>
      </c>
      <c r="I108" s="8" t="s">
        <v>164</v>
      </c>
    </row>
    <row r="109" customFormat="false" ht="17.15" hidden="false" customHeight="false" outlineLevel="0" collapsed="false">
      <c r="A109" s="0" t="s">
        <v>357</v>
      </c>
      <c r="B109" s="4" t="s">
        <v>358</v>
      </c>
      <c r="C109" s="0" t="s">
        <v>274</v>
      </c>
      <c r="D109" s="7" t="n">
        <v>-0.02</v>
      </c>
      <c r="E109" s="7" t="n">
        <v>0</v>
      </c>
      <c r="F109" s="7" t="n">
        <v>0.02</v>
      </c>
      <c r="G109" s="8" t="s">
        <v>47</v>
      </c>
      <c r="H109" s="4" t="s">
        <v>181</v>
      </c>
      <c r="I109" s="8" t="s">
        <v>359</v>
      </c>
    </row>
    <row r="110" customFormat="false" ht="17.15" hidden="false" customHeight="false" outlineLevel="0" collapsed="false">
      <c r="A110" s="0" t="s">
        <v>360</v>
      </c>
      <c r="B110" s="4" t="s">
        <v>361</v>
      </c>
      <c r="C110" s="0" t="s">
        <v>301</v>
      </c>
      <c r="D110" s="7" t="n">
        <v>10</v>
      </c>
      <c r="E110" s="7" t="n">
        <v>18</v>
      </c>
      <c r="F110" s="7" t="n">
        <v>24</v>
      </c>
      <c r="G110" s="8" t="s">
        <v>47</v>
      </c>
      <c r="H110" s="8" t="s">
        <v>362</v>
      </c>
      <c r="I110" s="4" t="s">
        <v>363</v>
      </c>
    </row>
    <row r="111" customFormat="false" ht="17.15" hidden="false" customHeight="false" outlineLevel="0" collapsed="false">
      <c r="A111" s="0" t="s">
        <v>364</v>
      </c>
      <c r="B111" s="4" t="s">
        <v>365</v>
      </c>
      <c r="C111" s="0" t="s">
        <v>46</v>
      </c>
      <c r="D111" s="7" t="n">
        <v>0.12</v>
      </c>
      <c r="E111" s="7" t="n">
        <v>0.14</v>
      </c>
      <c r="F111" s="7" t="n">
        <v>0.17</v>
      </c>
      <c r="G111" s="8" t="s">
        <v>47</v>
      </c>
      <c r="H111" s="8" t="s">
        <v>366</v>
      </c>
      <c r="I111" s="8" t="s">
        <v>164</v>
      </c>
    </row>
    <row r="112" customFormat="false" ht="17.15" hidden="false" customHeight="false" outlineLevel="0" collapsed="false">
      <c r="A112" s="0" t="s">
        <v>367</v>
      </c>
      <c r="B112" s="4" t="s">
        <v>368</v>
      </c>
      <c r="C112" s="0" t="s">
        <v>301</v>
      </c>
      <c r="E112" s="7" t="n">
        <v>1</v>
      </c>
      <c r="G112" s="8" t="s">
        <v>189</v>
      </c>
      <c r="H112" s="8" t="s">
        <v>369</v>
      </c>
      <c r="I112" s="8" t="s">
        <v>164</v>
      </c>
    </row>
    <row r="113" customFormat="false" ht="17.15" hidden="false" customHeight="false" outlineLevel="0" collapsed="false">
      <c r="A113" s="0" t="s">
        <v>370</v>
      </c>
      <c r="B113" s="4" t="s">
        <v>371</v>
      </c>
      <c r="C113" s="0" t="s">
        <v>46</v>
      </c>
      <c r="D113" s="7" t="n">
        <v>-0.005</v>
      </c>
      <c r="E113" s="7" t="n">
        <v>0</v>
      </c>
      <c r="F113" s="7" t="n">
        <v>0.005</v>
      </c>
      <c r="G113" s="8" t="s">
        <v>47</v>
      </c>
      <c r="H113" s="8" t="s">
        <v>372</v>
      </c>
      <c r="I113" s="4" t="s">
        <v>373</v>
      </c>
    </row>
    <row r="114" customFormat="false" ht="17.15" hidden="false" customHeight="false" outlineLevel="0" collapsed="false">
      <c r="A114" s="0" t="s">
        <v>374</v>
      </c>
      <c r="B114" s="4" t="s">
        <v>375</v>
      </c>
      <c r="C114" s="0" t="s">
        <v>288</v>
      </c>
      <c r="D114" s="7" t="n">
        <v>30</v>
      </c>
      <c r="E114" s="7" t="n">
        <v>32</v>
      </c>
      <c r="F114" s="7" t="n">
        <v>34</v>
      </c>
      <c r="G114" s="8" t="s">
        <v>47</v>
      </c>
      <c r="H114" s="4" t="s">
        <v>376</v>
      </c>
      <c r="I114" s="4" t="s">
        <v>377</v>
      </c>
    </row>
    <row r="115" customFormat="false" ht="17.15" hidden="false" customHeight="false" outlineLevel="0" collapsed="false">
      <c r="A115" s="6" t="s">
        <v>378</v>
      </c>
    </row>
    <row r="116" customFormat="false" ht="17.15" hidden="false" customHeight="false" outlineLevel="0" collapsed="false">
      <c r="A116" s="0" t="s">
        <v>379</v>
      </c>
      <c r="B116" s="4" t="s">
        <v>380</v>
      </c>
      <c r="C116" s="0" t="s">
        <v>279</v>
      </c>
      <c r="E116" s="7" t="n">
        <v>19.1</v>
      </c>
      <c r="G116" s="8" t="s">
        <v>293</v>
      </c>
      <c r="H116" s="4" t="s">
        <v>381</v>
      </c>
      <c r="I116" s="4" t="s">
        <v>382</v>
      </c>
    </row>
    <row r="117" customFormat="false" ht="17.15" hidden="false" customHeight="false" outlineLevel="0" collapsed="false">
      <c r="A117" s="0" t="s">
        <v>383</v>
      </c>
      <c r="B117" s="4" t="s">
        <v>384</v>
      </c>
      <c r="C117" s="0" t="s">
        <v>46</v>
      </c>
      <c r="D117" s="7" t="n">
        <v>0.07</v>
      </c>
      <c r="E117" s="7" t="n">
        <v>0.09</v>
      </c>
      <c r="F117" s="7" t="n">
        <v>0.1</v>
      </c>
      <c r="G117" s="8" t="s">
        <v>34</v>
      </c>
      <c r="H117" s="4" t="s">
        <v>294</v>
      </c>
      <c r="I117" s="8" t="s">
        <v>385</v>
      </c>
    </row>
    <row r="118" customFormat="false" ht="17.15" hidden="false" customHeight="false" outlineLevel="0" collapsed="false">
      <c r="A118" s="0" t="s">
        <v>386</v>
      </c>
      <c r="B118" s="4" t="s">
        <v>387</v>
      </c>
      <c r="C118" s="0" t="s">
        <v>279</v>
      </c>
      <c r="D118" s="7" t="n">
        <v>70</v>
      </c>
      <c r="E118" s="7" t="n">
        <v>80</v>
      </c>
      <c r="F118" s="7" t="n">
        <v>80</v>
      </c>
      <c r="G118" s="8" t="s">
        <v>34</v>
      </c>
      <c r="H118" s="4" t="s">
        <v>388</v>
      </c>
      <c r="I118" s="4" t="s">
        <v>389</v>
      </c>
    </row>
    <row r="119" customFormat="false" ht="17.15" hidden="false" customHeight="false" outlineLevel="0" collapsed="false">
      <c r="A119" s="0" t="s">
        <v>390</v>
      </c>
      <c r="B119" s="4" t="s">
        <v>391</v>
      </c>
      <c r="C119" s="0" t="s">
        <v>46</v>
      </c>
      <c r="D119" s="7" t="n">
        <v>0.15</v>
      </c>
      <c r="E119" s="7" t="n">
        <v>0.175</v>
      </c>
      <c r="F119" s="7" t="n">
        <v>0.2</v>
      </c>
      <c r="G119" s="8" t="s">
        <v>34</v>
      </c>
      <c r="H119" s="4" t="s">
        <v>392</v>
      </c>
      <c r="I119" s="4" t="s">
        <v>393</v>
      </c>
    </row>
    <row r="120" customFormat="false" ht="17.15" hidden="false" customHeight="false" outlineLevel="0" collapsed="false">
      <c r="A120" s="0" t="s">
        <v>394</v>
      </c>
      <c r="B120" s="4" t="s">
        <v>395</v>
      </c>
      <c r="C120" s="0" t="s">
        <v>46</v>
      </c>
      <c r="E120" s="7" t="n">
        <v>0.2</v>
      </c>
      <c r="G120" s="8" t="s">
        <v>34</v>
      </c>
      <c r="H120" s="4" t="s">
        <v>396</v>
      </c>
      <c r="I120" s="8" t="s">
        <v>164</v>
      </c>
    </row>
    <row r="121" customFormat="false" ht="17.15" hidden="false" customHeight="false" outlineLevel="0" collapsed="false">
      <c r="A121" s="0" t="s">
        <v>397</v>
      </c>
      <c r="B121" s="4" t="s">
        <v>398</v>
      </c>
      <c r="C121" s="0" t="s">
        <v>301</v>
      </c>
      <c r="D121" s="7" t="n">
        <v>613.8</v>
      </c>
      <c r="E121" s="7" t="n">
        <v>662.3</v>
      </c>
      <c r="F121" s="7" t="n">
        <v>711.4</v>
      </c>
      <c r="G121" s="8" t="s">
        <v>34</v>
      </c>
      <c r="H121" s="8" t="s">
        <v>399</v>
      </c>
      <c r="I121" s="4" t="s">
        <v>400</v>
      </c>
    </row>
    <row r="122" customFormat="false" ht="17.15" hidden="false" customHeight="false" outlineLevel="0" collapsed="false">
      <c r="A122" s="0" t="s">
        <v>401</v>
      </c>
      <c r="B122" s="4" t="s">
        <v>402</v>
      </c>
      <c r="C122" s="0" t="s">
        <v>403</v>
      </c>
      <c r="D122" s="7" t="n">
        <v>58.48</v>
      </c>
      <c r="E122" s="7" t="n">
        <v>68.27</v>
      </c>
      <c r="F122" s="7" t="n">
        <v>73.35</v>
      </c>
      <c r="G122" s="8" t="s">
        <v>34</v>
      </c>
      <c r="H122" s="8" t="s">
        <v>404</v>
      </c>
      <c r="I122" s="4" t="s">
        <v>405</v>
      </c>
    </row>
    <row r="123" customFormat="false" ht="17.15" hidden="false" customHeight="false" outlineLevel="0" collapsed="false">
      <c r="A123" s="0" t="s">
        <v>406</v>
      </c>
      <c r="B123" s="4" t="s">
        <v>407</v>
      </c>
      <c r="C123" s="0" t="s">
        <v>301</v>
      </c>
      <c r="E123" s="7" t="n">
        <v>1110.805</v>
      </c>
      <c r="G123" s="8" t="s">
        <v>34</v>
      </c>
      <c r="H123" s="4" t="s">
        <v>408</v>
      </c>
      <c r="I123" s="8" t="s">
        <v>164</v>
      </c>
    </row>
    <row r="124" customFormat="false" ht="17.15" hidden="false" customHeight="false" outlineLevel="0" collapsed="false">
      <c r="A124" s="0" t="s">
        <v>409</v>
      </c>
      <c r="B124" s="4" t="s">
        <v>410</v>
      </c>
      <c r="C124" s="0" t="s">
        <v>403</v>
      </c>
      <c r="E124" s="7" t="n">
        <v>112.6</v>
      </c>
      <c r="G124" s="8" t="s">
        <v>34</v>
      </c>
      <c r="H124" s="4" t="s">
        <v>408</v>
      </c>
      <c r="I124" s="8" t="s">
        <v>411</v>
      </c>
    </row>
    <row r="125" customFormat="false" ht="17.15" hidden="false" customHeight="false" outlineLevel="0" collapsed="false">
      <c r="A125" s="0" t="s">
        <v>412</v>
      </c>
      <c r="B125" s="0" t="s">
        <v>413</v>
      </c>
      <c r="C125" s="0" t="s">
        <v>403</v>
      </c>
      <c r="E125" s="7" t="n">
        <v>133.87</v>
      </c>
      <c r="G125" s="8" t="s">
        <v>34</v>
      </c>
      <c r="H125" s="4" t="s">
        <v>414</v>
      </c>
      <c r="I125" s="8" t="s">
        <v>164</v>
      </c>
    </row>
    <row r="126" customFormat="false" ht="17.15" hidden="false" customHeight="false" outlineLevel="0" collapsed="false">
      <c r="A126" s="0" t="s">
        <v>415</v>
      </c>
      <c r="B126" s="4" t="s">
        <v>416</v>
      </c>
      <c r="C126" s="0" t="s">
        <v>403</v>
      </c>
      <c r="E126" s="7" t="n">
        <v>246.6</v>
      </c>
      <c r="G126" s="8" t="s">
        <v>34</v>
      </c>
      <c r="H126" s="4" t="s">
        <v>408</v>
      </c>
      <c r="I126" s="8" t="s">
        <v>417</v>
      </c>
    </row>
    <row r="127" customFormat="false" ht="17.15" hidden="false" customHeight="false" outlineLevel="0" collapsed="false">
      <c r="A127" s="0" t="s">
        <v>418</v>
      </c>
      <c r="B127" s="0" t="s">
        <v>419</v>
      </c>
      <c r="C127" s="0" t="s">
        <v>403</v>
      </c>
      <c r="E127" s="7" t="n">
        <v>260.38</v>
      </c>
      <c r="G127" s="8" t="s">
        <v>34</v>
      </c>
      <c r="H127" s="4" t="s">
        <v>414</v>
      </c>
      <c r="I127" s="8" t="s">
        <v>164</v>
      </c>
    </row>
    <row r="128" customFormat="false" ht="17.15" hidden="false" customHeight="false" outlineLevel="0" collapsed="false">
      <c r="A128" s="0" t="s">
        <v>420</v>
      </c>
      <c r="B128" s="4" t="s">
        <v>421</v>
      </c>
      <c r="C128" s="0" t="s">
        <v>279</v>
      </c>
      <c r="D128" s="7" t="n">
        <v>48</v>
      </c>
      <c r="E128" s="7" t="n">
        <v>50</v>
      </c>
      <c r="F128" s="7" t="n">
        <v>52.5</v>
      </c>
      <c r="G128" s="8" t="s">
        <v>34</v>
      </c>
      <c r="H128" s="4" t="s">
        <v>422</v>
      </c>
      <c r="I128" s="4" t="s">
        <v>423</v>
      </c>
    </row>
    <row r="129" customFormat="false" ht="17.15" hidden="false" customHeight="false" outlineLevel="0" collapsed="false">
      <c r="A129" s="0" t="s">
        <v>424</v>
      </c>
      <c r="B129" s="4" t="s">
        <v>425</v>
      </c>
      <c r="C129" s="4" t="s">
        <v>33</v>
      </c>
      <c r="E129" s="7" t="n">
        <v>4</v>
      </c>
      <c r="G129" s="8" t="s">
        <v>34</v>
      </c>
      <c r="H129" s="4" t="s">
        <v>408</v>
      </c>
      <c r="I129" s="8" t="s">
        <v>164</v>
      </c>
    </row>
    <row r="130" customFormat="false" ht="17.15" hidden="false" customHeight="false" outlineLevel="0" collapsed="false">
      <c r="A130" s="0" t="s">
        <v>426</v>
      </c>
      <c r="B130" s="4" t="s">
        <v>427</v>
      </c>
      <c r="C130" s="0" t="s">
        <v>279</v>
      </c>
      <c r="D130" s="7" t="n">
        <v>12</v>
      </c>
      <c r="E130" s="7" t="n">
        <v>14</v>
      </c>
      <c r="F130" s="7" t="n">
        <v>20.3</v>
      </c>
      <c r="G130" s="8" t="s">
        <v>34</v>
      </c>
      <c r="H130" s="4" t="s">
        <v>428</v>
      </c>
      <c r="I130" s="8" t="s">
        <v>164</v>
      </c>
    </row>
    <row r="131" customFormat="false" ht="17.15" hidden="false" customHeight="false" outlineLevel="0" collapsed="false">
      <c r="A131" s="6" t="s">
        <v>429</v>
      </c>
    </row>
    <row r="132" customFormat="false" ht="17.15" hidden="false" customHeight="false" outlineLevel="0" collapsed="false">
      <c r="A132" s="0" t="s">
        <v>430</v>
      </c>
      <c r="B132" s="4" t="s">
        <v>431</v>
      </c>
      <c r="C132" s="0" t="s">
        <v>403</v>
      </c>
      <c r="E132" s="7" t="n">
        <v>4010</v>
      </c>
      <c r="G132" s="8" t="s">
        <v>34</v>
      </c>
      <c r="H132" s="8" t="s">
        <v>432</v>
      </c>
      <c r="I132" s="4" t="s">
        <v>433</v>
      </c>
    </row>
    <row r="133" customFormat="false" ht="17.15" hidden="false" customHeight="false" outlineLevel="0" collapsed="false">
      <c r="A133" s="0" t="s">
        <v>434</v>
      </c>
      <c r="B133" s="4" t="s">
        <v>435</v>
      </c>
      <c r="C133" s="0" t="s">
        <v>65</v>
      </c>
      <c r="E133" s="7" t="n">
        <v>66.23</v>
      </c>
      <c r="G133" s="8" t="s">
        <v>34</v>
      </c>
      <c r="H133" s="8" t="s">
        <v>436</v>
      </c>
      <c r="I133" s="8" t="s">
        <v>437</v>
      </c>
    </row>
    <row r="134" customFormat="false" ht="17.15" hidden="false" customHeight="false" outlineLevel="0" collapsed="false">
      <c r="A134" s="0" t="s">
        <v>438</v>
      </c>
      <c r="B134" s="4" t="s">
        <v>439</v>
      </c>
      <c r="C134" s="0" t="s">
        <v>65</v>
      </c>
      <c r="E134" s="7" t="n">
        <v>38.75</v>
      </c>
      <c r="G134" s="8" t="s">
        <v>34</v>
      </c>
      <c r="H134" s="8" t="s">
        <v>436</v>
      </c>
      <c r="I134" s="8" t="s">
        <v>164</v>
      </c>
    </row>
    <row r="135" customFormat="false" ht="17.15" hidden="false" customHeight="false" outlineLevel="0" collapsed="false">
      <c r="A135" s="0" t="s">
        <v>440</v>
      </c>
      <c r="B135" s="4" t="s">
        <v>441</v>
      </c>
      <c r="C135" s="0" t="s">
        <v>403</v>
      </c>
      <c r="E135" s="0" t="n">
        <f aca="false">px/fpe</f>
        <v>103.483870967742</v>
      </c>
      <c r="G135" s="0" t="s">
        <v>189</v>
      </c>
      <c r="H135" s="0" t="s">
        <v>442</v>
      </c>
      <c r="I135" s="4" t="s">
        <v>443</v>
      </c>
    </row>
    <row r="136" customFormat="false" ht="17.15" hidden="false" customHeight="false" outlineLevel="0" collapsed="false">
      <c r="A136" s="0" t="s">
        <v>444</v>
      </c>
      <c r="B136" s="4" t="s">
        <v>445</v>
      </c>
      <c r="C136" s="0" t="s">
        <v>403</v>
      </c>
      <c r="D136" s="7" t="n">
        <v>4000</v>
      </c>
      <c r="E136" s="7" t="n">
        <v>6067</v>
      </c>
      <c r="F136" s="7" t="n">
        <v>10369</v>
      </c>
      <c r="G136" s="8" t="s">
        <v>34</v>
      </c>
      <c r="H136" s="8" t="s">
        <v>446</v>
      </c>
      <c r="I136" s="8" t="s">
        <v>447</v>
      </c>
    </row>
    <row r="137" customFormat="false" ht="17.15" hidden="false" customHeight="false" outlineLevel="0" collapsed="false">
      <c r="A137" s="0" t="s">
        <v>448</v>
      </c>
      <c r="B137" s="4" t="s">
        <v>449</v>
      </c>
      <c r="C137" s="0" t="s">
        <v>46</v>
      </c>
      <c r="E137" s="0" t="n">
        <f aca="false">AVERAGE(111421/493415,118141/548796,76979/433446,106387/530586,105319/595966)</f>
        <v>0.199183009039204</v>
      </c>
      <c r="G137" s="0" t="s">
        <v>189</v>
      </c>
      <c r="H137" s="0" t="s">
        <v>450</v>
      </c>
      <c r="I137" s="4" t="s">
        <v>451</v>
      </c>
    </row>
    <row r="138" customFormat="false" ht="17.15" hidden="false" customHeight="false" outlineLevel="0" collapsed="false">
      <c r="A138" s="6" t="s">
        <v>452</v>
      </c>
    </row>
    <row r="139" customFormat="false" ht="17.15" hidden="false" customHeight="false" outlineLevel="0" collapsed="false">
      <c r="A139" s="9" t="s">
        <v>453</v>
      </c>
      <c r="B139" s="10" t="s">
        <v>454</v>
      </c>
      <c r="C139" s="9" t="s">
        <v>46</v>
      </c>
      <c r="D139" s="9"/>
      <c r="E139" s="11" t="n">
        <v>0.3</v>
      </c>
      <c r="F139" s="9"/>
      <c r="G139" s="9" t="s">
        <v>47</v>
      </c>
      <c r="H139" s="9" t="s">
        <v>455</v>
      </c>
      <c r="I139" s="10" t="s">
        <v>456</v>
      </c>
    </row>
    <row r="140" customFormat="false" ht="17.15" hidden="false" customHeight="false" outlineLevel="0" collapsed="false">
      <c r="A140" s="9" t="s">
        <v>457</v>
      </c>
      <c r="B140" s="10" t="s">
        <v>458</v>
      </c>
      <c r="C140" s="9" t="s">
        <v>46</v>
      </c>
      <c r="D140" s="9"/>
      <c r="E140" s="11" t="n">
        <v>0.5</v>
      </c>
      <c r="F140" s="9"/>
      <c r="G140" s="9" t="s">
        <v>47</v>
      </c>
      <c r="H140" s="9" t="s">
        <v>455</v>
      </c>
      <c r="I140" s="10" t="s">
        <v>456</v>
      </c>
    </row>
    <row r="141" customFormat="false" ht="17.15" hidden="false" customHeight="false" outlineLevel="0" collapsed="false">
      <c r="A141" s="9" t="s">
        <v>459</v>
      </c>
      <c r="B141" s="10" t="s">
        <v>460</v>
      </c>
      <c r="C141" s="9" t="s">
        <v>46</v>
      </c>
      <c r="D141" s="9"/>
      <c r="E141" s="11" t="n">
        <v>0.2</v>
      </c>
      <c r="F141" s="9"/>
      <c r="G141" s="9" t="s">
        <v>47</v>
      </c>
      <c r="H141" s="9" t="s">
        <v>455</v>
      </c>
      <c r="I141" s="10" t="s">
        <v>456</v>
      </c>
    </row>
    <row r="142" customFormat="false" ht="17.15" hidden="false" customHeight="false" outlineLevel="0" collapsed="false">
      <c r="A142" s="9" t="s">
        <v>461</v>
      </c>
      <c r="B142" s="10" t="s">
        <v>462</v>
      </c>
      <c r="C142" s="9" t="s">
        <v>46</v>
      </c>
      <c r="D142" s="9"/>
      <c r="E142" s="11" t="n">
        <v>0.1</v>
      </c>
      <c r="F142" s="9"/>
      <c r="G142" s="9" t="s">
        <v>47</v>
      </c>
      <c r="H142" s="9" t="s">
        <v>463</v>
      </c>
      <c r="I142" s="10" t="s">
        <v>464</v>
      </c>
    </row>
    <row r="143" customFormat="false" ht="17.15" hidden="false" customHeight="false" outlineLevel="0" collapsed="false">
      <c r="A143" s="9" t="s">
        <v>465</v>
      </c>
      <c r="B143" s="10" t="s">
        <v>466</v>
      </c>
      <c r="C143" s="9" t="s">
        <v>46</v>
      </c>
      <c r="D143" s="9"/>
      <c r="E143" s="11" t="n">
        <v>0.04</v>
      </c>
      <c r="F143" s="9"/>
      <c r="G143" s="9" t="s">
        <v>47</v>
      </c>
      <c r="H143" s="9" t="s">
        <v>467</v>
      </c>
      <c r="I143" s="10" t="s">
        <v>468</v>
      </c>
    </row>
    <row r="144" customFormat="false" ht="17.15" hidden="false" customHeight="false" outlineLevel="0" collapsed="false">
      <c r="A144" s="9" t="s">
        <v>469</v>
      </c>
      <c r="B144" s="9" t="s">
        <v>470</v>
      </c>
      <c r="C144" s="9" t="s">
        <v>46</v>
      </c>
      <c r="D144" s="9"/>
      <c r="E144" s="9" t="n">
        <f aca="false">AVERAGE(0.1889,0.275,0.2606)</f>
        <v>0.2415</v>
      </c>
      <c r="F144" s="9"/>
      <c r="G144" s="9" t="s">
        <v>189</v>
      </c>
      <c r="H144" s="9" t="s">
        <v>471</v>
      </c>
      <c r="I144" s="10" t="s">
        <v>472</v>
      </c>
    </row>
    <row r="145" customFormat="false" ht="17.15" hidden="false" customHeight="false" outlineLevel="0" collapsed="false">
      <c r="A145" s="9" t="s">
        <v>473</v>
      </c>
      <c r="B145" s="10" t="s">
        <v>474</v>
      </c>
      <c r="C145" s="9" t="s">
        <v>46</v>
      </c>
      <c r="D145" s="9"/>
      <c r="E145" s="11" t="n">
        <v>0.5</v>
      </c>
      <c r="F145" s="9"/>
      <c r="G145" s="9" t="s">
        <v>47</v>
      </c>
      <c r="H145" s="9" t="s">
        <v>475</v>
      </c>
      <c r="I145" s="9" t="s">
        <v>164</v>
      </c>
    </row>
    <row r="146" customFormat="false" ht="17.15" hidden="false" customHeight="false" outlineLevel="0" collapsed="false">
      <c r="A146" s="9" t="s">
        <v>476</v>
      </c>
      <c r="B146" s="10" t="s">
        <v>477</v>
      </c>
      <c r="C146" s="9" t="s">
        <v>46</v>
      </c>
      <c r="D146" s="9"/>
      <c r="E146" s="9" t="n">
        <f aca="false">tp_g+0.02</f>
        <v>0.06</v>
      </c>
      <c r="F146" s="9"/>
      <c r="G146" s="9" t="s">
        <v>47</v>
      </c>
      <c r="H146" s="10" t="s">
        <v>478</v>
      </c>
      <c r="I146" s="9" t="s">
        <v>479</v>
      </c>
    </row>
    <row r="147" customFormat="false" ht="17.15" hidden="false" customHeight="false" outlineLevel="0" collapsed="false">
      <c r="A147" s="9" t="s">
        <v>480</v>
      </c>
      <c r="B147" s="10" t="s">
        <v>481</v>
      </c>
      <c r="C147" s="9" t="s">
        <v>46</v>
      </c>
      <c r="D147" s="9"/>
      <c r="E147" s="9" t="n">
        <f aca="false">tp_g</f>
        <v>0.04</v>
      </c>
      <c r="F147" s="9"/>
      <c r="G147" s="9" t="s">
        <v>47</v>
      </c>
      <c r="H147" s="10" t="s">
        <v>40</v>
      </c>
      <c r="I147" s="9" t="s">
        <v>164</v>
      </c>
    </row>
    <row r="148" customFormat="false" ht="17.15" hidden="false" customHeight="false" outlineLevel="0" collapsed="false">
      <c r="A148" s="9" t="s">
        <v>482</v>
      </c>
      <c r="B148" s="10" t="s">
        <v>483</v>
      </c>
      <c r="C148" s="9" t="s">
        <v>46</v>
      </c>
      <c r="D148" s="9"/>
      <c r="E148" s="9" t="n">
        <f aca="false">tp_g-0.02</f>
        <v>0.02</v>
      </c>
      <c r="F148" s="9"/>
      <c r="G148" s="9" t="s">
        <v>47</v>
      </c>
      <c r="H148" s="10" t="s">
        <v>40</v>
      </c>
      <c r="I148" s="9" t="s">
        <v>164</v>
      </c>
    </row>
    <row r="149" customFormat="false" ht="17.15" hidden="false" customHeight="false" outlineLevel="0" collapsed="false">
      <c r="A149" s="9" t="s">
        <v>484</v>
      </c>
      <c r="B149" s="10" t="s">
        <v>485</v>
      </c>
      <c r="C149" s="9" t="s">
        <v>46</v>
      </c>
      <c r="D149" s="9"/>
      <c r="E149" s="12" t="n">
        <f aca="false">PL!G14</f>
        <v>0.19310158084161</v>
      </c>
      <c r="F149" s="9"/>
      <c r="G149" s="9" t="s">
        <v>189</v>
      </c>
      <c r="H149" s="9" t="s">
        <v>486</v>
      </c>
      <c r="I149" s="9" t="s">
        <v>164</v>
      </c>
    </row>
    <row r="150" customFormat="false" ht="17.15" hidden="false" customHeight="false" outlineLevel="0" collapsed="false">
      <c r="A150" s="9" t="s">
        <v>487</v>
      </c>
      <c r="B150" s="10" t="s">
        <v>488</v>
      </c>
      <c r="C150" s="9" t="s">
        <v>46</v>
      </c>
      <c r="D150" s="9"/>
      <c r="E150" s="13" t="n">
        <f aca="false">PL!G28*0.9</f>
        <v>0.166841548891866</v>
      </c>
      <c r="F150" s="9"/>
      <c r="G150" s="9" t="s">
        <v>47</v>
      </c>
      <c r="H150" s="10" t="s">
        <v>489</v>
      </c>
      <c r="I150" s="9" t="s">
        <v>164</v>
      </c>
    </row>
    <row r="151" customFormat="false" ht="17.15" hidden="false" customHeight="false" outlineLevel="0" collapsed="false">
      <c r="A151" s="9" t="s">
        <v>490</v>
      </c>
      <c r="B151" s="10" t="s">
        <v>491</v>
      </c>
      <c r="C151" s="9" t="s">
        <v>46</v>
      </c>
      <c r="D151" s="9"/>
      <c r="E151" s="13" t="n">
        <f aca="false">PL!G42*0.8</f>
        <v>0.121312089001098</v>
      </c>
      <c r="F151" s="9"/>
      <c r="G151" s="9" t="s">
        <v>47</v>
      </c>
      <c r="H151" s="10" t="s">
        <v>40</v>
      </c>
      <c r="I151" s="9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9" min="9" style="0" width="5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492</v>
      </c>
    </row>
    <row r="2" customFormat="false" ht="17.15" hidden="false" customHeight="false" outlineLevel="0" collapsed="false">
      <c r="A2" s="0" t="s">
        <v>493</v>
      </c>
    </row>
    <row r="3" customFormat="false" ht="17.15" hidden="false" customHeight="false" outlineLevel="0" collapsed="false">
      <c r="A3" s="5" t="s">
        <v>22</v>
      </c>
      <c r="B3" s="14" t="s">
        <v>494</v>
      </c>
      <c r="C3" s="14" t="s">
        <v>495</v>
      </c>
      <c r="D3" s="14" t="s">
        <v>496</v>
      </c>
      <c r="E3" s="14" t="s">
        <v>497</v>
      </c>
      <c r="F3" s="14" t="s">
        <v>498</v>
      </c>
      <c r="G3" s="14" t="s">
        <v>499</v>
      </c>
      <c r="H3" s="5" t="s">
        <v>27</v>
      </c>
      <c r="I3" s="5" t="s">
        <v>500</v>
      </c>
      <c r="J3" s="5" t="s">
        <v>29</v>
      </c>
    </row>
    <row r="4" customFormat="false" ht="17.15" hidden="false" customHeight="false" outlineLevel="0" collapsed="false">
      <c r="A4" s="4" t="s">
        <v>501</v>
      </c>
      <c r="B4" s="15" t="n">
        <v>595.966</v>
      </c>
      <c r="C4" s="15" t="n">
        <v>149.151</v>
      </c>
      <c r="D4" s="15" t="n">
        <v>152.183</v>
      </c>
      <c r="E4" s="16" t="n">
        <f aca="false">q3_rev</f>
        <v>168.057</v>
      </c>
      <c r="F4" s="16" t="n">
        <f aca="false">SUM(F5:F7)</f>
        <v>205.130938056206</v>
      </c>
      <c r="G4" s="16" t="n">
        <f aca="false">SUM(C4:F4)</f>
        <v>674.521938056206</v>
      </c>
      <c r="H4" s="8" t="s">
        <v>502</v>
      </c>
      <c r="I4" s="8" t="s">
        <v>503</v>
      </c>
      <c r="J4" s="8" t="s">
        <v>504</v>
      </c>
    </row>
    <row r="5" customFormat="false" ht="17.15" hidden="false" customHeight="false" outlineLevel="0" collapsed="false">
      <c r="A5" s="4" t="s">
        <v>505</v>
      </c>
      <c r="B5" s="16" t="n">
        <f aca="false">B4*0.53</f>
        <v>315.86198</v>
      </c>
      <c r="C5" s="16" t="n">
        <f aca="false">C4*0.49</f>
        <v>73.08399</v>
      </c>
      <c r="D5" s="16" t="n">
        <f aca="false">D4*0.41</f>
        <v>62.39503</v>
      </c>
      <c r="E5" s="16" t="n">
        <f aca="false">D5*(1+q3_mob)*q3_rev/(D5*(1+q3_mob)+D6*(1+q3_sep)+D7*(1+q3_pic))</f>
        <v>65.2188416276347</v>
      </c>
      <c r="F5" s="16" t="n">
        <f aca="false">E5*(1+q4_mob)</f>
        <v>61.9578995462529</v>
      </c>
      <c r="G5" s="16" t="n">
        <f aca="false">SUM(C5:F5)</f>
        <v>262.655761173888</v>
      </c>
      <c r="H5" s="8" t="s">
        <v>506</v>
      </c>
      <c r="I5" s="8" t="s">
        <v>503</v>
      </c>
      <c r="J5" s="4" t="s">
        <v>507</v>
      </c>
    </row>
    <row r="6" customFormat="false" ht="17.15" hidden="false" customHeight="false" outlineLevel="0" collapsed="false">
      <c r="A6" s="4" t="s">
        <v>508</v>
      </c>
      <c r="B6" s="16" t="n">
        <f aca="false">B4*0.415</f>
        <v>247.32589</v>
      </c>
      <c r="C6" s="16" t="n">
        <f aca="false">C4*0.46</f>
        <v>68.60946</v>
      </c>
      <c r="D6" s="16" t="n">
        <f aca="false">D4*0.53</f>
        <v>80.65699</v>
      </c>
      <c r="E6" s="16" t="n">
        <f aca="false">D6*(1+q3_sep)*q3_rev/(D5*(1+q3_mob)+D6*(1+q3_sep)+D7*(1+q3_pic))</f>
        <v>92.9987555620609</v>
      </c>
      <c r="F6" s="16" t="n">
        <f aca="false">(E6-E8)*(1+q4_sepx)+F8</f>
        <v>133.628817783958</v>
      </c>
      <c r="G6" s="16" t="n">
        <f aca="false">SUM(C6:F6)</f>
        <v>375.894023346019</v>
      </c>
      <c r="H6" s="8" t="s">
        <v>52</v>
      </c>
      <c r="I6" s="8" t="s">
        <v>503</v>
      </c>
      <c r="J6" s="4" t="s">
        <v>509</v>
      </c>
    </row>
    <row r="7" customFormat="false" ht="17.15" hidden="false" customHeight="false" outlineLevel="0" collapsed="false">
      <c r="A7" s="4" t="s">
        <v>510</v>
      </c>
      <c r="B7" s="16" t="n">
        <f aca="false">B4*0.055</f>
        <v>32.77813</v>
      </c>
      <c r="C7" s="16" t="n">
        <f aca="false">C4*0.05</f>
        <v>7.45755</v>
      </c>
      <c r="D7" s="16" t="n">
        <f aca="false">D4*0.06</f>
        <v>9.13098</v>
      </c>
      <c r="E7" s="16" t="n">
        <f aca="false">D7*(1+q3_pic)*q3_rev/(D5*(1+q3_mob)+D6*(1+q3_sep)+D7*(1+q3_pic))</f>
        <v>9.83940281030445</v>
      </c>
      <c r="F7" s="16" t="n">
        <f aca="false">E7*(1+q4_pic)</f>
        <v>9.54422072599532</v>
      </c>
      <c r="G7" s="16" t="n">
        <f aca="false">SUM(C7:F7)</f>
        <v>35.9721535362998</v>
      </c>
      <c r="H7" s="8" t="s">
        <v>52</v>
      </c>
      <c r="I7" s="8" t="s">
        <v>503</v>
      </c>
      <c r="J7" s="4" t="s">
        <v>511</v>
      </c>
    </row>
    <row r="8" customFormat="false" ht="17.15" hidden="false" customHeight="false" outlineLevel="0" collapsed="false">
      <c r="A8" s="4" t="s">
        <v>512</v>
      </c>
      <c r="B8" s="15" t="n">
        <v>0</v>
      </c>
      <c r="C8" s="15" t="n">
        <v>0</v>
      </c>
      <c r="D8" s="15" t="n">
        <v>0</v>
      </c>
      <c r="E8" s="16" t="n">
        <f aca="false">asic13*fx26</f>
        <v>9.6</v>
      </c>
      <c r="F8" s="16" t="n">
        <f aca="false">(dc26-asic13)*fx26</f>
        <v>54.4</v>
      </c>
      <c r="G8" s="16" t="n">
        <f aca="false">SUM(C8:F8)</f>
        <v>64</v>
      </c>
      <c r="H8" s="8" t="s">
        <v>513</v>
      </c>
      <c r="I8" s="8" t="s">
        <v>514</v>
      </c>
      <c r="J8" s="8" t="s">
        <v>515</v>
      </c>
    </row>
    <row r="9" customFormat="false" ht="17.15" hidden="false" customHeight="false" outlineLevel="0" collapsed="false">
      <c r="A9" s="4" t="s">
        <v>516</v>
      </c>
      <c r="B9" s="16" t="n">
        <f aca="false">B6-B8</f>
        <v>247.32589</v>
      </c>
      <c r="C9" s="16" t="n">
        <f aca="false">C6-C8</f>
        <v>68.60946</v>
      </c>
      <c r="D9" s="16" t="n">
        <f aca="false">D6-D8</f>
        <v>80.65699</v>
      </c>
      <c r="E9" s="16" t="n">
        <f aca="false">E6-E8</f>
        <v>83.3987555620609</v>
      </c>
      <c r="F9" s="16" t="n">
        <f aca="false">F6-F8</f>
        <v>79.2288177839579</v>
      </c>
      <c r="G9" s="16" t="n">
        <f aca="false">SUM(C9:F9)</f>
        <v>311.894023346019</v>
      </c>
      <c r="H9" s="8" t="s">
        <v>189</v>
      </c>
      <c r="I9" s="8" t="s">
        <v>164</v>
      </c>
      <c r="J9" s="8" t="s">
        <v>164</v>
      </c>
    </row>
    <row r="10" customFormat="false" ht="17.15" hidden="false" customHeight="false" outlineLevel="0" collapsed="false">
      <c r="A10" s="4" t="s">
        <v>517</v>
      </c>
      <c r="B10" s="15" t="n">
        <v>283.08</v>
      </c>
      <c r="C10" s="15" t="n">
        <v>69.055</v>
      </c>
      <c r="D10" s="15" t="n">
        <v>70.308</v>
      </c>
      <c r="E10" s="16" t="n">
        <f aca="false">E4*q3_gm</f>
        <v>77.30622</v>
      </c>
      <c r="F10" s="16" t="n">
        <f aca="false">q4_gmx*(F5+F9+F7)+F8*(m_core*(1-hf26)+m_hbm*hf26)</f>
        <v>90.5086482165899</v>
      </c>
      <c r="G10" s="16" t="n">
        <f aca="false">SUM(C10:F10)</f>
        <v>307.17786821659</v>
      </c>
      <c r="H10" s="8" t="s">
        <v>518</v>
      </c>
      <c r="I10" s="8" t="s">
        <v>503</v>
      </c>
      <c r="J10" s="8" t="s">
        <v>519</v>
      </c>
    </row>
    <row r="11" customFormat="false" ht="17.15" hidden="false" customHeight="false" outlineLevel="0" collapsed="false">
      <c r="A11" s="4" t="s">
        <v>520</v>
      </c>
      <c r="B11" s="17" t="n">
        <f aca="false">B10/B4</f>
        <v>0.474993539899927</v>
      </c>
      <c r="C11" s="17" t="n">
        <f aca="false">C10/C4</f>
        <v>0.462987174071914</v>
      </c>
      <c r="D11" s="17" t="n">
        <f aca="false">D10/D4</f>
        <v>0.461996412214242</v>
      </c>
      <c r="E11" s="17" t="n">
        <f aca="false">E10/E4</f>
        <v>0.46</v>
      </c>
      <c r="F11" s="17" t="n">
        <f aca="false">F10/F4</f>
        <v>0.441223781620842</v>
      </c>
      <c r="G11" s="17" t="n">
        <f aca="false">G10/G4</f>
        <v>0.455400856348417</v>
      </c>
      <c r="H11" s="8" t="s">
        <v>189</v>
      </c>
      <c r="I11" s="8" t="s">
        <v>164</v>
      </c>
      <c r="J11" s="4" t="s">
        <v>521</v>
      </c>
    </row>
    <row r="12" customFormat="false" ht="17.15" hidden="false" customHeight="false" outlineLevel="0" collapsed="false">
      <c r="A12" s="4" t="s">
        <v>522</v>
      </c>
      <c r="B12" s="15" t="n">
        <v>179.61</v>
      </c>
      <c r="C12" s="15" t="n">
        <v>46.165</v>
      </c>
      <c r="D12" s="15" t="n">
        <v>47.44</v>
      </c>
      <c r="E12" s="16" t="n">
        <f aca="false">q3_opx</f>
        <v>48.5</v>
      </c>
      <c r="F12" s="16" t="n">
        <f aca="false">q4_opx</f>
        <v>50</v>
      </c>
      <c r="G12" s="16" t="n">
        <f aca="false">SUM(C12:F12)</f>
        <v>192.105</v>
      </c>
      <c r="H12" s="8" t="s">
        <v>523</v>
      </c>
      <c r="I12" s="8" t="s">
        <v>503</v>
      </c>
      <c r="J12" s="8" t="s">
        <v>164</v>
      </c>
    </row>
    <row r="13" customFormat="false" ht="17.15" hidden="false" customHeight="false" outlineLevel="0" collapsed="false">
      <c r="A13" s="4" t="s">
        <v>524</v>
      </c>
      <c r="B13" s="16" t="n">
        <f aca="false">B10-B12</f>
        <v>103.47</v>
      </c>
      <c r="C13" s="16" t="n">
        <f aca="false">C10-C12</f>
        <v>22.89</v>
      </c>
      <c r="D13" s="16" t="n">
        <f aca="false">D10-D12</f>
        <v>22.868</v>
      </c>
      <c r="E13" s="16" t="n">
        <f aca="false">E10-E12</f>
        <v>28.80622</v>
      </c>
      <c r="F13" s="16" t="n">
        <f aca="false">F10-F12</f>
        <v>40.5086482165899</v>
      </c>
      <c r="G13" s="16" t="n">
        <f aca="false">SUM(C13:F13)</f>
        <v>115.07286821659</v>
      </c>
      <c r="H13" s="8" t="s">
        <v>189</v>
      </c>
      <c r="I13" s="8" t="s">
        <v>503</v>
      </c>
      <c r="J13" s="4" t="s">
        <v>525</v>
      </c>
    </row>
    <row r="14" customFormat="false" ht="17.15" hidden="false" customHeight="false" outlineLevel="0" collapsed="false">
      <c r="A14" s="4" t="s">
        <v>526</v>
      </c>
      <c r="B14" s="15" t="n">
        <v>21.418</v>
      </c>
      <c r="C14" s="15" t="n">
        <v>4.129</v>
      </c>
      <c r="D14" s="15" t="n">
        <v>5.094</v>
      </c>
      <c r="E14" s="16" t="n">
        <f aca="false">q_nonop</f>
        <v>4.8</v>
      </c>
      <c r="F14" s="16" t="n">
        <f aca="false">q_nonop</f>
        <v>4.8</v>
      </c>
      <c r="G14" s="16" t="n">
        <f aca="false">SUM(C14:F14)</f>
        <v>18.823</v>
      </c>
      <c r="H14" s="8" t="s">
        <v>527</v>
      </c>
      <c r="I14" s="8" t="s">
        <v>503</v>
      </c>
      <c r="J14" s="8" t="s">
        <v>164</v>
      </c>
    </row>
    <row r="15" customFormat="false" ht="15" hidden="false" customHeight="false" outlineLevel="0" collapsed="false">
      <c r="A15" s="4" t="s">
        <v>528</v>
      </c>
      <c r="B15" s="16" t="n">
        <f aca="false">B13+B14</f>
        <v>124.888</v>
      </c>
      <c r="C15" s="16" t="n">
        <f aca="false">C13+C14</f>
        <v>27.019</v>
      </c>
      <c r="D15" s="16" t="n">
        <f aca="false">D13+D14</f>
        <v>27.962</v>
      </c>
      <c r="E15" s="16" t="n">
        <f aca="false">E13+E14</f>
        <v>33.60622</v>
      </c>
      <c r="F15" s="16" t="n">
        <f aca="false">F13+F14</f>
        <v>45.3086482165899</v>
      </c>
      <c r="G15" s="16" t="n">
        <f aca="false">SUM(C15:F15)</f>
        <v>133.89586821659</v>
      </c>
      <c r="H15" s="8" t="s">
        <v>189</v>
      </c>
      <c r="I15" s="8" t="s">
        <v>164</v>
      </c>
      <c r="J15" s="8" t="s">
        <v>164</v>
      </c>
    </row>
    <row r="16" customFormat="false" ht="17.15" hidden="false" customHeight="false" outlineLevel="0" collapsed="false">
      <c r="A16" s="4" t="s">
        <v>529</v>
      </c>
      <c r="B16" s="15" t="n">
        <v>18.77</v>
      </c>
      <c r="C16" s="15" t="n">
        <v>2.643</v>
      </c>
      <c r="D16" s="15" t="n">
        <v>3.357</v>
      </c>
      <c r="E16" s="16" t="n">
        <f aca="false">E15*q_tax</f>
        <v>4.3688086</v>
      </c>
      <c r="F16" s="16" t="n">
        <f aca="false">F15*q_tax</f>
        <v>5.89012426815668</v>
      </c>
      <c r="G16" s="16" t="n">
        <f aca="false">SUM(C16:F16)</f>
        <v>16.2589328681567</v>
      </c>
      <c r="H16" s="8" t="s">
        <v>527</v>
      </c>
      <c r="I16" s="8" t="s">
        <v>503</v>
      </c>
      <c r="J16" s="8" t="s">
        <v>164</v>
      </c>
    </row>
    <row r="17" customFormat="false" ht="17.15" hidden="false" customHeight="false" outlineLevel="0" collapsed="false">
      <c r="A17" s="4" t="s">
        <v>530</v>
      </c>
      <c r="B17" s="15" t="n">
        <v>0.798</v>
      </c>
      <c r="C17" s="15" t="n">
        <v>0.222</v>
      </c>
      <c r="D17" s="15" t="n">
        <v>0.27</v>
      </c>
      <c r="E17" s="16" t="n">
        <f aca="false">q_nci</f>
        <v>0.25</v>
      </c>
      <c r="F17" s="16" t="n">
        <f aca="false">q_nci</f>
        <v>0.25</v>
      </c>
      <c r="G17" s="16" t="n">
        <f aca="false">SUM(C17:F17)</f>
        <v>0.992</v>
      </c>
      <c r="H17" s="8" t="s">
        <v>531</v>
      </c>
      <c r="I17" s="8" t="s">
        <v>503</v>
      </c>
      <c r="J17" s="8" t="s">
        <v>164</v>
      </c>
    </row>
    <row r="18" customFormat="false" ht="17.15" hidden="false" customHeight="false" outlineLevel="0" collapsed="false">
      <c r="A18" s="4" t="s">
        <v>532</v>
      </c>
      <c r="B18" s="16" t="n">
        <f aca="false">B15-B16-B17</f>
        <v>105.32</v>
      </c>
      <c r="C18" s="16" t="n">
        <f aca="false">C15-C16-C17</f>
        <v>24.154</v>
      </c>
      <c r="D18" s="16" t="n">
        <f aca="false">D15-D16-D17</f>
        <v>24.335</v>
      </c>
      <c r="E18" s="16" t="n">
        <f aca="false">E15-E16-E17</f>
        <v>28.9874114</v>
      </c>
      <c r="F18" s="16" t="n">
        <f aca="false">F15-F16-F17</f>
        <v>39.1685239484332</v>
      </c>
      <c r="G18" s="16" t="n">
        <f aca="false">SUM(C18:F18)</f>
        <v>116.644935348433</v>
      </c>
      <c r="H18" s="8" t="s">
        <v>189</v>
      </c>
      <c r="I18" s="8" t="s">
        <v>503</v>
      </c>
      <c r="J18" s="4" t="s">
        <v>533</v>
      </c>
    </row>
    <row r="19" customFormat="false" ht="17.15" hidden="false" customHeight="false" outlineLevel="0" collapsed="false">
      <c r="A19" s="4" t="s">
        <v>534</v>
      </c>
      <c r="B19" s="15" t="n">
        <v>105.319</v>
      </c>
      <c r="C19" s="15" t="n">
        <v>24.154</v>
      </c>
      <c r="D19" s="15" t="n">
        <v>24.335</v>
      </c>
      <c r="H19" s="8" t="s">
        <v>293</v>
      </c>
      <c r="I19" s="8" t="s">
        <v>503</v>
      </c>
      <c r="J19" s="8" t="s">
        <v>164</v>
      </c>
    </row>
    <row r="20" customFormat="false" ht="17.15" hidden="false" customHeight="false" outlineLevel="0" collapsed="false">
      <c r="A20" s="4" t="s">
        <v>535</v>
      </c>
      <c r="B20" s="18" t="n">
        <f aca="false">105.319/66.16</f>
        <v>1.59188331318017</v>
      </c>
      <c r="C20" s="18" t="n">
        <f aca="false">24.154/15.17</f>
        <v>1.59222148978247</v>
      </c>
      <c r="D20" s="18" t="n">
        <f aca="false">24.335/15.28</f>
        <v>1.59260471204189</v>
      </c>
      <c r="E20" s="18" t="n">
        <f aca="false">q_sh</f>
        <v>1.59260471204189</v>
      </c>
      <c r="F20" s="18" t="n">
        <f aca="false">q_sh</f>
        <v>1.59260471204189</v>
      </c>
      <c r="G20" s="18" t="n">
        <f aca="false">AVERAGE(C20:F20)</f>
        <v>1.59250890647703</v>
      </c>
      <c r="H20" s="8" t="s">
        <v>189</v>
      </c>
      <c r="I20" s="4" t="s">
        <v>536</v>
      </c>
      <c r="J20" s="8" t="s">
        <v>164</v>
      </c>
    </row>
    <row r="21" customFormat="false" ht="17.15" hidden="false" customHeight="false" outlineLevel="0" collapsed="false">
      <c r="A21" s="0" t="s">
        <v>537</v>
      </c>
      <c r="B21" s="16" t="n">
        <f aca="false">B18/B20</f>
        <v>66.1606281867469</v>
      </c>
      <c r="C21" s="16" t="n">
        <f aca="false">C18/C20</f>
        <v>15.17</v>
      </c>
      <c r="D21" s="16" t="n">
        <f aca="false">D18/D20</f>
        <v>15.28</v>
      </c>
      <c r="E21" s="16" t="n">
        <f aca="false">E18/E20</f>
        <v>18.2012593462914</v>
      </c>
      <c r="F21" s="16" t="n">
        <f aca="false">F18/F20</f>
        <v>24.5940022984203</v>
      </c>
      <c r="G21" s="16" t="n">
        <f aca="false">G18/G20</f>
        <v>73.2460175726594</v>
      </c>
      <c r="H21" s="8" t="s">
        <v>189</v>
      </c>
      <c r="I21" s="4" t="s">
        <v>538</v>
      </c>
      <c r="J21" s="8" t="s">
        <v>164</v>
      </c>
    </row>
    <row r="22" customFormat="false" ht="17.15" hidden="false" customHeight="false" outlineLevel="0" collapsed="false">
      <c r="A22" s="4" t="s">
        <v>539</v>
      </c>
      <c r="B22" s="15" t="n">
        <v>66.16</v>
      </c>
      <c r="C22" s="15" t="n">
        <v>15.17</v>
      </c>
      <c r="D22" s="15" t="n">
        <v>15.28</v>
      </c>
      <c r="H22" s="8" t="s">
        <v>293</v>
      </c>
      <c r="I22" s="8" t="s">
        <v>503</v>
      </c>
      <c r="J22" s="8" t="s">
        <v>164</v>
      </c>
    </row>
    <row r="24" customFormat="false" ht="17.15" hidden="false" customHeight="false" outlineLevel="0" collapsed="false">
      <c r="A24" s="6" t="s">
        <v>540</v>
      </c>
    </row>
    <row r="25" customFormat="false" ht="17.15" hidden="false" customHeight="false" outlineLevel="0" collapsed="false">
      <c r="A25" s="0" t="s">
        <v>541</v>
      </c>
      <c r="B25" s="19" t="n">
        <f aca="false">G4/B4-1</f>
        <v>0.131812784716252</v>
      </c>
    </row>
    <row r="26" customFormat="false" ht="17.15" hidden="false" customHeight="false" outlineLevel="0" collapsed="false">
      <c r="A26" s="0" t="s">
        <v>542</v>
      </c>
      <c r="B26" s="19" t="n">
        <f aca="false">(C4/fx_q1+D4/fx_q2+(E4+F4)/fx26)/co_usd25-1</f>
        <v>0.113011599738544</v>
      </c>
    </row>
    <row r="27" customFormat="false" ht="17.15" hidden="false" customHeight="false" outlineLevel="0" collapsed="false">
      <c r="A27" s="0" t="s">
        <v>543</v>
      </c>
      <c r="B27" s="19" t="n">
        <f aca="false">G5/B5-1</f>
        <v>-0.168447683466406</v>
      </c>
    </row>
    <row r="28" customFormat="false" ht="17.15" hidden="false" customHeight="false" outlineLevel="0" collapsed="false">
      <c r="A28" s="0" t="s">
        <v>544</v>
      </c>
      <c r="B28" s="19" t="n">
        <f aca="false">G9/B9-1</f>
        <v>0.26106499948719</v>
      </c>
    </row>
    <row r="29" customFormat="false" ht="17.15" hidden="false" customHeight="false" outlineLevel="0" collapsed="false">
      <c r="A29" s="0" t="s">
        <v>545</v>
      </c>
      <c r="B29" s="19" t="n">
        <f aca="false">E4/159.8-1</f>
        <v>0.0516708385481852</v>
      </c>
    </row>
    <row r="30" customFormat="false" ht="17.15" hidden="false" customHeight="false" outlineLevel="0" collapsed="false">
      <c r="A30" s="0" t="s">
        <v>546</v>
      </c>
      <c r="B30" s="19" t="n">
        <f aca="false">F4/E4-1</f>
        <v>0.220603355148587</v>
      </c>
    </row>
    <row r="31" customFormat="false" ht="17.15" hidden="false" customHeight="false" outlineLevel="0" collapsed="false">
      <c r="A31" s="4" t="s">
        <v>547</v>
      </c>
      <c r="B31" s="20" t="n">
        <f aca="false">B13-103.47</f>
        <v>0</v>
      </c>
    </row>
    <row r="32" customFormat="false" ht="17.15" hidden="false" customHeight="false" outlineLevel="0" collapsed="false">
      <c r="A32" s="4" t="s">
        <v>548</v>
      </c>
      <c r="B32" s="20" t="n">
        <f aca="false">C18+D18-48.489</f>
        <v>0</v>
      </c>
    </row>
    <row r="33" customFormat="false" ht="17.15" hidden="false" customHeight="false" outlineLevel="0" collapsed="false">
      <c r="A33" s="4" t="s">
        <v>549</v>
      </c>
      <c r="B33" s="20" t="n">
        <f aca="false">B18-B19</f>
        <v>0.000999999999976353</v>
      </c>
    </row>
    <row r="35" customFormat="false" ht="15" hidden="false" customHeight="false" outlineLevel="0" collapsed="false">
      <c r="A35" s="1" t="s">
        <v>550</v>
      </c>
      <c r="B35" s="20" t="n">
        <f aca="false">ROUND(B5+B6+B7-B4,3)</f>
        <v>0</v>
      </c>
      <c r="C35" s="20" t="n">
        <f aca="false">ROUND(C5+C6+C7-C4,3)</f>
        <v>0</v>
      </c>
      <c r="D35" s="20" t="n">
        <f aca="false">ROUND(D5+D6+D7-D4,3)</f>
        <v>0</v>
      </c>
      <c r="E35" s="20" t="n">
        <f aca="false">ROUND(E5+E6+E7-E4,3)</f>
        <v>0</v>
      </c>
      <c r="F35" s="20" t="n">
        <f aca="false">ROUND(F5+F6+F7-F4,3)</f>
        <v>0</v>
      </c>
      <c r="G35" s="20" t="n">
        <f aca="false">ROUND(G5+G6+G7-G4,3)</f>
        <v>0</v>
      </c>
    </row>
    <row r="36" customFormat="false" ht="17.15" hidden="false" customHeight="false" outlineLevel="0" collapsed="false">
      <c r="A36" s="4" t="s">
        <v>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552</v>
      </c>
    </row>
    <row r="3" customFormat="false" ht="15" hidden="false" customHeight="false" outlineLevel="0" collapsed="false">
      <c r="A3" s="5" t="s">
        <v>22</v>
      </c>
      <c r="B3" s="5" t="s">
        <v>23</v>
      </c>
      <c r="C3" s="14" t="s">
        <v>553</v>
      </c>
      <c r="D3" s="14" t="s">
        <v>554</v>
      </c>
      <c r="E3" s="14" t="s">
        <v>555</v>
      </c>
      <c r="F3" s="14" t="s">
        <v>556</v>
      </c>
      <c r="G3" s="5" t="s">
        <v>557</v>
      </c>
    </row>
    <row r="4" customFormat="false" ht="17.15" hidden="false" customHeight="false" outlineLevel="0" collapsed="false">
      <c r="A4" s="6" t="s">
        <v>558</v>
      </c>
    </row>
    <row r="5" customFormat="false" ht="17.15" hidden="false" customHeight="false" outlineLevel="0" collapsed="false">
      <c r="A5" s="0" t="s">
        <v>559</v>
      </c>
      <c r="B5" s="4" t="s">
        <v>33</v>
      </c>
      <c r="C5" s="21" t="n">
        <f aca="false">PL!D63</f>
        <v>3.85</v>
      </c>
      <c r="D5" s="21" t="n">
        <f aca="false">PL!E63</f>
        <v>5.5</v>
      </c>
      <c r="E5" s="21" t="n">
        <f aca="false">PL!F63</f>
        <v>7</v>
      </c>
      <c r="F5" s="21" t="n">
        <f aca="false">PL!G63</f>
        <v>8.05</v>
      </c>
      <c r="G5" s="8" t="s">
        <v>560</v>
      </c>
    </row>
    <row r="6" customFormat="false" ht="17.15" hidden="false" customHeight="false" outlineLevel="0" collapsed="false">
      <c r="A6" s="4" t="s">
        <v>561</v>
      </c>
      <c r="B6" s="0" t="s">
        <v>46</v>
      </c>
      <c r="C6" s="19" t="n">
        <f aca="false">PL!D65</f>
        <v>0.05</v>
      </c>
      <c r="D6" s="19" t="n">
        <f aca="false">PL!E65</f>
        <v>0.15</v>
      </c>
      <c r="E6" s="19" t="n">
        <f aca="false">PL!F65</f>
        <v>0.18</v>
      </c>
      <c r="F6" s="19" t="n">
        <f aca="false">PL!G65</f>
        <v>0.18</v>
      </c>
      <c r="G6" s="8" t="s">
        <v>562</v>
      </c>
    </row>
    <row r="7" customFormat="false" ht="17.15" hidden="false" customHeight="false" outlineLevel="0" collapsed="false">
      <c r="A7" s="4" t="s">
        <v>563</v>
      </c>
      <c r="B7" s="4" t="s">
        <v>33</v>
      </c>
      <c r="C7" s="20" t="n">
        <f aca="false">PL!D67</f>
        <v>0.1925</v>
      </c>
      <c r="D7" s="20" t="n">
        <f aca="false">PL!E67</f>
        <v>0.825</v>
      </c>
      <c r="E7" s="20" t="n">
        <f aca="false">PL!F67</f>
        <v>1.26</v>
      </c>
      <c r="F7" s="20" t="n">
        <f aca="false">PL!G67</f>
        <v>1.449</v>
      </c>
      <c r="G7" s="4" t="s">
        <v>564</v>
      </c>
    </row>
    <row r="8" customFormat="false" ht="17.15" hidden="false" customHeight="false" outlineLevel="0" collapsed="false">
      <c r="A8" s="4" t="s">
        <v>565</v>
      </c>
      <c r="B8" s="0" t="s">
        <v>86</v>
      </c>
      <c r="C8" s="21" t="n">
        <f aca="false">PL!D74</f>
        <v>2.8032</v>
      </c>
      <c r="D8" s="21" t="n">
        <f aca="false">PL!E74</f>
        <v>6.57</v>
      </c>
      <c r="E8" s="21" t="n">
        <f aca="false">PL!F74</f>
        <v>8.325504</v>
      </c>
      <c r="F8" s="21" t="n">
        <f aca="false">PL!G74</f>
        <v>7.9092288</v>
      </c>
      <c r="G8" s="4" t="s">
        <v>566</v>
      </c>
    </row>
    <row r="9" customFormat="false" ht="17.15" hidden="false" customHeight="false" outlineLevel="0" collapsed="false">
      <c r="A9" s="4" t="s">
        <v>567</v>
      </c>
      <c r="B9" s="0" t="s">
        <v>86</v>
      </c>
      <c r="C9" s="21" t="n">
        <f aca="false">PL!D76*PL!$D$79</f>
        <v>10.3896103896104</v>
      </c>
      <c r="D9" s="21" t="n">
        <f aca="false">PL!E76*PL!$D$79</f>
        <v>12.8148887072737</v>
      </c>
      <c r="E9" s="21" t="n">
        <f aca="false">PL!F76*PL!$D$79</f>
        <v>13.9451812069475</v>
      </c>
      <c r="F9" s="21" t="n">
        <f aca="false">PL!G76*PL!$D$79</f>
        <v>13.677159751935</v>
      </c>
      <c r="G9" s="4" t="s">
        <v>568</v>
      </c>
    </row>
    <row r="10" customFormat="false" ht="17.15" hidden="false" customHeight="false" outlineLevel="0" collapsed="false">
      <c r="A10" s="4" t="s">
        <v>569</v>
      </c>
      <c r="B10" s="0" t="s">
        <v>279</v>
      </c>
      <c r="C10" s="21" t="n">
        <f aca="false">PL!D80</f>
        <v>2</v>
      </c>
      <c r="D10" s="21" t="n">
        <f aca="false">PL!E80</f>
        <v>10.5722831835008</v>
      </c>
      <c r="E10" s="21" t="n">
        <f aca="false">PL!F80</f>
        <v>17.5709283207538</v>
      </c>
      <c r="F10" s="21" t="n">
        <f aca="false">PL!G80</f>
        <v>19.8182044805538</v>
      </c>
      <c r="G10" s="4" t="s">
        <v>570</v>
      </c>
    </row>
    <row r="12" customFormat="false" ht="17.15" hidden="false" customHeight="false" outlineLevel="0" collapsed="false">
      <c r="A12" s="6" t="s">
        <v>571</v>
      </c>
    </row>
    <row r="13" customFormat="false" ht="17.15" hidden="false" customHeight="false" outlineLevel="0" collapsed="false">
      <c r="A13" s="0" t="s">
        <v>572</v>
      </c>
      <c r="B13" s="0" t="s">
        <v>46</v>
      </c>
      <c r="C13" s="19" t="n">
        <f aca="false">av_tpu_26+mv_tpu_26+PL!D65</f>
        <v>0.95</v>
      </c>
      <c r="D13" s="19" t="n">
        <f aca="false">av_tpu_27+mv_tpu_27+PL!E65</f>
        <v>0.95</v>
      </c>
      <c r="E13" s="19" t="n">
        <f aca="false">av_tpu_28+mv_tpu_28+PL!F65</f>
        <v>0.98</v>
      </c>
      <c r="F13" s="19" t="n">
        <f aca="false">av_tpu_28+mv_tpu_28+PL!G65</f>
        <v>0.98</v>
      </c>
      <c r="G13" s="4" t="s">
        <v>573</v>
      </c>
    </row>
    <row r="14" customFormat="false" ht="17.15" hidden="false" customHeight="false" outlineLevel="0" collapsed="false">
      <c r="A14" s="0" t="s">
        <v>574</v>
      </c>
      <c r="B14" s="0" t="s">
        <v>46</v>
      </c>
      <c r="C14" s="19" t="n">
        <f aca="false">av_oth_26+mv_oth_26+PL!D66</f>
        <v>0.4</v>
      </c>
      <c r="D14" s="19" t="n">
        <f aca="false">av_oth_27+mv_oth_27+PL!E66</f>
        <v>0.61</v>
      </c>
      <c r="E14" s="19" t="n">
        <f aca="false">av_oth_28+mv_oth_28+PL!F66</f>
        <v>0.7</v>
      </c>
      <c r="F14" s="19" t="n">
        <f aca="false">av_oth_28+mv_oth_28+PL!G66</f>
        <v>0.7</v>
      </c>
      <c r="G14" s="4" t="s">
        <v>573</v>
      </c>
    </row>
    <row r="15" customFormat="false" ht="17.15" hidden="false" customHeight="false" outlineLevel="0" collapsed="false">
      <c r="A15" s="4" t="s">
        <v>575</v>
      </c>
      <c r="B15" s="0" t="s">
        <v>46</v>
      </c>
      <c r="C15" s="19" t="n">
        <f aca="false">1-av_tpu_26-mv_tpu_26</f>
        <v>0.1</v>
      </c>
      <c r="D15" s="19" t="n">
        <f aca="false">1-av_tpu_27-mv_tpu_27</f>
        <v>0.2</v>
      </c>
      <c r="E15" s="19" t="n">
        <f aca="false">1-av_tpu_28-mv_tpu_28</f>
        <v>0.2</v>
      </c>
      <c r="F15" s="19" t="n">
        <f aca="false">1-av_tpu_28-mv_tpu_28</f>
        <v>0.2</v>
      </c>
      <c r="G15" s="8" t="s">
        <v>576</v>
      </c>
    </row>
    <row r="17" customFormat="false" ht="17.15" hidden="false" customHeight="false" outlineLevel="0" collapsed="false">
      <c r="A17" s="6" t="s">
        <v>577</v>
      </c>
    </row>
    <row r="18" customFormat="false" ht="17.15" hidden="false" customHeight="false" outlineLevel="0" collapsed="false">
      <c r="A18" s="0" t="s">
        <v>578</v>
      </c>
      <c r="C18" s="20" t="n">
        <f aca="false">PL!D79</f>
        <v>1.07309401333727</v>
      </c>
      <c r="G18" s="4" t="s">
        <v>579</v>
      </c>
    </row>
    <row r="19" customFormat="false" ht="17.15" hidden="false" customHeight="false" outlineLevel="0" collapsed="false">
      <c r="A19" s="4" t="s">
        <v>580</v>
      </c>
      <c r="C19" s="17" t="n">
        <f aca="false">PL!D98</f>
        <v>0.462340704042911</v>
      </c>
      <c r="G19" s="4" t="s">
        <v>581</v>
      </c>
    </row>
    <row r="20" customFormat="false" ht="17.15" hidden="false" customHeight="false" outlineLevel="0" collapsed="false">
      <c r="A20" s="0" t="s">
        <v>582</v>
      </c>
      <c r="C20" s="21" t="n">
        <f aca="false">dc26</f>
        <v>2</v>
      </c>
      <c r="G20" s="8" t="s">
        <v>279</v>
      </c>
    </row>
    <row r="22" customFormat="false" ht="17.15" hidden="false" customHeight="false" outlineLevel="0" collapsed="false">
      <c r="A22" s="1" t="s">
        <v>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584</v>
      </c>
    </row>
    <row r="2" customFormat="false" ht="17.15" hidden="false" customHeight="false" outlineLevel="0" collapsed="false">
      <c r="A2" s="4" t="s">
        <v>585</v>
      </c>
    </row>
    <row r="3" customFormat="false" ht="17.15" hidden="false" customHeight="false" outlineLevel="0" collapsed="false">
      <c r="A3" s="5" t="s">
        <v>586</v>
      </c>
      <c r="B3" s="5" t="s">
        <v>23</v>
      </c>
      <c r="C3" s="14" t="s">
        <v>494</v>
      </c>
      <c r="D3" s="14" t="s">
        <v>587</v>
      </c>
      <c r="E3" s="14" t="s">
        <v>588</v>
      </c>
      <c r="F3" s="14" t="s">
        <v>589</v>
      </c>
      <c r="G3" s="14" t="s">
        <v>590</v>
      </c>
      <c r="H3" s="14" t="s">
        <v>591</v>
      </c>
      <c r="I3" s="14" t="s">
        <v>592</v>
      </c>
      <c r="J3" s="14" t="s">
        <v>593</v>
      </c>
      <c r="K3" s="5" t="s">
        <v>557</v>
      </c>
    </row>
    <row r="4" customFormat="false" ht="17.15" hidden="false" customHeight="false" outlineLevel="0" collapsed="false">
      <c r="A4" s="1" t="s">
        <v>594</v>
      </c>
    </row>
    <row r="5" customFormat="false" ht="15" hidden="false" customHeight="false" outlineLevel="0" collapsed="false">
      <c r="A5" s="4" t="s">
        <v>501</v>
      </c>
      <c r="B5" s="0" t="s">
        <v>301</v>
      </c>
      <c r="C5" s="22" t="n">
        <f aca="false">C92</f>
        <v>595.966</v>
      </c>
      <c r="D5" s="22" t="n">
        <f aca="false">D92</f>
        <v>674.521938056206</v>
      </c>
      <c r="E5" s="22" t="n">
        <f aca="false">E92</f>
        <v>989.797082137512</v>
      </c>
      <c r="F5" s="22" t="n">
        <f aca="false">F92</f>
        <v>1251.47245072941</v>
      </c>
      <c r="G5" s="22" t="n">
        <f aca="false">G92</f>
        <v>1363.44445641837</v>
      </c>
      <c r="H5" s="23" t="n">
        <f aca="false">H92</f>
        <v>1472.04027119696</v>
      </c>
      <c r="I5" s="23" t="n">
        <f aca="false">I92</f>
        <v>1574.8241140449</v>
      </c>
      <c r="J5" s="23" t="n">
        <f aca="false">J92</f>
        <v>1669.3135608876</v>
      </c>
    </row>
    <row r="6" customFormat="false" ht="15" hidden="false" customHeight="false" outlineLevel="0" collapsed="false">
      <c r="A6" s="4" t="s">
        <v>595</v>
      </c>
      <c r="B6" s="0" t="s">
        <v>46</v>
      </c>
      <c r="D6" s="19" t="n">
        <f aca="false">D93</f>
        <v>0.131812784716252</v>
      </c>
      <c r="E6" s="19" t="n">
        <f aca="false">E93</f>
        <v>0.467405322634643</v>
      </c>
      <c r="F6" s="19" t="n">
        <f aca="false">F93</f>
        <v>0.264372741963227</v>
      </c>
      <c r="G6" s="19" t="n">
        <f aca="false">G93</f>
        <v>0.0894722098146863</v>
      </c>
      <c r="H6" s="24" t="n">
        <f aca="false">H93</f>
        <v>0.0796481398764575</v>
      </c>
      <c r="I6" s="24" t="n">
        <f aca="false">I93</f>
        <v>0.0698240699382288</v>
      </c>
      <c r="J6" s="24" t="n">
        <f aca="false">J93</f>
        <v>0.06</v>
      </c>
    </row>
    <row r="7" customFormat="false" ht="15" hidden="false" customHeight="false" outlineLevel="0" collapsed="false">
      <c r="A7" s="0" t="s">
        <v>596</v>
      </c>
      <c r="B7" s="0" t="s">
        <v>301</v>
      </c>
      <c r="C7" s="22" t="n">
        <f aca="false">C82</f>
        <v>0</v>
      </c>
      <c r="D7" s="22" t="n">
        <f aca="false">D82</f>
        <v>64</v>
      </c>
      <c r="E7" s="22" t="n">
        <f aca="false">E82</f>
        <v>338.313061872025</v>
      </c>
      <c r="F7" s="22" t="n">
        <f aca="false">F82</f>
        <v>562.269706264122</v>
      </c>
      <c r="G7" s="22" t="n">
        <f aca="false">G82</f>
        <v>634.182543377722</v>
      </c>
    </row>
    <row r="8" customFormat="false" ht="15" hidden="false" customHeight="false" outlineLevel="0" collapsed="false">
      <c r="A8" s="4" t="s">
        <v>505</v>
      </c>
      <c r="B8" s="0" t="s">
        <v>301</v>
      </c>
      <c r="C8" s="22" t="n">
        <f aca="false">C88</f>
        <v>315.86198</v>
      </c>
      <c r="D8" s="22" t="n">
        <f aca="false">D88</f>
        <v>262.655761173888</v>
      </c>
      <c r="E8" s="22" t="n">
        <f aca="false">E88</f>
        <v>275.788549232582</v>
      </c>
      <c r="F8" s="22" t="n">
        <f aca="false">F88</f>
        <v>286.820091201885</v>
      </c>
      <c r="G8" s="22" t="n">
        <f aca="false">G88</f>
        <v>298.292894849961</v>
      </c>
    </row>
    <row r="9" customFormat="false" ht="17.15" hidden="false" customHeight="false" outlineLevel="0" collapsed="false">
      <c r="A9" s="4" t="s">
        <v>597</v>
      </c>
      <c r="B9" s="0" t="s">
        <v>301</v>
      </c>
      <c r="C9" s="22" t="n">
        <f aca="false">C89</f>
        <v>247.32589</v>
      </c>
      <c r="D9" s="22" t="n">
        <f aca="false">D89</f>
        <v>311.894023346019</v>
      </c>
      <c r="E9" s="22" t="n">
        <f aca="false">E89</f>
        <v>336.8455452137</v>
      </c>
      <c r="F9" s="22" t="n">
        <f aca="false">F89</f>
        <v>360.424733378659</v>
      </c>
      <c r="G9" s="22" t="n">
        <f aca="false">G89</f>
        <v>385.654464715166</v>
      </c>
    </row>
    <row r="10" customFormat="false" ht="17.15" hidden="false" customHeight="false" outlineLevel="0" collapsed="false">
      <c r="A10" s="4" t="s">
        <v>510</v>
      </c>
      <c r="B10" s="0" t="s">
        <v>301</v>
      </c>
      <c r="C10" s="22" t="n">
        <f aca="false">C90</f>
        <v>32.77813</v>
      </c>
      <c r="D10" s="22" t="n">
        <f aca="false">D90</f>
        <v>35.9721535362998</v>
      </c>
      <c r="E10" s="22" t="n">
        <f aca="false">E90</f>
        <v>38.8499258192038</v>
      </c>
      <c r="F10" s="22" t="n">
        <f aca="false">F90</f>
        <v>41.9579198847401</v>
      </c>
      <c r="G10" s="22" t="n">
        <f aca="false">G90</f>
        <v>45.3145534755193</v>
      </c>
    </row>
    <row r="11" customFormat="false" ht="15" hidden="false" customHeight="false" outlineLevel="0" collapsed="false">
      <c r="A11" s="4" t="s">
        <v>520</v>
      </c>
      <c r="B11" s="0" t="s">
        <v>46</v>
      </c>
      <c r="C11" s="17" t="n">
        <f aca="false">C100</f>
        <v>0.474993539899927</v>
      </c>
      <c r="D11" s="17" t="n">
        <f aca="false">D100</f>
        <v>0.455400856348417</v>
      </c>
      <c r="E11" s="17" t="n">
        <f aca="false">E100</f>
        <v>0.418633277197091</v>
      </c>
      <c r="F11" s="17" t="n">
        <f aca="false">F100</f>
        <v>0.396350294544177</v>
      </c>
      <c r="G11" s="17" t="n">
        <f aca="false">G100</f>
        <v>0.395986754790237</v>
      </c>
    </row>
    <row r="12" customFormat="false" ht="15" hidden="false" customHeight="false" outlineLevel="0" collapsed="false">
      <c r="A12" s="4" t="s">
        <v>598</v>
      </c>
      <c r="B12" s="0" t="s">
        <v>46</v>
      </c>
      <c r="C12" s="17" t="n">
        <f aca="false">C103</f>
        <v>0.173617286892205</v>
      </c>
      <c r="D12" s="17" t="n">
        <f aca="false">D103</f>
        <v>0.170599148410502</v>
      </c>
      <c r="E12" s="17" t="n">
        <f aca="false">E103</f>
        <v>0.197333099812867</v>
      </c>
      <c r="F12" s="17" t="n">
        <f aca="false">F103</f>
        <v>0.20744089317496</v>
      </c>
      <c r="G12" s="17" t="n">
        <f aca="false">G103</f>
        <v>0.212187697184692</v>
      </c>
    </row>
    <row r="13" customFormat="false" ht="15" hidden="false" customHeight="false" outlineLevel="0" collapsed="false">
      <c r="A13" s="4" t="s">
        <v>532</v>
      </c>
      <c r="B13" s="0" t="s">
        <v>301</v>
      </c>
      <c r="C13" s="22" t="n">
        <f aca="false">C108</f>
        <v>105.32</v>
      </c>
      <c r="D13" s="22" t="n">
        <f aca="false">D108</f>
        <v>116.644935348433</v>
      </c>
      <c r="E13" s="22" t="n">
        <f aca="false">E108</f>
        <v>182.454964707376</v>
      </c>
      <c r="F13" s="22" t="n">
        <f aca="false">F108</f>
        <v>237.741644148321</v>
      </c>
      <c r="G13" s="22" t="n">
        <f aca="false">G108</f>
        <v>263.283279924116</v>
      </c>
      <c r="H13" s="23" t="n">
        <f aca="false">H108</f>
        <v>284.253303430645</v>
      </c>
      <c r="I13" s="23" t="n">
        <f aca="false">I108</f>
        <v>304.101025969559</v>
      </c>
      <c r="J13" s="23" t="n">
        <f aca="false">J108</f>
        <v>322.347087527732</v>
      </c>
    </row>
    <row r="14" customFormat="false" ht="15" hidden="false" customHeight="false" outlineLevel="0" collapsed="false">
      <c r="A14" s="4" t="s">
        <v>599</v>
      </c>
      <c r="B14" s="0" t="s">
        <v>46</v>
      </c>
      <c r="C14" s="17" t="n">
        <f aca="false">C112</f>
        <v>0.176721490823302</v>
      </c>
      <c r="D14" s="17" t="n">
        <f aca="false">D112</f>
        <v>0.172929787405541</v>
      </c>
      <c r="E14" s="17" t="n">
        <f aca="false">E112</f>
        <v>0.184335726988967</v>
      </c>
      <c r="F14" s="17" t="n">
        <f aca="false">F112</f>
        <v>0.189969538690009</v>
      </c>
      <c r="G14" s="17" t="n">
        <f aca="false">G112</f>
        <v>0.19310158084161</v>
      </c>
      <c r="H14" s="25" t="n">
        <f aca="false">H112</f>
        <v>0.19310158084161</v>
      </c>
      <c r="I14" s="25" t="n">
        <f aca="false">I112</f>
        <v>0.19310158084161</v>
      </c>
      <c r="J14" s="25" t="n">
        <f aca="false">J112</f>
        <v>0.19310158084161</v>
      </c>
    </row>
    <row r="15" customFormat="false" ht="15" hidden="false" customHeight="false" outlineLevel="0" collapsed="false">
      <c r="A15" s="0" t="s">
        <v>600</v>
      </c>
      <c r="B15" s="0" t="s">
        <v>403</v>
      </c>
      <c r="C15" s="16" t="n">
        <f aca="false">C110</f>
        <v>66.1606281867469</v>
      </c>
      <c r="D15" s="16" t="n">
        <f aca="false">D110</f>
        <v>73.2460175726595</v>
      </c>
      <c r="E15" s="16" t="n">
        <f aca="false">E110</f>
        <v>114.570765642376</v>
      </c>
      <c r="F15" s="16" t="n">
        <f aca="false">F110</f>
        <v>149.287481646967</v>
      </c>
      <c r="G15" s="16" t="n">
        <f aca="false">G110</f>
        <v>165.326095730639</v>
      </c>
      <c r="H15" s="26" t="n">
        <f aca="false">H110</f>
        <v>178.494011728621</v>
      </c>
      <c r="I15" s="26" t="n">
        <f aca="false">I110</f>
        <v>190.957190087116</v>
      </c>
      <c r="J15" s="26" t="n">
        <f aca="false">J110</f>
        <v>202.414621492343</v>
      </c>
    </row>
    <row r="16" customFormat="false" ht="17.15" hidden="false" customHeight="false" outlineLevel="0" collapsed="false">
      <c r="A16" s="0" t="s">
        <v>601</v>
      </c>
      <c r="B16" s="0" t="s">
        <v>46</v>
      </c>
      <c r="D16" s="19" t="n">
        <f aca="false">D111</f>
        <v>0.107093744120947</v>
      </c>
      <c r="E16" s="19" t="n">
        <f aca="false">E111</f>
        <v>0.564191056922962</v>
      </c>
      <c r="F16" s="19" t="n">
        <f aca="false">F111</f>
        <v>0.303015484010611</v>
      </c>
      <c r="G16" s="19" t="n">
        <f aca="false">G111</f>
        <v>0.107434420533665</v>
      </c>
      <c r="H16" s="24" t="n">
        <f aca="false">H111</f>
        <v>0.0796481398764575</v>
      </c>
      <c r="I16" s="24" t="n">
        <f aca="false">I111</f>
        <v>0.0698240699382287</v>
      </c>
      <c r="J16" s="24" t="n">
        <f aca="false">J111</f>
        <v>0.0600000000000001</v>
      </c>
    </row>
    <row r="18" customFormat="false" ht="17.15" hidden="false" customHeight="false" outlineLevel="0" collapsed="false">
      <c r="A18" s="1" t="s">
        <v>602</v>
      </c>
    </row>
    <row r="19" customFormat="false" ht="15" hidden="false" customHeight="false" outlineLevel="0" collapsed="false">
      <c r="A19" s="4" t="s">
        <v>501</v>
      </c>
      <c r="B19" s="0" t="s">
        <v>301</v>
      </c>
      <c r="C19" s="22" t="n">
        <f aca="false">C147</f>
        <v>595.966</v>
      </c>
      <c r="D19" s="22" t="n">
        <f aca="false">D147</f>
        <v>674.521938056206</v>
      </c>
      <c r="E19" s="22" t="n">
        <f aca="false">E147</f>
        <v>962.749647003524</v>
      </c>
      <c r="F19" s="22" t="n">
        <f aca="false">F147</f>
        <v>1038.96115253351</v>
      </c>
      <c r="G19" s="22" t="n">
        <f aca="false">G147</f>
        <v>1146.96571097758</v>
      </c>
      <c r="H19" s="23" t="n">
        <f aca="false">H147</f>
        <v>1241.74665708213</v>
      </c>
      <c r="I19" s="23" t="n">
        <f aca="false">I147</f>
        <v>1317.8882342908</v>
      </c>
      <c r="J19" s="23" t="n">
        <f aca="false">J147</f>
        <v>1370.60376366243</v>
      </c>
    </row>
    <row r="20" customFormat="false" ht="15" hidden="false" customHeight="false" outlineLevel="0" collapsed="false">
      <c r="A20" s="4" t="s">
        <v>595</v>
      </c>
      <c r="B20" s="0" t="s">
        <v>46</v>
      </c>
      <c r="D20" s="19" t="n">
        <f aca="false">D148</f>
        <v>0.131812784716252</v>
      </c>
      <c r="E20" s="19" t="n">
        <f aca="false">E148</f>
        <v>0.427306648880708</v>
      </c>
      <c r="F20" s="19" t="n">
        <f aca="false">F148</f>
        <v>0.0791602528935624</v>
      </c>
      <c r="G20" s="19" t="n">
        <f aca="false">G148</f>
        <v>0.103954376138802</v>
      </c>
      <c r="H20" s="24" t="n">
        <f aca="false">H148</f>
        <v>0.0826362507592016</v>
      </c>
      <c r="I20" s="24" t="n">
        <f aca="false">I148</f>
        <v>0.0613181253796008</v>
      </c>
      <c r="J20" s="24" t="n">
        <f aca="false">J148</f>
        <v>0.04</v>
      </c>
    </row>
    <row r="21" customFormat="false" ht="15" hidden="false" customHeight="false" outlineLevel="0" collapsed="false">
      <c r="A21" s="0" t="s">
        <v>596</v>
      </c>
      <c r="B21" s="0" t="s">
        <v>301</v>
      </c>
      <c r="C21" s="22" t="n">
        <f aca="false">C137</f>
        <v>0</v>
      </c>
      <c r="D21" s="22" t="n">
        <f aca="false">D137</f>
        <v>64</v>
      </c>
      <c r="E21" s="22" t="n">
        <f aca="false">E137</f>
        <v>338.313061872025</v>
      </c>
      <c r="F21" s="22" t="n">
        <f aca="false">F137</f>
        <v>394.80021922023</v>
      </c>
      <c r="G21" s="22" t="n">
        <f aca="false">G137</f>
        <v>482.396517859718</v>
      </c>
    </row>
    <row r="22" customFormat="false" ht="15" hidden="false" customHeight="false" outlineLevel="0" collapsed="false">
      <c r="A22" s="4" t="s">
        <v>505</v>
      </c>
      <c r="B22" s="0" t="s">
        <v>301</v>
      </c>
      <c r="C22" s="22" t="n">
        <f aca="false">C143</f>
        <v>315.86198</v>
      </c>
      <c r="D22" s="22" t="n">
        <f aca="false">D143</f>
        <v>262.655761173888</v>
      </c>
      <c r="E22" s="22" t="n">
        <f aca="false">E143</f>
        <v>262.655761173888</v>
      </c>
      <c r="F22" s="22" t="n">
        <f aca="false">F143</f>
        <v>267.908876397365</v>
      </c>
      <c r="G22" s="22" t="n">
        <f aca="false">G143</f>
        <v>273.267053925313</v>
      </c>
    </row>
    <row r="23" customFormat="false" ht="17.15" hidden="false" customHeight="false" outlineLevel="0" collapsed="false">
      <c r="A23" s="4" t="s">
        <v>597</v>
      </c>
      <c r="B23" s="0" t="s">
        <v>301</v>
      </c>
      <c r="C23" s="22" t="n">
        <f aca="false">C144</f>
        <v>247.32589</v>
      </c>
      <c r="D23" s="22" t="n">
        <f aca="false">D144</f>
        <v>311.894023346019</v>
      </c>
      <c r="E23" s="22" t="n">
        <f aca="false">E144</f>
        <v>324.36978427986</v>
      </c>
      <c r="F23" s="22" t="n">
        <f aca="false">F144</f>
        <v>337.344575651054</v>
      </c>
      <c r="G23" s="22" t="n">
        <f aca="false">G144</f>
        <v>350.838358677096</v>
      </c>
    </row>
    <row r="24" customFormat="false" ht="17.15" hidden="false" customHeight="false" outlineLevel="0" collapsed="false">
      <c r="A24" s="4" t="s">
        <v>510</v>
      </c>
      <c r="B24" s="0" t="s">
        <v>301</v>
      </c>
      <c r="C24" s="22" t="n">
        <f aca="false">C145</f>
        <v>32.77813</v>
      </c>
      <c r="D24" s="22" t="n">
        <f aca="false">D145</f>
        <v>35.9721535362998</v>
      </c>
      <c r="E24" s="22" t="n">
        <f aca="false">E145</f>
        <v>37.4110396777518</v>
      </c>
      <c r="F24" s="22" t="n">
        <f aca="false">F145</f>
        <v>38.9074812648618</v>
      </c>
      <c r="G24" s="22" t="n">
        <f aca="false">G145</f>
        <v>40.4637805154563</v>
      </c>
    </row>
    <row r="25" customFormat="false" ht="15" hidden="false" customHeight="false" outlineLevel="0" collapsed="false">
      <c r="A25" s="4" t="s">
        <v>520</v>
      </c>
      <c r="B25" s="0" t="s">
        <v>46</v>
      </c>
      <c r="C25" s="17" t="n">
        <f aca="false">C155</f>
        <v>0.474993539899927</v>
      </c>
      <c r="D25" s="17" t="n">
        <f aca="false">D155</f>
        <v>0.455400856348417</v>
      </c>
      <c r="E25" s="17" t="n">
        <f aca="false">E155</f>
        <v>0.417405363173788</v>
      </c>
      <c r="F25" s="17" t="n">
        <f aca="false">F155</f>
        <v>0.417936953342246</v>
      </c>
      <c r="G25" s="17" t="n">
        <f aca="false">G155</f>
        <v>0.413193896837761</v>
      </c>
    </row>
    <row r="26" customFormat="false" ht="15" hidden="false" customHeight="false" outlineLevel="0" collapsed="false">
      <c r="A26" s="4" t="s">
        <v>598</v>
      </c>
      <c r="B26" s="0" t="s">
        <v>46</v>
      </c>
      <c r="C26" s="17" t="n">
        <f aca="false">C158</f>
        <v>0.173617286892205</v>
      </c>
      <c r="D26" s="17" t="n">
        <f aca="false">D158</f>
        <v>0.170599148410502</v>
      </c>
      <c r="E26" s="17" t="n">
        <f aca="false">E158</f>
        <v>0.192288351903489</v>
      </c>
      <c r="F26" s="17" t="n">
        <f aca="false">F158</f>
        <v>0.196816845085208</v>
      </c>
      <c r="G26" s="17" t="n">
        <f aca="false">G158</f>
        <v>0.200877772350575</v>
      </c>
    </row>
    <row r="27" customFormat="false" ht="15" hidden="false" customHeight="false" outlineLevel="0" collapsed="false">
      <c r="A27" s="4" t="s">
        <v>532</v>
      </c>
      <c r="B27" s="0" t="s">
        <v>301</v>
      </c>
      <c r="C27" s="22" t="n">
        <f aca="false">C163</f>
        <v>105.32</v>
      </c>
      <c r="D27" s="22" t="n">
        <f aca="false">D163</f>
        <v>116.644935348433</v>
      </c>
      <c r="E27" s="22" t="n">
        <f aca="false">E163</f>
        <v>173.687966909457</v>
      </c>
      <c r="F27" s="22" t="n">
        <f aca="false">F163</f>
        <v>190.337148338654</v>
      </c>
      <c r="G27" s="22" t="n">
        <f aca="false">G163</f>
        <v>212.623928605956</v>
      </c>
      <c r="H27" s="23" t="n">
        <f aca="false">H163</f>
        <v>222.521227124723</v>
      </c>
      <c r="I27" s="23" t="n">
        <f aca="false">I163</f>
        <v>228.022162952311</v>
      </c>
      <c r="J27" s="23" t="n">
        <f aca="false">J163</f>
        <v>228.67365484646</v>
      </c>
    </row>
    <row r="28" customFormat="false" ht="15" hidden="false" customHeight="false" outlineLevel="0" collapsed="false">
      <c r="A28" s="4" t="s">
        <v>599</v>
      </c>
      <c r="B28" s="0" t="s">
        <v>46</v>
      </c>
      <c r="C28" s="17" t="n">
        <f aca="false">C167</f>
        <v>0.176721490823302</v>
      </c>
      <c r="D28" s="17" t="n">
        <f aca="false">D167</f>
        <v>0.172929787405541</v>
      </c>
      <c r="E28" s="17" t="n">
        <f aca="false">E167</f>
        <v>0.180408237437475</v>
      </c>
      <c r="F28" s="17" t="n">
        <f aca="false">F167</f>
        <v>0.183199485249777</v>
      </c>
      <c r="G28" s="17" t="n">
        <f aca="false">G167</f>
        <v>0.18537949876874</v>
      </c>
      <c r="H28" s="25" t="n">
        <f aca="false">H167</f>
        <v>0.179200182143115</v>
      </c>
      <c r="I28" s="25" t="n">
        <f aca="false">I167</f>
        <v>0.173020865517491</v>
      </c>
      <c r="J28" s="25" t="n">
        <f aca="false">J167</f>
        <v>0.166841548891866</v>
      </c>
    </row>
    <row r="29" customFormat="false" ht="15" hidden="false" customHeight="false" outlineLevel="0" collapsed="false">
      <c r="A29" s="0" t="s">
        <v>600</v>
      </c>
      <c r="B29" s="0" t="s">
        <v>403</v>
      </c>
      <c r="C29" s="16" t="n">
        <f aca="false">C165</f>
        <v>66.1606281867469</v>
      </c>
      <c r="D29" s="16" t="n">
        <f aca="false">D165</f>
        <v>73.2460175726595</v>
      </c>
      <c r="E29" s="16" t="n">
        <f aca="false">E165</f>
        <v>109.065617280403</v>
      </c>
      <c r="F29" s="16" t="n">
        <f aca="false">F165</f>
        <v>119.520303820291</v>
      </c>
      <c r="G29" s="16" t="n">
        <f aca="false">G165</f>
        <v>133.5150640233</v>
      </c>
      <c r="H29" s="26" t="n">
        <f aca="false">H165</f>
        <v>139.729973389592</v>
      </c>
      <c r="I29" s="26" t="n">
        <f aca="false">I165</f>
        <v>143.184230885556</v>
      </c>
      <c r="J29" s="26" t="n">
        <f aca="false">J165</f>
        <v>143.593328688086</v>
      </c>
    </row>
    <row r="30" customFormat="false" ht="17.15" hidden="false" customHeight="false" outlineLevel="0" collapsed="false">
      <c r="A30" s="0" t="s">
        <v>601</v>
      </c>
      <c r="B30" s="0" t="s">
        <v>46</v>
      </c>
      <c r="D30" s="19" t="n">
        <f aca="false">D166</f>
        <v>0.107093744120947</v>
      </c>
      <c r="E30" s="19" t="n">
        <f aca="false">E166</f>
        <v>0.489031361632881</v>
      </c>
      <c r="F30" s="19" t="n">
        <f aca="false">F166</f>
        <v>0.0958568502208099</v>
      </c>
      <c r="G30" s="19" t="n">
        <f aca="false">G166</f>
        <v>0.117091069514443</v>
      </c>
      <c r="H30" s="24" t="n">
        <f aca="false">H166</f>
        <v>0.0465483757338947</v>
      </c>
      <c r="I30" s="24" t="n">
        <f aca="false">I166</f>
        <v>0.0247209486423734</v>
      </c>
      <c r="J30" s="24" t="n">
        <f aca="false">J166</f>
        <v>0.00285714285714267</v>
      </c>
    </row>
    <row r="32" customFormat="false" ht="17.15" hidden="false" customHeight="false" outlineLevel="0" collapsed="false">
      <c r="A32" s="1" t="s">
        <v>603</v>
      </c>
    </row>
    <row r="33" customFormat="false" ht="15" hidden="false" customHeight="false" outlineLevel="0" collapsed="false">
      <c r="A33" s="4" t="s">
        <v>501</v>
      </c>
      <c r="B33" s="0" t="s">
        <v>301</v>
      </c>
      <c r="C33" s="22" t="n">
        <f aca="false">C202</f>
        <v>595.966</v>
      </c>
      <c r="D33" s="22" t="n">
        <f aca="false">D202</f>
        <v>674.521938056206</v>
      </c>
      <c r="E33" s="22" t="n">
        <f aca="false">E202</f>
        <v>918.46571833394</v>
      </c>
      <c r="F33" s="22" t="n">
        <f aca="false">F202</f>
        <v>854.345325605158</v>
      </c>
      <c r="G33" s="22" t="n">
        <f aca="false">G202</f>
        <v>896.198841439206</v>
      </c>
      <c r="H33" s="23" t="n">
        <f aca="false">H202</f>
        <v>931.442751957164</v>
      </c>
      <c r="I33" s="23" t="n">
        <f aca="false">I202</f>
        <v>959.072135647545</v>
      </c>
      <c r="J33" s="23" t="n">
        <f aca="false">J202</f>
        <v>978.253578360496</v>
      </c>
    </row>
    <row r="34" customFormat="false" ht="15" hidden="false" customHeight="false" outlineLevel="0" collapsed="false">
      <c r="A34" s="4" t="s">
        <v>595</v>
      </c>
      <c r="B34" s="0" t="s">
        <v>46</v>
      </c>
      <c r="D34" s="19" t="n">
        <f aca="false">D203</f>
        <v>0.131812784716252</v>
      </c>
      <c r="E34" s="19" t="n">
        <f aca="false">E203</f>
        <v>0.361654331037349</v>
      </c>
      <c r="F34" s="19" t="n">
        <f aca="false">F203</f>
        <v>-0.0698125051908239</v>
      </c>
      <c r="G34" s="19" t="n">
        <f aca="false">G203</f>
        <v>0.0489889914296686</v>
      </c>
      <c r="H34" s="24" t="n">
        <f aca="false">H203</f>
        <v>0.0393259942864457</v>
      </c>
      <c r="I34" s="24" t="n">
        <f aca="false">I203</f>
        <v>0.0296629971432229</v>
      </c>
      <c r="J34" s="24" t="n">
        <f aca="false">J203</f>
        <v>0.02</v>
      </c>
    </row>
    <row r="35" customFormat="false" ht="15" hidden="false" customHeight="false" outlineLevel="0" collapsed="false">
      <c r="A35" s="0" t="s">
        <v>596</v>
      </c>
      <c r="B35" s="0" t="s">
        <v>301</v>
      </c>
      <c r="C35" s="22" t="n">
        <f aca="false">C192</f>
        <v>0</v>
      </c>
      <c r="D35" s="22" t="n">
        <f aca="false">D192</f>
        <v>64</v>
      </c>
      <c r="E35" s="22" t="n">
        <f aca="false">E192</f>
        <v>338.313061872025</v>
      </c>
      <c r="F35" s="22" t="n">
        <f aca="false">F192</f>
        <v>278.416596125186</v>
      </c>
      <c r="G35" s="22" t="n">
        <f aca="false">G192</f>
        <v>324.246306250661</v>
      </c>
    </row>
    <row r="36" customFormat="false" ht="15" hidden="false" customHeight="false" outlineLevel="0" collapsed="false">
      <c r="A36" s="4" t="s">
        <v>505</v>
      </c>
      <c r="B36" s="0" t="s">
        <v>301</v>
      </c>
      <c r="C36" s="22" t="n">
        <f aca="false">C198</f>
        <v>315.86198</v>
      </c>
      <c r="D36" s="22" t="n">
        <f aca="false">D198</f>
        <v>262.655761173888</v>
      </c>
      <c r="E36" s="22" t="n">
        <f aca="false">E198</f>
        <v>241.643300279977</v>
      </c>
      <c r="F36" s="22" t="n">
        <f aca="false">F198</f>
        <v>234.394001271577</v>
      </c>
      <c r="G36" s="22" t="n">
        <f aca="false">G198</f>
        <v>227.36218123343</v>
      </c>
    </row>
    <row r="37" customFormat="false" ht="17.15" hidden="false" customHeight="false" outlineLevel="0" collapsed="false">
      <c r="A37" s="4" t="s">
        <v>597</v>
      </c>
      <c r="B37" s="0" t="s">
        <v>301</v>
      </c>
      <c r="C37" s="22" t="n">
        <f aca="false">C199</f>
        <v>247.32589</v>
      </c>
      <c r="D37" s="22" t="n">
        <f aca="false">D199</f>
        <v>311.894023346019</v>
      </c>
      <c r="E37" s="22" t="n">
        <f aca="false">E199</f>
        <v>302.537202645638</v>
      </c>
      <c r="F37" s="22" t="n">
        <f aca="false">F199</f>
        <v>305.562574672095</v>
      </c>
      <c r="G37" s="22" t="n">
        <f aca="false">G199</f>
        <v>308.618200418816</v>
      </c>
    </row>
    <row r="38" customFormat="false" ht="17.15" hidden="false" customHeight="false" outlineLevel="0" collapsed="false">
      <c r="A38" s="4" t="s">
        <v>510</v>
      </c>
      <c r="B38" s="0" t="s">
        <v>301</v>
      </c>
      <c r="C38" s="22" t="n">
        <f aca="false">C200</f>
        <v>32.77813</v>
      </c>
      <c r="D38" s="22" t="n">
        <f aca="false">D200</f>
        <v>35.9721535362998</v>
      </c>
      <c r="E38" s="22" t="n">
        <f aca="false">E200</f>
        <v>35.9721535362998</v>
      </c>
      <c r="F38" s="22" t="n">
        <f aca="false">F200</f>
        <v>35.9721535362998</v>
      </c>
      <c r="G38" s="22" t="n">
        <f aca="false">G200</f>
        <v>35.9721535362998</v>
      </c>
    </row>
    <row r="39" customFormat="false" ht="15" hidden="false" customHeight="false" outlineLevel="0" collapsed="false">
      <c r="A39" s="4" t="s">
        <v>520</v>
      </c>
      <c r="B39" s="0" t="s">
        <v>46</v>
      </c>
      <c r="C39" s="17" t="n">
        <f aca="false">C210</f>
        <v>0.474993539899927</v>
      </c>
      <c r="D39" s="17" t="n">
        <f aca="false">D210</f>
        <v>0.455400856348417</v>
      </c>
      <c r="E39" s="17" t="n">
        <f aca="false">E210</f>
        <v>0.415238800622709</v>
      </c>
      <c r="F39" s="17" t="n">
        <f aca="false">F210</f>
        <v>0.42934133999837</v>
      </c>
      <c r="G39" s="17" t="n">
        <f aca="false">G210</f>
        <v>0.424519298424672</v>
      </c>
    </row>
    <row r="40" customFormat="false" ht="15" hidden="false" customHeight="false" outlineLevel="0" collapsed="false">
      <c r="A40" s="4" t="s">
        <v>598</v>
      </c>
      <c r="B40" s="0" t="s">
        <v>46</v>
      </c>
      <c r="C40" s="17" t="n">
        <f aca="false">C213</f>
        <v>0.173617286892205</v>
      </c>
      <c r="D40" s="17" t="n">
        <f aca="false">D213</f>
        <v>0.170599148410502</v>
      </c>
      <c r="E40" s="17" t="n">
        <f aca="false">E213</f>
        <v>0.183387271133446</v>
      </c>
      <c r="F40" s="17" t="n">
        <f aca="false">F213</f>
        <v>0.165133723114597</v>
      </c>
      <c r="G40" s="17" t="n">
        <f aca="false">G213</f>
        <v>0.157538351832368</v>
      </c>
    </row>
    <row r="41" customFormat="false" ht="15" hidden="false" customHeight="false" outlineLevel="0" collapsed="false">
      <c r="A41" s="4" t="s">
        <v>532</v>
      </c>
      <c r="B41" s="0" t="s">
        <v>301</v>
      </c>
      <c r="C41" s="22" t="n">
        <f aca="false">C218</f>
        <v>105.32</v>
      </c>
      <c r="D41" s="22" t="n">
        <f aca="false">D218</f>
        <v>116.644935348433</v>
      </c>
      <c r="E41" s="22" t="n">
        <f aca="false">E218</f>
        <v>159.334032674798</v>
      </c>
      <c r="F41" s="22" t="n">
        <f aca="false">F218</f>
        <v>135.80985302075</v>
      </c>
      <c r="G41" s="22" t="n">
        <f aca="false">G218</f>
        <v>135.899692019193</v>
      </c>
      <c r="H41" s="23" t="n">
        <f aca="false">H218</f>
        <v>131.827810362331</v>
      </c>
      <c r="I41" s="23" t="n">
        <f aca="false">I218</f>
        <v>126.042631301327</v>
      </c>
      <c r="J41" s="23" t="n">
        <f aca="false">J218</f>
        <v>118.673985163711</v>
      </c>
    </row>
    <row r="42" customFormat="false" ht="15" hidden="false" customHeight="false" outlineLevel="0" collapsed="false">
      <c r="A42" s="4" t="s">
        <v>599</v>
      </c>
      <c r="B42" s="0" t="s">
        <v>46</v>
      </c>
      <c r="C42" s="17" t="n">
        <f aca="false">C222</f>
        <v>0.176721490823302</v>
      </c>
      <c r="D42" s="17" t="n">
        <f aca="false">D222</f>
        <v>0.172929787405541</v>
      </c>
      <c r="E42" s="17" t="n">
        <f aca="false">E222</f>
        <v>0.17347847556447</v>
      </c>
      <c r="F42" s="17" t="n">
        <f aca="false">F222</f>
        <v>0.158963651992304</v>
      </c>
      <c r="G42" s="17" t="n">
        <f aca="false">G222</f>
        <v>0.151640111251373</v>
      </c>
      <c r="H42" s="25" t="n">
        <f aca="false">H222</f>
        <v>0.141530770501281</v>
      </c>
      <c r="I42" s="25" t="n">
        <f aca="false">I222</f>
        <v>0.13142142975119</v>
      </c>
      <c r="J42" s="25" t="n">
        <f aca="false">J222</f>
        <v>0.121312089001098</v>
      </c>
    </row>
    <row r="43" customFormat="false" ht="15" hidden="false" customHeight="false" outlineLevel="0" collapsed="false">
      <c r="A43" s="0" t="s">
        <v>600</v>
      </c>
      <c r="B43" s="0" t="s">
        <v>403</v>
      </c>
      <c r="C43" s="16" t="n">
        <f aca="false">C220</f>
        <v>66.1606281867469</v>
      </c>
      <c r="D43" s="16" t="n">
        <f aca="false">D220</f>
        <v>73.2460175726595</v>
      </c>
      <c r="E43" s="16" t="n">
        <f aca="false">E220</f>
        <v>100.052208202263</v>
      </c>
      <c r="F43" s="16" t="n">
        <f aca="false">F220</f>
        <v>85.2804354615451</v>
      </c>
      <c r="G43" s="16" t="n">
        <f aca="false">G220</f>
        <v>85.3368489598164</v>
      </c>
      <c r="H43" s="26" t="n">
        <f aca="false">H220</f>
        <v>82.7799517014712</v>
      </c>
      <c r="I43" s="26" t="n">
        <f aca="false">I220</f>
        <v>79.1472065171432</v>
      </c>
      <c r="J43" s="26" t="n">
        <f aca="false">J220</f>
        <v>74.5201390592179</v>
      </c>
    </row>
    <row r="44" customFormat="false" ht="17.15" hidden="false" customHeight="false" outlineLevel="0" collapsed="false">
      <c r="A44" s="0" t="s">
        <v>601</v>
      </c>
      <c r="B44" s="0" t="s">
        <v>46</v>
      </c>
      <c r="D44" s="19" t="n">
        <f aca="false">D221</f>
        <v>0.107093744120947</v>
      </c>
      <c r="E44" s="19" t="n">
        <f aca="false">E221</f>
        <v>0.365974718052239</v>
      </c>
      <c r="F44" s="19" t="n">
        <f aca="false">F221</f>
        <v>-0.147640646879632</v>
      </c>
      <c r="G44" s="19" t="n">
        <f aca="false">G221</f>
        <v>0.000661505748252633</v>
      </c>
      <c r="H44" s="24" t="n">
        <f aca="false">H221</f>
        <v>-0.0299624053326508</v>
      </c>
      <c r="I44" s="24" t="n">
        <f aca="false">I221</f>
        <v>-0.0438843597955787</v>
      </c>
      <c r="J44" s="24" t="n">
        <f aca="false">J221</f>
        <v>-0.0584615384615385</v>
      </c>
    </row>
    <row r="46" customFormat="false" ht="17.15" hidden="false" customHeight="false" outlineLevel="0" collapsed="false">
      <c r="A46" s="1" t="s">
        <v>604</v>
      </c>
    </row>
    <row r="47" customFormat="false" ht="17.15" hidden="false" customHeight="false" outlineLevel="0" collapsed="false">
      <c r="A47" s="4" t="s">
        <v>605</v>
      </c>
      <c r="D47" s="18" t="n">
        <f aca="false">ABS(D92-a26_rev)+ABS(D147-a26_rev)+ABS(D202-a26_rev)</f>
        <v>0</v>
      </c>
    </row>
    <row r="48" customFormat="false" ht="17.15" hidden="false" customHeight="false" outlineLevel="0" collapsed="false">
      <c r="A48" s="4" t="s">
        <v>606</v>
      </c>
      <c r="D48" s="18" t="n">
        <f aca="false">ABS(D110-a26_eps)+ABS(D165-a26_eps)+ABS(D220-a26_eps)</f>
        <v>0</v>
      </c>
    </row>
    <row r="49" customFormat="false" ht="17.15" hidden="false" customHeight="false" outlineLevel="0" collapsed="false">
      <c r="A49" s="4" t="s">
        <v>607</v>
      </c>
      <c r="D49" s="18" t="n">
        <f aca="false">D82-a26_asic</f>
        <v>0</v>
      </c>
    </row>
    <row r="60" customFormat="false" ht="17.15" hidden="false" customHeight="false" outlineLevel="0" collapsed="false">
      <c r="A60" s="1" t="s">
        <v>608</v>
      </c>
    </row>
    <row r="61" customFormat="false" ht="17.15" hidden="false" customHeight="false" outlineLevel="0" collapsed="false">
      <c r="A61" s="5" t="s">
        <v>22</v>
      </c>
      <c r="B61" s="5" t="s">
        <v>23</v>
      </c>
      <c r="C61" s="14" t="s">
        <v>494</v>
      </c>
      <c r="D61" s="14" t="s">
        <v>587</v>
      </c>
      <c r="E61" s="14" t="s">
        <v>588</v>
      </c>
      <c r="F61" s="14" t="s">
        <v>589</v>
      </c>
      <c r="G61" s="14" t="s">
        <v>590</v>
      </c>
      <c r="H61" s="14" t="s">
        <v>591</v>
      </c>
      <c r="I61" s="14" t="s">
        <v>592</v>
      </c>
      <c r="J61" s="14" t="s">
        <v>593</v>
      </c>
      <c r="K61" s="5" t="s">
        <v>557</v>
      </c>
    </row>
    <row r="62" customFormat="false" ht="17.15" hidden="false" customHeight="false" outlineLevel="0" collapsed="false">
      <c r="A62" s="6" t="s">
        <v>609</v>
      </c>
    </row>
    <row r="63" customFormat="false" ht="17.15" hidden="false" customHeight="false" outlineLevel="0" collapsed="false">
      <c r="A63" s="0" t="s">
        <v>610</v>
      </c>
      <c r="B63" s="4" t="s">
        <v>33</v>
      </c>
      <c r="D63" s="20" t="n">
        <f aca="false">u_tpu_26</f>
        <v>3.85</v>
      </c>
      <c r="E63" s="20" t="n">
        <f aca="false">u_tpu_27</f>
        <v>5.5</v>
      </c>
      <c r="F63" s="20" t="n">
        <f aca="false">u_tpu_28*um28_A</f>
        <v>7</v>
      </c>
      <c r="G63" s="20" t="n">
        <f aca="false">u_tpu_28*(1+g29_tpu)*um29_A</f>
        <v>8.05</v>
      </c>
    </row>
    <row r="64" customFormat="false" ht="17.15" hidden="false" customHeight="false" outlineLevel="0" collapsed="false">
      <c r="A64" s="4" t="s">
        <v>611</v>
      </c>
      <c r="B64" s="4" t="s">
        <v>33</v>
      </c>
      <c r="D64" s="20" t="n">
        <f aca="false">u_oth_26</f>
        <v>1</v>
      </c>
      <c r="E64" s="20" t="n">
        <f aca="false">u_oth_27</f>
        <v>4.5</v>
      </c>
      <c r="F64" s="20" t="n">
        <f aca="false">u_oth_28*um28_A</f>
        <v>5</v>
      </c>
      <c r="G64" s="20" t="n">
        <f aca="false">u_oth_28*(1+g29_oth)*um29_A</f>
        <v>5.75</v>
      </c>
    </row>
    <row r="65" customFormat="false" ht="17.15" hidden="false" customHeight="false" outlineLevel="0" collapsed="false">
      <c r="A65" s="4" t="s">
        <v>561</v>
      </c>
      <c r="B65" s="0" t="s">
        <v>46</v>
      </c>
      <c r="D65" s="19" t="n">
        <f aca="false">mtk_tpu_26</f>
        <v>0.05</v>
      </c>
      <c r="E65" s="19" t="n">
        <f aca="false">MIN(1,MAX(0,mtk_tpu_27+0))</f>
        <v>0.15</v>
      </c>
      <c r="F65" s="19" t="n">
        <f aca="false">MIN(1,MAX(0,mtk_tpu_28+0))</f>
        <v>0.18</v>
      </c>
      <c r="G65" s="19" t="n">
        <f aca="false">MIN(1,MAX(0,mtk_tpu_28+0))</f>
        <v>0.18</v>
      </c>
    </row>
    <row r="66" customFormat="false" ht="17.15" hidden="false" customHeight="false" outlineLevel="0" collapsed="false">
      <c r="A66" s="4" t="s">
        <v>612</v>
      </c>
      <c r="B66" s="0" t="s">
        <v>46</v>
      </c>
      <c r="D66" s="19" t="n">
        <f aca="false">mtk_oth_26</f>
        <v>0</v>
      </c>
      <c r="E66" s="19" t="n">
        <f aca="false">MIN(1,MAX(0,mtk_oth_27+0))</f>
        <v>0</v>
      </c>
      <c r="F66" s="19" t="n">
        <f aca="false">MIN(1,MAX(0,mtk_oth_28+0))</f>
        <v>0</v>
      </c>
      <c r="G66" s="19" t="n">
        <f aca="false">MIN(1,MAX(0,mtk_oth_28+0))</f>
        <v>0</v>
      </c>
    </row>
    <row r="67" customFormat="false" ht="17.15" hidden="false" customHeight="false" outlineLevel="0" collapsed="false">
      <c r="A67" s="4" t="s">
        <v>563</v>
      </c>
      <c r="B67" s="4" t="s">
        <v>33</v>
      </c>
      <c r="D67" s="20" t="n">
        <f aca="false">D63*D65</f>
        <v>0.1925</v>
      </c>
      <c r="E67" s="20" t="n">
        <f aca="false">E63*E65*1</f>
        <v>0.825</v>
      </c>
      <c r="F67" s="20" t="n">
        <f aca="false">F63*F65*1</f>
        <v>1.26</v>
      </c>
      <c r="G67" s="20" t="n">
        <f aca="false">G63*G65*1</f>
        <v>1.449</v>
      </c>
    </row>
    <row r="68" customFormat="false" ht="17.15" hidden="false" customHeight="false" outlineLevel="0" collapsed="false">
      <c r="A68" s="4" t="s">
        <v>613</v>
      </c>
      <c r="B68" s="4" t="s">
        <v>33</v>
      </c>
      <c r="D68" s="20" t="n">
        <f aca="false">D64*D66</f>
        <v>0</v>
      </c>
      <c r="E68" s="20" t="n">
        <f aca="false">E64*E66*1</f>
        <v>0</v>
      </c>
      <c r="F68" s="20" t="n">
        <f aca="false">F64*F66*1</f>
        <v>0</v>
      </c>
      <c r="G68" s="20" t="n">
        <f aca="false">G64*G66*1</f>
        <v>0</v>
      </c>
    </row>
    <row r="69" customFormat="false" ht="17.15" hidden="false" customHeight="false" outlineLevel="0" collapsed="false">
      <c r="A69" s="4" t="s">
        <v>614</v>
      </c>
      <c r="B69" s="0" t="s">
        <v>102</v>
      </c>
      <c r="D69" s="27" t="n">
        <f aca="false">gb_tpu_26</f>
        <v>192</v>
      </c>
      <c r="E69" s="27" t="n">
        <f aca="false">gb_tpu_27</f>
        <v>250</v>
      </c>
      <c r="F69" s="27" t="n">
        <f aca="false">gb_tpu_28</f>
        <v>288</v>
      </c>
      <c r="G69" s="27" t="n">
        <f aca="false">gb_tpu_28</f>
        <v>288</v>
      </c>
    </row>
    <row r="70" customFormat="false" ht="17.15" hidden="false" customHeight="false" outlineLevel="0" collapsed="false">
      <c r="A70" s="4" t="s">
        <v>615</v>
      </c>
      <c r="B70" s="0" t="s">
        <v>102</v>
      </c>
      <c r="D70" s="27" t="n">
        <f aca="false">gb_oth_26</f>
        <v>150</v>
      </c>
      <c r="E70" s="27" t="n">
        <f aca="false">gb_oth_27</f>
        <v>200</v>
      </c>
      <c r="F70" s="27" t="n">
        <f aca="false">gb_oth_28</f>
        <v>250</v>
      </c>
      <c r="G70" s="27" t="n">
        <f aca="false">gb_oth_28</f>
        <v>250</v>
      </c>
    </row>
    <row r="71" customFormat="false" ht="17.15" hidden="false" customHeight="false" outlineLevel="0" collapsed="false">
      <c r="A71" s="0" t="s">
        <v>616</v>
      </c>
      <c r="B71" s="0" t="s">
        <v>194</v>
      </c>
      <c r="D71" s="16" t="n">
        <f aca="false">hbm_A_26</f>
        <v>14.6</v>
      </c>
      <c r="E71" s="16" t="n">
        <f aca="false">hbm_A_27</f>
        <v>26.28</v>
      </c>
      <c r="F71" s="16" t="n">
        <f aca="false">hbm_A_28</f>
        <v>28.908</v>
      </c>
      <c r="G71" s="16" t="n">
        <f aca="false">hbm_A_29</f>
        <v>27.4626</v>
      </c>
    </row>
    <row r="72" customFormat="false" ht="17.15" hidden="false" customHeight="false" outlineLevel="0" collapsed="false">
      <c r="A72" s="4" t="s">
        <v>617</v>
      </c>
      <c r="B72" s="0" t="s">
        <v>86</v>
      </c>
      <c r="D72" s="16" t="n">
        <f aca="false">core_tpu</f>
        <v>8</v>
      </c>
      <c r="E72" s="16" t="n">
        <f aca="false">core_tpu</f>
        <v>8</v>
      </c>
      <c r="F72" s="16" t="n">
        <f aca="false">core_tpu*1</f>
        <v>8</v>
      </c>
      <c r="G72" s="16" t="n">
        <f aca="false">core_tpu*1</f>
        <v>8</v>
      </c>
    </row>
    <row r="73" customFormat="false" ht="17.15" hidden="false" customHeight="false" outlineLevel="0" collapsed="false">
      <c r="A73" s="4" t="s">
        <v>618</v>
      </c>
      <c r="B73" s="0" t="s">
        <v>86</v>
      </c>
      <c r="D73" s="16" t="n">
        <f aca="false">core_oth</f>
        <v>6</v>
      </c>
      <c r="E73" s="16" t="n">
        <f aca="false">core_oth</f>
        <v>6</v>
      </c>
      <c r="F73" s="16" t="n">
        <f aca="false">core_oth*1</f>
        <v>6</v>
      </c>
      <c r="G73" s="16" t="n">
        <f aca="false">core_oth*1</f>
        <v>6</v>
      </c>
    </row>
    <row r="74" customFormat="false" ht="17.15" hidden="false" customHeight="false" outlineLevel="0" collapsed="false">
      <c r="A74" s="4" t="s">
        <v>619</v>
      </c>
      <c r="B74" s="0" t="s">
        <v>86</v>
      </c>
      <c r="D74" s="16" t="n">
        <f aca="false">D69*D71/1000</f>
        <v>2.8032</v>
      </c>
      <c r="E74" s="16" t="n">
        <f aca="false">E69*E71/1000</f>
        <v>6.57</v>
      </c>
      <c r="F74" s="16" t="n">
        <f aca="false">F69*F71/1000</f>
        <v>8.325504</v>
      </c>
      <c r="G74" s="16" t="n">
        <f aca="false">G69*G71/1000</f>
        <v>7.9092288</v>
      </c>
    </row>
    <row r="75" customFormat="false" ht="17.15" hidden="false" customHeight="false" outlineLevel="0" collapsed="false">
      <c r="A75" s="4" t="s">
        <v>620</v>
      </c>
      <c r="B75" s="0" t="s">
        <v>86</v>
      </c>
      <c r="D75" s="16" t="n">
        <f aca="false">D70*D71/1000</f>
        <v>2.19</v>
      </c>
      <c r="E75" s="16" t="n">
        <f aca="false">E70*E71/1000</f>
        <v>5.256</v>
      </c>
      <c r="F75" s="16" t="n">
        <f aca="false">F70*F71/1000</f>
        <v>7.227</v>
      </c>
      <c r="G75" s="16" t="n">
        <f aca="false">G70*G71/1000</f>
        <v>6.86565</v>
      </c>
    </row>
    <row r="76" customFormat="false" ht="17.15" hidden="false" customHeight="false" outlineLevel="0" collapsed="false">
      <c r="A76" s="4" t="s">
        <v>621</v>
      </c>
      <c r="B76" s="0" t="s">
        <v>86</v>
      </c>
      <c r="D76" s="16" t="n">
        <f aca="false">D72+f_hbm*D74</f>
        <v>9.68192</v>
      </c>
      <c r="E76" s="16" t="n">
        <f aca="false">E72+f_hbm*E74</f>
        <v>11.942</v>
      </c>
      <c r="F76" s="16" t="n">
        <f aca="false">F72+f_hbm*F74</f>
        <v>12.9953024</v>
      </c>
      <c r="G76" s="16" t="n">
        <f aca="false">G72+f_hbm*G74</f>
        <v>12.74553728</v>
      </c>
      <c r="K76" s="4" t="s">
        <v>622</v>
      </c>
    </row>
    <row r="77" customFormat="false" ht="17.15" hidden="false" customHeight="false" outlineLevel="0" collapsed="false">
      <c r="A77" s="4" t="s">
        <v>623</v>
      </c>
      <c r="B77" s="0" t="s">
        <v>86</v>
      </c>
      <c r="D77" s="16" t="n">
        <f aca="false">D73+f_hbm*D75</f>
        <v>7.314</v>
      </c>
      <c r="E77" s="16" t="n">
        <f aca="false">E73+f_hbm*E75</f>
        <v>9.1536</v>
      </c>
      <c r="F77" s="16" t="n">
        <f aca="false">F73+f_hbm*F75</f>
        <v>10.3362</v>
      </c>
      <c r="G77" s="16" t="n">
        <f aca="false">G73+f_hbm*G75</f>
        <v>10.11939</v>
      </c>
    </row>
    <row r="78" customFormat="false" ht="17.15" hidden="false" customHeight="false" outlineLevel="0" collapsed="false">
      <c r="A78" s="0" t="s">
        <v>624</v>
      </c>
      <c r="B78" s="0" t="s">
        <v>279</v>
      </c>
      <c r="D78" s="16" t="n">
        <f aca="false">D67*D76+D68*D77</f>
        <v>1.8637696</v>
      </c>
      <c r="E78" s="16" t="n">
        <f aca="false">E67*E76+E68*E77</f>
        <v>9.85215</v>
      </c>
      <c r="F78" s="16" t="n">
        <f aca="false">F67*F76+F68*F77</f>
        <v>16.374081024</v>
      </c>
      <c r="G78" s="16" t="n">
        <f aca="false">G67*G76+G68*G77</f>
        <v>18.46828351872</v>
      </c>
    </row>
    <row r="79" customFormat="false" ht="17.15" hidden="false" customHeight="false" outlineLevel="0" collapsed="false">
      <c r="A79" s="0" t="s">
        <v>625</v>
      </c>
      <c r="B79" s="0" t="s">
        <v>65</v>
      </c>
      <c r="D79" s="20" t="n">
        <f aca="false">dc26/D78</f>
        <v>1.07309401333727</v>
      </c>
      <c r="K79" s="8" t="s">
        <v>626</v>
      </c>
    </row>
    <row r="80" customFormat="false" ht="17.15" hidden="false" customHeight="false" outlineLevel="0" collapsed="false">
      <c r="A80" s="0" t="s">
        <v>627</v>
      </c>
      <c r="B80" s="0" t="s">
        <v>279</v>
      </c>
      <c r="D80" s="16" t="n">
        <f aca="false">D78*$D$79</f>
        <v>2</v>
      </c>
      <c r="E80" s="16" t="n">
        <f aca="false">E78*$D$79</f>
        <v>10.5722831835008</v>
      </c>
      <c r="F80" s="16" t="n">
        <f aca="false">F78*$D$79</f>
        <v>17.5709283207538</v>
      </c>
      <c r="G80" s="16" t="n">
        <f aca="false">G78*$D$79</f>
        <v>19.8182044805538</v>
      </c>
    </row>
    <row r="81" customFormat="false" ht="15" hidden="false" customHeight="false" outlineLevel="0" collapsed="false">
      <c r="A81" s="4" t="s">
        <v>628</v>
      </c>
      <c r="B81" s="0" t="s">
        <v>288</v>
      </c>
      <c r="D81" s="16" t="n">
        <f aca="false">fx26</f>
        <v>32</v>
      </c>
      <c r="E81" s="16" t="n">
        <f aca="false">fx</f>
        <v>32</v>
      </c>
      <c r="F81" s="16" t="n">
        <f aca="false">fx</f>
        <v>32</v>
      </c>
      <c r="G81" s="16" t="n">
        <f aca="false">fx</f>
        <v>32</v>
      </c>
    </row>
    <row r="82" customFormat="false" ht="17.15" hidden="false" customHeight="false" outlineLevel="0" collapsed="false">
      <c r="A82" s="0" t="s">
        <v>629</v>
      </c>
      <c r="B82" s="0" t="s">
        <v>301</v>
      </c>
      <c r="C82" s="16" t="n">
        <f aca="false">a25_asic</f>
        <v>0</v>
      </c>
      <c r="D82" s="16" t="n">
        <f aca="false">D80*D81</f>
        <v>64</v>
      </c>
      <c r="E82" s="16" t="n">
        <f aca="false">E80*E81</f>
        <v>338.313061872025</v>
      </c>
      <c r="F82" s="16" t="n">
        <f aca="false">F80*F81</f>
        <v>562.269706264122</v>
      </c>
      <c r="G82" s="16" t="n">
        <f aca="false">G80*G81</f>
        <v>634.182543377722</v>
      </c>
    </row>
    <row r="83" customFormat="false" ht="17.15" hidden="false" customHeight="false" outlineLevel="0" collapsed="false">
      <c r="A83" s="4" t="s">
        <v>630</v>
      </c>
      <c r="B83" s="0" t="s">
        <v>301</v>
      </c>
      <c r="D83" s="16" t="n">
        <f aca="false">$D$79*f_hbm*(D67*D74+D68*D75)*D81</f>
        <v>11.1179270227393</v>
      </c>
      <c r="E83" s="16" t="n">
        <f aca="false">$D$79*f_hbm*(E67*E74+E68*E75)*E81</f>
        <v>111.675606255194</v>
      </c>
      <c r="F83" s="16" t="n">
        <f aca="false">$D$79*f_hbm*(F67*F74+F68*F75)*F81</f>
        <v>216.132501322052</v>
      </c>
      <c r="G83" s="16" t="n">
        <f aca="false">$D$79*f_hbm*(G67*G74+G68*G75)*G81</f>
        <v>236.124757694342</v>
      </c>
    </row>
    <row r="84" customFormat="false" ht="15" hidden="false" customHeight="false" outlineLevel="0" collapsed="false">
      <c r="A84" s="4" t="s">
        <v>631</v>
      </c>
      <c r="B84" s="0" t="s">
        <v>301</v>
      </c>
      <c r="D84" s="16" t="n">
        <f aca="false">D82-D83</f>
        <v>52.8820729772607</v>
      </c>
      <c r="E84" s="16" t="n">
        <f aca="false">E82-E83</f>
        <v>226.637455616832</v>
      </c>
      <c r="F84" s="16" t="n">
        <f aca="false">F82-F83</f>
        <v>346.13720494207</v>
      </c>
      <c r="G84" s="16" t="n">
        <f aca="false">G82-G83</f>
        <v>398.057785683381</v>
      </c>
    </row>
    <row r="85" customFormat="false" ht="17.15" hidden="false" customHeight="false" outlineLevel="0" collapsed="false">
      <c r="A85" s="4" t="s">
        <v>632</v>
      </c>
      <c r="B85" s="4" t="s">
        <v>33</v>
      </c>
      <c r="D85" s="20" t="n">
        <f aca="false">D67+D68</f>
        <v>0.1925</v>
      </c>
      <c r="E85" s="20" t="n">
        <f aca="false">E67+E68</f>
        <v>0.825</v>
      </c>
      <c r="F85" s="20" t="n">
        <f aca="false">F67+F68</f>
        <v>1.26</v>
      </c>
      <c r="G85" s="20" t="n">
        <f aca="false">G67+G68</f>
        <v>1.449</v>
      </c>
    </row>
    <row r="86" customFormat="false" ht="17.15" hidden="false" customHeight="false" outlineLevel="0" collapsed="false">
      <c r="A86" s="4" t="s">
        <v>633</v>
      </c>
      <c r="B86" s="0" t="s">
        <v>86</v>
      </c>
      <c r="D86" s="16" t="n">
        <f aca="false">IF(D85&gt;0,D80/D85,0)</f>
        <v>10.3896103896104</v>
      </c>
      <c r="E86" s="16" t="n">
        <f aca="false">IF(E85&gt;0,E80/E85,0)</f>
        <v>12.8148887072737</v>
      </c>
      <c r="F86" s="16" t="n">
        <f aca="false">IF(F85&gt;0,F80/F85,0)</f>
        <v>13.9451812069475</v>
      </c>
      <c r="G86" s="16" t="n">
        <f aca="false">IF(G85&gt;0,G80/G85,0)</f>
        <v>13.677159751935</v>
      </c>
    </row>
    <row r="87" customFormat="false" ht="17.15" hidden="false" customHeight="false" outlineLevel="0" collapsed="false">
      <c r="A87" s="6" t="s">
        <v>634</v>
      </c>
    </row>
    <row r="88" customFormat="false" ht="15" hidden="false" customHeight="false" outlineLevel="0" collapsed="false">
      <c r="A88" s="4" t="s">
        <v>635</v>
      </c>
      <c r="B88" s="0" t="s">
        <v>301</v>
      </c>
      <c r="C88" s="16" t="n">
        <f aca="false">a25_mob</f>
        <v>315.86198</v>
      </c>
      <c r="D88" s="16" t="n">
        <f aca="false">a26_mob</f>
        <v>262.655761173888</v>
      </c>
      <c r="E88" s="16" t="n">
        <f aca="false">D88*(1+g_mob27_A)</f>
        <v>275.788549232582</v>
      </c>
      <c r="F88" s="16" t="n">
        <f aca="false">E88*(1+g_mobL_A)</f>
        <v>286.820091201885</v>
      </c>
      <c r="G88" s="16" t="n">
        <f aca="false">F88*(1+g_mobL_A)</f>
        <v>298.292894849961</v>
      </c>
    </row>
    <row r="89" customFormat="false" ht="17.15" hidden="false" customHeight="false" outlineLevel="0" collapsed="false">
      <c r="A89" s="4" t="s">
        <v>636</v>
      </c>
      <c r="B89" s="0" t="s">
        <v>301</v>
      </c>
      <c r="C89" s="16" t="n">
        <f aca="false">a25_sepx</f>
        <v>247.32589</v>
      </c>
      <c r="D89" s="16" t="n">
        <f aca="false">a26_sepx</f>
        <v>311.894023346019</v>
      </c>
      <c r="E89" s="16" t="n">
        <f aca="false">D89*(1+g_sep27_A)</f>
        <v>336.8455452137</v>
      </c>
      <c r="F89" s="16" t="n">
        <f aca="false">E89*(1+g_sepL_A)</f>
        <v>360.424733378659</v>
      </c>
      <c r="G89" s="16" t="n">
        <f aca="false">F89*(1+g_sepL_A)</f>
        <v>385.654464715166</v>
      </c>
    </row>
    <row r="90" customFormat="false" ht="17.15" hidden="false" customHeight="false" outlineLevel="0" collapsed="false">
      <c r="A90" s="4" t="s">
        <v>637</v>
      </c>
      <c r="B90" s="0" t="s">
        <v>301</v>
      </c>
      <c r="C90" s="16" t="n">
        <f aca="false">a25_pic</f>
        <v>32.77813</v>
      </c>
      <c r="D90" s="16" t="n">
        <f aca="false">a26_pic</f>
        <v>35.9721535362998</v>
      </c>
      <c r="E90" s="16" t="n">
        <f aca="false">D90*(1+g_pic27_A)</f>
        <v>38.8499258192038</v>
      </c>
      <c r="F90" s="16" t="n">
        <f aca="false">E90*(1+g_picL_A)</f>
        <v>41.9579198847401</v>
      </c>
      <c r="G90" s="16" t="n">
        <f aca="false">F90*(1+g_picL_A)</f>
        <v>45.3145534755193</v>
      </c>
    </row>
    <row r="91" customFormat="false" ht="17.15" hidden="false" customHeight="false" outlineLevel="0" collapsed="false">
      <c r="A91" s="4" t="s">
        <v>638</v>
      </c>
      <c r="B91" s="0" t="s">
        <v>301</v>
      </c>
      <c r="C91" s="16" t="n">
        <f aca="false">C88+C89+C90</f>
        <v>595.966</v>
      </c>
      <c r="D91" s="16" t="n">
        <f aca="false">D88+D89+D90</f>
        <v>610.521938056206</v>
      </c>
      <c r="E91" s="16" t="n">
        <f aca="false">E88+E89+E90</f>
        <v>651.484020265486</v>
      </c>
      <c r="F91" s="16" t="n">
        <f aca="false">F88+F89+F90</f>
        <v>689.202744465285</v>
      </c>
      <c r="G91" s="16" t="n">
        <f aca="false">G88+G89+G90</f>
        <v>729.261913040646</v>
      </c>
    </row>
    <row r="92" customFormat="false" ht="17.15" hidden="false" customHeight="false" outlineLevel="0" collapsed="false">
      <c r="A92" s="4" t="s">
        <v>501</v>
      </c>
      <c r="B92" s="0" t="s">
        <v>301</v>
      </c>
      <c r="C92" s="16" t="n">
        <f aca="false">C91+C82</f>
        <v>595.966</v>
      </c>
      <c r="D92" s="16" t="n">
        <f aca="false">D91+D82</f>
        <v>674.521938056206</v>
      </c>
      <c r="E92" s="16" t="n">
        <f aca="false">E91+E82</f>
        <v>989.797082137512</v>
      </c>
      <c r="F92" s="16" t="n">
        <f aca="false">F91+F82</f>
        <v>1251.47245072941</v>
      </c>
      <c r="G92" s="16" t="n">
        <f aca="false">G91+G82</f>
        <v>1363.44445641837</v>
      </c>
      <c r="H92" s="26" t="n">
        <f aca="false">G92*(1+H93)</f>
        <v>1472.04027119696</v>
      </c>
      <c r="I92" s="26" t="n">
        <f aca="false">H92*(1+I93)</f>
        <v>1574.8241140449</v>
      </c>
      <c r="J92" s="26" t="n">
        <f aca="false">I92*(1+J93)</f>
        <v>1669.3135608876</v>
      </c>
      <c r="K92" s="8" t="s">
        <v>639</v>
      </c>
    </row>
    <row r="93" customFormat="false" ht="15" hidden="false" customHeight="false" outlineLevel="0" collapsed="false">
      <c r="A93" s="4" t="s">
        <v>640</v>
      </c>
      <c r="B93" s="0" t="s">
        <v>46</v>
      </c>
      <c r="D93" s="19" t="n">
        <f aca="false">D92/C92-1</f>
        <v>0.131812784716252</v>
      </c>
      <c r="E93" s="19" t="n">
        <f aca="false">E92/D92-1</f>
        <v>0.467405322634643</v>
      </c>
      <c r="F93" s="19" t="n">
        <f aca="false">F92/E92-1</f>
        <v>0.264372741963227</v>
      </c>
      <c r="G93" s="19" t="n">
        <f aca="false">G92/F92-1</f>
        <v>0.0894722098146863</v>
      </c>
      <c r="H93" s="24" t="n">
        <f aca="false">$G93+(fade_gA-$G93)*1/3</f>
        <v>0.0796481398764575</v>
      </c>
      <c r="I93" s="24" t="n">
        <f aca="false">$G93+(fade_gA-$G93)*2/3</f>
        <v>0.0698240699382288</v>
      </c>
      <c r="J93" s="24" t="n">
        <f aca="false">$G93+(fade_gA-$G93)*3/3</f>
        <v>0.06</v>
      </c>
    </row>
    <row r="94" customFormat="false" ht="17.15" hidden="false" customHeight="false" outlineLevel="0" collapsed="false">
      <c r="A94" s="0" t="s">
        <v>641</v>
      </c>
      <c r="B94" s="0" t="s">
        <v>46</v>
      </c>
      <c r="C94" s="19" t="n">
        <f aca="false">C82/C92</f>
        <v>0</v>
      </c>
      <c r="D94" s="19" t="n">
        <f aca="false">D82/D92</f>
        <v>0.0948820140445411</v>
      </c>
      <c r="E94" s="19" t="n">
        <f aca="false">E82/E92</f>
        <v>0.341800423518549</v>
      </c>
      <c r="F94" s="19" t="n">
        <f aca="false">F82/F92</f>
        <v>0.449286523196263</v>
      </c>
      <c r="G94" s="19" t="n">
        <f aca="false">G82/G92</f>
        <v>0.465132657507484</v>
      </c>
    </row>
    <row r="95" customFormat="false" ht="17.15" hidden="false" customHeight="false" outlineLevel="0" collapsed="false">
      <c r="A95" s="4" t="s">
        <v>642</v>
      </c>
      <c r="B95" s="0" t="s">
        <v>46</v>
      </c>
      <c r="C95" s="19" t="n">
        <f aca="false">C88/C92</f>
        <v>0.53</v>
      </c>
      <c r="D95" s="19" t="n">
        <f aca="false">D88/D92</f>
        <v>0.389395431571569</v>
      </c>
      <c r="E95" s="19" t="n">
        <f aca="false">E88/E92</f>
        <v>0.278631402546676</v>
      </c>
      <c r="F95" s="19" t="n">
        <f aca="false">F88/F92</f>
        <v>0.229186100768511</v>
      </c>
      <c r="G95" s="19" t="n">
        <f aca="false">G88/G92</f>
        <v>0.218778912075044</v>
      </c>
    </row>
    <row r="96" customFormat="false" ht="17.15" hidden="false" customHeight="false" outlineLevel="0" collapsed="false">
      <c r="A96" s="6" t="s">
        <v>643</v>
      </c>
    </row>
    <row r="97" customFormat="false" ht="17.15" hidden="false" customHeight="false" outlineLevel="0" collapsed="false">
      <c r="A97" s="0" t="s">
        <v>644</v>
      </c>
      <c r="B97" s="0" t="s">
        <v>301</v>
      </c>
      <c r="D97" s="16" t="n">
        <f aca="false">m_core*D84+m_hbm*D83</f>
        <v>24.9087255420412</v>
      </c>
      <c r="E97" s="16" t="n">
        <f aca="false">m_core*E84+m_hbm*E83</f>
        <v>113.154415653094</v>
      </c>
      <c r="F97" s="16" t="n">
        <f aca="false">m_core*F84+m_hbm*F83</f>
        <v>177.374992356137</v>
      </c>
      <c r="G97" s="16" t="n">
        <f aca="false">m_core*G84+m_hbm*G83</f>
        <v>202.738479326955</v>
      </c>
    </row>
    <row r="98" customFormat="false" ht="17.15" hidden="false" customHeight="false" outlineLevel="0" collapsed="false">
      <c r="A98" s="4" t="s">
        <v>645</v>
      </c>
      <c r="B98" s="0" t="s">
        <v>46</v>
      </c>
      <c r="C98" s="17" t="n">
        <f aca="false">a25_gp/C91</f>
        <v>0.474993539899927</v>
      </c>
      <c r="D98" s="17" t="n">
        <f aca="false">(a26_gp-D97)/D91</f>
        <v>0.462340704042911</v>
      </c>
      <c r="E98" s="17" t="n">
        <f aca="false">$D98+0</f>
        <v>0.462340704042911</v>
      </c>
      <c r="F98" s="17" t="n">
        <f aca="false">$D98+0</f>
        <v>0.462340704042911</v>
      </c>
      <c r="G98" s="17" t="n">
        <f aca="false">$D98+0</f>
        <v>0.462340704042911</v>
      </c>
      <c r="K98" s="8" t="s">
        <v>646</v>
      </c>
    </row>
    <row r="99" customFormat="false" ht="15" hidden="false" customHeight="false" outlineLevel="0" collapsed="false">
      <c r="A99" s="4" t="s">
        <v>517</v>
      </c>
      <c r="B99" s="0" t="s">
        <v>301</v>
      </c>
      <c r="C99" s="16" t="n">
        <f aca="false">a25_gp</f>
        <v>283.08</v>
      </c>
      <c r="D99" s="16" t="n">
        <f aca="false">a26_gp</f>
        <v>307.17786821659</v>
      </c>
      <c r="E99" s="16" t="n">
        <f aca="false">E98*E91+E97</f>
        <v>414.361996255344</v>
      </c>
      <c r="F99" s="16" t="n">
        <f aca="false">F98*F91+F97</f>
        <v>496.021474460523</v>
      </c>
      <c r="G99" s="16" t="n">
        <f aca="false">G98*G91+G97</f>
        <v>539.905945633848</v>
      </c>
    </row>
    <row r="100" customFormat="false" ht="15" hidden="false" customHeight="false" outlineLevel="0" collapsed="false">
      <c r="A100" s="4" t="s">
        <v>520</v>
      </c>
      <c r="B100" s="0" t="s">
        <v>46</v>
      </c>
      <c r="C100" s="17" t="n">
        <f aca="false">C99/C92</f>
        <v>0.474993539899927</v>
      </c>
      <c r="D100" s="17" t="n">
        <f aca="false">D99/D92</f>
        <v>0.455400856348417</v>
      </c>
      <c r="E100" s="17" t="n">
        <f aca="false">E99/E92</f>
        <v>0.418633277197091</v>
      </c>
      <c r="F100" s="17" t="n">
        <f aca="false">F99/F92</f>
        <v>0.396350294544177</v>
      </c>
      <c r="G100" s="17" t="n">
        <f aca="false">G99/G92</f>
        <v>0.395986754790237</v>
      </c>
    </row>
    <row r="101" customFormat="false" ht="15" hidden="false" customHeight="false" outlineLevel="0" collapsed="false">
      <c r="A101" s="4" t="s">
        <v>647</v>
      </c>
      <c r="B101" s="0" t="s">
        <v>301</v>
      </c>
      <c r="C101" s="16" t="n">
        <f aca="false">a25_opx</f>
        <v>179.61</v>
      </c>
      <c r="D101" s="16" t="n">
        <f aca="false">a26_opx</f>
        <v>192.105</v>
      </c>
      <c r="E101" s="16" t="n">
        <f aca="false">D101*(1+MAX(g_opx_min,phi*E93))+0*E92</f>
        <v>219.042269851418</v>
      </c>
      <c r="F101" s="16" t="n">
        <f aca="false">E101*(1+MAX(g_opx_min,phi*F93))+0*F92</f>
        <v>236.414911497359</v>
      </c>
      <c r="G101" s="16" t="n">
        <f aca="false">F101*(1+MAX(g_opx_min,phi*G93))+0*G92</f>
        <v>250.599806187201</v>
      </c>
    </row>
    <row r="102" customFormat="false" ht="15" hidden="false" customHeight="false" outlineLevel="0" collapsed="false">
      <c r="A102" s="4" t="s">
        <v>524</v>
      </c>
      <c r="B102" s="0" t="s">
        <v>301</v>
      </c>
      <c r="C102" s="16" t="n">
        <f aca="false">C99-C101</f>
        <v>103.47</v>
      </c>
      <c r="D102" s="16" t="n">
        <f aca="false">D99-D101</f>
        <v>115.07286821659</v>
      </c>
      <c r="E102" s="16" t="n">
        <f aca="false">E99-E101</f>
        <v>195.319726403926</v>
      </c>
      <c r="F102" s="16" t="n">
        <f aca="false">F99-F101</f>
        <v>259.606562963164</v>
      </c>
      <c r="G102" s="16" t="n">
        <f aca="false">G99-G101</f>
        <v>289.306139446647</v>
      </c>
    </row>
    <row r="103" customFormat="false" ht="15" hidden="false" customHeight="false" outlineLevel="0" collapsed="false">
      <c r="A103" s="4" t="s">
        <v>598</v>
      </c>
      <c r="B103" s="0" t="s">
        <v>46</v>
      </c>
      <c r="C103" s="17" t="n">
        <f aca="false">C102/C92</f>
        <v>0.173617286892205</v>
      </c>
      <c r="D103" s="17" t="n">
        <f aca="false">D102/D92</f>
        <v>0.170599148410502</v>
      </c>
      <c r="E103" s="17" t="n">
        <f aca="false">E102/E92</f>
        <v>0.197333099812867</v>
      </c>
      <c r="F103" s="17" t="n">
        <f aca="false">F102/F92</f>
        <v>0.20744089317496</v>
      </c>
      <c r="G103" s="17" t="n">
        <f aca="false">G102/G92</f>
        <v>0.212187697184692</v>
      </c>
    </row>
    <row r="104" customFormat="false" ht="15" hidden="false" customHeight="false" outlineLevel="0" collapsed="false">
      <c r="A104" s="4" t="s">
        <v>526</v>
      </c>
      <c r="B104" s="0" t="s">
        <v>301</v>
      </c>
      <c r="C104" s="16" t="n">
        <f aca="false">a25_nonop</f>
        <v>21.418</v>
      </c>
      <c r="D104" s="16" t="n">
        <f aca="false">a26_nonop</f>
        <v>18.823</v>
      </c>
      <c r="E104" s="16" t="n">
        <f aca="false">nonop_f</f>
        <v>18</v>
      </c>
      <c r="F104" s="16" t="n">
        <f aca="false">nonop_f</f>
        <v>18</v>
      </c>
      <c r="G104" s="16" t="n">
        <f aca="false">nonop_f</f>
        <v>18</v>
      </c>
    </row>
    <row r="105" customFormat="false" ht="15" hidden="false" customHeight="false" outlineLevel="0" collapsed="false">
      <c r="A105" s="4" t="s">
        <v>528</v>
      </c>
      <c r="B105" s="0" t="s">
        <v>301</v>
      </c>
      <c r="C105" s="16" t="n">
        <f aca="false">C102+C104</f>
        <v>124.888</v>
      </c>
      <c r="D105" s="16" t="n">
        <f aca="false">D102+D104</f>
        <v>133.89586821659</v>
      </c>
      <c r="E105" s="16" t="n">
        <f aca="false">E102+E104</f>
        <v>213.319726403926</v>
      </c>
      <c r="F105" s="16" t="n">
        <f aca="false">F102+F104</f>
        <v>277.606562963164</v>
      </c>
      <c r="G105" s="16" t="n">
        <f aca="false">G102+G104</f>
        <v>307.306139446647</v>
      </c>
    </row>
    <row r="106" customFormat="false" ht="15" hidden="false" customHeight="false" outlineLevel="0" collapsed="false">
      <c r="A106" s="4" t="s">
        <v>529</v>
      </c>
      <c r="B106" s="0" t="s">
        <v>301</v>
      </c>
      <c r="C106" s="16" t="n">
        <f aca="false">a25_tax</f>
        <v>18.77</v>
      </c>
      <c r="D106" s="16" t="n">
        <f aca="false">a26_tax</f>
        <v>16.2589328681567</v>
      </c>
      <c r="E106" s="16" t="n">
        <f aca="false">E105*tax</f>
        <v>29.8647616965496</v>
      </c>
      <c r="F106" s="16" t="n">
        <f aca="false">F105*tax</f>
        <v>38.8649188148429</v>
      </c>
      <c r="G106" s="16" t="n">
        <f aca="false">G105*tax</f>
        <v>43.0228595225306</v>
      </c>
    </row>
    <row r="107" customFormat="false" ht="15" hidden="false" customHeight="false" outlineLevel="0" collapsed="false">
      <c r="A107" s="4" t="s">
        <v>530</v>
      </c>
      <c r="B107" s="0" t="s">
        <v>301</v>
      </c>
      <c r="C107" s="16" t="n">
        <f aca="false">a25_nci</f>
        <v>0.798</v>
      </c>
      <c r="D107" s="16" t="n">
        <f aca="false">a26_nci</f>
        <v>0.992</v>
      </c>
      <c r="E107" s="16" t="n">
        <f aca="false">nci</f>
        <v>1</v>
      </c>
      <c r="F107" s="16" t="n">
        <f aca="false">nci</f>
        <v>1</v>
      </c>
      <c r="G107" s="16" t="n">
        <f aca="false">nci</f>
        <v>1</v>
      </c>
    </row>
    <row r="108" customFormat="false" ht="15" hidden="false" customHeight="false" outlineLevel="0" collapsed="false">
      <c r="A108" s="4" t="s">
        <v>532</v>
      </c>
      <c r="B108" s="0" t="s">
        <v>301</v>
      </c>
      <c r="C108" s="16" t="n">
        <f aca="false">C105-C106-C107</f>
        <v>105.32</v>
      </c>
      <c r="D108" s="16" t="n">
        <f aca="false">D105-D106-D107</f>
        <v>116.644935348433</v>
      </c>
      <c r="E108" s="16" t="n">
        <f aca="false">E105-E106-E107</f>
        <v>182.454964707376</v>
      </c>
      <c r="F108" s="16" t="n">
        <f aca="false">F105-F106-F107</f>
        <v>237.741644148321</v>
      </c>
      <c r="G108" s="16" t="n">
        <f aca="false">G105-G106-G107</f>
        <v>263.283279924116</v>
      </c>
      <c r="H108" s="26" t="n">
        <f aca="false">H92*H112</f>
        <v>284.253303430645</v>
      </c>
      <c r="I108" s="26" t="n">
        <f aca="false">I92*I112</f>
        <v>304.101025969559</v>
      </c>
      <c r="J108" s="26" t="n">
        <f aca="false">J92*J112</f>
        <v>322.347087527732</v>
      </c>
    </row>
    <row r="109" customFormat="false" ht="15" hidden="false" customHeight="false" outlineLevel="0" collapsed="false">
      <c r="A109" s="4" t="s">
        <v>648</v>
      </c>
      <c r="B109" s="4" t="s">
        <v>346</v>
      </c>
      <c r="C109" s="18" t="n">
        <f aca="false">a25_sh</f>
        <v>1.59188331318017</v>
      </c>
      <c r="D109" s="18" t="n">
        <f aca="false">a26_sh</f>
        <v>1.59250890647703</v>
      </c>
      <c r="E109" s="18" t="n">
        <f aca="false">D109*(1+sh_g)</f>
        <v>1.59250890647703</v>
      </c>
      <c r="F109" s="18" t="n">
        <f aca="false">E109*(1+sh_g)</f>
        <v>1.59250890647703</v>
      </c>
      <c r="G109" s="18" t="n">
        <f aca="false">F109*(1+sh_g)</f>
        <v>1.59250890647703</v>
      </c>
      <c r="H109" s="28" t="n">
        <f aca="false">G109*(1+sh_g)</f>
        <v>1.59250890647703</v>
      </c>
      <c r="I109" s="28" t="n">
        <f aca="false">H109*(1+sh_g)</f>
        <v>1.59250890647703</v>
      </c>
      <c r="J109" s="28" t="n">
        <f aca="false">I109*(1+sh_g)</f>
        <v>1.59250890647703</v>
      </c>
    </row>
    <row r="110" customFormat="false" ht="17.15" hidden="false" customHeight="false" outlineLevel="0" collapsed="false">
      <c r="A110" s="0" t="s">
        <v>537</v>
      </c>
      <c r="B110" s="0" t="s">
        <v>403</v>
      </c>
      <c r="C110" s="16" t="n">
        <f aca="false">C108/C109</f>
        <v>66.1606281867469</v>
      </c>
      <c r="D110" s="16" t="n">
        <f aca="false">D108/D109</f>
        <v>73.2460175726595</v>
      </c>
      <c r="E110" s="16" t="n">
        <f aca="false">E108/E109</f>
        <v>114.570765642376</v>
      </c>
      <c r="F110" s="16" t="n">
        <f aca="false">F108/F109</f>
        <v>149.287481646967</v>
      </c>
      <c r="G110" s="16" t="n">
        <f aca="false">G108/G109</f>
        <v>165.326095730639</v>
      </c>
      <c r="H110" s="26" t="n">
        <f aca="false">H108/H109</f>
        <v>178.494011728621</v>
      </c>
      <c r="I110" s="26" t="n">
        <f aca="false">I108/I109</f>
        <v>190.957190087116</v>
      </c>
      <c r="J110" s="26" t="n">
        <f aca="false">J108/J109</f>
        <v>202.414621492343</v>
      </c>
    </row>
    <row r="111" customFormat="false" ht="17.15" hidden="false" customHeight="false" outlineLevel="0" collapsed="false">
      <c r="A111" s="0" t="s">
        <v>649</v>
      </c>
      <c r="B111" s="0" t="s">
        <v>46</v>
      </c>
      <c r="D111" s="19" t="n">
        <f aca="false">D110/C110-1</f>
        <v>0.107093744120947</v>
      </c>
      <c r="E111" s="19" t="n">
        <f aca="false">E110/D110-1</f>
        <v>0.564191056922962</v>
      </c>
      <c r="F111" s="19" t="n">
        <f aca="false">F110/E110-1</f>
        <v>0.303015484010611</v>
      </c>
      <c r="G111" s="19" t="n">
        <f aca="false">G110/F110-1</f>
        <v>0.107434420533665</v>
      </c>
      <c r="H111" s="24" t="n">
        <f aca="false">H110/G110-1</f>
        <v>0.0796481398764575</v>
      </c>
      <c r="I111" s="24" t="n">
        <f aca="false">I110/H110-1</f>
        <v>0.0698240699382287</v>
      </c>
      <c r="J111" s="24" t="n">
        <f aca="false">J110/I110-1</f>
        <v>0.0600000000000001</v>
      </c>
    </row>
    <row r="112" customFormat="false" ht="17.15" hidden="false" customHeight="false" outlineLevel="0" collapsed="false">
      <c r="A112" s="4" t="s">
        <v>650</v>
      </c>
      <c r="B112" s="0" t="s">
        <v>46</v>
      </c>
      <c r="C112" s="17" t="n">
        <f aca="false">C108/C92</f>
        <v>0.176721490823302</v>
      </c>
      <c r="D112" s="17" t="n">
        <f aca="false">D108/D92</f>
        <v>0.172929787405541</v>
      </c>
      <c r="E112" s="17" t="n">
        <f aca="false">E108/E92</f>
        <v>0.184335726988967</v>
      </c>
      <c r="F112" s="17" t="n">
        <f aca="false">F108/F92</f>
        <v>0.189969538690009</v>
      </c>
      <c r="G112" s="17" t="n">
        <f aca="false">G108/G92</f>
        <v>0.19310158084161</v>
      </c>
      <c r="H112" s="25" t="n">
        <f aca="false">$G112+(fade_mA-$G112)*1/3</f>
        <v>0.19310158084161</v>
      </c>
      <c r="I112" s="25" t="n">
        <f aca="false">$G112+(fade_mA-$G112)*2/3</f>
        <v>0.19310158084161</v>
      </c>
      <c r="J112" s="25" t="n">
        <f aca="false">$G112+(fade_mA-$G112)*3/3</f>
        <v>0.19310158084161</v>
      </c>
    </row>
    <row r="115" customFormat="false" ht="17.15" hidden="false" customHeight="false" outlineLevel="0" collapsed="false">
      <c r="A115" s="1" t="s">
        <v>651</v>
      </c>
    </row>
    <row r="116" customFormat="false" ht="17.15" hidden="false" customHeight="false" outlineLevel="0" collapsed="false">
      <c r="A116" s="5" t="s">
        <v>22</v>
      </c>
      <c r="B116" s="5" t="s">
        <v>23</v>
      </c>
      <c r="C116" s="14" t="s">
        <v>494</v>
      </c>
      <c r="D116" s="14" t="s">
        <v>587</v>
      </c>
      <c r="E116" s="14" t="s">
        <v>588</v>
      </c>
      <c r="F116" s="14" t="s">
        <v>589</v>
      </c>
      <c r="G116" s="14" t="s">
        <v>590</v>
      </c>
      <c r="H116" s="14" t="s">
        <v>591</v>
      </c>
      <c r="I116" s="14" t="s">
        <v>592</v>
      </c>
      <c r="J116" s="14" t="s">
        <v>593</v>
      </c>
      <c r="K116" s="5" t="s">
        <v>557</v>
      </c>
    </row>
    <row r="117" customFormat="false" ht="17.15" hidden="false" customHeight="false" outlineLevel="0" collapsed="false">
      <c r="A117" s="6" t="s">
        <v>609</v>
      </c>
    </row>
    <row r="118" customFormat="false" ht="17.15" hidden="false" customHeight="false" outlineLevel="0" collapsed="false">
      <c r="A118" s="0" t="s">
        <v>610</v>
      </c>
      <c r="B118" s="4" t="s">
        <v>33</v>
      </c>
      <c r="D118" s="20" t="n">
        <f aca="false">u_tpu_26</f>
        <v>3.85</v>
      </c>
      <c r="E118" s="20" t="n">
        <f aca="false">u_tpu_27</f>
        <v>5.5</v>
      </c>
      <c r="F118" s="20" t="n">
        <f aca="false">u_tpu_28*um28_B</f>
        <v>5.6</v>
      </c>
      <c r="G118" s="20" t="n">
        <f aca="false">u_tpu_28*(1+g29_tpu)*um29_B</f>
        <v>6.8425</v>
      </c>
    </row>
    <row r="119" customFormat="false" ht="17.15" hidden="false" customHeight="false" outlineLevel="0" collapsed="false">
      <c r="A119" s="4" t="s">
        <v>611</v>
      </c>
      <c r="B119" s="4" t="s">
        <v>33</v>
      </c>
      <c r="D119" s="20" t="n">
        <f aca="false">u_oth_26</f>
        <v>1</v>
      </c>
      <c r="E119" s="20" t="n">
        <f aca="false">u_oth_27</f>
        <v>4.5</v>
      </c>
      <c r="F119" s="20" t="n">
        <f aca="false">u_oth_28*um28_B</f>
        <v>4</v>
      </c>
      <c r="G119" s="20" t="n">
        <f aca="false">u_oth_28*(1+g29_oth)*um29_B</f>
        <v>4.8875</v>
      </c>
    </row>
    <row r="120" customFormat="false" ht="17.15" hidden="false" customHeight="false" outlineLevel="0" collapsed="false">
      <c r="A120" s="4" t="s">
        <v>561</v>
      </c>
      <c r="B120" s="0" t="s">
        <v>46</v>
      </c>
      <c r="D120" s="19" t="n">
        <f aca="false">mtk_tpu_26</f>
        <v>0.05</v>
      </c>
      <c r="E120" s="19" t="n">
        <f aca="false">MIN(1,MAX(0,mtk_tpu_27+0))</f>
        <v>0.15</v>
      </c>
      <c r="F120" s="19" t="n">
        <f aca="false">MIN(1,MAX(0,mtk_tpu_28+0))</f>
        <v>0.18</v>
      </c>
      <c r="G120" s="19" t="n">
        <f aca="false">MIN(1,MAX(0,mtk_tpu_28+0))</f>
        <v>0.18</v>
      </c>
    </row>
    <row r="121" customFormat="false" ht="17.15" hidden="false" customHeight="false" outlineLevel="0" collapsed="false">
      <c r="A121" s="4" t="s">
        <v>612</v>
      </c>
      <c r="B121" s="0" t="s">
        <v>46</v>
      </c>
      <c r="D121" s="19" t="n">
        <f aca="false">mtk_oth_26</f>
        <v>0</v>
      </c>
      <c r="E121" s="19" t="n">
        <f aca="false">MIN(1,MAX(0,mtk_oth_27+0))</f>
        <v>0</v>
      </c>
      <c r="F121" s="19" t="n">
        <f aca="false">MIN(1,MAX(0,mtk_oth_28+0))</f>
        <v>0</v>
      </c>
      <c r="G121" s="19" t="n">
        <f aca="false">MIN(1,MAX(0,mtk_oth_28+0))</f>
        <v>0</v>
      </c>
    </row>
    <row r="122" customFormat="false" ht="17.15" hidden="false" customHeight="false" outlineLevel="0" collapsed="false">
      <c r="A122" s="4" t="s">
        <v>563</v>
      </c>
      <c r="B122" s="4" t="s">
        <v>33</v>
      </c>
      <c r="D122" s="20" t="n">
        <f aca="false">D118*D120</f>
        <v>0.1925</v>
      </c>
      <c r="E122" s="20" t="n">
        <f aca="false">E118*E120*1</f>
        <v>0.825</v>
      </c>
      <c r="F122" s="20" t="n">
        <f aca="false">F118*F120*1</f>
        <v>1.008</v>
      </c>
      <c r="G122" s="20" t="n">
        <f aca="false">G118*G120*1</f>
        <v>1.23165</v>
      </c>
    </row>
    <row r="123" customFormat="false" ht="17.15" hidden="false" customHeight="false" outlineLevel="0" collapsed="false">
      <c r="A123" s="4" t="s">
        <v>613</v>
      </c>
      <c r="B123" s="4" t="s">
        <v>33</v>
      </c>
      <c r="D123" s="20" t="n">
        <f aca="false">D119*D121</f>
        <v>0</v>
      </c>
      <c r="E123" s="20" t="n">
        <f aca="false">E119*E121*1</f>
        <v>0</v>
      </c>
      <c r="F123" s="20" t="n">
        <f aca="false">F119*F121*1</f>
        <v>0</v>
      </c>
      <c r="G123" s="20" t="n">
        <f aca="false">G119*G121*1</f>
        <v>0</v>
      </c>
    </row>
    <row r="124" customFormat="false" ht="17.15" hidden="false" customHeight="false" outlineLevel="0" collapsed="false">
      <c r="A124" s="4" t="s">
        <v>614</v>
      </c>
      <c r="B124" s="0" t="s">
        <v>102</v>
      </c>
      <c r="D124" s="27" t="n">
        <f aca="false">gb_tpu_26</f>
        <v>192</v>
      </c>
      <c r="E124" s="27" t="n">
        <f aca="false">gb_tpu_27</f>
        <v>250</v>
      </c>
      <c r="F124" s="27" t="n">
        <f aca="false">gb_tpu_28</f>
        <v>288</v>
      </c>
      <c r="G124" s="27" t="n">
        <f aca="false">gb_tpu_28</f>
        <v>288</v>
      </c>
    </row>
    <row r="125" customFormat="false" ht="17.15" hidden="false" customHeight="false" outlineLevel="0" collapsed="false">
      <c r="A125" s="4" t="s">
        <v>615</v>
      </c>
      <c r="B125" s="0" t="s">
        <v>102</v>
      </c>
      <c r="D125" s="27" t="n">
        <f aca="false">gb_oth_26</f>
        <v>150</v>
      </c>
      <c r="E125" s="27" t="n">
        <f aca="false">gb_oth_27</f>
        <v>200</v>
      </c>
      <c r="F125" s="27" t="n">
        <f aca="false">gb_oth_28</f>
        <v>250</v>
      </c>
      <c r="G125" s="27" t="n">
        <f aca="false">gb_oth_28</f>
        <v>250</v>
      </c>
    </row>
    <row r="126" customFormat="false" ht="17.15" hidden="false" customHeight="false" outlineLevel="0" collapsed="false">
      <c r="A126" s="0" t="s">
        <v>616</v>
      </c>
      <c r="B126" s="0" t="s">
        <v>194</v>
      </c>
      <c r="D126" s="16" t="n">
        <f aca="false">hbm_B_26</f>
        <v>14.6</v>
      </c>
      <c r="E126" s="16" t="n">
        <f aca="false">hbm_B_27</f>
        <v>26.28</v>
      </c>
      <c r="F126" s="16" t="n">
        <f aca="false">hbm_B_28</f>
        <v>19.71</v>
      </c>
      <c r="G126" s="16" t="n">
        <f aca="false">hbm_B_29</f>
        <v>19.71</v>
      </c>
    </row>
    <row r="127" customFormat="false" ht="17.15" hidden="false" customHeight="false" outlineLevel="0" collapsed="false">
      <c r="A127" s="4" t="s">
        <v>617</v>
      </c>
      <c r="B127" s="0" t="s">
        <v>86</v>
      </c>
      <c r="D127" s="16" t="n">
        <f aca="false">core_tpu</f>
        <v>8</v>
      </c>
      <c r="E127" s="16" t="n">
        <f aca="false">core_tpu</f>
        <v>8</v>
      </c>
      <c r="F127" s="16" t="n">
        <f aca="false">core_tpu*1</f>
        <v>8</v>
      </c>
      <c r="G127" s="16" t="n">
        <f aca="false">core_tpu*1</f>
        <v>8</v>
      </c>
    </row>
    <row r="128" customFormat="false" ht="17.15" hidden="false" customHeight="false" outlineLevel="0" collapsed="false">
      <c r="A128" s="4" t="s">
        <v>618</v>
      </c>
      <c r="B128" s="0" t="s">
        <v>86</v>
      </c>
      <c r="D128" s="16" t="n">
        <f aca="false">core_oth</f>
        <v>6</v>
      </c>
      <c r="E128" s="16" t="n">
        <f aca="false">core_oth</f>
        <v>6</v>
      </c>
      <c r="F128" s="16" t="n">
        <f aca="false">core_oth*1</f>
        <v>6</v>
      </c>
      <c r="G128" s="16" t="n">
        <f aca="false">core_oth*1</f>
        <v>6</v>
      </c>
    </row>
    <row r="129" customFormat="false" ht="17.15" hidden="false" customHeight="false" outlineLevel="0" collapsed="false">
      <c r="A129" s="4" t="s">
        <v>619</v>
      </c>
      <c r="B129" s="0" t="s">
        <v>86</v>
      </c>
      <c r="D129" s="16" t="n">
        <f aca="false">D124*D126/1000</f>
        <v>2.8032</v>
      </c>
      <c r="E129" s="16" t="n">
        <f aca="false">E124*E126/1000</f>
        <v>6.57</v>
      </c>
      <c r="F129" s="16" t="n">
        <f aca="false">F124*F126/1000</f>
        <v>5.67648</v>
      </c>
      <c r="G129" s="16" t="n">
        <f aca="false">G124*G126/1000</f>
        <v>5.67648</v>
      </c>
    </row>
    <row r="130" customFormat="false" ht="17.15" hidden="false" customHeight="false" outlineLevel="0" collapsed="false">
      <c r="A130" s="4" t="s">
        <v>620</v>
      </c>
      <c r="B130" s="0" t="s">
        <v>86</v>
      </c>
      <c r="D130" s="16" t="n">
        <f aca="false">D125*D126/1000</f>
        <v>2.19</v>
      </c>
      <c r="E130" s="16" t="n">
        <f aca="false">E125*E126/1000</f>
        <v>5.256</v>
      </c>
      <c r="F130" s="16" t="n">
        <f aca="false">F125*F126/1000</f>
        <v>4.9275</v>
      </c>
      <c r="G130" s="16" t="n">
        <f aca="false">G125*G126/1000</f>
        <v>4.9275</v>
      </c>
    </row>
    <row r="131" customFormat="false" ht="17.15" hidden="false" customHeight="false" outlineLevel="0" collapsed="false">
      <c r="A131" s="4" t="s">
        <v>621</v>
      </c>
      <c r="B131" s="0" t="s">
        <v>86</v>
      </c>
      <c r="D131" s="16" t="n">
        <f aca="false">D127+f_hbm*D129</f>
        <v>9.68192</v>
      </c>
      <c r="E131" s="16" t="n">
        <f aca="false">E127+f_hbm*E129</f>
        <v>11.942</v>
      </c>
      <c r="F131" s="16" t="n">
        <f aca="false">F127+f_hbm*F129</f>
        <v>11.405888</v>
      </c>
      <c r="G131" s="16" t="n">
        <f aca="false">G127+f_hbm*G129</f>
        <v>11.405888</v>
      </c>
      <c r="K131" s="4" t="s">
        <v>622</v>
      </c>
    </row>
    <row r="132" customFormat="false" ht="17.15" hidden="false" customHeight="false" outlineLevel="0" collapsed="false">
      <c r="A132" s="4" t="s">
        <v>623</v>
      </c>
      <c r="B132" s="0" t="s">
        <v>86</v>
      </c>
      <c r="D132" s="16" t="n">
        <f aca="false">D128+f_hbm*D130</f>
        <v>7.314</v>
      </c>
      <c r="E132" s="16" t="n">
        <f aca="false">E128+f_hbm*E130</f>
        <v>9.1536</v>
      </c>
      <c r="F132" s="16" t="n">
        <f aca="false">F128+f_hbm*F130</f>
        <v>8.9565</v>
      </c>
      <c r="G132" s="16" t="n">
        <f aca="false">G128+f_hbm*G130</f>
        <v>8.9565</v>
      </c>
    </row>
    <row r="133" customFormat="false" ht="17.15" hidden="false" customHeight="false" outlineLevel="0" collapsed="false">
      <c r="A133" s="0" t="s">
        <v>624</v>
      </c>
      <c r="B133" s="0" t="s">
        <v>279</v>
      </c>
      <c r="D133" s="16" t="n">
        <f aca="false">D122*D131+D123*D132</f>
        <v>1.8637696</v>
      </c>
      <c r="E133" s="16" t="n">
        <f aca="false">E122*E131+E123*E132</f>
        <v>9.85215</v>
      </c>
      <c r="F133" s="16" t="n">
        <f aca="false">F122*F131+F123*F132</f>
        <v>11.497135104</v>
      </c>
      <c r="G133" s="16" t="n">
        <f aca="false">G122*G131+G123*G132</f>
        <v>14.0480619552</v>
      </c>
    </row>
    <row r="134" customFormat="false" ht="17.15" hidden="false" customHeight="false" outlineLevel="0" collapsed="false">
      <c r="A134" s="0" t="s">
        <v>625</v>
      </c>
      <c r="B134" s="0" t="s">
        <v>65</v>
      </c>
      <c r="D134" s="20" t="n">
        <f aca="false">dc26/D133</f>
        <v>1.07309401333727</v>
      </c>
      <c r="K134" s="8" t="s">
        <v>626</v>
      </c>
    </row>
    <row r="135" customFormat="false" ht="17.15" hidden="false" customHeight="false" outlineLevel="0" collapsed="false">
      <c r="A135" s="0" t="s">
        <v>627</v>
      </c>
      <c r="B135" s="0" t="s">
        <v>279</v>
      </c>
      <c r="D135" s="16" t="n">
        <f aca="false">D133*$D$134</f>
        <v>2</v>
      </c>
      <c r="E135" s="16" t="n">
        <f aca="false">E133*$D$134</f>
        <v>10.5722831835008</v>
      </c>
      <c r="F135" s="16" t="n">
        <f aca="false">F133*$D$134</f>
        <v>12.3375068506322</v>
      </c>
      <c r="G135" s="16" t="n">
        <f aca="false">G133*$D$134</f>
        <v>15.0748911831162</v>
      </c>
    </row>
    <row r="136" customFormat="false" ht="15" hidden="false" customHeight="false" outlineLevel="0" collapsed="false">
      <c r="A136" s="4" t="s">
        <v>628</v>
      </c>
      <c r="B136" s="0" t="s">
        <v>288</v>
      </c>
      <c r="D136" s="16" t="n">
        <f aca="false">fx26</f>
        <v>32</v>
      </c>
      <c r="E136" s="16" t="n">
        <f aca="false">fx</f>
        <v>32</v>
      </c>
      <c r="F136" s="16" t="n">
        <f aca="false">fx</f>
        <v>32</v>
      </c>
      <c r="G136" s="16" t="n">
        <f aca="false">fx</f>
        <v>32</v>
      </c>
    </row>
    <row r="137" customFormat="false" ht="17.15" hidden="false" customHeight="false" outlineLevel="0" collapsed="false">
      <c r="A137" s="0" t="s">
        <v>629</v>
      </c>
      <c r="B137" s="0" t="s">
        <v>301</v>
      </c>
      <c r="C137" s="16" t="n">
        <f aca="false">a25_asic</f>
        <v>0</v>
      </c>
      <c r="D137" s="16" t="n">
        <f aca="false">D135*D136</f>
        <v>64</v>
      </c>
      <c r="E137" s="16" t="n">
        <f aca="false">E135*E136</f>
        <v>338.313061872025</v>
      </c>
      <c r="F137" s="16" t="n">
        <f aca="false">F135*F136</f>
        <v>394.80021922023</v>
      </c>
      <c r="G137" s="16" t="n">
        <f aca="false">G135*G136</f>
        <v>482.396517859718</v>
      </c>
    </row>
    <row r="138" customFormat="false" ht="17.15" hidden="false" customHeight="false" outlineLevel="0" collapsed="false">
      <c r="A138" s="4" t="s">
        <v>630</v>
      </c>
      <c r="B138" s="0" t="s">
        <v>301</v>
      </c>
      <c r="D138" s="16" t="n">
        <f aca="false">$D$134*f_hbm*(D122*D129+D123*D130)*D136</f>
        <v>11.1179270227393</v>
      </c>
      <c r="E138" s="16" t="n">
        <f aca="false">$D$134*f_hbm*(E122*E129+E123*E130)*E136</f>
        <v>111.675606255194</v>
      </c>
      <c r="F138" s="16" t="n">
        <f aca="false">$D$134*f_hbm*(F122*F129+F123*F130)*F136</f>
        <v>117.890455266574</v>
      </c>
      <c r="G138" s="16" t="n">
        <f aca="false">$D$134*f_hbm*(G122*G129+G123*G130)*G136</f>
        <v>144.047400028845</v>
      </c>
    </row>
    <row r="139" customFormat="false" ht="15" hidden="false" customHeight="false" outlineLevel="0" collapsed="false">
      <c r="A139" s="4" t="s">
        <v>631</v>
      </c>
      <c r="B139" s="0" t="s">
        <v>301</v>
      </c>
      <c r="D139" s="16" t="n">
        <f aca="false">D137-D138</f>
        <v>52.8820729772607</v>
      </c>
      <c r="E139" s="16" t="n">
        <f aca="false">E137-E138</f>
        <v>226.637455616832</v>
      </c>
      <c r="F139" s="16" t="n">
        <f aca="false">F137-F138</f>
        <v>276.909763953656</v>
      </c>
      <c r="G139" s="16" t="n">
        <f aca="false">G137-G138</f>
        <v>338.349117830873</v>
      </c>
    </row>
    <row r="140" customFormat="false" ht="17.15" hidden="false" customHeight="false" outlineLevel="0" collapsed="false">
      <c r="A140" s="4" t="s">
        <v>632</v>
      </c>
      <c r="B140" s="4" t="s">
        <v>33</v>
      </c>
      <c r="D140" s="20" t="n">
        <f aca="false">D122+D123</f>
        <v>0.1925</v>
      </c>
      <c r="E140" s="20" t="n">
        <f aca="false">E122+E123</f>
        <v>0.825</v>
      </c>
      <c r="F140" s="20" t="n">
        <f aca="false">F122+F123</f>
        <v>1.008</v>
      </c>
      <c r="G140" s="20" t="n">
        <f aca="false">G122+G123</f>
        <v>1.23165</v>
      </c>
    </row>
    <row r="141" customFormat="false" ht="17.15" hidden="false" customHeight="false" outlineLevel="0" collapsed="false">
      <c r="A141" s="4" t="s">
        <v>633</v>
      </c>
      <c r="B141" s="0" t="s">
        <v>86</v>
      </c>
      <c r="D141" s="16" t="n">
        <f aca="false">IF(D140&gt;0,D135/D140,0)</f>
        <v>10.3896103896104</v>
      </c>
      <c r="E141" s="16" t="n">
        <f aca="false">IF(E140&gt;0,E135/E140,0)</f>
        <v>12.8148887072737</v>
      </c>
      <c r="F141" s="16" t="n">
        <f aca="false">IF(F140&gt;0,F135/F140,0)</f>
        <v>12.2395901295954</v>
      </c>
      <c r="G141" s="16" t="n">
        <f aca="false">IF(G140&gt;0,G135/G140,0)</f>
        <v>12.2395901295954</v>
      </c>
    </row>
    <row r="142" customFormat="false" ht="17.15" hidden="false" customHeight="false" outlineLevel="0" collapsed="false">
      <c r="A142" s="6" t="s">
        <v>634</v>
      </c>
    </row>
    <row r="143" customFormat="false" ht="15" hidden="false" customHeight="false" outlineLevel="0" collapsed="false">
      <c r="A143" s="4" t="s">
        <v>635</v>
      </c>
      <c r="B143" s="0" t="s">
        <v>301</v>
      </c>
      <c r="C143" s="16" t="n">
        <f aca="false">a25_mob</f>
        <v>315.86198</v>
      </c>
      <c r="D143" s="16" t="n">
        <f aca="false">a26_mob</f>
        <v>262.655761173888</v>
      </c>
      <c r="E143" s="16" t="n">
        <f aca="false">D143*(1+g_mob27_B)</f>
        <v>262.655761173888</v>
      </c>
      <c r="F143" s="16" t="n">
        <f aca="false">E143*(1+g_mobL_B)</f>
        <v>267.908876397365</v>
      </c>
      <c r="G143" s="16" t="n">
        <f aca="false">F143*(1+g_mobL_B)</f>
        <v>273.267053925313</v>
      </c>
    </row>
    <row r="144" customFormat="false" ht="17.15" hidden="false" customHeight="false" outlineLevel="0" collapsed="false">
      <c r="A144" s="4" t="s">
        <v>636</v>
      </c>
      <c r="B144" s="0" t="s">
        <v>301</v>
      </c>
      <c r="C144" s="16" t="n">
        <f aca="false">a25_sepx</f>
        <v>247.32589</v>
      </c>
      <c r="D144" s="16" t="n">
        <f aca="false">a26_sepx</f>
        <v>311.894023346019</v>
      </c>
      <c r="E144" s="16" t="n">
        <f aca="false">D144*(1+g_sep27_B)</f>
        <v>324.36978427986</v>
      </c>
      <c r="F144" s="16" t="n">
        <f aca="false">E144*(1+g_sepL_B)</f>
        <v>337.344575651054</v>
      </c>
      <c r="G144" s="16" t="n">
        <f aca="false">F144*(1+g_sepL_B)</f>
        <v>350.838358677096</v>
      </c>
    </row>
    <row r="145" customFormat="false" ht="17.15" hidden="false" customHeight="false" outlineLevel="0" collapsed="false">
      <c r="A145" s="4" t="s">
        <v>637</v>
      </c>
      <c r="B145" s="0" t="s">
        <v>301</v>
      </c>
      <c r="C145" s="16" t="n">
        <f aca="false">a25_pic</f>
        <v>32.77813</v>
      </c>
      <c r="D145" s="16" t="n">
        <f aca="false">a26_pic</f>
        <v>35.9721535362998</v>
      </c>
      <c r="E145" s="16" t="n">
        <f aca="false">D145*(1+g_pic27_B)</f>
        <v>37.4110396777518</v>
      </c>
      <c r="F145" s="16" t="n">
        <f aca="false">E145*(1+g_picL_B)</f>
        <v>38.9074812648618</v>
      </c>
      <c r="G145" s="16" t="n">
        <f aca="false">F145*(1+g_picL_B)</f>
        <v>40.4637805154563</v>
      </c>
    </row>
    <row r="146" customFormat="false" ht="17.15" hidden="false" customHeight="false" outlineLevel="0" collapsed="false">
      <c r="A146" s="4" t="s">
        <v>638</v>
      </c>
      <c r="B146" s="0" t="s">
        <v>301</v>
      </c>
      <c r="C146" s="16" t="n">
        <f aca="false">C143+C144+C145</f>
        <v>595.966</v>
      </c>
      <c r="D146" s="16" t="n">
        <f aca="false">D143+D144+D145</f>
        <v>610.521938056206</v>
      </c>
      <c r="E146" s="16" t="n">
        <f aca="false">E143+E144+E145</f>
        <v>624.436585131499</v>
      </c>
      <c r="F146" s="16" t="n">
        <f aca="false">F143+F144+F145</f>
        <v>644.160933313281</v>
      </c>
      <c r="G146" s="16" t="n">
        <f aca="false">G143+G144+G145</f>
        <v>664.569193117865</v>
      </c>
    </row>
    <row r="147" customFormat="false" ht="17.15" hidden="false" customHeight="false" outlineLevel="0" collapsed="false">
      <c r="A147" s="4" t="s">
        <v>501</v>
      </c>
      <c r="B147" s="0" t="s">
        <v>301</v>
      </c>
      <c r="C147" s="16" t="n">
        <f aca="false">C146+C137</f>
        <v>595.966</v>
      </c>
      <c r="D147" s="16" t="n">
        <f aca="false">D146+D137</f>
        <v>674.521938056206</v>
      </c>
      <c r="E147" s="16" t="n">
        <f aca="false">E146+E137</f>
        <v>962.749647003524</v>
      </c>
      <c r="F147" s="16" t="n">
        <f aca="false">F146+F137</f>
        <v>1038.96115253351</v>
      </c>
      <c r="G147" s="16" t="n">
        <f aca="false">G146+G137</f>
        <v>1146.96571097758</v>
      </c>
      <c r="H147" s="26" t="n">
        <f aca="false">G147*(1+H148)</f>
        <v>1241.74665708213</v>
      </c>
      <c r="I147" s="26" t="n">
        <f aca="false">H147*(1+I148)</f>
        <v>1317.8882342908</v>
      </c>
      <c r="J147" s="26" t="n">
        <f aca="false">I147*(1+J148)</f>
        <v>1370.60376366243</v>
      </c>
      <c r="K147" s="8" t="s">
        <v>639</v>
      </c>
    </row>
    <row r="148" customFormat="false" ht="15" hidden="false" customHeight="false" outlineLevel="0" collapsed="false">
      <c r="A148" s="4" t="s">
        <v>640</v>
      </c>
      <c r="B148" s="0" t="s">
        <v>46</v>
      </c>
      <c r="D148" s="19" t="n">
        <f aca="false">D147/C147-1</f>
        <v>0.131812784716252</v>
      </c>
      <c r="E148" s="19" t="n">
        <f aca="false">E147/D147-1</f>
        <v>0.427306648880708</v>
      </c>
      <c r="F148" s="19" t="n">
        <f aca="false">F147/E147-1</f>
        <v>0.0791602528935624</v>
      </c>
      <c r="G148" s="19" t="n">
        <f aca="false">G147/F147-1</f>
        <v>0.103954376138802</v>
      </c>
      <c r="H148" s="24" t="n">
        <f aca="false">$G148+(fade_gB-$G148)*1/3</f>
        <v>0.0826362507592016</v>
      </c>
      <c r="I148" s="24" t="n">
        <f aca="false">$G148+(fade_gB-$G148)*2/3</f>
        <v>0.0613181253796008</v>
      </c>
      <c r="J148" s="24" t="n">
        <f aca="false">$G148+(fade_gB-$G148)*3/3</f>
        <v>0.04</v>
      </c>
    </row>
    <row r="149" customFormat="false" ht="17.15" hidden="false" customHeight="false" outlineLevel="0" collapsed="false">
      <c r="A149" s="0" t="s">
        <v>641</v>
      </c>
      <c r="B149" s="0" t="s">
        <v>46</v>
      </c>
      <c r="C149" s="19" t="n">
        <f aca="false">C137/C147</f>
        <v>0</v>
      </c>
      <c r="D149" s="19" t="n">
        <f aca="false">D137/D147</f>
        <v>0.0948820140445411</v>
      </c>
      <c r="E149" s="19" t="n">
        <f aca="false">E137/E147</f>
        <v>0.35140294564116</v>
      </c>
      <c r="F149" s="19" t="n">
        <f aca="false">F137/F147</f>
        <v>0.379995169460868</v>
      </c>
      <c r="G149" s="19" t="n">
        <f aca="false">G137/G147</f>
        <v>0.420584951444243</v>
      </c>
    </row>
    <row r="150" customFormat="false" ht="17.15" hidden="false" customHeight="false" outlineLevel="0" collapsed="false">
      <c r="A150" s="4" t="s">
        <v>642</v>
      </c>
      <c r="B150" s="0" t="s">
        <v>46</v>
      </c>
      <c r="C150" s="19" t="n">
        <f aca="false">C143/C147</f>
        <v>0.53</v>
      </c>
      <c r="D150" s="19" t="n">
        <f aca="false">D143/D147</f>
        <v>0.389395431571569</v>
      </c>
      <c r="E150" s="19" t="n">
        <f aca="false">E143/E147</f>
        <v>0.272818340667671</v>
      </c>
      <c r="F150" s="19" t="n">
        <f aca="false">F143/F147</f>
        <v>0.257862265344636</v>
      </c>
      <c r="G150" s="19" t="n">
        <f aca="false">G143/G147</f>
        <v>0.238252156372139</v>
      </c>
    </row>
    <row r="151" customFormat="false" ht="17.15" hidden="false" customHeight="false" outlineLevel="0" collapsed="false">
      <c r="A151" s="6" t="s">
        <v>643</v>
      </c>
    </row>
    <row r="152" customFormat="false" ht="17.15" hidden="false" customHeight="false" outlineLevel="0" collapsed="false">
      <c r="A152" s="0" t="s">
        <v>644</v>
      </c>
      <c r="B152" s="0" t="s">
        <v>301</v>
      </c>
      <c r="D152" s="16" t="n">
        <f aca="false">m_core*D139+m_hbm*D138</f>
        <v>24.9087255420412</v>
      </c>
      <c r="E152" s="16" t="n">
        <f aca="false">m_core*E139+m_hbm*E138</f>
        <v>113.154415653094</v>
      </c>
      <c r="F152" s="16" t="n">
        <f aca="false">m_core*F139+m_hbm*F138</f>
        <v>136.398439305803</v>
      </c>
      <c r="G152" s="16" t="n">
        <f aca="false">m_core*G139+m_hbm*G138</f>
        <v>166.661843026778</v>
      </c>
    </row>
    <row r="153" customFormat="false" ht="17.15" hidden="false" customHeight="false" outlineLevel="0" collapsed="false">
      <c r="A153" s="4" t="s">
        <v>645</v>
      </c>
      <c r="B153" s="0" t="s">
        <v>46</v>
      </c>
      <c r="C153" s="17" t="n">
        <f aca="false">a25_gp/C146</f>
        <v>0.474993539899927</v>
      </c>
      <c r="D153" s="17" t="n">
        <f aca="false">(a26_gp-D152)/D146</f>
        <v>0.462340704042911</v>
      </c>
      <c r="E153" s="17" t="n">
        <f aca="false">$D153+0</f>
        <v>0.462340704042911</v>
      </c>
      <c r="F153" s="17" t="n">
        <f aca="false">$D153+0</f>
        <v>0.462340704042911</v>
      </c>
      <c r="G153" s="17" t="n">
        <f aca="false">$D153+0</f>
        <v>0.462340704042911</v>
      </c>
      <c r="K153" s="8" t="s">
        <v>646</v>
      </c>
    </row>
    <row r="154" customFormat="false" ht="15" hidden="false" customHeight="false" outlineLevel="0" collapsed="false">
      <c r="A154" s="4" t="s">
        <v>517</v>
      </c>
      <c r="B154" s="0" t="s">
        <v>301</v>
      </c>
      <c r="C154" s="16" t="n">
        <f aca="false">a25_gp</f>
        <v>283.08</v>
      </c>
      <c r="D154" s="16" t="n">
        <f aca="false">a26_gp</f>
        <v>307.17786821659</v>
      </c>
      <c r="E154" s="16" t="n">
        <f aca="false">E153*E146+E152</f>
        <v>401.856866052942</v>
      </c>
      <c r="F154" s="16" t="n">
        <f aca="false">F153*F146+F152</f>
        <v>434.220258730804</v>
      </c>
      <c r="G154" s="16" t="n">
        <f aca="false">G153*G146+G152</f>
        <v>473.91923165812</v>
      </c>
    </row>
    <row r="155" customFormat="false" ht="15" hidden="false" customHeight="false" outlineLevel="0" collapsed="false">
      <c r="A155" s="4" t="s">
        <v>520</v>
      </c>
      <c r="B155" s="0" t="s">
        <v>46</v>
      </c>
      <c r="C155" s="17" t="n">
        <f aca="false">C154/C147</f>
        <v>0.474993539899927</v>
      </c>
      <c r="D155" s="17" t="n">
        <f aca="false">D154/D147</f>
        <v>0.455400856348417</v>
      </c>
      <c r="E155" s="17" t="n">
        <f aca="false">E154/E147</f>
        <v>0.417405363173788</v>
      </c>
      <c r="F155" s="17" t="n">
        <f aca="false">F154/F147</f>
        <v>0.417936953342246</v>
      </c>
      <c r="G155" s="17" t="n">
        <f aca="false">G154/G147</f>
        <v>0.413193896837761</v>
      </c>
    </row>
    <row r="156" customFormat="false" ht="15" hidden="false" customHeight="false" outlineLevel="0" collapsed="false">
      <c r="A156" s="4" t="s">
        <v>647</v>
      </c>
      <c r="B156" s="0" t="s">
        <v>301</v>
      </c>
      <c r="C156" s="16" t="n">
        <f aca="false">a25_opx</f>
        <v>179.61</v>
      </c>
      <c r="D156" s="16" t="n">
        <f aca="false">a26_opx</f>
        <v>192.105</v>
      </c>
      <c r="E156" s="16" t="n">
        <f aca="false">D156*(1+MAX(g_opx_min,phi*E148))+0*E147</f>
        <v>216.731323134969</v>
      </c>
      <c r="F156" s="16" t="n">
        <f aca="false">E156*(1+MAX(g_opx_min,phi*F148))+0*F147</f>
        <v>229.735202523067</v>
      </c>
      <c r="G156" s="16" t="n">
        <f aca="false">F156*(1+MAX(g_opx_min,phi*G148))+0*G147</f>
        <v>243.519314674451</v>
      </c>
    </row>
    <row r="157" customFormat="false" ht="15" hidden="false" customHeight="false" outlineLevel="0" collapsed="false">
      <c r="A157" s="4" t="s">
        <v>524</v>
      </c>
      <c r="B157" s="0" t="s">
        <v>301</v>
      </c>
      <c r="C157" s="16" t="n">
        <f aca="false">C154-C156</f>
        <v>103.47</v>
      </c>
      <c r="D157" s="16" t="n">
        <f aca="false">D154-D156</f>
        <v>115.07286821659</v>
      </c>
      <c r="E157" s="16" t="n">
        <f aca="false">E154-E156</f>
        <v>185.125542917973</v>
      </c>
      <c r="F157" s="16" t="n">
        <f aca="false">F154-F156</f>
        <v>204.485056207737</v>
      </c>
      <c r="G157" s="16" t="n">
        <f aca="false">G154-G156</f>
        <v>230.39991698367</v>
      </c>
    </row>
    <row r="158" customFormat="false" ht="15" hidden="false" customHeight="false" outlineLevel="0" collapsed="false">
      <c r="A158" s="4" t="s">
        <v>598</v>
      </c>
      <c r="B158" s="0" t="s">
        <v>46</v>
      </c>
      <c r="C158" s="17" t="n">
        <f aca="false">C157/C147</f>
        <v>0.173617286892205</v>
      </c>
      <c r="D158" s="17" t="n">
        <f aca="false">D157/D147</f>
        <v>0.170599148410502</v>
      </c>
      <c r="E158" s="17" t="n">
        <f aca="false">E157/E147</f>
        <v>0.192288351903489</v>
      </c>
      <c r="F158" s="17" t="n">
        <f aca="false">F157/F147</f>
        <v>0.196816845085208</v>
      </c>
      <c r="G158" s="17" t="n">
        <f aca="false">G157/G147</f>
        <v>0.200877772350575</v>
      </c>
    </row>
    <row r="159" customFormat="false" ht="15" hidden="false" customHeight="false" outlineLevel="0" collapsed="false">
      <c r="A159" s="4" t="s">
        <v>526</v>
      </c>
      <c r="B159" s="0" t="s">
        <v>301</v>
      </c>
      <c r="C159" s="16" t="n">
        <f aca="false">a25_nonop</f>
        <v>21.418</v>
      </c>
      <c r="D159" s="16" t="n">
        <f aca="false">a26_nonop</f>
        <v>18.823</v>
      </c>
      <c r="E159" s="16" t="n">
        <f aca="false">nonop_f</f>
        <v>18</v>
      </c>
      <c r="F159" s="16" t="n">
        <f aca="false">nonop_f</f>
        <v>18</v>
      </c>
      <c r="G159" s="16" t="n">
        <f aca="false">nonop_f</f>
        <v>18</v>
      </c>
    </row>
    <row r="160" customFormat="false" ht="15" hidden="false" customHeight="false" outlineLevel="0" collapsed="false">
      <c r="A160" s="4" t="s">
        <v>528</v>
      </c>
      <c r="B160" s="0" t="s">
        <v>301</v>
      </c>
      <c r="C160" s="16" t="n">
        <f aca="false">C157+C159</f>
        <v>124.888</v>
      </c>
      <c r="D160" s="16" t="n">
        <f aca="false">D157+D159</f>
        <v>133.89586821659</v>
      </c>
      <c r="E160" s="16" t="n">
        <f aca="false">E157+E159</f>
        <v>203.125542917973</v>
      </c>
      <c r="F160" s="16" t="n">
        <f aca="false">F157+F159</f>
        <v>222.485056207737</v>
      </c>
      <c r="G160" s="16" t="n">
        <f aca="false">G157+G159</f>
        <v>248.39991698367</v>
      </c>
    </row>
    <row r="161" customFormat="false" ht="15" hidden="false" customHeight="false" outlineLevel="0" collapsed="false">
      <c r="A161" s="4" t="s">
        <v>529</v>
      </c>
      <c r="B161" s="0" t="s">
        <v>301</v>
      </c>
      <c r="C161" s="16" t="n">
        <f aca="false">a25_tax</f>
        <v>18.77</v>
      </c>
      <c r="D161" s="16" t="n">
        <f aca="false">a26_tax</f>
        <v>16.2589328681567</v>
      </c>
      <c r="E161" s="16" t="n">
        <f aca="false">E160*tax</f>
        <v>28.4375760085163</v>
      </c>
      <c r="F161" s="16" t="n">
        <f aca="false">F160*tax</f>
        <v>31.1479078690832</v>
      </c>
      <c r="G161" s="16" t="n">
        <f aca="false">G160*tax</f>
        <v>34.7759883777138</v>
      </c>
    </row>
    <row r="162" customFormat="false" ht="15" hidden="false" customHeight="false" outlineLevel="0" collapsed="false">
      <c r="A162" s="4" t="s">
        <v>530</v>
      </c>
      <c r="B162" s="0" t="s">
        <v>301</v>
      </c>
      <c r="C162" s="16" t="n">
        <f aca="false">a25_nci</f>
        <v>0.798</v>
      </c>
      <c r="D162" s="16" t="n">
        <f aca="false">a26_nci</f>
        <v>0.992</v>
      </c>
      <c r="E162" s="16" t="n">
        <f aca="false">nci</f>
        <v>1</v>
      </c>
      <c r="F162" s="16" t="n">
        <f aca="false">nci</f>
        <v>1</v>
      </c>
      <c r="G162" s="16" t="n">
        <f aca="false">nci</f>
        <v>1</v>
      </c>
    </row>
    <row r="163" customFormat="false" ht="15" hidden="false" customHeight="false" outlineLevel="0" collapsed="false">
      <c r="A163" s="4" t="s">
        <v>532</v>
      </c>
      <c r="B163" s="0" t="s">
        <v>301</v>
      </c>
      <c r="C163" s="16" t="n">
        <f aca="false">C160-C161-C162</f>
        <v>105.32</v>
      </c>
      <c r="D163" s="16" t="n">
        <f aca="false">D160-D161-D162</f>
        <v>116.644935348433</v>
      </c>
      <c r="E163" s="16" t="n">
        <f aca="false">E160-E161-E162</f>
        <v>173.687966909457</v>
      </c>
      <c r="F163" s="16" t="n">
        <f aca="false">F160-F161-F162</f>
        <v>190.337148338654</v>
      </c>
      <c r="G163" s="16" t="n">
        <f aca="false">G160-G161-G162</f>
        <v>212.623928605956</v>
      </c>
      <c r="H163" s="26" t="n">
        <f aca="false">H147*H167</f>
        <v>222.521227124723</v>
      </c>
      <c r="I163" s="26" t="n">
        <f aca="false">I147*I167</f>
        <v>228.022162952311</v>
      </c>
      <c r="J163" s="26" t="n">
        <f aca="false">J147*J167</f>
        <v>228.67365484646</v>
      </c>
    </row>
    <row r="164" customFormat="false" ht="15" hidden="false" customHeight="false" outlineLevel="0" collapsed="false">
      <c r="A164" s="4" t="s">
        <v>648</v>
      </c>
      <c r="B164" s="4" t="s">
        <v>346</v>
      </c>
      <c r="C164" s="18" t="n">
        <f aca="false">a25_sh</f>
        <v>1.59188331318017</v>
      </c>
      <c r="D164" s="18" t="n">
        <f aca="false">a26_sh</f>
        <v>1.59250890647703</v>
      </c>
      <c r="E164" s="18" t="n">
        <f aca="false">D164*(1+sh_g)</f>
        <v>1.59250890647703</v>
      </c>
      <c r="F164" s="18" t="n">
        <f aca="false">E164*(1+sh_g)</f>
        <v>1.59250890647703</v>
      </c>
      <c r="G164" s="18" t="n">
        <f aca="false">F164*(1+sh_g)</f>
        <v>1.59250890647703</v>
      </c>
      <c r="H164" s="28" t="n">
        <f aca="false">G164*(1+sh_g)</f>
        <v>1.59250890647703</v>
      </c>
      <c r="I164" s="28" t="n">
        <f aca="false">H164*(1+sh_g)</f>
        <v>1.59250890647703</v>
      </c>
      <c r="J164" s="28" t="n">
        <f aca="false">I164*(1+sh_g)</f>
        <v>1.59250890647703</v>
      </c>
    </row>
    <row r="165" customFormat="false" ht="17.15" hidden="false" customHeight="false" outlineLevel="0" collapsed="false">
      <c r="A165" s="0" t="s">
        <v>537</v>
      </c>
      <c r="B165" s="0" t="s">
        <v>403</v>
      </c>
      <c r="C165" s="16" t="n">
        <f aca="false">C163/C164</f>
        <v>66.1606281867469</v>
      </c>
      <c r="D165" s="16" t="n">
        <f aca="false">D163/D164</f>
        <v>73.2460175726595</v>
      </c>
      <c r="E165" s="16" t="n">
        <f aca="false">E163/E164</f>
        <v>109.065617280403</v>
      </c>
      <c r="F165" s="16" t="n">
        <f aca="false">F163/F164</f>
        <v>119.520303820291</v>
      </c>
      <c r="G165" s="16" t="n">
        <f aca="false">G163/G164</f>
        <v>133.5150640233</v>
      </c>
      <c r="H165" s="26" t="n">
        <f aca="false">H163/H164</f>
        <v>139.729973389592</v>
      </c>
      <c r="I165" s="26" t="n">
        <f aca="false">I163/I164</f>
        <v>143.184230885556</v>
      </c>
      <c r="J165" s="26" t="n">
        <f aca="false">J163/J164</f>
        <v>143.593328688086</v>
      </c>
    </row>
    <row r="166" customFormat="false" ht="17.15" hidden="false" customHeight="false" outlineLevel="0" collapsed="false">
      <c r="A166" s="0" t="s">
        <v>649</v>
      </c>
      <c r="B166" s="0" t="s">
        <v>46</v>
      </c>
      <c r="D166" s="19" t="n">
        <f aca="false">D165/C165-1</f>
        <v>0.107093744120947</v>
      </c>
      <c r="E166" s="19" t="n">
        <f aca="false">E165/D165-1</f>
        <v>0.489031361632881</v>
      </c>
      <c r="F166" s="19" t="n">
        <f aca="false">F165/E165-1</f>
        <v>0.0958568502208099</v>
      </c>
      <c r="G166" s="19" t="n">
        <f aca="false">G165/F165-1</f>
        <v>0.117091069514443</v>
      </c>
      <c r="H166" s="24" t="n">
        <f aca="false">H165/G165-1</f>
        <v>0.0465483757338947</v>
      </c>
      <c r="I166" s="24" t="n">
        <f aca="false">I165/H165-1</f>
        <v>0.0247209486423734</v>
      </c>
      <c r="J166" s="24" t="n">
        <f aca="false">J165/I165-1</f>
        <v>0.00285714285714267</v>
      </c>
    </row>
    <row r="167" customFormat="false" ht="17.15" hidden="false" customHeight="false" outlineLevel="0" collapsed="false">
      <c r="A167" s="4" t="s">
        <v>650</v>
      </c>
      <c r="B167" s="0" t="s">
        <v>46</v>
      </c>
      <c r="C167" s="17" t="n">
        <f aca="false">C163/C147</f>
        <v>0.176721490823302</v>
      </c>
      <c r="D167" s="17" t="n">
        <f aca="false">D163/D147</f>
        <v>0.172929787405541</v>
      </c>
      <c r="E167" s="17" t="n">
        <f aca="false">E163/E147</f>
        <v>0.180408237437475</v>
      </c>
      <c r="F167" s="17" t="n">
        <f aca="false">F163/F147</f>
        <v>0.183199485249777</v>
      </c>
      <c r="G167" s="17" t="n">
        <f aca="false">G163/G147</f>
        <v>0.18537949876874</v>
      </c>
      <c r="H167" s="25" t="n">
        <f aca="false">$G167+(fade_mB-$G167)*1/3</f>
        <v>0.179200182143115</v>
      </c>
      <c r="I167" s="25" t="n">
        <f aca="false">$G167+(fade_mB-$G167)*2/3</f>
        <v>0.173020865517491</v>
      </c>
      <c r="J167" s="25" t="n">
        <f aca="false">$G167+(fade_mB-$G167)*3/3</f>
        <v>0.166841548891866</v>
      </c>
    </row>
    <row r="170" customFormat="false" ht="17.15" hidden="false" customHeight="false" outlineLevel="0" collapsed="false">
      <c r="A170" s="1" t="s">
        <v>652</v>
      </c>
    </row>
    <row r="171" customFormat="false" ht="17.15" hidden="false" customHeight="false" outlineLevel="0" collapsed="false">
      <c r="A171" s="5" t="s">
        <v>22</v>
      </c>
      <c r="B171" s="5" t="s">
        <v>23</v>
      </c>
      <c r="C171" s="14" t="s">
        <v>494</v>
      </c>
      <c r="D171" s="14" t="s">
        <v>587</v>
      </c>
      <c r="E171" s="14" t="s">
        <v>588</v>
      </c>
      <c r="F171" s="14" t="s">
        <v>589</v>
      </c>
      <c r="G171" s="14" t="s">
        <v>590</v>
      </c>
      <c r="H171" s="14" t="s">
        <v>591</v>
      </c>
      <c r="I171" s="14" t="s">
        <v>592</v>
      </c>
      <c r="J171" s="14" t="s">
        <v>593</v>
      </c>
      <c r="K171" s="5" t="s">
        <v>557</v>
      </c>
    </row>
    <row r="172" customFormat="false" ht="17.15" hidden="false" customHeight="false" outlineLevel="0" collapsed="false">
      <c r="A172" s="6" t="s">
        <v>609</v>
      </c>
    </row>
    <row r="173" customFormat="false" ht="17.15" hidden="false" customHeight="false" outlineLevel="0" collapsed="false">
      <c r="A173" s="0" t="s">
        <v>610</v>
      </c>
      <c r="B173" s="4" t="s">
        <v>33</v>
      </c>
      <c r="D173" s="20" t="n">
        <f aca="false">u_tpu_26</f>
        <v>3.85</v>
      </c>
      <c r="E173" s="20" t="n">
        <f aca="false">u_tpu_27</f>
        <v>5.5</v>
      </c>
      <c r="F173" s="20" t="n">
        <f aca="false">u_tpu_28*um28_C</f>
        <v>4.2</v>
      </c>
      <c r="G173" s="20" t="n">
        <f aca="false">u_tpu_28*(1+g29_tpu)*um29_C</f>
        <v>4.83</v>
      </c>
    </row>
    <row r="174" customFormat="false" ht="17.15" hidden="false" customHeight="false" outlineLevel="0" collapsed="false">
      <c r="A174" s="4" t="s">
        <v>611</v>
      </c>
      <c r="B174" s="4" t="s">
        <v>33</v>
      </c>
      <c r="D174" s="20" t="n">
        <f aca="false">u_oth_26</f>
        <v>1</v>
      </c>
      <c r="E174" s="20" t="n">
        <f aca="false">u_oth_27</f>
        <v>4.5</v>
      </c>
      <c r="F174" s="20" t="n">
        <f aca="false">u_oth_28*um28_C</f>
        <v>3</v>
      </c>
      <c r="G174" s="20" t="n">
        <f aca="false">u_oth_28*(1+g29_oth)*um29_C</f>
        <v>3.45</v>
      </c>
    </row>
    <row r="175" customFormat="false" ht="17.15" hidden="false" customHeight="false" outlineLevel="0" collapsed="false">
      <c r="A175" s="4" t="s">
        <v>561</v>
      </c>
      <c r="B175" s="0" t="s">
        <v>46</v>
      </c>
      <c r="D175" s="19" t="n">
        <f aca="false">mtk_tpu_26</f>
        <v>0.05</v>
      </c>
      <c r="E175" s="19" t="n">
        <f aca="false">MIN(1,MAX(0,mtk_tpu_27+0))</f>
        <v>0.15</v>
      </c>
      <c r="F175" s="19" t="n">
        <f aca="false">MIN(1,MAX(0,mtk_tpu_28+0))</f>
        <v>0.18</v>
      </c>
      <c r="G175" s="19" t="n">
        <f aca="false">MIN(1,MAX(0,mtk_tpu_28+0))</f>
        <v>0.18</v>
      </c>
    </row>
    <row r="176" customFormat="false" ht="17.15" hidden="false" customHeight="false" outlineLevel="0" collapsed="false">
      <c r="A176" s="4" t="s">
        <v>612</v>
      </c>
      <c r="B176" s="0" t="s">
        <v>46</v>
      </c>
      <c r="D176" s="19" t="n">
        <f aca="false">mtk_oth_26</f>
        <v>0</v>
      </c>
      <c r="E176" s="19" t="n">
        <f aca="false">MIN(1,MAX(0,mtk_oth_27+0))</f>
        <v>0</v>
      </c>
      <c r="F176" s="19" t="n">
        <f aca="false">MIN(1,MAX(0,mtk_oth_28+0))</f>
        <v>0</v>
      </c>
      <c r="G176" s="19" t="n">
        <f aca="false">MIN(1,MAX(0,mtk_oth_28+0))</f>
        <v>0</v>
      </c>
    </row>
    <row r="177" customFormat="false" ht="17.15" hidden="false" customHeight="false" outlineLevel="0" collapsed="false">
      <c r="A177" s="4" t="s">
        <v>563</v>
      </c>
      <c r="B177" s="4" t="s">
        <v>33</v>
      </c>
      <c r="D177" s="20" t="n">
        <f aca="false">D173*D175</f>
        <v>0.1925</v>
      </c>
      <c r="E177" s="20" t="n">
        <f aca="false">E173*E175*1</f>
        <v>0.825</v>
      </c>
      <c r="F177" s="20" t="n">
        <f aca="false">F173*F175*1</f>
        <v>0.756</v>
      </c>
      <c r="G177" s="20" t="n">
        <f aca="false">G173*G175*1</f>
        <v>0.8694</v>
      </c>
    </row>
    <row r="178" customFormat="false" ht="17.15" hidden="false" customHeight="false" outlineLevel="0" collapsed="false">
      <c r="A178" s="4" t="s">
        <v>613</v>
      </c>
      <c r="B178" s="4" t="s">
        <v>33</v>
      </c>
      <c r="D178" s="20" t="n">
        <f aca="false">D174*D176</f>
        <v>0</v>
      </c>
      <c r="E178" s="20" t="n">
        <f aca="false">E174*E176*1</f>
        <v>0</v>
      </c>
      <c r="F178" s="20" t="n">
        <f aca="false">F174*F176*1</f>
        <v>0</v>
      </c>
      <c r="G178" s="20" t="n">
        <f aca="false">G174*G176*1</f>
        <v>0</v>
      </c>
    </row>
    <row r="179" customFormat="false" ht="17.15" hidden="false" customHeight="false" outlineLevel="0" collapsed="false">
      <c r="A179" s="4" t="s">
        <v>614</v>
      </c>
      <c r="B179" s="0" t="s">
        <v>102</v>
      </c>
      <c r="D179" s="27" t="n">
        <f aca="false">gb_tpu_26</f>
        <v>192</v>
      </c>
      <c r="E179" s="27" t="n">
        <f aca="false">gb_tpu_27</f>
        <v>250</v>
      </c>
      <c r="F179" s="27" t="n">
        <f aca="false">gb_tpu_28</f>
        <v>288</v>
      </c>
      <c r="G179" s="27" t="n">
        <f aca="false">gb_tpu_28</f>
        <v>288</v>
      </c>
    </row>
    <row r="180" customFormat="false" ht="17.15" hidden="false" customHeight="false" outlineLevel="0" collapsed="false">
      <c r="A180" s="4" t="s">
        <v>615</v>
      </c>
      <c r="B180" s="0" t="s">
        <v>102</v>
      </c>
      <c r="D180" s="27" t="n">
        <f aca="false">gb_oth_26</f>
        <v>150</v>
      </c>
      <c r="E180" s="27" t="n">
        <f aca="false">gb_oth_27</f>
        <v>200</v>
      </c>
      <c r="F180" s="27" t="n">
        <f aca="false">gb_oth_28</f>
        <v>250</v>
      </c>
      <c r="G180" s="27" t="n">
        <f aca="false">gb_oth_28</f>
        <v>250</v>
      </c>
    </row>
    <row r="181" customFormat="false" ht="17.15" hidden="false" customHeight="false" outlineLevel="0" collapsed="false">
      <c r="A181" s="0" t="s">
        <v>616</v>
      </c>
      <c r="B181" s="0" t="s">
        <v>194</v>
      </c>
      <c r="D181" s="16" t="n">
        <f aca="false">hbm_C_26</f>
        <v>14.6</v>
      </c>
      <c r="E181" s="16" t="n">
        <f aca="false">hbm_C_27</f>
        <v>26.28</v>
      </c>
      <c r="F181" s="16" t="n">
        <f aca="false">hbm_C_28</f>
        <v>15.768</v>
      </c>
      <c r="G181" s="16" t="n">
        <f aca="false">hbm_C_29</f>
        <v>16.5564</v>
      </c>
    </row>
    <row r="182" customFormat="false" ht="17.15" hidden="false" customHeight="false" outlineLevel="0" collapsed="false">
      <c r="A182" s="4" t="s">
        <v>617</v>
      </c>
      <c r="B182" s="0" t="s">
        <v>86</v>
      </c>
      <c r="D182" s="16" t="n">
        <f aca="false">core_tpu</f>
        <v>8</v>
      </c>
      <c r="E182" s="16" t="n">
        <f aca="false">core_tpu</f>
        <v>8</v>
      </c>
      <c r="F182" s="16" t="n">
        <f aca="false">core_tpu*1</f>
        <v>8</v>
      </c>
      <c r="G182" s="16" t="n">
        <f aca="false">core_tpu*1</f>
        <v>8</v>
      </c>
    </row>
    <row r="183" customFormat="false" ht="17.15" hidden="false" customHeight="false" outlineLevel="0" collapsed="false">
      <c r="A183" s="4" t="s">
        <v>618</v>
      </c>
      <c r="B183" s="0" t="s">
        <v>86</v>
      </c>
      <c r="D183" s="16" t="n">
        <f aca="false">core_oth</f>
        <v>6</v>
      </c>
      <c r="E183" s="16" t="n">
        <f aca="false">core_oth</f>
        <v>6</v>
      </c>
      <c r="F183" s="16" t="n">
        <f aca="false">core_oth*1</f>
        <v>6</v>
      </c>
      <c r="G183" s="16" t="n">
        <f aca="false">core_oth*1</f>
        <v>6</v>
      </c>
    </row>
    <row r="184" customFormat="false" ht="17.15" hidden="false" customHeight="false" outlineLevel="0" collapsed="false">
      <c r="A184" s="4" t="s">
        <v>619</v>
      </c>
      <c r="B184" s="0" t="s">
        <v>86</v>
      </c>
      <c r="D184" s="16" t="n">
        <f aca="false">D179*D181/1000</f>
        <v>2.8032</v>
      </c>
      <c r="E184" s="16" t="n">
        <f aca="false">E179*E181/1000</f>
        <v>6.57</v>
      </c>
      <c r="F184" s="16" t="n">
        <f aca="false">F179*F181/1000</f>
        <v>4.541184</v>
      </c>
      <c r="G184" s="16" t="n">
        <f aca="false">G179*G181/1000</f>
        <v>4.7682432</v>
      </c>
    </row>
    <row r="185" customFormat="false" ht="17.15" hidden="false" customHeight="false" outlineLevel="0" collapsed="false">
      <c r="A185" s="4" t="s">
        <v>620</v>
      </c>
      <c r="B185" s="0" t="s">
        <v>86</v>
      </c>
      <c r="D185" s="16" t="n">
        <f aca="false">D180*D181/1000</f>
        <v>2.19</v>
      </c>
      <c r="E185" s="16" t="n">
        <f aca="false">E180*E181/1000</f>
        <v>5.256</v>
      </c>
      <c r="F185" s="16" t="n">
        <f aca="false">F180*F181/1000</f>
        <v>3.942</v>
      </c>
      <c r="G185" s="16" t="n">
        <f aca="false">G180*G181/1000</f>
        <v>4.1391</v>
      </c>
    </row>
    <row r="186" customFormat="false" ht="17.15" hidden="false" customHeight="false" outlineLevel="0" collapsed="false">
      <c r="A186" s="4" t="s">
        <v>621</v>
      </c>
      <c r="B186" s="0" t="s">
        <v>86</v>
      </c>
      <c r="D186" s="16" t="n">
        <f aca="false">D182+f_hbm*D184</f>
        <v>9.68192</v>
      </c>
      <c r="E186" s="16" t="n">
        <f aca="false">E182+f_hbm*E184</f>
        <v>11.942</v>
      </c>
      <c r="F186" s="16" t="n">
        <f aca="false">F182+f_hbm*F184</f>
        <v>10.7247104</v>
      </c>
      <c r="G186" s="16" t="n">
        <f aca="false">G182+f_hbm*G184</f>
        <v>10.86094592</v>
      </c>
      <c r="K186" s="4" t="s">
        <v>622</v>
      </c>
    </row>
    <row r="187" customFormat="false" ht="17.15" hidden="false" customHeight="false" outlineLevel="0" collapsed="false">
      <c r="A187" s="4" t="s">
        <v>623</v>
      </c>
      <c r="B187" s="0" t="s">
        <v>86</v>
      </c>
      <c r="D187" s="16" t="n">
        <f aca="false">D183+f_hbm*D185</f>
        <v>7.314</v>
      </c>
      <c r="E187" s="16" t="n">
        <f aca="false">E183+f_hbm*E185</f>
        <v>9.1536</v>
      </c>
      <c r="F187" s="16" t="n">
        <f aca="false">F183+f_hbm*F185</f>
        <v>8.3652</v>
      </c>
      <c r="G187" s="16" t="n">
        <f aca="false">G183+f_hbm*G185</f>
        <v>8.48346</v>
      </c>
    </row>
    <row r="188" customFormat="false" ht="17.15" hidden="false" customHeight="false" outlineLevel="0" collapsed="false">
      <c r="A188" s="0" t="s">
        <v>624</v>
      </c>
      <c r="B188" s="0" t="s">
        <v>279</v>
      </c>
      <c r="D188" s="16" t="n">
        <f aca="false">D177*D186+D178*D187</f>
        <v>1.8637696</v>
      </c>
      <c r="E188" s="16" t="n">
        <f aca="false">E177*E186+E178*E187</f>
        <v>9.85215</v>
      </c>
      <c r="F188" s="16" t="n">
        <f aca="false">F177*F186+F178*F187</f>
        <v>8.1078810624</v>
      </c>
      <c r="G188" s="16" t="n">
        <f aca="false">G177*G186+G178*G187</f>
        <v>9.442506382848</v>
      </c>
    </row>
    <row r="189" customFormat="false" ht="17.15" hidden="false" customHeight="false" outlineLevel="0" collapsed="false">
      <c r="A189" s="0" t="s">
        <v>625</v>
      </c>
      <c r="B189" s="0" t="s">
        <v>65</v>
      </c>
      <c r="D189" s="20" t="n">
        <f aca="false">dc26/D188</f>
        <v>1.07309401333727</v>
      </c>
      <c r="K189" s="8" t="s">
        <v>626</v>
      </c>
    </row>
    <row r="190" customFormat="false" ht="17.15" hidden="false" customHeight="false" outlineLevel="0" collapsed="false">
      <c r="A190" s="0" t="s">
        <v>627</v>
      </c>
      <c r="B190" s="0" t="s">
        <v>279</v>
      </c>
      <c r="D190" s="16" t="n">
        <f aca="false">D188*$D$189</f>
        <v>2</v>
      </c>
      <c r="E190" s="16" t="n">
        <f aca="false">E188*$D$189</f>
        <v>10.5722831835008</v>
      </c>
      <c r="F190" s="16" t="n">
        <f aca="false">F188*$D$189</f>
        <v>8.70051862891207</v>
      </c>
      <c r="G190" s="16" t="n">
        <f aca="false">G188*$D$189</f>
        <v>10.1326970703332</v>
      </c>
    </row>
    <row r="191" customFormat="false" ht="15" hidden="false" customHeight="false" outlineLevel="0" collapsed="false">
      <c r="A191" s="4" t="s">
        <v>628</v>
      </c>
      <c r="B191" s="0" t="s">
        <v>288</v>
      </c>
      <c r="D191" s="16" t="n">
        <f aca="false">fx26</f>
        <v>32</v>
      </c>
      <c r="E191" s="16" t="n">
        <f aca="false">fx</f>
        <v>32</v>
      </c>
      <c r="F191" s="16" t="n">
        <f aca="false">fx</f>
        <v>32</v>
      </c>
      <c r="G191" s="16" t="n">
        <f aca="false">fx</f>
        <v>32</v>
      </c>
    </row>
    <row r="192" customFormat="false" ht="17.15" hidden="false" customHeight="false" outlineLevel="0" collapsed="false">
      <c r="A192" s="0" t="s">
        <v>629</v>
      </c>
      <c r="B192" s="0" t="s">
        <v>301</v>
      </c>
      <c r="C192" s="16" t="n">
        <f aca="false">a25_asic</f>
        <v>0</v>
      </c>
      <c r="D192" s="16" t="n">
        <f aca="false">D190*D191</f>
        <v>64</v>
      </c>
      <c r="E192" s="16" t="n">
        <f aca="false">E190*E191</f>
        <v>338.313061872025</v>
      </c>
      <c r="F192" s="16" t="n">
        <f aca="false">F190*F191</f>
        <v>278.416596125186</v>
      </c>
      <c r="G192" s="16" t="n">
        <f aca="false">G190*G191</f>
        <v>324.246306250661</v>
      </c>
    </row>
    <row r="193" customFormat="false" ht="17.15" hidden="false" customHeight="false" outlineLevel="0" collapsed="false">
      <c r="A193" s="4" t="s">
        <v>630</v>
      </c>
      <c r="B193" s="0" t="s">
        <v>301</v>
      </c>
      <c r="D193" s="16" t="n">
        <f aca="false">$D$189*f_hbm*(D177*D184+D178*D185)*D191</f>
        <v>11.1179270227393</v>
      </c>
      <c r="E193" s="16" t="n">
        <f aca="false">$D$189*f_hbm*(E177*E184+E178*E185)*E191</f>
        <v>111.675606255194</v>
      </c>
      <c r="F193" s="16" t="n">
        <f aca="false">$D$189*f_hbm*(F177*F184+F178*F185)*F191</f>
        <v>70.7342731599442</v>
      </c>
      <c r="G193" s="16" t="n">
        <f aca="false">$D$189*f_hbm*(G177*G184+G178*G185)*G191</f>
        <v>85.4116348406326</v>
      </c>
    </row>
    <row r="194" customFormat="false" ht="15" hidden="false" customHeight="false" outlineLevel="0" collapsed="false">
      <c r="A194" s="4" t="s">
        <v>631</v>
      </c>
      <c r="B194" s="0" t="s">
        <v>301</v>
      </c>
      <c r="D194" s="16" t="n">
        <f aca="false">D192-D193</f>
        <v>52.8820729772607</v>
      </c>
      <c r="E194" s="16" t="n">
        <f aca="false">E192-E193</f>
        <v>226.637455616832</v>
      </c>
      <c r="F194" s="16" t="n">
        <f aca="false">F192-F193</f>
        <v>207.682322965242</v>
      </c>
      <c r="G194" s="16" t="n">
        <f aca="false">G192-G193</f>
        <v>238.834671410028</v>
      </c>
    </row>
    <row r="195" customFormat="false" ht="17.15" hidden="false" customHeight="false" outlineLevel="0" collapsed="false">
      <c r="A195" s="4" t="s">
        <v>632</v>
      </c>
      <c r="B195" s="4" t="s">
        <v>33</v>
      </c>
      <c r="D195" s="20" t="n">
        <f aca="false">D177+D178</f>
        <v>0.1925</v>
      </c>
      <c r="E195" s="20" t="n">
        <f aca="false">E177+E178</f>
        <v>0.825</v>
      </c>
      <c r="F195" s="20" t="n">
        <f aca="false">F177+F178</f>
        <v>0.756</v>
      </c>
      <c r="G195" s="20" t="n">
        <f aca="false">G177+G178</f>
        <v>0.8694</v>
      </c>
    </row>
    <row r="196" customFormat="false" ht="17.15" hidden="false" customHeight="false" outlineLevel="0" collapsed="false">
      <c r="A196" s="4" t="s">
        <v>633</v>
      </c>
      <c r="B196" s="0" t="s">
        <v>86</v>
      </c>
      <c r="D196" s="16" t="n">
        <f aca="false">IF(D195&gt;0,D190/D195,0)</f>
        <v>10.3896103896104</v>
      </c>
      <c r="E196" s="16" t="n">
        <f aca="false">IF(E195&gt;0,E190/E195,0)</f>
        <v>12.8148887072737</v>
      </c>
      <c r="F196" s="16" t="n">
        <f aca="false">IF(F195&gt;0,F190/F195,0)</f>
        <v>11.508622525016</v>
      </c>
      <c r="G196" s="16" t="n">
        <f aca="false">IF(G195&gt;0,G190/G195,0)</f>
        <v>11.6548160459319</v>
      </c>
    </row>
    <row r="197" customFormat="false" ht="17.15" hidden="false" customHeight="false" outlineLevel="0" collapsed="false">
      <c r="A197" s="6" t="s">
        <v>634</v>
      </c>
    </row>
    <row r="198" customFormat="false" ht="15" hidden="false" customHeight="false" outlineLevel="0" collapsed="false">
      <c r="A198" s="4" t="s">
        <v>635</v>
      </c>
      <c r="B198" s="0" t="s">
        <v>301</v>
      </c>
      <c r="C198" s="16" t="n">
        <f aca="false">a25_mob</f>
        <v>315.86198</v>
      </c>
      <c r="D198" s="16" t="n">
        <f aca="false">a26_mob</f>
        <v>262.655761173888</v>
      </c>
      <c r="E198" s="16" t="n">
        <f aca="false">D198*(1+g_mob27_C)</f>
        <v>241.643300279977</v>
      </c>
      <c r="F198" s="16" t="n">
        <f aca="false">E198*(1+g_mobL_C)</f>
        <v>234.394001271577</v>
      </c>
      <c r="G198" s="16" t="n">
        <f aca="false">F198*(1+g_mobL_C)</f>
        <v>227.36218123343</v>
      </c>
    </row>
    <row r="199" customFormat="false" ht="17.15" hidden="false" customHeight="false" outlineLevel="0" collapsed="false">
      <c r="A199" s="4" t="s">
        <v>636</v>
      </c>
      <c r="B199" s="0" t="s">
        <v>301</v>
      </c>
      <c r="C199" s="16" t="n">
        <f aca="false">a25_sepx</f>
        <v>247.32589</v>
      </c>
      <c r="D199" s="16" t="n">
        <f aca="false">a26_sepx</f>
        <v>311.894023346019</v>
      </c>
      <c r="E199" s="16" t="n">
        <f aca="false">D199*(1+g_sep27_C)</f>
        <v>302.537202645638</v>
      </c>
      <c r="F199" s="16" t="n">
        <f aca="false">E199*(1+g_sepL_C)</f>
        <v>305.562574672095</v>
      </c>
      <c r="G199" s="16" t="n">
        <f aca="false">F199*(1+g_sepL_C)</f>
        <v>308.618200418816</v>
      </c>
    </row>
    <row r="200" customFormat="false" ht="17.15" hidden="false" customHeight="false" outlineLevel="0" collapsed="false">
      <c r="A200" s="4" t="s">
        <v>637</v>
      </c>
      <c r="B200" s="0" t="s">
        <v>301</v>
      </c>
      <c r="C200" s="16" t="n">
        <f aca="false">a25_pic</f>
        <v>32.77813</v>
      </c>
      <c r="D200" s="16" t="n">
        <f aca="false">a26_pic</f>
        <v>35.9721535362998</v>
      </c>
      <c r="E200" s="16" t="n">
        <f aca="false">D200*(1+g_pic27_C)</f>
        <v>35.9721535362998</v>
      </c>
      <c r="F200" s="16" t="n">
        <f aca="false">E200*(1+g_picL_C)</f>
        <v>35.9721535362998</v>
      </c>
      <c r="G200" s="16" t="n">
        <f aca="false">F200*(1+g_picL_C)</f>
        <v>35.9721535362998</v>
      </c>
    </row>
    <row r="201" customFormat="false" ht="17.15" hidden="false" customHeight="false" outlineLevel="0" collapsed="false">
      <c r="A201" s="4" t="s">
        <v>638</v>
      </c>
      <c r="B201" s="0" t="s">
        <v>301</v>
      </c>
      <c r="C201" s="16" t="n">
        <f aca="false">C198+C199+C200</f>
        <v>595.966</v>
      </c>
      <c r="D201" s="16" t="n">
        <f aca="false">D198+D199+D200</f>
        <v>610.521938056206</v>
      </c>
      <c r="E201" s="16" t="n">
        <f aca="false">E198+E199+E200</f>
        <v>580.152656461915</v>
      </c>
      <c r="F201" s="16" t="n">
        <f aca="false">F198+F199+F200</f>
        <v>575.928729479972</v>
      </c>
      <c r="G201" s="16" t="n">
        <f aca="false">G198+G199+G200</f>
        <v>571.952535188545</v>
      </c>
    </row>
    <row r="202" customFormat="false" ht="17.15" hidden="false" customHeight="false" outlineLevel="0" collapsed="false">
      <c r="A202" s="4" t="s">
        <v>501</v>
      </c>
      <c r="B202" s="0" t="s">
        <v>301</v>
      </c>
      <c r="C202" s="16" t="n">
        <f aca="false">C201+C192</f>
        <v>595.966</v>
      </c>
      <c r="D202" s="16" t="n">
        <f aca="false">D201+D192</f>
        <v>674.521938056206</v>
      </c>
      <c r="E202" s="16" t="n">
        <f aca="false">E201+E192</f>
        <v>918.46571833394</v>
      </c>
      <c r="F202" s="16" t="n">
        <f aca="false">F201+F192</f>
        <v>854.345325605158</v>
      </c>
      <c r="G202" s="16" t="n">
        <f aca="false">G201+G192</f>
        <v>896.198841439206</v>
      </c>
      <c r="H202" s="26" t="n">
        <f aca="false">G202*(1+H203)</f>
        <v>931.442751957164</v>
      </c>
      <c r="I202" s="26" t="n">
        <f aca="false">H202*(1+I203)</f>
        <v>959.072135647545</v>
      </c>
      <c r="J202" s="26" t="n">
        <f aca="false">I202*(1+J203)</f>
        <v>978.253578360496</v>
      </c>
      <c r="K202" s="8" t="s">
        <v>639</v>
      </c>
    </row>
    <row r="203" customFormat="false" ht="15" hidden="false" customHeight="false" outlineLevel="0" collapsed="false">
      <c r="A203" s="4" t="s">
        <v>640</v>
      </c>
      <c r="B203" s="0" t="s">
        <v>46</v>
      </c>
      <c r="D203" s="19" t="n">
        <f aca="false">D202/C202-1</f>
        <v>0.131812784716252</v>
      </c>
      <c r="E203" s="19" t="n">
        <f aca="false">E202/D202-1</f>
        <v>0.361654331037349</v>
      </c>
      <c r="F203" s="19" t="n">
        <f aca="false">F202/E202-1</f>
        <v>-0.0698125051908239</v>
      </c>
      <c r="G203" s="19" t="n">
        <f aca="false">G202/F202-1</f>
        <v>0.0489889914296686</v>
      </c>
      <c r="H203" s="24" t="n">
        <f aca="false">$G203+(fade_gC-$G203)*1/3</f>
        <v>0.0393259942864457</v>
      </c>
      <c r="I203" s="24" t="n">
        <f aca="false">$G203+(fade_gC-$G203)*2/3</f>
        <v>0.0296629971432229</v>
      </c>
      <c r="J203" s="24" t="n">
        <f aca="false">$G203+(fade_gC-$G203)*3/3</f>
        <v>0.02</v>
      </c>
    </row>
    <row r="204" customFormat="false" ht="17.15" hidden="false" customHeight="false" outlineLevel="0" collapsed="false">
      <c r="A204" s="0" t="s">
        <v>641</v>
      </c>
      <c r="B204" s="0" t="s">
        <v>46</v>
      </c>
      <c r="C204" s="19" t="n">
        <f aca="false">C192/C202</f>
        <v>0</v>
      </c>
      <c r="D204" s="19" t="n">
        <f aca="false">D192/D202</f>
        <v>0.0948820140445411</v>
      </c>
      <c r="E204" s="19" t="n">
        <f aca="false">E192/E202</f>
        <v>0.368345878478417</v>
      </c>
      <c r="F204" s="19" t="n">
        <f aca="false">F192/F202</f>
        <v>0.325882974695245</v>
      </c>
      <c r="G204" s="19" t="n">
        <f aca="false">G192/G202</f>
        <v>0.361801746730618</v>
      </c>
    </row>
    <row r="205" customFormat="false" ht="17.15" hidden="false" customHeight="false" outlineLevel="0" collapsed="false">
      <c r="A205" s="4" t="s">
        <v>642</v>
      </c>
      <c r="B205" s="0" t="s">
        <v>46</v>
      </c>
      <c r="C205" s="19" t="n">
        <f aca="false">C198/C202</f>
        <v>0.53</v>
      </c>
      <c r="D205" s="19" t="n">
        <f aca="false">D198/D202</f>
        <v>0.389395431571569</v>
      </c>
      <c r="E205" s="19" t="n">
        <f aca="false">E198/E202</f>
        <v>0.263094523242858</v>
      </c>
      <c r="F205" s="19" t="n">
        <f aca="false">F198/F202</f>
        <v>0.274355104717813</v>
      </c>
      <c r="G205" s="19" t="n">
        <f aca="false">G198/G202</f>
        <v>0.253696133849391</v>
      </c>
    </row>
    <row r="206" customFormat="false" ht="17.15" hidden="false" customHeight="false" outlineLevel="0" collapsed="false">
      <c r="A206" s="6" t="s">
        <v>643</v>
      </c>
    </row>
    <row r="207" customFormat="false" ht="17.15" hidden="false" customHeight="false" outlineLevel="0" collapsed="false">
      <c r="A207" s="0" t="s">
        <v>644</v>
      </c>
      <c r="B207" s="0" t="s">
        <v>301</v>
      </c>
      <c r="D207" s="16" t="n">
        <f aca="false">m_core*D194+m_hbm*D193</f>
        <v>24.9087255420412</v>
      </c>
      <c r="E207" s="16" t="n">
        <f aca="false">m_core*E194+m_hbm*E193</f>
        <v>113.154415653094</v>
      </c>
      <c r="F207" s="16" t="n">
        <f aca="false">m_core*F194+m_hbm*F193</f>
        <v>100.530472650353</v>
      </c>
      <c r="G207" s="16" t="n">
        <f aca="false">m_core*G194+m_hbm*G193</f>
        <v>116.016765618576</v>
      </c>
    </row>
    <row r="208" customFormat="false" ht="17.15" hidden="false" customHeight="false" outlineLevel="0" collapsed="false">
      <c r="A208" s="4" t="s">
        <v>645</v>
      </c>
      <c r="B208" s="0" t="s">
        <v>46</v>
      </c>
      <c r="C208" s="17" t="n">
        <f aca="false">a25_gp/C201</f>
        <v>0.474993539899927</v>
      </c>
      <c r="D208" s="17" t="n">
        <f aca="false">(a26_gp-D207)/D201</f>
        <v>0.462340704042911</v>
      </c>
      <c r="E208" s="17" t="n">
        <f aca="false">$D208+0</f>
        <v>0.462340704042911</v>
      </c>
      <c r="F208" s="17" t="n">
        <f aca="false">$D208+0</f>
        <v>0.462340704042911</v>
      </c>
      <c r="G208" s="17" t="n">
        <f aca="false">$D208+0</f>
        <v>0.462340704042911</v>
      </c>
      <c r="K208" s="8" t="s">
        <v>646</v>
      </c>
    </row>
    <row r="209" customFormat="false" ht="15" hidden="false" customHeight="false" outlineLevel="0" collapsed="false">
      <c r="A209" s="4" t="s">
        <v>517</v>
      </c>
      <c r="B209" s="0" t="s">
        <v>301</v>
      </c>
      <c r="C209" s="16" t="n">
        <f aca="false">a25_gp</f>
        <v>283.08</v>
      </c>
      <c r="D209" s="16" t="n">
        <f aca="false">a26_gp</f>
        <v>307.17786821659</v>
      </c>
      <c r="E209" s="16" t="n">
        <f aca="false">E208*E201+E207</f>
        <v>381.38260329406</v>
      </c>
      <c r="F209" s="16" t="n">
        <f aca="false">F208*F201+F207</f>
        <v>366.805766916663</v>
      </c>
      <c r="G209" s="16" t="n">
        <f aca="false">G208*G201+G207</f>
        <v>380.453703416776</v>
      </c>
    </row>
    <row r="210" customFormat="false" ht="15" hidden="false" customHeight="false" outlineLevel="0" collapsed="false">
      <c r="A210" s="4" t="s">
        <v>520</v>
      </c>
      <c r="B210" s="0" t="s">
        <v>46</v>
      </c>
      <c r="C210" s="17" t="n">
        <f aca="false">C209/C202</f>
        <v>0.474993539899927</v>
      </c>
      <c r="D210" s="17" t="n">
        <f aca="false">D209/D202</f>
        <v>0.455400856348417</v>
      </c>
      <c r="E210" s="17" t="n">
        <f aca="false">E209/E202</f>
        <v>0.415238800622709</v>
      </c>
      <c r="F210" s="17" t="n">
        <f aca="false">F209/F202</f>
        <v>0.42934133999837</v>
      </c>
      <c r="G210" s="17" t="n">
        <f aca="false">G209/G202</f>
        <v>0.424519298424672</v>
      </c>
    </row>
    <row r="211" customFormat="false" ht="15" hidden="false" customHeight="false" outlineLevel="0" collapsed="false">
      <c r="A211" s="4" t="s">
        <v>647</v>
      </c>
      <c r="B211" s="0" t="s">
        <v>301</v>
      </c>
      <c r="C211" s="16" t="n">
        <f aca="false">a25_opx</f>
        <v>179.61</v>
      </c>
      <c r="D211" s="16" t="n">
        <f aca="false">a26_opx</f>
        <v>192.105</v>
      </c>
      <c r="E211" s="16" t="n">
        <f aca="false">D211*(1+MAX(g_opx_min,phi*E203))+0*E202</f>
        <v>212.947681579179</v>
      </c>
      <c r="F211" s="16" t="n">
        <f aca="false">E211*(1+MAX(g_opx_min,phi*F203))+0*F202</f>
        <v>225.72454247393</v>
      </c>
      <c r="G211" s="16" t="n">
        <f aca="false">F211*(1+MAX(g_opx_min,phi*G203))+0*G202</f>
        <v>239.268015022366</v>
      </c>
    </row>
    <row r="212" customFormat="false" ht="15" hidden="false" customHeight="false" outlineLevel="0" collapsed="false">
      <c r="A212" s="4" t="s">
        <v>524</v>
      </c>
      <c r="B212" s="0" t="s">
        <v>301</v>
      </c>
      <c r="C212" s="16" t="n">
        <f aca="false">C209-C211</f>
        <v>103.47</v>
      </c>
      <c r="D212" s="16" t="n">
        <f aca="false">D209-D211</f>
        <v>115.07286821659</v>
      </c>
      <c r="E212" s="16" t="n">
        <f aca="false">E209-E211</f>
        <v>168.434921714881</v>
      </c>
      <c r="F212" s="16" t="n">
        <f aca="false">F209-F211</f>
        <v>141.081224442733</v>
      </c>
      <c r="G212" s="16" t="n">
        <f aca="false">G209-G211</f>
        <v>141.18568839441</v>
      </c>
    </row>
    <row r="213" customFormat="false" ht="15" hidden="false" customHeight="false" outlineLevel="0" collapsed="false">
      <c r="A213" s="4" t="s">
        <v>598</v>
      </c>
      <c r="B213" s="0" t="s">
        <v>46</v>
      </c>
      <c r="C213" s="17" t="n">
        <f aca="false">C212/C202</f>
        <v>0.173617286892205</v>
      </c>
      <c r="D213" s="17" t="n">
        <f aca="false">D212/D202</f>
        <v>0.170599148410502</v>
      </c>
      <c r="E213" s="17" t="n">
        <f aca="false">E212/E202</f>
        <v>0.183387271133446</v>
      </c>
      <c r="F213" s="17" t="n">
        <f aca="false">F212/F202</f>
        <v>0.165133723114597</v>
      </c>
      <c r="G213" s="17" t="n">
        <f aca="false">G212/G202</f>
        <v>0.157538351832368</v>
      </c>
    </row>
    <row r="214" customFormat="false" ht="15" hidden="false" customHeight="false" outlineLevel="0" collapsed="false">
      <c r="A214" s="4" t="s">
        <v>526</v>
      </c>
      <c r="B214" s="0" t="s">
        <v>301</v>
      </c>
      <c r="C214" s="16" t="n">
        <f aca="false">a25_nonop</f>
        <v>21.418</v>
      </c>
      <c r="D214" s="16" t="n">
        <f aca="false">a26_nonop</f>
        <v>18.823</v>
      </c>
      <c r="E214" s="16" t="n">
        <f aca="false">nonop_f</f>
        <v>18</v>
      </c>
      <c r="F214" s="16" t="n">
        <f aca="false">nonop_f</f>
        <v>18</v>
      </c>
      <c r="G214" s="16" t="n">
        <f aca="false">nonop_f</f>
        <v>18</v>
      </c>
    </row>
    <row r="215" customFormat="false" ht="15" hidden="false" customHeight="false" outlineLevel="0" collapsed="false">
      <c r="A215" s="4" t="s">
        <v>528</v>
      </c>
      <c r="B215" s="0" t="s">
        <v>301</v>
      </c>
      <c r="C215" s="16" t="n">
        <f aca="false">C212+C214</f>
        <v>124.888</v>
      </c>
      <c r="D215" s="16" t="n">
        <f aca="false">D212+D214</f>
        <v>133.89586821659</v>
      </c>
      <c r="E215" s="16" t="n">
        <f aca="false">E212+E214</f>
        <v>186.434921714881</v>
      </c>
      <c r="F215" s="16" t="n">
        <f aca="false">F212+F214</f>
        <v>159.081224442733</v>
      </c>
      <c r="G215" s="16" t="n">
        <f aca="false">G212+G214</f>
        <v>159.18568839441</v>
      </c>
    </row>
    <row r="216" customFormat="false" ht="15" hidden="false" customHeight="false" outlineLevel="0" collapsed="false">
      <c r="A216" s="4" t="s">
        <v>529</v>
      </c>
      <c r="B216" s="0" t="s">
        <v>301</v>
      </c>
      <c r="C216" s="16" t="n">
        <f aca="false">a25_tax</f>
        <v>18.77</v>
      </c>
      <c r="D216" s="16" t="n">
        <f aca="false">a26_tax</f>
        <v>16.2589328681567</v>
      </c>
      <c r="E216" s="16" t="n">
        <f aca="false">E215*tax</f>
        <v>26.1008890400834</v>
      </c>
      <c r="F216" s="16" t="n">
        <f aca="false">F215*tax</f>
        <v>22.2713714219826</v>
      </c>
      <c r="G216" s="16" t="n">
        <f aca="false">G215*tax</f>
        <v>22.2859963752174</v>
      </c>
    </row>
    <row r="217" customFormat="false" ht="15" hidden="false" customHeight="false" outlineLevel="0" collapsed="false">
      <c r="A217" s="4" t="s">
        <v>530</v>
      </c>
      <c r="B217" s="0" t="s">
        <v>301</v>
      </c>
      <c r="C217" s="16" t="n">
        <f aca="false">a25_nci</f>
        <v>0.798</v>
      </c>
      <c r="D217" s="16" t="n">
        <f aca="false">a26_nci</f>
        <v>0.992</v>
      </c>
      <c r="E217" s="16" t="n">
        <f aca="false">nci</f>
        <v>1</v>
      </c>
      <c r="F217" s="16" t="n">
        <f aca="false">nci</f>
        <v>1</v>
      </c>
      <c r="G217" s="16" t="n">
        <f aca="false">nci</f>
        <v>1</v>
      </c>
    </row>
    <row r="218" customFormat="false" ht="15" hidden="false" customHeight="false" outlineLevel="0" collapsed="false">
      <c r="A218" s="4" t="s">
        <v>532</v>
      </c>
      <c r="B218" s="0" t="s">
        <v>301</v>
      </c>
      <c r="C218" s="16" t="n">
        <f aca="false">C215-C216-C217</f>
        <v>105.32</v>
      </c>
      <c r="D218" s="16" t="n">
        <f aca="false">D215-D216-D217</f>
        <v>116.644935348433</v>
      </c>
      <c r="E218" s="16" t="n">
        <f aca="false">E215-E216-E217</f>
        <v>159.334032674798</v>
      </c>
      <c r="F218" s="16" t="n">
        <f aca="false">F215-F216-F217</f>
        <v>135.80985302075</v>
      </c>
      <c r="G218" s="16" t="n">
        <f aca="false">G215-G216-G217</f>
        <v>135.899692019193</v>
      </c>
      <c r="H218" s="26" t="n">
        <f aca="false">H202*H222</f>
        <v>131.827810362331</v>
      </c>
      <c r="I218" s="26" t="n">
        <f aca="false">I202*I222</f>
        <v>126.042631301327</v>
      </c>
      <c r="J218" s="26" t="n">
        <f aca="false">J202*J222</f>
        <v>118.673985163711</v>
      </c>
    </row>
    <row r="219" customFormat="false" ht="15" hidden="false" customHeight="false" outlineLevel="0" collapsed="false">
      <c r="A219" s="4" t="s">
        <v>648</v>
      </c>
      <c r="B219" s="4" t="s">
        <v>346</v>
      </c>
      <c r="C219" s="18" t="n">
        <f aca="false">a25_sh</f>
        <v>1.59188331318017</v>
      </c>
      <c r="D219" s="18" t="n">
        <f aca="false">a26_sh</f>
        <v>1.59250890647703</v>
      </c>
      <c r="E219" s="18" t="n">
        <f aca="false">D219*(1+sh_g)</f>
        <v>1.59250890647703</v>
      </c>
      <c r="F219" s="18" t="n">
        <f aca="false">E219*(1+sh_g)</f>
        <v>1.59250890647703</v>
      </c>
      <c r="G219" s="18" t="n">
        <f aca="false">F219*(1+sh_g)</f>
        <v>1.59250890647703</v>
      </c>
      <c r="H219" s="28" t="n">
        <f aca="false">G219*(1+sh_g)</f>
        <v>1.59250890647703</v>
      </c>
      <c r="I219" s="28" t="n">
        <f aca="false">H219*(1+sh_g)</f>
        <v>1.59250890647703</v>
      </c>
      <c r="J219" s="28" t="n">
        <f aca="false">I219*(1+sh_g)</f>
        <v>1.59250890647703</v>
      </c>
    </row>
    <row r="220" customFormat="false" ht="17.15" hidden="false" customHeight="false" outlineLevel="0" collapsed="false">
      <c r="A220" s="0" t="s">
        <v>537</v>
      </c>
      <c r="B220" s="0" t="s">
        <v>403</v>
      </c>
      <c r="C220" s="16" t="n">
        <f aca="false">C218/C219</f>
        <v>66.1606281867469</v>
      </c>
      <c r="D220" s="16" t="n">
        <f aca="false">D218/D219</f>
        <v>73.2460175726595</v>
      </c>
      <c r="E220" s="16" t="n">
        <f aca="false">E218/E219</f>
        <v>100.052208202263</v>
      </c>
      <c r="F220" s="16" t="n">
        <f aca="false">F218/F219</f>
        <v>85.2804354615451</v>
      </c>
      <c r="G220" s="16" t="n">
        <f aca="false">G218/G219</f>
        <v>85.3368489598164</v>
      </c>
      <c r="H220" s="26" t="n">
        <f aca="false">H218/H219</f>
        <v>82.7799517014712</v>
      </c>
      <c r="I220" s="26" t="n">
        <f aca="false">I218/I219</f>
        <v>79.1472065171432</v>
      </c>
      <c r="J220" s="26" t="n">
        <f aca="false">J218/J219</f>
        <v>74.5201390592179</v>
      </c>
    </row>
    <row r="221" customFormat="false" ht="17.15" hidden="false" customHeight="false" outlineLevel="0" collapsed="false">
      <c r="A221" s="0" t="s">
        <v>649</v>
      </c>
      <c r="B221" s="0" t="s">
        <v>46</v>
      </c>
      <c r="D221" s="19" t="n">
        <f aca="false">D220/C220-1</f>
        <v>0.107093744120947</v>
      </c>
      <c r="E221" s="19" t="n">
        <f aca="false">E220/D220-1</f>
        <v>0.365974718052239</v>
      </c>
      <c r="F221" s="19" t="n">
        <f aca="false">F220/E220-1</f>
        <v>-0.147640646879632</v>
      </c>
      <c r="G221" s="19" t="n">
        <f aca="false">G220/F220-1</f>
        <v>0.000661505748252633</v>
      </c>
      <c r="H221" s="24" t="n">
        <f aca="false">H220/G220-1</f>
        <v>-0.0299624053326508</v>
      </c>
      <c r="I221" s="24" t="n">
        <f aca="false">I220/H220-1</f>
        <v>-0.0438843597955787</v>
      </c>
      <c r="J221" s="24" t="n">
        <f aca="false">J220/I220-1</f>
        <v>-0.0584615384615385</v>
      </c>
    </row>
    <row r="222" customFormat="false" ht="17.15" hidden="false" customHeight="false" outlineLevel="0" collapsed="false">
      <c r="A222" s="4" t="s">
        <v>650</v>
      </c>
      <c r="B222" s="0" t="s">
        <v>46</v>
      </c>
      <c r="C222" s="17" t="n">
        <f aca="false">C218/C202</f>
        <v>0.176721490823302</v>
      </c>
      <c r="D222" s="17" t="n">
        <f aca="false">D218/D202</f>
        <v>0.172929787405541</v>
      </c>
      <c r="E222" s="17" t="n">
        <f aca="false">E218/E202</f>
        <v>0.17347847556447</v>
      </c>
      <c r="F222" s="17" t="n">
        <f aca="false">F218/F202</f>
        <v>0.158963651992304</v>
      </c>
      <c r="G222" s="17" t="n">
        <f aca="false">G218/G202</f>
        <v>0.151640111251373</v>
      </c>
      <c r="H222" s="25" t="n">
        <f aca="false">$G222+(fade_mC-$G222)*1/3</f>
        <v>0.141530770501281</v>
      </c>
      <c r="I222" s="25" t="n">
        <f aca="false">$G222+(fade_mC-$G222)*2/3</f>
        <v>0.13142142975119</v>
      </c>
      <c r="J222" s="25" t="n">
        <f aca="false">$G222+(fade_mC-$G222)*3/3</f>
        <v>0.121312089001098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653</v>
      </c>
    </row>
    <row r="2" customFormat="false" ht="17.15" hidden="false" customHeight="false" outlineLevel="0" collapsed="false">
      <c r="A2" s="4" t="s">
        <v>654</v>
      </c>
    </row>
    <row r="4" customFormat="false" ht="17.15" hidden="false" customHeight="false" outlineLevel="0" collapsed="false">
      <c r="A4" s="6" t="s">
        <v>655</v>
      </c>
    </row>
    <row r="5" customFormat="false" ht="17.15" hidden="false" customHeight="false" outlineLevel="0" collapsed="false">
      <c r="A5" s="6" t="s">
        <v>656</v>
      </c>
    </row>
    <row r="6" customFormat="false" ht="17.15" hidden="false" customHeight="false" outlineLevel="0" collapsed="false">
      <c r="A6" s="5" t="s">
        <v>22</v>
      </c>
      <c r="B6" s="14" t="s">
        <v>657</v>
      </c>
      <c r="C6" s="14" t="s">
        <v>658</v>
      </c>
      <c r="D6" s="14" t="s">
        <v>659</v>
      </c>
      <c r="E6" s="5" t="s">
        <v>557</v>
      </c>
    </row>
    <row r="7" customFormat="false" ht="17.15" hidden="false" customHeight="false" outlineLevel="0" collapsed="false">
      <c r="A7" s="4" t="s">
        <v>660</v>
      </c>
      <c r="E7" s="0" t="s">
        <v>661</v>
      </c>
    </row>
    <row r="8" customFormat="false" ht="15" hidden="false" customHeight="false" outlineLevel="0" collapsed="false">
      <c r="A8" s="0" t="s">
        <v>662</v>
      </c>
      <c r="B8" s="16" t="n">
        <f aca="false">PL!E15</f>
        <v>114.570765642376</v>
      </c>
      <c r="C8" s="16" t="n">
        <f aca="false">PL!E29</f>
        <v>109.065617280403</v>
      </c>
      <c r="D8" s="16" t="n">
        <f aca="false">PL!E43</f>
        <v>100.052208202263</v>
      </c>
    </row>
    <row r="9" customFormat="false" ht="15" hidden="false" customHeight="false" outlineLevel="0" collapsed="false">
      <c r="A9" s="0" t="s">
        <v>663</v>
      </c>
      <c r="B9" s="16" t="n">
        <f aca="false">PL!F15</f>
        <v>149.287481646967</v>
      </c>
      <c r="C9" s="16" t="n">
        <f aca="false">PL!F29</f>
        <v>119.520303820291</v>
      </c>
      <c r="D9" s="16" t="n">
        <f aca="false">PL!F43</f>
        <v>85.2804354615451</v>
      </c>
    </row>
    <row r="10" customFormat="false" ht="15" hidden="false" customHeight="false" outlineLevel="0" collapsed="false">
      <c r="A10" s="0" t="s">
        <v>664</v>
      </c>
      <c r="B10" s="16" t="n">
        <f aca="false">PL!G15</f>
        <v>165.326095730639</v>
      </c>
      <c r="C10" s="16" t="n">
        <f aca="false">PL!G29</f>
        <v>133.5150640233</v>
      </c>
      <c r="D10" s="16" t="n">
        <f aca="false">PL!G43</f>
        <v>85.3368489598164</v>
      </c>
    </row>
    <row r="11" customFormat="false" ht="15" hidden="false" customHeight="false" outlineLevel="0" collapsed="false">
      <c r="A11" s="0" t="s">
        <v>665</v>
      </c>
      <c r="B11" s="16" t="n">
        <f aca="false">PL!H15</f>
        <v>178.494011728621</v>
      </c>
      <c r="C11" s="16" t="n">
        <f aca="false">PL!H29</f>
        <v>139.729973389592</v>
      </c>
      <c r="D11" s="16" t="n">
        <f aca="false">PL!H43</f>
        <v>82.7799517014712</v>
      </c>
    </row>
    <row r="12" customFormat="false" ht="15" hidden="false" customHeight="false" outlineLevel="0" collapsed="false">
      <c r="A12" s="0" t="s">
        <v>666</v>
      </c>
      <c r="B12" s="16" t="n">
        <f aca="false">PL!I15</f>
        <v>190.957190087116</v>
      </c>
      <c r="C12" s="16" t="n">
        <f aca="false">PL!I29</f>
        <v>143.184230885556</v>
      </c>
      <c r="D12" s="16" t="n">
        <f aca="false">PL!I43</f>
        <v>79.1472065171432</v>
      </c>
    </row>
    <row r="13" customFormat="false" ht="15" hidden="false" customHeight="false" outlineLevel="0" collapsed="false">
      <c r="A13" s="0" t="s">
        <v>667</v>
      </c>
      <c r="B13" s="16" t="n">
        <f aca="false">PL!J15</f>
        <v>202.414621492343</v>
      </c>
      <c r="C13" s="16" t="n">
        <f aca="false">PL!J29</f>
        <v>143.593328688086</v>
      </c>
      <c r="D13" s="16" t="n">
        <f aca="false">PL!J43</f>
        <v>74.5201390592179</v>
      </c>
    </row>
    <row r="14" customFormat="false" ht="17.15" hidden="false" customHeight="false" outlineLevel="0" collapsed="false">
      <c r="A14" s="4" t="s">
        <v>668</v>
      </c>
    </row>
    <row r="15" customFormat="false" ht="17.15" hidden="false" customHeight="false" outlineLevel="0" collapsed="false">
      <c r="A15" s="4" t="s">
        <v>669</v>
      </c>
      <c r="B15" s="19" t="n">
        <f aca="false">MIN(tp_g/tp_roe,0.8)</f>
        <v>0.165631469979296</v>
      </c>
      <c r="E15" s="8" t="s">
        <v>670</v>
      </c>
    </row>
    <row r="16" customFormat="false" ht="15" hidden="false" customHeight="false" outlineLevel="0" collapsed="false">
      <c r="A16" s="0" t="s">
        <v>662</v>
      </c>
      <c r="B16" s="16" t="n">
        <f aca="false">B8*(1-$B$15)</f>
        <v>95.5942413123759</v>
      </c>
      <c r="C16" s="16" t="n">
        <f aca="false">C8*(1-$B$15)</f>
        <v>91.0009187660506</v>
      </c>
      <c r="D16" s="16" t="n">
        <f aca="false">D8*(1-$B$15)</f>
        <v>83.4804138830475</v>
      </c>
    </row>
    <row r="17" customFormat="false" ht="15" hidden="false" customHeight="false" outlineLevel="0" collapsed="false">
      <c r="A17" s="0" t="s">
        <v>663</v>
      </c>
      <c r="B17" s="16" t="n">
        <f aca="false">B9*(1-$B$15)</f>
        <v>124.560776612273</v>
      </c>
      <c r="C17" s="16" t="n">
        <f aca="false">C9*(1-$B$15)</f>
        <v>99.723980206164</v>
      </c>
      <c r="D17" s="16" t="n">
        <f aca="false">D9*(1-$B$15)</f>
        <v>71.1553115755749</v>
      </c>
    </row>
    <row r="18" customFormat="false" ht="15" hidden="false" customHeight="false" outlineLevel="0" collapsed="false">
      <c r="A18" s="0" t="s">
        <v>664</v>
      </c>
      <c r="B18" s="16" t="n">
        <f aca="false">B10*(1-$B$15)</f>
        <v>137.942891468835</v>
      </c>
      <c r="C18" s="16" t="n">
        <f aca="false">C10*(1-$B$15)</f>
        <v>111.400767704741</v>
      </c>
      <c r="D18" s="16" t="n">
        <f aca="false">D10*(1-$B$15)</f>
        <v>71.2023812232009</v>
      </c>
    </row>
    <row r="19" customFormat="false" ht="15" hidden="false" customHeight="false" outlineLevel="0" collapsed="false">
      <c r="A19" s="0" t="s">
        <v>665</v>
      </c>
      <c r="B19" s="16" t="n">
        <f aca="false">B11*(1-$B$15)</f>
        <v>148.929786183508</v>
      </c>
      <c r="C19" s="16" t="n">
        <f aca="false">C11*(1-$B$15)</f>
        <v>116.586292496906</v>
      </c>
      <c r="D19" s="16" t="n">
        <f aca="false">D11*(1-$B$15)</f>
        <v>69.0689866163414</v>
      </c>
    </row>
    <row r="20" customFormat="false" ht="15" hidden="false" customHeight="false" outlineLevel="0" collapsed="false">
      <c r="A20" s="0" t="s">
        <v>666</v>
      </c>
      <c r="B20" s="16" t="n">
        <f aca="false">B12*(1-$B$15)</f>
        <v>159.328669989871</v>
      </c>
      <c r="C20" s="16" t="n">
        <f aca="false">C12*(1-$B$15)</f>
        <v>119.468416246126</v>
      </c>
      <c r="D20" s="16" t="n">
        <f aca="false">D12*(1-$B$15)</f>
        <v>66.0379383569539</v>
      </c>
    </row>
    <row r="21" customFormat="false" ht="15" hidden="false" customHeight="false" outlineLevel="0" collapsed="false">
      <c r="A21" s="0" t="s">
        <v>667</v>
      </c>
      <c r="B21" s="16" t="n">
        <f aca="false">B13*(1-$B$15)</f>
        <v>168.888390189263</v>
      </c>
      <c r="C21" s="16" t="n">
        <f aca="false">C13*(1-$B$15)</f>
        <v>119.809754578258</v>
      </c>
      <c r="D21" s="16" t="n">
        <f aca="false">D13*(1-$B$15)</f>
        <v>62.1772588837781</v>
      </c>
    </row>
    <row r="22" customFormat="false" ht="17.15" hidden="false" customHeight="false" outlineLevel="0" collapsed="false">
      <c r="A22" s="0" t="s">
        <v>671</v>
      </c>
      <c r="B22" s="16" t="n">
        <f aca="false">SUMPRODUCT(B16:B21,1/(1+tp_r)^{1;2;3;4;5;6})+B21*(1+tp_g)/(tp_r-tp_g)/(1+tp_r)^6</f>
        <v>2241.91017690035</v>
      </c>
      <c r="C22" s="16" t="n">
        <f aca="false">SUMPRODUCT(C16:C21,1/(1+tp_r)^{1;2;3;4;5;6})+C21*(1+tp_g)/(tp_r-tp_g)/(1+tp_r)^6</f>
        <v>1642.52601517917</v>
      </c>
      <c r="D22" s="16" t="n">
        <f aca="false">SUMPRODUCT(D16:D21,1/(1+tp_r)^{1;2;3;4;5;6})+D21*(1+tp_g)/(tp_r-tp_g)/(1+tp_r)^6</f>
        <v>919.825239614303</v>
      </c>
      <c r="E22" s="8" t="s">
        <v>672</v>
      </c>
    </row>
    <row r="23" customFormat="false" ht="17.15" hidden="false" customHeight="false" outlineLevel="0" collapsed="false">
      <c r="A23" s="0" t="s">
        <v>673</v>
      </c>
      <c r="B23" s="16" t="n">
        <f aca="false">B22*(1+tp_r)</f>
        <v>2466.10119459039</v>
      </c>
      <c r="C23" s="16" t="n">
        <f aca="false">C22*(1+tp_r)</f>
        <v>1806.77861669709</v>
      </c>
      <c r="D23" s="16" t="n">
        <f aca="false">D22*(1+tp_r)</f>
        <v>1011.80776357573</v>
      </c>
    </row>
    <row r="24" customFormat="false" ht="17.15" hidden="false" customHeight="false" outlineLevel="0" collapsed="false">
      <c r="A24" s="0" t="s">
        <v>674</v>
      </c>
      <c r="B24" s="29" t="n">
        <f aca="false">tp_wA*B23+tp_wB*C23+tp_wC*D23</f>
        <v>1845.58121944081</v>
      </c>
      <c r="E24" s="8" t="s">
        <v>675</v>
      </c>
    </row>
    <row r="26" customFormat="false" ht="17.15" hidden="false" customHeight="false" outlineLevel="0" collapsed="false">
      <c r="A26" s="6" t="s">
        <v>676</v>
      </c>
    </row>
    <row r="27" customFormat="false" ht="17.15" hidden="false" customHeight="false" outlineLevel="0" collapsed="false">
      <c r="A27" s="5" t="s">
        <v>677</v>
      </c>
      <c r="B27" s="5" t="s">
        <v>678</v>
      </c>
      <c r="C27" s="5" t="s">
        <v>679</v>
      </c>
      <c r="D27" s="5" t="s">
        <v>680</v>
      </c>
      <c r="E27" s="5" t="s">
        <v>681</v>
      </c>
      <c r="F27" s="5" t="s">
        <v>27</v>
      </c>
    </row>
    <row r="28" customFormat="false" ht="17.15" hidden="false" customHeight="false" outlineLevel="0" collapsed="false">
      <c r="A28" s="4" t="s">
        <v>682</v>
      </c>
      <c r="B28" s="0" t="s">
        <v>683</v>
      </c>
      <c r="C28" s="30" t="n">
        <v>18.98</v>
      </c>
      <c r="D28" s="8" t="s">
        <v>684</v>
      </c>
      <c r="E28" s="8" t="s">
        <v>685</v>
      </c>
      <c r="F28" s="8" t="s">
        <v>34</v>
      </c>
    </row>
    <row r="29" customFormat="false" ht="17.15" hidden="false" customHeight="false" outlineLevel="0" collapsed="false">
      <c r="A29" s="4" t="s">
        <v>686</v>
      </c>
      <c r="B29" s="0" t="s">
        <v>687</v>
      </c>
      <c r="C29" s="30" t="n">
        <v>18.52</v>
      </c>
      <c r="D29" s="8" t="s">
        <v>684</v>
      </c>
      <c r="E29" s="8" t="s">
        <v>685</v>
      </c>
      <c r="F29" s="8" t="s">
        <v>34</v>
      </c>
    </row>
    <row r="30" customFormat="false" ht="17.15" hidden="false" customHeight="false" outlineLevel="0" collapsed="false">
      <c r="A30" s="4" t="s">
        <v>688</v>
      </c>
      <c r="B30" s="0" t="s">
        <v>689</v>
      </c>
      <c r="C30" s="30" t="n">
        <v>40.44</v>
      </c>
      <c r="D30" s="8" t="s">
        <v>684</v>
      </c>
      <c r="E30" s="8" t="s">
        <v>685</v>
      </c>
      <c r="F30" s="8" t="s">
        <v>34</v>
      </c>
    </row>
    <row r="31" customFormat="false" ht="17.15" hidden="false" customHeight="false" outlineLevel="0" collapsed="false">
      <c r="A31" s="4" t="s">
        <v>690</v>
      </c>
      <c r="B31" s="0" t="s">
        <v>691</v>
      </c>
      <c r="C31" s="30" t="n">
        <v>17.15</v>
      </c>
      <c r="D31" s="8" t="s">
        <v>692</v>
      </c>
      <c r="E31" s="8" t="s">
        <v>685</v>
      </c>
      <c r="F31" s="8" t="s">
        <v>34</v>
      </c>
    </row>
    <row r="32" customFormat="false" ht="17.15" hidden="false" customHeight="false" outlineLevel="0" collapsed="false">
      <c r="A32" s="4" t="s">
        <v>693</v>
      </c>
      <c r="B32" s="0" t="s">
        <v>694</v>
      </c>
      <c r="C32" s="30" t="n">
        <v>102.85</v>
      </c>
      <c r="D32" s="8" t="s">
        <v>695</v>
      </c>
      <c r="E32" s="8" t="s">
        <v>685</v>
      </c>
      <c r="F32" s="8" t="s">
        <v>34</v>
      </c>
    </row>
    <row r="33" customFormat="false" ht="17.15" hidden="false" customHeight="false" outlineLevel="0" collapsed="false">
      <c r="A33" s="4" t="s">
        <v>696</v>
      </c>
      <c r="B33" s="31" t="n">
        <f aca="false">MEDIAN(C28:C32)</f>
        <v>18.98</v>
      </c>
      <c r="E33" s="4" t="s">
        <v>697</v>
      </c>
    </row>
    <row r="34" customFormat="false" ht="17.15" hidden="false" customHeight="false" outlineLevel="0" collapsed="false">
      <c r="A34" s="0" t="s">
        <v>698</v>
      </c>
      <c r="B34" s="16" t="n">
        <f aca="false">tp_wA*(2/12*B8+10/12*B9)+tp_wB*(2/12*C8+10/12*C9)+tp_wC*(2/12*D8+10/12*D9)</f>
        <v>119.487816242682</v>
      </c>
      <c r="E34" s="4" t="s">
        <v>699</v>
      </c>
    </row>
    <row r="35" customFormat="false" ht="17.15" hidden="false" customHeight="false" outlineLevel="0" collapsed="false">
      <c r="A35" s="0" t="s">
        <v>700</v>
      </c>
      <c r="B35" s="29" t="n">
        <f aca="false">B33*B34</f>
        <v>2267.8787522861</v>
      </c>
      <c r="E35" s="4" t="s">
        <v>701</v>
      </c>
    </row>
    <row r="37" customFormat="false" ht="17.15" hidden="false" customHeight="false" outlineLevel="0" collapsed="false">
      <c r="A37" s="6" t="s">
        <v>702</v>
      </c>
    </row>
    <row r="38" customFormat="false" ht="15" hidden="false" customHeight="false" outlineLevel="0" collapsed="false">
      <c r="A38" s="5" t="s">
        <v>22</v>
      </c>
      <c r="B38" s="5" t="s">
        <v>703</v>
      </c>
      <c r="C38" s="5"/>
      <c r="D38" s="5"/>
      <c r="E38" s="5" t="s">
        <v>557</v>
      </c>
    </row>
    <row r="39" customFormat="false" ht="17.15" hidden="false" customHeight="false" outlineLevel="0" collapsed="false">
      <c r="A39" s="4" t="s">
        <v>704</v>
      </c>
      <c r="B39" s="29" t="n">
        <f aca="false">tp_w_dcf*B24+(1-tp_w_dcf)*B35</f>
        <v>2056.72998586345</v>
      </c>
      <c r="E39" s="8" t="s">
        <v>705</v>
      </c>
    </row>
    <row r="40" customFormat="false" ht="17.15" hidden="false" customHeight="false" outlineLevel="0" collapsed="false">
      <c r="A40" s="0" t="s">
        <v>706</v>
      </c>
      <c r="B40" s="16" t="n">
        <f aca="false">B35</f>
        <v>2267.8787522861</v>
      </c>
    </row>
    <row r="41" customFormat="false" ht="17.15" hidden="false" customHeight="false" outlineLevel="0" collapsed="false">
      <c r="A41" s="4" t="s">
        <v>707</v>
      </c>
      <c r="B41" s="16" t="n">
        <f aca="false">cons_tp</f>
        <v>6067</v>
      </c>
      <c r="E41" s="8" t="s">
        <v>708</v>
      </c>
    </row>
    <row r="42" customFormat="false" ht="17.15" hidden="false" customHeight="false" outlineLevel="0" collapsed="false">
      <c r="A42" s="4" t="s">
        <v>709</v>
      </c>
      <c r="B42" s="19" t="n">
        <f aca="false">B39/px-1</f>
        <v>-0.487099754148765</v>
      </c>
      <c r="E42" s="4" t="s">
        <v>710</v>
      </c>
    </row>
    <row r="43" customFormat="false" ht="17.15" hidden="false" customHeight="false" outlineLevel="0" collapsed="false">
      <c r="A43" s="4" t="s">
        <v>711</v>
      </c>
      <c r="B43" s="19" t="n">
        <f aca="false">B40/px-1</f>
        <v>-0.434444201424914</v>
      </c>
    </row>
    <row r="44" customFormat="false" ht="17.15" hidden="false" customHeight="false" outlineLevel="0" collapsed="false">
      <c r="A44" s="4" t="s">
        <v>712</v>
      </c>
      <c r="B44" s="19" t="n">
        <f aca="false">B34/cons_feps-1</f>
        <v>0.154651590873793</v>
      </c>
      <c r="E44" s="4" t="s">
        <v>713</v>
      </c>
    </row>
    <row r="45" customFormat="false" ht="17.15" hidden="false" customHeight="false" outlineLevel="0" collapsed="false">
      <c r="A45" s="4" t="s">
        <v>714</v>
      </c>
      <c r="B45" s="19" t="n">
        <f aca="false">(cons_tp/cons_feps)/B33-1</f>
        <v>2.08890904982013</v>
      </c>
      <c r="E45" s="0" t="str">
        <f aca="false">"共識目標價隱含 "&amp;TEXT(cons_tp/cons_feps,"0.0")&amp;"x，同業中位數 "&amp;TEXT(B33,"0.0")&amp;"x"</f>
        <v>共識目標價隱含 58.6x，同業中位數 19.0x</v>
      </c>
    </row>
    <row r="46" customFormat="false" ht="17.15" hidden="false" customHeight="false" outlineLevel="0" collapsed="false">
      <c r="A46" s="4" t="s">
        <v>715</v>
      </c>
      <c r="B46" s="32" t="str">
        <f aca="false">TEXT(D23,"#,##0")&amp;"～"&amp;TEXT(B23,"#,##0")</f>
        <v>1,012～2,466</v>
      </c>
      <c r="E46" s="8" t="s">
        <v>716</v>
      </c>
    </row>
    <row r="47" customFormat="false" ht="17.15" hidden="false" customHeight="false" outlineLevel="0" collapsed="false">
      <c r="A47" s="4" t="s">
        <v>717</v>
      </c>
      <c r="B47" s="33" t="n">
        <f aca="false">IF(px/B9&gt;=MAX($B$86:$B$95),1,IF(px/B9&lt;=MIN($B$86:$B$95),0,PERCENTRANK($B$86:$B$95,px/B9)))</f>
        <v>1</v>
      </c>
      <c r="C47" s="33" t="n">
        <f aca="false">IF(px/C9&gt;=MAX($B$86:$B$95),1,IF(px/C9&lt;=MIN($B$86:$B$95),0,PERCENTRANK($B$86:$B$95,px/C9)))</f>
        <v>1</v>
      </c>
      <c r="D47" s="33" t="n">
        <f aca="false">IF(px/D9&gt;=MAX($B$86:$B$95),1,IF(px/D9&lt;=MIN($B$86:$B$95),0,PERCENTRANK($B$86:$B$95,px/D9)))</f>
        <v>1</v>
      </c>
      <c r="E47" s="4" t="s">
        <v>718</v>
      </c>
    </row>
    <row r="48" customFormat="false" ht="17.15" hidden="false" customHeight="false" outlineLevel="0" collapsed="false">
      <c r="A48" s="4" t="s">
        <v>719</v>
      </c>
      <c r="B48" s="0" t="s">
        <v>720</v>
      </c>
    </row>
    <row r="51" customFormat="false" ht="17.15" hidden="false" customHeight="false" outlineLevel="0" collapsed="false">
      <c r="A51" s="6" t="s">
        <v>721</v>
      </c>
    </row>
    <row r="52" customFormat="false" ht="15" hidden="false" customHeight="false" outlineLevel="0" collapsed="false">
      <c r="A52" s="5" t="s">
        <v>22</v>
      </c>
      <c r="B52" s="14" t="s">
        <v>722</v>
      </c>
      <c r="C52" s="14" t="s">
        <v>723</v>
      </c>
      <c r="D52" s="14" t="s">
        <v>724</v>
      </c>
      <c r="E52" s="5" t="s">
        <v>557</v>
      </c>
    </row>
    <row r="53" customFormat="false" ht="17.15" hidden="false" customHeight="false" outlineLevel="0" collapsed="false">
      <c r="A53" s="4" t="s">
        <v>725</v>
      </c>
      <c r="B53" s="34" t="n">
        <f aca="false">px</f>
        <v>4010</v>
      </c>
    </row>
    <row r="54" customFormat="false" ht="17.15" hidden="false" customHeight="false" outlineLevel="0" collapsed="false">
      <c r="A54" s="4" t="s">
        <v>726</v>
      </c>
      <c r="B54" s="31" t="n">
        <f aca="false">px/PL!D15</f>
        <v>54.747003767435</v>
      </c>
      <c r="C54" s="31" t="n">
        <f aca="false">px/PL!D29</f>
        <v>54.747003767435</v>
      </c>
      <c r="D54" s="31" t="n">
        <f aca="false">px/PL!D43</f>
        <v>54.747003767435</v>
      </c>
      <c r="E54" s="8" t="s">
        <v>727</v>
      </c>
    </row>
    <row r="55" customFormat="false" ht="17.15" hidden="false" customHeight="false" outlineLevel="0" collapsed="false">
      <c r="A55" s="4" t="s">
        <v>728</v>
      </c>
      <c r="B55" s="31" t="n">
        <f aca="false">px/PL!E15</f>
        <v>35.0002025169048</v>
      </c>
      <c r="C55" s="31" t="n">
        <f aca="false">px/PL!E29</f>
        <v>36.7668574202488</v>
      </c>
      <c r="D55" s="31" t="n">
        <f aca="false">px/PL!E43</f>
        <v>40.0790754352317</v>
      </c>
      <c r="E55" s="8" t="s">
        <v>729</v>
      </c>
    </row>
    <row r="56" customFormat="false" ht="17.15" hidden="false" customHeight="false" outlineLevel="0" collapsed="false">
      <c r="A56" s="4" t="s">
        <v>730</v>
      </c>
      <c r="B56" s="31" t="n">
        <f aca="false">px/PL!F15</f>
        <v>26.8609260184507</v>
      </c>
      <c r="C56" s="31" t="n">
        <f aca="false">px/PL!F29</f>
        <v>33.550784861034</v>
      </c>
      <c r="D56" s="31" t="n">
        <f aca="false">px/PL!F43</f>
        <v>47.0213358819937</v>
      </c>
    </row>
    <row r="57" customFormat="false" ht="17.15" hidden="false" customHeight="false" outlineLevel="0" collapsed="false">
      <c r="A57" s="4" t="s">
        <v>731</v>
      </c>
      <c r="B57" s="31" t="n">
        <f aca="false">px/PL!G15</f>
        <v>24.2550940447622</v>
      </c>
      <c r="C57" s="31" t="n">
        <f aca="false">px/PL!G29</f>
        <v>30.0340641659746</v>
      </c>
      <c r="D57" s="31" t="n">
        <f aca="false">px/PL!G43</f>
        <v>46.9902515604746</v>
      </c>
    </row>
    <row r="58" customFormat="false" ht="17.15" hidden="false" customHeight="false" outlineLevel="0" collapsed="false">
      <c r="A58" s="4" t="s">
        <v>732</v>
      </c>
      <c r="B58" s="21" t="n">
        <f aca="false">0.2*PL!D29+0.8*PL!E29</f>
        <v>101.901697338854</v>
      </c>
    </row>
    <row r="59" customFormat="false" ht="17.15" hidden="false" customHeight="false" outlineLevel="0" collapsed="false">
      <c r="A59" s="4" t="s">
        <v>733</v>
      </c>
      <c r="B59" s="31" t="n">
        <f aca="false">px/B58</f>
        <v>39.3516507057338</v>
      </c>
    </row>
    <row r="60" customFormat="false" ht="17.15" hidden="false" customHeight="false" outlineLevel="0" collapsed="false">
      <c r="A60" s="4" t="s">
        <v>435</v>
      </c>
      <c r="B60" s="31" t="n">
        <f aca="false">pe_ttm</f>
        <v>66.23</v>
      </c>
    </row>
    <row r="61" customFormat="false" ht="17.15" hidden="false" customHeight="false" outlineLevel="0" collapsed="false">
      <c r="A61" s="4" t="s">
        <v>439</v>
      </c>
      <c r="B61" s="31" t="n">
        <f aca="false">fpe</f>
        <v>38.75</v>
      </c>
    </row>
    <row r="63" customFormat="false" ht="17.15" hidden="false" customHeight="false" outlineLevel="0" collapsed="false">
      <c r="A63" s="6" t="s">
        <v>734</v>
      </c>
    </row>
    <row r="64" customFormat="false" ht="17.15" hidden="false" customHeight="false" outlineLevel="0" collapsed="false">
      <c r="A64" s="5" t="s">
        <v>735</v>
      </c>
      <c r="B64" s="5" t="s">
        <v>736</v>
      </c>
      <c r="C64" s="14" t="s">
        <v>737</v>
      </c>
      <c r="D64" s="5" t="s">
        <v>738</v>
      </c>
      <c r="E64" s="5" t="s">
        <v>739</v>
      </c>
      <c r="F64" s="5" t="s">
        <v>557</v>
      </c>
    </row>
    <row r="65" customFormat="false" ht="17.15" hidden="false" customHeight="false" outlineLevel="0" collapsed="false">
      <c r="A65" s="0" t="s">
        <v>722</v>
      </c>
      <c r="B65" s="0" t="n">
        <f aca="false">INDEX({2026,2027,2028,2029},MATCH(MAX(PL!D92:G92),PL!D92:G92,0))</f>
        <v>2029</v>
      </c>
      <c r="C65" s="0" t="str">
        <f aca="false">IF(B65=2029,"中段",IF(2027&lt;B65,"中段",IF(2027=B65,"見頂","谷底")))</f>
        <v>中段</v>
      </c>
      <c r="D65" s="31" t="n">
        <f aca="false">IF(C65="見頂",pe_peak,IF(C65="谷底",pe_trough,pe_mid))</f>
        <v>18.44</v>
      </c>
      <c r="E65" s="0" t="str">
        <f aca="false">IF(B65=2029,"是：營收到觀測期末仍在增加","否")</f>
        <v>是：營收到觀測期末仍在增加</v>
      </c>
      <c r="F65" s="8" t="s">
        <v>740</v>
      </c>
    </row>
    <row r="66" customFormat="false" ht="15" hidden="false" customHeight="false" outlineLevel="0" collapsed="false">
      <c r="A66" s="0" t="s">
        <v>723</v>
      </c>
      <c r="B66" s="0" t="n">
        <f aca="false">INDEX({2026,2027,2028,2029},MATCH(MAX(PL!D147:G147),PL!D147:G147,0))</f>
        <v>2029</v>
      </c>
      <c r="C66" s="0" t="str">
        <f aca="false">IF(B66=2029,"中段",IF(2027&lt;B66,"中段",IF(2027=B66,"見頂","谷底")))</f>
        <v>中段</v>
      </c>
      <c r="D66" s="31" t="n">
        <f aca="false">IF(C66="見頂",pe_peak,IF(C66="谷底",pe_trough,pe_mid))</f>
        <v>18.44</v>
      </c>
      <c r="E66" s="0" t="str">
        <f aca="false">IF(B66=2029,"是：營收到觀測期末仍在增加","否")</f>
        <v>是：營收到觀測期末仍在增加</v>
      </c>
      <c r="F66" s="4" t="s">
        <v>40</v>
      </c>
    </row>
    <row r="67" customFormat="false" ht="15" hidden="false" customHeight="false" outlineLevel="0" collapsed="false">
      <c r="A67" s="0" t="s">
        <v>724</v>
      </c>
      <c r="B67" s="0" t="n">
        <f aca="false">INDEX({2026,2027,2028,2029},MATCH(MAX(PL!D202:G202),PL!D202:G202,0))</f>
        <v>2027</v>
      </c>
      <c r="C67" s="0" t="str">
        <f aca="false">IF(B67=2029,"中段",IF(2027&lt;B67,"中段",IF(2027=B67,"見頂","谷底")))</f>
        <v>見頂</v>
      </c>
      <c r="D67" s="31" t="n">
        <f aca="false">IF(C67="見頂",pe_peak,IF(C67="谷底",pe_trough,pe_mid))</f>
        <v>14.54</v>
      </c>
      <c r="E67" s="0" t="str">
        <f aca="false">IF(B67=2029,"是：營收到觀測期末仍在增加","否")</f>
        <v>否</v>
      </c>
      <c r="F67" s="4" t="s">
        <v>40</v>
      </c>
    </row>
    <row r="69" customFormat="false" ht="17.15" hidden="false" customHeight="false" outlineLevel="0" collapsed="false">
      <c r="A69" s="6" t="s">
        <v>741</v>
      </c>
    </row>
    <row r="70" customFormat="false" ht="17.15" hidden="false" customHeight="false" outlineLevel="0" collapsed="false">
      <c r="A70" s="5" t="s">
        <v>735</v>
      </c>
      <c r="B70" s="14" t="s">
        <v>742</v>
      </c>
      <c r="C70" s="5" t="s">
        <v>743</v>
      </c>
      <c r="D70" s="5" t="s">
        <v>744</v>
      </c>
      <c r="E70" s="5" t="s">
        <v>745</v>
      </c>
      <c r="F70" s="5" t="s">
        <v>746</v>
      </c>
      <c r="G70" s="5" t="s">
        <v>747</v>
      </c>
    </row>
    <row r="71" customFormat="false" ht="15" hidden="false" customHeight="false" outlineLevel="0" collapsed="false">
      <c r="A71" s="9" t="s">
        <v>722</v>
      </c>
      <c r="B71" s="35" t="n">
        <f aca="false">PL!E15</f>
        <v>114.570765642376</v>
      </c>
      <c r="C71" s="35" t="n">
        <f aca="false">B71</f>
        <v>114.570765642376</v>
      </c>
      <c r="D71" s="36" t="n">
        <f aca="false">D65</f>
        <v>18.44</v>
      </c>
      <c r="E71" s="37" t="n">
        <f aca="false">C71*D71</f>
        <v>2112.68491844541</v>
      </c>
      <c r="F71" s="38" t="n">
        <f aca="false">E71/px-1</f>
        <v>-0.473145905624585</v>
      </c>
      <c r="G71" s="36" t="n">
        <f aca="false">px/C71</f>
        <v>35.0002025169048</v>
      </c>
    </row>
    <row r="72" customFormat="false" ht="15" hidden="false" customHeight="false" outlineLevel="0" collapsed="false">
      <c r="A72" s="9" t="s">
        <v>723</v>
      </c>
      <c r="B72" s="35" t="n">
        <f aca="false">PL!E29</f>
        <v>109.065617280403</v>
      </c>
      <c r="C72" s="35" t="n">
        <f aca="false">B72</f>
        <v>109.065617280403</v>
      </c>
      <c r="D72" s="36" t="n">
        <f aca="false">D66</f>
        <v>18.44</v>
      </c>
      <c r="E72" s="37" t="n">
        <f aca="false">C72*D72</f>
        <v>2011.16998265063</v>
      </c>
      <c r="F72" s="38" t="n">
        <f aca="false">E72/px-1</f>
        <v>-0.498461350959942</v>
      </c>
      <c r="G72" s="36" t="n">
        <f aca="false">px/C72</f>
        <v>36.7668574202488</v>
      </c>
    </row>
    <row r="73" customFormat="false" ht="15" hidden="false" customHeight="false" outlineLevel="0" collapsed="false">
      <c r="A73" s="9" t="s">
        <v>724</v>
      </c>
      <c r="B73" s="35" t="n">
        <f aca="false">PL!E43</f>
        <v>100.052208202263</v>
      </c>
      <c r="C73" s="35" t="n">
        <f aca="false">B73</f>
        <v>100.052208202263</v>
      </c>
      <c r="D73" s="36" t="n">
        <f aca="false">D67</f>
        <v>14.54</v>
      </c>
      <c r="E73" s="37" t="n">
        <f aca="false">C73*D73</f>
        <v>1454.7591072609</v>
      </c>
      <c r="F73" s="38" t="n">
        <f aca="false">E73/px-1</f>
        <v>-0.637217180234189</v>
      </c>
      <c r="G73" s="36" t="n">
        <f aca="false">px/C73</f>
        <v>40.0790754352317</v>
      </c>
    </row>
    <row r="75" customFormat="false" ht="17.15" hidden="false" customHeight="false" outlineLevel="0" collapsed="false">
      <c r="A75" s="6" t="s">
        <v>748</v>
      </c>
    </row>
    <row r="76" customFormat="false" ht="17.15" hidden="false" customHeight="false" outlineLevel="0" collapsed="false">
      <c r="A76" s="14" t="s">
        <v>749</v>
      </c>
      <c r="B76" s="5" t="s">
        <v>750</v>
      </c>
      <c r="C76" s="5" t="s">
        <v>751</v>
      </c>
      <c r="D76" s="5" t="s">
        <v>752</v>
      </c>
      <c r="E76" s="5" t="s">
        <v>753</v>
      </c>
    </row>
    <row r="77" customFormat="false" ht="15" hidden="false" customHeight="false" outlineLevel="0" collapsed="false">
      <c r="A77" s="39" t="n">
        <v>1</v>
      </c>
      <c r="B77" s="31" t="n">
        <f aca="false">px*A77/PL!F15</f>
        <v>26.8609260184507</v>
      </c>
      <c r="C77" s="31" t="n">
        <f aca="false">px*A77/PL!F29</f>
        <v>33.550784861034</v>
      </c>
      <c r="D77" s="31" t="n">
        <f aca="false">px*A77/PL!F43</f>
        <v>47.0213358819937</v>
      </c>
      <c r="E77" s="31" t="n">
        <f aca="false">pe_mid</f>
        <v>18.44</v>
      </c>
    </row>
    <row r="78" customFormat="false" ht="15" hidden="false" customHeight="false" outlineLevel="0" collapsed="false">
      <c r="A78" s="39" t="n">
        <v>1.1</v>
      </c>
      <c r="B78" s="31" t="n">
        <f aca="false">px*A78/PL!F15</f>
        <v>29.5470186202958</v>
      </c>
      <c r="C78" s="31" t="n">
        <f aca="false">px*A78/PL!F29</f>
        <v>36.9058633471374</v>
      </c>
      <c r="D78" s="31" t="n">
        <f aca="false">px*A78/PL!F43</f>
        <v>51.7234694701931</v>
      </c>
      <c r="E78" s="31" t="n">
        <f aca="false">pe_mid</f>
        <v>18.44</v>
      </c>
    </row>
    <row r="79" customFormat="false" ht="15" hidden="false" customHeight="false" outlineLevel="0" collapsed="false">
      <c r="A79" s="39" t="n">
        <v>1.21</v>
      </c>
      <c r="B79" s="31" t="n">
        <f aca="false">px*A79/PL!F15</f>
        <v>32.5017204823254</v>
      </c>
      <c r="C79" s="31" t="n">
        <f aca="false">px*A79/PL!F29</f>
        <v>40.5964496818512</v>
      </c>
      <c r="D79" s="31" t="n">
        <f aca="false">px*A79/PL!F43</f>
        <v>56.8958164172124</v>
      </c>
      <c r="E79" s="31" t="n">
        <f aca="false">pe_mid</f>
        <v>18.44</v>
      </c>
    </row>
    <row r="80" customFormat="false" ht="15" hidden="false" customHeight="false" outlineLevel="0" collapsed="false">
      <c r="A80" s="39" t="n">
        <v>1.5</v>
      </c>
      <c r="B80" s="31" t="n">
        <f aca="false">px*A80/PL!F15</f>
        <v>40.2913890276761</v>
      </c>
      <c r="C80" s="31" t="n">
        <f aca="false">px*A80/PL!F29</f>
        <v>50.326177291551</v>
      </c>
      <c r="D80" s="31" t="n">
        <f aca="false">px*A80/PL!F43</f>
        <v>70.5320038229906</v>
      </c>
      <c r="E80" s="31" t="n">
        <f aca="false">pe_mid</f>
        <v>18.44</v>
      </c>
    </row>
    <row r="81" customFormat="false" ht="15" hidden="false" customHeight="false" outlineLevel="0" collapsed="false">
      <c r="A81" s="39" t="n">
        <v>2</v>
      </c>
      <c r="B81" s="31" t="n">
        <f aca="false">px*A81/PL!F15</f>
        <v>53.7218520369015</v>
      </c>
      <c r="C81" s="31" t="n">
        <f aca="false">px*A81/PL!F29</f>
        <v>67.101569722068</v>
      </c>
      <c r="D81" s="31" t="n">
        <f aca="false">px*A81/PL!F43</f>
        <v>94.0426717639874</v>
      </c>
      <c r="E81" s="31" t="n">
        <f aca="false">pe_mid</f>
        <v>18.44</v>
      </c>
    </row>
    <row r="82" customFormat="false" ht="17.15" hidden="false" customHeight="false" outlineLevel="0" collapsed="false">
      <c r="A82" s="4" t="s">
        <v>754</v>
      </c>
    </row>
    <row r="84" customFormat="false" ht="17.15" hidden="false" customHeight="false" outlineLevel="0" collapsed="false">
      <c r="A84" s="6" t="s">
        <v>755</v>
      </c>
    </row>
    <row r="85" customFormat="false" ht="17.15" hidden="false" customHeight="false" outlineLevel="0" collapsed="false">
      <c r="A85" s="5" t="s">
        <v>756</v>
      </c>
      <c r="B85" s="5" t="s">
        <v>757</v>
      </c>
      <c r="C85" s="14" t="s">
        <v>758</v>
      </c>
      <c r="D85" s="5" t="s">
        <v>759</v>
      </c>
    </row>
    <row r="86" customFormat="false" ht="15" hidden="false" customHeight="false" outlineLevel="0" collapsed="false">
      <c r="A86" s="0" t="s">
        <v>760</v>
      </c>
      <c r="B86" s="21" t="n">
        <f aca="false">AVERAGE(C86:D86)</f>
        <v>9.22</v>
      </c>
      <c r="C86" s="21" t="n">
        <f aca="false">B105</f>
        <v>9.22</v>
      </c>
      <c r="D86" s="21" t="str">
        <f aca="false">IF(C105="","",C105)</f>
        <v/>
      </c>
    </row>
    <row r="87" customFormat="false" ht="15" hidden="false" customHeight="false" outlineLevel="0" collapsed="false">
      <c r="A87" s="0" t="s">
        <v>761</v>
      </c>
      <c r="B87" s="21" t="n">
        <f aca="false">AVERAGE(C87:D87)</f>
        <v>15.7473007712082</v>
      </c>
      <c r="C87" s="21" t="n">
        <f aca="false">B106</f>
        <v>12.6</v>
      </c>
      <c r="D87" s="21" t="n">
        <f aca="false">IF(C106="","",C106)</f>
        <v>18.8946015424165</v>
      </c>
    </row>
    <row r="88" customFormat="false" ht="15" hidden="false" customHeight="false" outlineLevel="0" collapsed="false">
      <c r="A88" s="0" t="s">
        <v>762</v>
      </c>
      <c r="B88" s="21" t="n">
        <f aca="false">AVERAGE(C88:D88)</f>
        <v>14.4038461538462</v>
      </c>
      <c r="C88" s="21" t="n">
        <f aca="false">B107</f>
        <v>11.5</v>
      </c>
      <c r="D88" s="21" t="n">
        <f aca="false">IF(C107="","",C107)</f>
        <v>17.3076923076923</v>
      </c>
    </row>
    <row r="89" customFormat="false" ht="15" hidden="false" customHeight="false" outlineLevel="0" collapsed="false">
      <c r="A89" s="0" t="s">
        <v>763</v>
      </c>
      <c r="B89" s="21" t="n">
        <f aca="false">AVERAGE(C89:D89)</f>
        <v>25.8953029271613</v>
      </c>
      <c r="C89" s="21" t="n">
        <f aca="false">B108</f>
        <v>21.6</v>
      </c>
      <c r="D89" s="21" t="n">
        <f aca="false">IF(C108="","",C108)</f>
        <v>30.1906058543227</v>
      </c>
    </row>
    <row r="90" customFormat="false" ht="15" hidden="false" customHeight="false" outlineLevel="0" collapsed="false">
      <c r="A90" s="0" t="s">
        <v>764</v>
      </c>
      <c r="B90" s="21" t="n">
        <f aca="false">AVERAGE(C90:D90)</f>
        <v>24.7098615916955</v>
      </c>
      <c r="C90" s="21" t="n">
        <f aca="false">B109</f>
        <v>20.7</v>
      </c>
      <c r="D90" s="21" t="n">
        <f aca="false">IF(C109="","",C109)</f>
        <v>28.719723183391</v>
      </c>
    </row>
    <row r="91" customFormat="false" ht="15" hidden="false" customHeight="false" outlineLevel="0" collapsed="false">
      <c r="A91" s="0" t="s">
        <v>765</v>
      </c>
      <c r="B91" s="21" t="n">
        <f aca="false">AVERAGE(C91:D91)</f>
        <v>14.7825396825397</v>
      </c>
      <c r="C91" s="21" t="n">
        <f aca="false">B110</f>
        <v>12.7</v>
      </c>
      <c r="D91" s="21" t="n">
        <f aca="false">IF(C110="","",C110)</f>
        <v>16.8650793650794</v>
      </c>
    </row>
    <row r="92" customFormat="false" ht="15" hidden="false" customHeight="false" outlineLevel="0" collapsed="false">
      <c r="A92" s="0" t="s">
        <v>766</v>
      </c>
      <c r="B92" s="21" t="n">
        <f aca="false">AVERAGE(C92:D92)</f>
        <v>7.65456964740582</v>
      </c>
      <c r="C92" s="21" t="n">
        <f aca="false">B111</f>
        <v>6.93</v>
      </c>
      <c r="D92" s="21" t="n">
        <f aca="false">IF(C111="","",C111)</f>
        <v>8.37913929481164</v>
      </c>
    </row>
    <row r="93" customFormat="false" ht="15" hidden="false" customHeight="false" outlineLevel="0" collapsed="false">
      <c r="A93" s="0" t="s">
        <v>767</v>
      </c>
      <c r="B93" s="21" t="n">
        <f aca="false">AVERAGE(C93:D93)</f>
        <v>20.0617604617605</v>
      </c>
      <c r="C93" s="21" t="n">
        <f aca="false">B112</f>
        <v>19.2</v>
      </c>
      <c r="D93" s="21" t="n">
        <f aca="false">IF(C112="","",C112)</f>
        <v>20.9235209235209</v>
      </c>
    </row>
    <row r="94" customFormat="false" ht="15" hidden="false" customHeight="false" outlineLevel="0" collapsed="false">
      <c r="A94" s="0" t="s">
        <v>768</v>
      </c>
      <c r="B94" s="21" t="n">
        <f aca="false">AVERAGE(C94:D94)</f>
        <v>20.7723251643754</v>
      </c>
      <c r="C94" s="21" t="n">
        <f aca="false">B113</f>
        <v>20.4</v>
      </c>
      <c r="D94" s="21" t="n">
        <f aca="false">IF(C113="","",C113)</f>
        <v>21.1446503287507</v>
      </c>
    </row>
    <row r="95" customFormat="false" ht="15" hidden="false" customHeight="false" outlineLevel="0" collapsed="false">
      <c r="A95" s="0" t="s">
        <v>769</v>
      </c>
      <c r="B95" s="21" t="n">
        <f aca="false">AVERAGE(C95:D95)</f>
        <v>21.5571342200726</v>
      </c>
      <c r="C95" s="21" t="n">
        <f aca="false">B114</f>
        <v>21.5</v>
      </c>
      <c r="D95" s="21" t="n">
        <f aca="false">IF(C114="","",C114)</f>
        <v>21.6142684401451</v>
      </c>
    </row>
    <row r="96" customFormat="false" ht="15" hidden="false" customHeight="false" outlineLevel="0" collapsed="false">
      <c r="A96" s="4" t="s">
        <v>770</v>
      </c>
      <c r="B96" s="0" t="n">
        <f aca="false">COUNT($B$86:$B$95)</f>
        <v>10</v>
      </c>
    </row>
    <row r="100" customFormat="false" ht="17.15" hidden="false" customHeight="false" outlineLevel="0" collapsed="false">
      <c r="A100" s="6" t="s">
        <v>771</v>
      </c>
    </row>
    <row r="101" customFormat="false" ht="17.15" hidden="false" customHeight="false" outlineLevel="0" collapsed="false">
      <c r="A101" s="4" t="s">
        <v>772</v>
      </c>
    </row>
    <row r="103" customFormat="false" ht="17.15" hidden="false" customHeight="false" outlineLevel="0" collapsed="false">
      <c r="A103" s="6" t="s">
        <v>773</v>
      </c>
    </row>
    <row r="104" customFormat="false" ht="17.15" hidden="false" customHeight="false" outlineLevel="0" collapsed="false">
      <c r="A104" s="5" t="s">
        <v>756</v>
      </c>
      <c r="B104" s="14" t="s">
        <v>774</v>
      </c>
      <c r="C104" s="5" t="s">
        <v>775</v>
      </c>
      <c r="D104" s="5" t="s">
        <v>776</v>
      </c>
    </row>
    <row r="105" customFormat="false" ht="17.15" hidden="false" customHeight="false" outlineLevel="0" collapsed="false">
      <c r="A105" s="0" t="s">
        <v>760</v>
      </c>
      <c r="B105" s="39" t="n">
        <v>9.22</v>
      </c>
      <c r="D105" s="8" t="s">
        <v>777</v>
      </c>
    </row>
    <row r="106" customFormat="false" ht="15" hidden="false" customHeight="false" outlineLevel="0" collapsed="false">
      <c r="A106" s="0" t="s">
        <v>761</v>
      </c>
      <c r="B106" s="39" t="n">
        <v>12.6</v>
      </c>
      <c r="C106" s="21" t="n">
        <f aca="false">294/15.56</f>
        <v>18.8946015424165</v>
      </c>
    </row>
    <row r="107" customFormat="false" ht="15" hidden="false" customHeight="false" outlineLevel="0" collapsed="false">
      <c r="A107" s="0" t="s">
        <v>762</v>
      </c>
      <c r="B107" s="39" t="n">
        <v>11.5</v>
      </c>
      <c r="C107" s="21" t="n">
        <f aca="false">229.5/13.26</f>
        <v>17.3076923076923</v>
      </c>
    </row>
    <row r="108" customFormat="false" ht="15" hidden="false" customHeight="false" outlineLevel="0" collapsed="false">
      <c r="A108" s="0" t="s">
        <v>763</v>
      </c>
      <c r="B108" s="39" t="n">
        <v>21.6</v>
      </c>
      <c r="C108" s="21" t="n">
        <f aca="false">443.5/14.69</f>
        <v>30.1906058543227</v>
      </c>
    </row>
    <row r="109" customFormat="false" ht="15" hidden="false" customHeight="false" outlineLevel="0" collapsed="false">
      <c r="A109" s="0" t="s">
        <v>764</v>
      </c>
      <c r="B109" s="39" t="n">
        <v>20.7</v>
      </c>
      <c r="C109" s="21" t="n">
        <f aca="false">747/26.01</f>
        <v>28.719723183391</v>
      </c>
    </row>
    <row r="110" customFormat="false" ht="15" hidden="false" customHeight="false" outlineLevel="0" collapsed="false">
      <c r="A110" s="0" t="s">
        <v>765</v>
      </c>
      <c r="B110" s="39" t="n">
        <v>12.7</v>
      </c>
      <c r="C110" s="21" t="n">
        <f aca="false">1190/70.56</f>
        <v>16.8650793650794</v>
      </c>
    </row>
    <row r="111" customFormat="false" ht="15" hidden="false" customHeight="false" outlineLevel="0" collapsed="false">
      <c r="A111" s="0" t="s">
        <v>766</v>
      </c>
      <c r="B111" s="39" t="n">
        <v>6.93</v>
      </c>
      <c r="C111" s="21" t="n">
        <f aca="false">625/74.59</f>
        <v>8.37913929481164</v>
      </c>
    </row>
    <row r="112" customFormat="false" ht="15" hidden="false" customHeight="false" outlineLevel="0" collapsed="false">
      <c r="A112" s="0" t="s">
        <v>767</v>
      </c>
      <c r="B112" s="39" t="n">
        <v>19.2</v>
      </c>
      <c r="C112" s="21" t="n">
        <f aca="false">1015/48.51</f>
        <v>20.9235209235209</v>
      </c>
    </row>
    <row r="113" customFormat="false" ht="15" hidden="false" customHeight="false" outlineLevel="0" collapsed="false">
      <c r="A113" s="0" t="s">
        <v>768</v>
      </c>
      <c r="B113" s="39" t="n">
        <v>20.4</v>
      </c>
      <c r="C113" s="21" t="n">
        <f aca="false">1415/66.92</f>
        <v>21.1446503287507</v>
      </c>
    </row>
    <row r="114" customFormat="false" ht="15" hidden="false" customHeight="false" outlineLevel="0" collapsed="false">
      <c r="A114" s="0" t="s">
        <v>769</v>
      </c>
      <c r="B114" s="39" t="n">
        <v>21.5</v>
      </c>
      <c r="C114" s="21" t="n">
        <f aca="false">1430/66.16</f>
        <v>21.6142684401451</v>
      </c>
    </row>
    <row r="115" customFormat="false" ht="17.15" hidden="false" customHeight="false" outlineLevel="0" collapsed="false">
      <c r="A115" s="0" t="s">
        <v>778</v>
      </c>
      <c r="B115" s="21" t="n">
        <f aca="false">PERCENTILE(B105:B114,0.25)</f>
        <v>11.775</v>
      </c>
      <c r="C115" s="21" t="n">
        <f aca="false">PERCENTILE(C105:C114,0.25)</f>
        <v>17.3076923076923</v>
      </c>
    </row>
    <row r="116" customFormat="false" ht="15" hidden="false" customHeight="false" outlineLevel="0" collapsed="false">
      <c r="A116" s="4" t="s">
        <v>779</v>
      </c>
      <c r="B116" s="21" t="n">
        <f aca="false">MEDIAN(B105:B114)</f>
        <v>15.95</v>
      </c>
      <c r="C116" s="21" t="n">
        <f aca="false">MEDIAN(C105:C114)</f>
        <v>20.9235209235209</v>
      </c>
    </row>
    <row r="117" customFormat="false" ht="17.15" hidden="false" customHeight="false" outlineLevel="0" collapsed="false">
      <c r="A117" s="0" t="s">
        <v>780</v>
      </c>
      <c r="B117" s="21" t="n">
        <f aca="false">PERCENTILE(B105:B114,0.75)</f>
        <v>20.625</v>
      </c>
      <c r="C117" s="21" t="n">
        <f aca="false">PERCENTILE(C105:C114,0.75)</f>
        <v>21.6142684401451</v>
      </c>
    </row>
    <row r="118" customFormat="false" ht="15" hidden="false" customHeight="false" outlineLevel="0" collapsed="false">
      <c r="A118" s="4" t="s">
        <v>781</v>
      </c>
      <c r="B118" s="21" t="n">
        <f aca="false">MIN(B105:B114)</f>
        <v>6.93</v>
      </c>
      <c r="C118" s="21" t="n">
        <f aca="false">MIN(C105:C114)</f>
        <v>8.37913929481164</v>
      </c>
    </row>
    <row r="119" customFormat="false" ht="15" hidden="false" customHeight="false" outlineLevel="0" collapsed="false">
      <c r="A119" s="4" t="s">
        <v>782</v>
      </c>
      <c r="B119" s="21" t="n">
        <f aca="false">MAX(B105:B114)</f>
        <v>21.6</v>
      </c>
      <c r="C119" s="21" t="n">
        <f aca="false">MAX(C105:C114)</f>
        <v>30.1906058543227</v>
      </c>
    </row>
    <row r="120" customFormat="false" ht="17.15" hidden="false" customHeight="false" outlineLevel="0" collapsed="false">
      <c r="A120" s="1" t="s">
        <v>783</v>
      </c>
      <c r="B120" s="21" t="n">
        <f aca="false">ROUND(AVERAGE(B115,C115),2)</f>
        <v>14.54</v>
      </c>
    </row>
    <row r="121" customFormat="false" ht="17.15" hidden="false" customHeight="false" outlineLevel="0" collapsed="false">
      <c r="A121" s="1" t="s">
        <v>784</v>
      </c>
      <c r="B121" s="21" t="n">
        <f aca="false">ROUND(AVERAGE(B116,C116),2)</f>
        <v>18.44</v>
      </c>
    </row>
    <row r="122" customFormat="false" ht="17.15" hidden="false" customHeight="false" outlineLevel="0" collapsed="false">
      <c r="A122" s="1" t="s">
        <v>785</v>
      </c>
      <c r="B122" s="21" t="n">
        <f aca="false">ROUND(AVERAGE(B117,C117),2)</f>
        <v>21.12</v>
      </c>
    </row>
    <row r="123" customFormat="false" ht="17.15" hidden="false" customHeight="false" outlineLevel="0" collapsed="false">
      <c r="A123" s="1" t="s">
        <v>786</v>
      </c>
      <c r="B123" s="21" t="n">
        <f aca="false">ROUND(MIN(B118,C118),2)</f>
        <v>6.93</v>
      </c>
    </row>
    <row r="124" customFormat="false" ht="17.15" hidden="false" customHeight="false" outlineLevel="0" collapsed="false">
      <c r="A124" s="1" t="s">
        <v>787</v>
      </c>
      <c r="B124" s="21" t="n">
        <f aca="false">ROUND(MAX(B119,C119),2)</f>
        <v>30.19</v>
      </c>
    </row>
    <row r="126" customFormat="false" ht="17.15" hidden="false" customHeight="false" outlineLevel="0" collapsed="false">
      <c r="A126" s="6" t="s">
        <v>788</v>
      </c>
    </row>
    <row r="127" customFormat="false" ht="17.15" hidden="false" customHeight="false" outlineLevel="0" collapsed="false">
      <c r="A127" s="5" t="s">
        <v>789</v>
      </c>
      <c r="B127" s="5" t="s">
        <v>790</v>
      </c>
      <c r="C127" s="5" t="s">
        <v>791</v>
      </c>
      <c r="D127" s="5" t="s">
        <v>25</v>
      </c>
      <c r="E127" s="5" t="s">
        <v>792</v>
      </c>
      <c r="F127" s="5" t="s">
        <v>745</v>
      </c>
      <c r="G127" s="5" t="s">
        <v>793</v>
      </c>
      <c r="H127" s="5" t="s">
        <v>794</v>
      </c>
    </row>
    <row r="128" customFormat="false" ht="17.15" hidden="false" customHeight="false" outlineLevel="0" collapsed="false">
      <c r="A128" s="4" t="s">
        <v>795</v>
      </c>
      <c r="B128" s="0" t="s">
        <v>796</v>
      </c>
      <c r="C128" s="21" t="n">
        <f aca="false">B120</f>
        <v>14.54</v>
      </c>
      <c r="D128" s="8" t="s">
        <v>797</v>
      </c>
      <c r="E128" s="21" t="n">
        <f aca="false">C72</f>
        <v>109.065617280403</v>
      </c>
      <c r="F128" s="22" t="n">
        <f aca="false">C128*E128</f>
        <v>1585.81407525706</v>
      </c>
      <c r="G128" s="19" t="n">
        <f aca="false">F128/px-1</f>
        <v>-0.604535143327416</v>
      </c>
      <c r="H128" s="21" t="n">
        <f aca="false">px/E128</f>
        <v>36.7668574202488</v>
      </c>
    </row>
    <row r="129" customFormat="false" ht="17.15" hidden="false" customHeight="false" outlineLevel="0" collapsed="false">
      <c r="A129" s="4" t="s">
        <v>798</v>
      </c>
      <c r="B129" s="4" t="s">
        <v>799</v>
      </c>
      <c r="C129" s="21" t="n">
        <f aca="false">B121</f>
        <v>18.44</v>
      </c>
      <c r="D129" s="8" t="s">
        <v>797</v>
      </c>
      <c r="E129" s="21" t="n">
        <f aca="false">C72</f>
        <v>109.065617280403</v>
      </c>
      <c r="F129" s="22" t="n">
        <f aca="false">C129*E129</f>
        <v>2011.16998265063</v>
      </c>
      <c r="G129" s="19" t="n">
        <f aca="false">F129/px-1</f>
        <v>-0.498461350959942</v>
      </c>
      <c r="H129" s="21" t="n">
        <f aca="false">px/E129</f>
        <v>36.7668574202488</v>
      </c>
    </row>
    <row r="130" customFormat="false" ht="17.15" hidden="false" customHeight="false" outlineLevel="0" collapsed="false">
      <c r="A130" s="4" t="s">
        <v>800</v>
      </c>
      <c r="B130" s="0" t="s">
        <v>801</v>
      </c>
      <c r="C130" s="21" t="n">
        <f aca="false">B122</f>
        <v>21.12</v>
      </c>
      <c r="D130" s="8" t="s">
        <v>797</v>
      </c>
      <c r="E130" s="21" t="n">
        <f aca="false">C72</f>
        <v>109.065617280403</v>
      </c>
      <c r="F130" s="22" t="n">
        <f aca="false">C130*E130</f>
        <v>2303.46583696211</v>
      </c>
      <c r="G130" s="19" t="n">
        <f aca="false">F130/px-1</f>
        <v>-0.425569616717677</v>
      </c>
      <c r="H130" s="21" t="n">
        <f aca="false">px/E130</f>
        <v>36.7668574202488</v>
      </c>
    </row>
    <row r="134" customFormat="false" ht="17.15" hidden="false" customHeight="false" outlineLevel="0" collapsed="false">
      <c r="A134" s="4" t="s">
        <v>802</v>
      </c>
      <c r="B134" s="0" t="str">
        <f aca="false">IF(B42&gt;0.5,"大於 50%",IF(B42&gt;0.25,"25%–50%",IF(B42&gt;=0,"0%–25%",IF(B42&gt;=-0.25,"0%～−25%",IF(B42&gt;=-0.5,"−25%～−50%","小於 −50%")))))</f>
        <v>−25%～−50%</v>
      </c>
      <c r="E134" s="4" t="s">
        <v>803</v>
      </c>
    </row>
    <row r="135" customFormat="false" ht="17.15" hidden="false" customHeight="false" outlineLevel="0" collapsed="false">
      <c r="A135" s="4" t="s">
        <v>804</v>
      </c>
      <c r="B135" s="0" t="str">
        <f aca="false">IF(B42&gt;0.5,"強力買進",IF(B42&gt;0.25,"買進",IF(B42&gt;=-0.25,"中立",IF(B42&gt;=-0.5,"放空","強力放空"))))</f>
        <v>放空</v>
      </c>
      <c r="E135" s="4" t="s">
        <v>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806</v>
      </c>
    </row>
    <row r="3" customFormat="false" ht="17.15" hidden="false" customHeight="false" outlineLevel="0" collapsed="false">
      <c r="A3" s="5" t="s">
        <v>22</v>
      </c>
      <c r="B3" s="5" t="s">
        <v>807</v>
      </c>
      <c r="C3" s="5" t="s">
        <v>808</v>
      </c>
      <c r="D3" s="5" t="s">
        <v>809</v>
      </c>
      <c r="E3" s="5" t="s">
        <v>810</v>
      </c>
      <c r="F3" s="5" t="s">
        <v>811</v>
      </c>
      <c r="G3" s="5" t="s">
        <v>812</v>
      </c>
      <c r="H3" s="5" t="s">
        <v>813</v>
      </c>
      <c r="I3" s="5" t="s">
        <v>814</v>
      </c>
      <c r="J3" s="5" t="s">
        <v>557</v>
      </c>
    </row>
    <row r="4" customFormat="false" ht="17.15" hidden="false" customHeight="false" outlineLevel="0" collapsed="false">
      <c r="A4" s="6" t="s">
        <v>815</v>
      </c>
    </row>
    <row r="5" customFormat="false" ht="17.15" hidden="false" customHeight="false" outlineLevel="0" collapsed="false">
      <c r="A5" s="0" t="s">
        <v>816</v>
      </c>
      <c r="B5" s="16" t="n">
        <f aca="false">cons_rev26</f>
        <v>662.3</v>
      </c>
      <c r="C5" s="16" t="n">
        <f aca="false">PL!D92</f>
        <v>674.521938056206</v>
      </c>
      <c r="D5" s="19" t="n">
        <f aca="false">C5/B5-1</f>
        <v>0.0184537793389794</v>
      </c>
      <c r="E5" s="16" t="n">
        <f aca="false">PL!D147</f>
        <v>674.521938056206</v>
      </c>
      <c r="F5" s="19" t="n">
        <f aca="false">E5/B5-1</f>
        <v>0.0184537793389794</v>
      </c>
      <c r="G5" s="16" t="n">
        <f aca="false">PL!D202</f>
        <v>674.521938056206</v>
      </c>
      <c r="H5" s="19" t="n">
        <f aca="false">G5/B5-1</f>
        <v>0.0184537793389794</v>
      </c>
      <c r="I5" s="8" t="s">
        <v>817</v>
      </c>
      <c r="J5" s="4" t="s">
        <v>818</v>
      </c>
    </row>
    <row r="6" customFormat="false" ht="17.15" hidden="false" customHeight="false" outlineLevel="0" collapsed="false">
      <c r="A6" s="0" t="s">
        <v>819</v>
      </c>
      <c r="B6" s="16" t="n">
        <f aca="false">cons_eps26</f>
        <v>68.27</v>
      </c>
      <c r="C6" s="16" t="n">
        <f aca="false">PL!D110</f>
        <v>73.2460175726595</v>
      </c>
      <c r="D6" s="19" t="n">
        <f aca="false">C6/B6-1</f>
        <v>0.0728873234606631</v>
      </c>
      <c r="E6" s="16" t="n">
        <f aca="false">PL!D165</f>
        <v>73.2460175726595</v>
      </c>
      <c r="F6" s="19" t="n">
        <f aca="false">E6/B6-1</f>
        <v>0.0728873234606631</v>
      </c>
      <c r="G6" s="16" t="n">
        <f aca="false">PL!D220</f>
        <v>73.2460175726595</v>
      </c>
      <c r="H6" s="19" t="n">
        <f aca="false">G6/B6-1</f>
        <v>0.0728873234606631</v>
      </c>
      <c r="I6" s="8" t="s">
        <v>817</v>
      </c>
      <c r="J6" s="4" t="s">
        <v>820</v>
      </c>
    </row>
    <row r="7" customFormat="false" ht="17.15" hidden="false" customHeight="false" outlineLevel="0" collapsed="false">
      <c r="A7" s="0" t="s">
        <v>821</v>
      </c>
      <c r="B7" s="19" t="n">
        <f aca="false">co_g26</f>
        <v>0.09</v>
      </c>
      <c r="C7" s="19" t="n">
        <f aca="false">Q!B26</f>
        <v>0.113011599738544</v>
      </c>
      <c r="D7" s="19" t="n">
        <f aca="false">C7-B7</f>
        <v>0.0230115997385444</v>
      </c>
      <c r="E7" s="19" t="n">
        <f aca="false">Q!B26</f>
        <v>0.113011599738544</v>
      </c>
      <c r="F7" s="19" t="n">
        <f aca="false">E7-B7</f>
        <v>0.0230115997385444</v>
      </c>
      <c r="G7" s="19" t="n">
        <f aca="false">Q!B26</f>
        <v>0.113011599738544</v>
      </c>
      <c r="H7" s="19" t="n">
        <f aca="false">G7-B7</f>
        <v>0.0230115997385444</v>
      </c>
      <c r="I7" s="8" t="s">
        <v>822</v>
      </c>
      <c r="J7" s="8" t="s">
        <v>823</v>
      </c>
    </row>
    <row r="8" customFormat="false" ht="17.15" hidden="false" customHeight="false" outlineLevel="0" collapsed="false">
      <c r="A8" s="6" t="s">
        <v>824</v>
      </c>
    </row>
    <row r="9" customFormat="false" ht="17.15" hidden="false" customHeight="false" outlineLevel="0" collapsed="false">
      <c r="A9" s="0" t="s">
        <v>825</v>
      </c>
      <c r="B9" s="21" t="n">
        <f aca="false">co_sam27*co_sh27</f>
        <v>14</v>
      </c>
      <c r="C9" s="21" t="n">
        <f aca="false">PL!E80</f>
        <v>10.5722831835008</v>
      </c>
      <c r="D9" s="19" t="n">
        <f aca="false">C9/B9-1</f>
        <v>-0.244836915464229</v>
      </c>
      <c r="E9" s="21" t="n">
        <f aca="false">PL!E135</f>
        <v>10.5722831835008</v>
      </c>
      <c r="F9" s="19" t="n">
        <f aca="false">E9/B9-1</f>
        <v>-0.244836915464229</v>
      </c>
      <c r="G9" s="21" t="n">
        <f aca="false">PL!E190</f>
        <v>10.5722831835008</v>
      </c>
      <c r="H9" s="19" t="n">
        <f aca="false">G9/B9-1</f>
        <v>-0.244836915464229</v>
      </c>
      <c r="I9" s="8" t="s">
        <v>822</v>
      </c>
      <c r="J9" s="4" t="s">
        <v>826</v>
      </c>
    </row>
    <row r="10" customFormat="false" ht="17.15" hidden="false" customHeight="false" outlineLevel="0" collapsed="false">
      <c r="A10" s="0" t="s">
        <v>827</v>
      </c>
      <c r="B10" s="21" t="n">
        <f aca="false">ss_asic27</f>
        <v>14</v>
      </c>
      <c r="C10" s="21" t="n">
        <f aca="false">PL!E80</f>
        <v>10.5722831835008</v>
      </c>
      <c r="D10" s="19" t="n">
        <f aca="false">C10/B10-1</f>
        <v>-0.244836915464229</v>
      </c>
      <c r="E10" s="21" t="n">
        <f aca="false">PL!E135</f>
        <v>10.5722831835008</v>
      </c>
      <c r="F10" s="19" t="n">
        <f aca="false">E10/B10-1</f>
        <v>-0.244836915464229</v>
      </c>
      <c r="G10" s="21" t="n">
        <f aca="false">PL!E190</f>
        <v>10.5722831835008</v>
      </c>
      <c r="H10" s="19" t="n">
        <f aca="false">G10/B10-1</f>
        <v>-0.244836915464229</v>
      </c>
      <c r="I10" s="4" t="s">
        <v>414</v>
      </c>
    </row>
    <row r="11" customFormat="false" ht="17.15" hidden="false" customHeight="false" outlineLevel="0" collapsed="false">
      <c r="A11" s="0" t="s">
        <v>828</v>
      </c>
      <c r="B11" s="19" t="n">
        <f aca="false">co_dc27sh</f>
        <v>0.2</v>
      </c>
      <c r="C11" s="19" t="n">
        <f aca="false">PL!E94</f>
        <v>0.341800423518549</v>
      </c>
      <c r="D11" s="19" t="n">
        <f aca="false">C11-B11</f>
        <v>0.141800423518549</v>
      </c>
      <c r="E11" s="19" t="n">
        <f aca="false">PL!E149</f>
        <v>0.35140294564116</v>
      </c>
      <c r="F11" s="19" t="n">
        <f aca="false">E11-B11</f>
        <v>0.15140294564116</v>
      </c>
      <c r="G11" s="19" t="n">
        <f aca="false">PL!E204</f>
        <v>0.368345878478417</v>
      </c>
      <c r="H11" s="19" t="n">
        <f aca="false">G11-B11</f>
        <v>0.168345878478417</v>
      </c>
      <c r="I11" s="8" t="s">
        <v>829</v>
      </c>
    </row>
    <row r="12" customFormat="false" ht="17.15" hidden="false" customHeight="false" outlineLevel="0" collapsed="false">
      <c r="A12" s="0" t="s">
        <v>830</v>
      </c>
      <c r="B12" s="21" t="n">
        <f aca="false">ss_asic28</f>
        <v>50</v>
      </c>
      <c r="C12" s="21" t="n">
        <f aca="false">PL!F80</f>
        <v>17.5709283207538</v>
      </c>
      <c r="D12" s="19" t="n">
        <f aca="false">C12/B12-1</f>
        <v>-0.648581433584924</v>
      </c>
      <c r="E12" s="21" t="n">
        <f aca="false">PL!F135</f>
        <v>12.3375068506322</v>
      </c>
      <c r="F12" s="19" t="n">
        <f aca="false">E12/B12-1</f>
        <v>-0.753249862987356</v>
      </c>
      <c r="G12" s="21" t="n">
        <f aca="false">PL!F190</f>
        <v>8.70051862891207</v>
      </c>
      <c r="H12" s="19" t="n">
        <f aca="false">G12/B12-1</f>
        <v>-0.825989627421759</v>
      </c>
      <c r="I12" s="4" t="s">
        <v>831</v>
      </c>
      <c r="J12" s="4" t="s">
        <v>832</v>
      </c>
    </row>
    <row r="13" customFormat="false" ht="17.15" hidden="false" customHeight="false" outlineLevel="0" collapsed="false">
      <c r="A13" s="0" t="s">
        <v>833</v>
      </c>
      <c r="C13" s="21" t="n">
        <f aca="false">ss_asic28/PL!F86</f>
        <v>3.58546793031919</v>
      </c>
      <c r="E13" s="21" t="n">
        <f aca="false">ss_asic28/PL!F141</f>
        <v>4.08510411464675</v>
      </c>
      <c r="G13" s="21" t="n">
        <f aca="false">ss_asic28/PL!F196</f>
        <v>4.34456859553056</v>
      </c>
      <c r="I13" s="4" t="s">
        <v>834</v>
      </c>
      <c r="J13" s="4" t="s">
        <v>835</v>
      </c>
    </row>
    <row r="14" customFormat="false" ht="17.15" hidden="false" customHeight="false" outlineLevel="0" collapsed="false">
      <c r="A14" s="0" t="s">
        <v>836</v>
      </c>
      <c r="C14" s="19" t="n">
        <f aca="false">ss_asic28/PL!F86/PL!F63</f>
        <v>0.512209704331313</v>
      </c>
      <c r="E14" s="19" t="n">
        <f aca="false">ss_asic28/PL!F141/PL!F118</f>
        <v>0.729482877615491</v>
      </c>
      <c r="G14" s="19" t="n">
        <f aca="false">ss_asic28/PL!F196/PL!F173</f>
        <v>1.03442109417394</v>
      </c>
      <c r="I14" s="4" t="s">
        <v>834</v>
      </c>
      <c r="J14" s="8" t="s">
        <v>837</v>
      </c>
    </row>
    <row r="15" customFormat="false" ht="17.15" hidden="false" customHeight="false" outlineLevel="0" collapsed="false">
      <c r="A15" s="0" t="s">
        <v>838</v>
      </c>
      <c r="C15" s="21" t="n">
        <f aca="false">ss_asic28/ss_hu28/PL!F86</f>
        <v>0.896366982579798</v>
      </c>
      <c r="E15" s="21" t="n">
        <f aca="false">ss_asic28/ss_hu28/PL!F141</f>
        <v>1.02127602866169</v>
      </c>
      <c r="G15" s="21" t="n">
        <f aca="false">ss_asic28/ss_hu28/PL!F196</f>
        <v>1.08614214888264</v>
      </c>
      <c r="I15" s="4" t="s">
        <v>834</v>
      </c>
      <c r="J15" s="4" t="s">
        <v>839</v>
      </c>
    </row>
    <row r="16" customFormat="false" ht="17.15" hidden="false" customHeight="false" outlineLevel="0" collapsed="false">
      <c r="A16" s="6" t="s">
        <v>840</v>
      </c>
    </row>
    <row r="17" customFormat="false" ht="17.15" hidden="false" customHeight="false" outlineLevel="0" collapsed="false">
      <c r="A17" s="0" t="s">
        <v>841</v>
      </c>
      <c r="B17" s="16" t="n">
        <f aca="false">kgi_eps27</f>
        <v>112.6</v>
      </c>
      <c r="C17" s="16" t="n">
        <f aca="false">PL!E110</f>
        <v>114.570765642376</v>
      </c>
      <c r="D17" s="19" t="n">
        <f aca="false">C17/B17-1</f>
        <v>0.0175023591685262</v>
      </c>
      <c r="E17" s="16" t="n">
        <f aca="false">PL!E165</f>
        <v>109.065617280403</v>
      </c>
      <c r="F17" s="19" t="n">
        <f aca="false">E17/B17-1</f>
        <v>-0.0313888340994397</v>
      </c>
      <c r="G17" s="16" t="n">
        <f aca="false">PL!E220</f>
        <v>100.052208202263</v>
      </c>
      <c r="H17" s="19" t="n">
        <f aca="false">G17/B17-1</f>
        <v>-0.11143687209358</v>
      </c>
      <c r="I17" s="4" t="s">
        <v>831</v>
      </c>
    </row>
    <row r="18" customFormat="false" ht="17.15" hidden="false" customHeight="false" outlineLevel="0" collapsed="false">
      <c r="A18" s="0" t="s">
        <v>842</v>
      </c>
      <c r="B18" s="16" t="n">
        <f aca="false">citi_eps27</f>
        <v>133.87</v>
      </c>
      <c r="C18" s="16" t="n">
        <f aca="false">PL!E110</f>
        <v>114.570765642376</v>
      </c>
      <c r="D18" s="19" t="n">
        <f aca="false">C18/B18-1</f>
        <v>-0.144163997591872</v>
      </c>
      <c r="E18" s="16" t="n">
        <f aca="false">PL!E165</f>
        <v>109.065617280403</v>
      </c>
      <c r="F18" s="19" t="n">
        <f aca="false">E18/B18-1</f>
        <v>-0.185287089860289</v>
      </c>
      <c r="G18" s="16" t="n">
        <f aca="false">PL!E220</f>
        <v>100.052208202263</v>
      </c>
      <c r="H18" s="19" t="n">
        <f aca="false">G18/B18-1</f>
        <v>-0.252616656440854</v>
      </c>
      <c r="I18" s="4" t="s">
        <v>414</v>
      </c>
    </row>
    <row r="19" customFormat="false" ht="17.15" hidden="false" customHeight="false" outlineLevel="0" collapsed="false">
      <c r="A19" s="0" t="s">
        <v>843</v>
      </c>
      <c r="B19" s="16" t="n">
        <f aca="false">kgi_eps28</f>
        <v>246.6</v>
      </c>
      <c r="C19" s="16" t="n">
        <f aca="false">PL!F110</f>
        <v>149.287481646967</v>
      </c>
      <c r="D19" s="19" t="n">
        <f aca="false">C19/B19-1</f>
        <v>-0.394616862745471</v>
      </c>
      <c r="E19" s="16" t="n">
        <f aca="false">PL!F165</f>
        <v>119.520303820291</v>
      </c>
      <c r="F19" s="19" t="n">
        <f aca="false">E19/B19-1</f>
        <v>-0.51532723511642</v>
      </c>
      <c r="G19" s="16" t="n">
        <f aca="false">PL!F220</f>
        <v>85.2804354615451</v>
      </c>
      <c r="H19" s="19" t="n">
        <f aca="false">G19/B19-1</f>
        <v>-0.654175038679866</v>
      </c>
      <c r="I19" s="4" t="s">
        <v>831</v>
      </c>
      <c r="J19" s="4" t="s">
        <v>844</v>
      </c>
    </row>
    <row r="20" customFormat="false" ht="17.15" hidden="false" customHeight="false" outlineLevel="0" collapsed="false">
      <c r="A20" s="0" t="s">
        <v>845</v>
      </c>
      <c r="B20" s="16" t="n">
        <f aca="false">citi_eps28</f>
        <v>260.38</v>
      </c>
      <c r="C20" s="16" t="n">
        <f aca="false">PL!F110</f>
        <v>149.287481646967</v>
      </c>
      <c r="D20" s="19" t="n">
        <f aca="false">C20/B20-1</f>
        <v>-0.426655343548019</v>
      </c>
      <c r="E20" s="16" t="n">
        <f aca="false">PL!F165</f>
        <v>119.520303820291</v>
      </c>
      <c r="F20" s="19" t="n">
        <f aca="false">E20/B20-1</f>
        <v>-0.540977402948418</v>
      </c>
      <c r="G20" s="16" t="n">
        <f aca="false">PL!F220</f>
        <v>85.2804354615451</v>
      </c>
      <c r="H20" s="19" t="n">
        <f aca="false">G20/B20-1</f>
        <v>-0.67247701259104</v>
      </c>
      <c r="I20" s="4" t="s">
        <v>414</v>
      </c>
    </row>
    <row r="21" customFormat="false" ht="17.15" hidden="false" customHeight="false" outlineLevel="0" collapsed="false">
      <c r="A21" s="0" t="s">
        <v>846</v>
      </c>
      <c r="B21" s="22" t="n">
        <f aca="false">kgi_rev27</f>
        <v>1110.805</v>
      </c>
      <c r="C21" s="22" t="n">
        <f aca="false">PL!E92</f>
        <v>989.797082137512</v>
      </c>
      <c r="D21" s="19" t="n">
        <f aca="false">C21/B21-1</f>
        <v>-0.10893713825783</v>
      </c>
      <c r="E21" s="22" t="n">
        <f aca="false">PL!E147</f>
        <v>962.749647003524</v>
      </c>
      <c r="F21" s="19" t="n">
        <f aca="false">E21/B21-1</f>
        <v>-0.133286538138085</v>
      </c>
      <c r="G21" s="22" t="n">
        <f aca="false">PL!E202</f>
        <v>918.46571833394</v>
      </c>
      <c r="H21" s="19" t="n">
        <f aca="false">G21/B21-1</f>
        <v>-0.173153057166704</v>
      </c>
      <c r="I21" s="4" t="s">
        <v>831</v>
      </c>
    </row>
    <row r="22" customFormat="false" ht="17.15" hidden="false" customHeight="false" outlineLevel="0" collapsed="false">
      <c r="A22" s="4" t="s">
        <v>847</v>
      </c>
      <c r="B22" s="16" t="n">
        <f aca="false">cons_feps</f>
        <v>103.483870967742</v>
      </c>
      <c r="C22" s="16" t="n">
        <f aca="false">Val!B34</f>
        <v>119.487816242682</v>
      </c>
      <c r="D22" s="19" t="n">
        <f aca="false">C22/B22-1</f>
        <v>0.154651590873793</v>
      </c>
      <c r="E22" s="16" t="n">
        <f aca="false">Val!B34</f>
        <v>119.487816242682</v>
      </c>
      <c r="F22" s="19" t="n">
        <f aca="false">E22/B22-1</f>
        <v>0.154651590873793</v>
      </c>
      <c r="G22" s="16" t="n">
        <f aca="false">Val!B34</f>
        <v>119.487816242682</v>
      </c>
      <c r="H22" s="19" t="n">
        <f aca="false">G22/B22-1</f>
        <v>0.154651590873793</v>
      </c>
      <c r="I22" s="8" t="s">
        <v>848</v>
      </c>
      <c r="J22" s="4" t="s">
        <v>849</v>
      </c>
    </row>
    <row r="23" customFormat="false" ht="17.15" hidden="false" customHeight="false" outlineLevel="0" collapsed="false">
      <c r="A23" s="6" t="s">
        <v>850</v>
      </c>
    </row>
    <row r="24" customFormat="false" ht="17.15" hidden="false" customHeight="false" outlineLevel="0" collapsed="false">
      <c r="A24" s="0" t="s">
        <v>851</v>
      </c>
      <c r="C24" s="20" t="n">
        <f aca="false">PL!D79</f>
        <v>1.07309401333727</v>
      </c>
      <c r="E24" s="20" t="n">
        <f aca="false">PL!D134</f>
        <v>1.07309401333727</v>
      </c>
      <c r="G24" s="20" t="n">
        <f aca="false">PL!D189</f>
        <v>1.07309401333727</v>
      </c>
      <c r="I24" s="4" t="s">
        <v>852</v>
      </c>
      <c r="J24" s="4" t="s">
        <v>853</v>
      </c>
    </row>
    <row r="25" customFormat="false" ht="17.15" hidden="false" customHeight="false" outlineLevel="0" collapsed="false">
      <c r="A25" s="4" t="s">
        <v>580</v>
      </c>
      <c r="C25" s="17" t="n">
        <f aca="false">PL!D98</f>
        <v>0.462340704042911</v>
      </c>
      <c r="E25" s="17" t="n">
        <f aca="false">PL!D153</f>
        <v>0.462340704042911</v>
      </c>
      <c r="G25" s="17" t="n">
        <f aca="false">PL!D208</f>
        <v>0.462340704042911</v>
      </c>
      <c r="I25" s="8" t="s">
        <v>854</v>
      </c>
      <c r="J25" s="8" t="s">
        <v>855</v>
      </c>
    </row>
    <row r="26" customFormat="false" ht="17.15" hidden="false" customHeight="false" outlineLevel="0" collapsed="false">
      <c r="A26" s="0" t="s">
        <v>856</v>
      </c>
      <c r="B26" s="19" t="n">
        <v>1</v>
      </c>
      <c r="C26" s="19" t="n">
        <f aca="false">Units!E13</f>
        <v>0.98</v>
      </c>
      <c r="D26" s="19" t="n">
        <f aca="false">C26-B26</f>
        <v>-0.02</v>
      </c>
      <c r="E26" s="19" t="n">
        <f aca="false">Units!E13</f>
        <v>0.98</v>
      </c>
      <c r="F26" s="19" t="n">
        <f aca="false">E26-B26</f>
        <v>-0.02</v>
      </c>
      <c r="G26" s="19" t="n">
        <f aca="false">Units!E13</f>
        <v>0.98</v>
      </c>
      <c r="H26" s="19" t="n">
        <f aca="false">G26-B26</f>
        <v>-0.02</v>
      </c>
      <c r="I26" s="8" t="s">
        <v>857</v>
      </c>
      <c r="J26" s="4" t="s">
        <v>858</v>
      </c>
    </row>
    <row r="27" customFormat="false" ht="17.15" hidden="false" customHeight="false" outlineLevel="0" collapsed="false">
      <c r="A27" s="0" t="s">
        <v>859</v>
      </c>
      <c r="B27" s="19" t="n">
        <v>0.22</v>
      </c>
      <c r="C27" s="19" t="n">
        <f aca="false">PL!E103</f>
        <v>0.197333099812867</v>
      </c>
      <c r="D27" s="19" t="n">
        <f aca="false">C27-B27</f>
        <v>-0.0226669001871331</v>
      </c>
      <c r="E27" s="19" t="n">
        <f aca="false">PL!E158</f>
        <v>0.192288351903489</v>
      </c>
      <c r="F27" s="19" t="n">
        <f aca="false">E27-B27</f>
        <v>-0.0277116480965113</v>
      </c>
      <c r="G27" s="19" t="n">
        <f aca="false">PL!E213</f>
        <v>0.183387271133446</v>
      </c>
      <c r="H27" s="19" t="n">
        <f aca="false">G27-B27</f>
        <v>-0.0366127288665544</v>
      </c>
      <c r="I27" s="4" t="s">
        <v>860</v>
      </c>
    </row>
    <row r="28" customFormat="false" ht="17.15" hidden="false" customHeight="false" outlineLevel="0" collapsed="false">
      <c r="A28" s="0" t="s">
        <v>861</v>
      </c>
      <c r="B28" s="19" t="n">
        <v>0.33</v>
      </c>
      <c r="C28" s="19" t="n">
        <f aca="false">PL!F103</f>
        <v>0.20744089317496</v>
      </c>
      <c r="D28" s="19" t="n">
        <f aca="false">C28-B28</f>
        <v>-0.12255910682504</v>
      </c>
      <c r="E28" s="19" t="n">
        <f aca="false">PL!F158</f>
        <v>0.196816845085208</v>
      </c>
      <c r="F28" s="19" t="n">
        <f aca="false">E28-B28</f>
        <v>-0.133183154914792</v>
      </c>
      <c r="G28" s="19" t="n">
        <f aca="false">PL!F213</f>
        <v>0.165133723114597</v>
      </c>
      <c r="H28" s="19" t="n">
        <f aca="false">G28-B28</f>
        <v>-0.164866276885403</v>
      </c>
      <c r="I28" s="4" t="s">
        <v>860</v>
      </c>
    </row>
    <row r="29" customFormat="false" ht="17.15" hidden="false" customHeight="false" outlineLevel="0" collapsed="false">
      <c r="A29" s="6" t="s">
        <v>862</v>
      </c>
    </row>
    <row r="30" customFormat="false" ht="17.15" hidden="false" customHeight="false" outlineLevel="0" collapsed="false">
      <c r="A30" s="0" t="s">
        <v>863</v>
      </c>
      <c r="J30" s="4" t="s">
        <v>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865</v>
      </c>
    </row>
    <row r="3" customFormat="false" ht="17.15" hidden="false" customHeight="false" outlineLevel="0" collapsed="false">
      <c r="A3" s="5" t="s">
        <v>866</v>
      </c>
      <c r="B3" s="5" t="s">
        <v>867</v>
      </c>
      <c r="C3" s="14" t="s">
        <v>868</v>
      </c>
      <c r="D3" s="14" t="s">
        <v>869</v>
      </c>
      <c r="E3" s="14" t="s">
        <v>742</v>
      </c>
      <c r="F3" s="14" t="s">
        <v>870</v>
      </c>
      <c r="G3" s="14" t="s">
        <v>871</v>
      </c>
      <c r="H3" s="14" t="s">
        <v>872</v>
      </c>
      <c r="I3" s="14" t="s">
        <v>873</v>
      </c>
      <c r="J3" s="14" t="s">
        <v>874</v>
      </c>
    </row>
    <row r="4" customFormat="false" ht="17.15" hidden="false" customHeight="false" outlineLevel="0" collapsed="false">
      <c r="A4" s="4" t="s">
        <v>875</v>
      </c>
      <c r="B4" s="0" t="s">
        <v>876</v>
      </c>
      <c r="C4" s="34" t="n">
        <f aca="false">PL!E92</f>
        <v>989.797082137512</v>
      </c>
      <c r="D4" s="17" t="n">
        <f aca="false">PL!E100</f>
        <v>0.418633277197091</v>
      </c>
      <c r="E4" s="16" t="n">
        <f aca="false">PL!E110</f>
        <v>114.570765642376</v>
      </c>
      <c r="F4" s="19" t="n">
        <f aca="false">E4/E$4-1</f>
        <v>0</v>
      </c>
      <c r="G4" s="34" t="n">
        <f aca="false">PL!F92</f>
        <v>1251.47245072941</v>
      </c>
      <c r="H4" s="17" t="n">
        <f aca="false">PL!F100</f>
        <v>0.396350294544177</v>
      </c>
      <c r="I4" s="16" t="n">
        <f aca="false">PL!F110</f>
        <v>149.287481646967</v>
      </c>
      <c r="J4" s="19" t="n">
        <f aca="false">I4/I$4-1</f>
        <v>0</v>
      </c>
    </row>
    <row r="5" customFormat="false" ht="17.15" hidden="false" customHeight="false" outlineLevel="0" collapsed="false">
      <c r="A5" s="0" t="s">
        <v>877</v>
      </c>
      <c r="B5" s="0" t="s">
        <v>878</v>
      </c>
      <c r="C5" s="34" t="n">
        <f aca="false">E72</f>
        <v>877.026061513503</v>
      </c>
      <c r="D5" s="17" t="n">
        <f aca="false">E80</f>
        <v>0.429455718857808</v>
      </c>
      <c r="E5" s="16" t="n">
        <f aca="false">E90</f>
        <v>99.4051893611276</v>
      </c>
      <c r="F5" s="19" t="n">
        <f aca="false">E5/E$4-1</f>
        <v>-0.132368638685602</v>
      </c>
      <c r="G5" s="34" t="n">
        <f aca="false">F72</f>
        <v>1095.28642121159</v>
      </c>
      <c r="H5" s="17" t="n">
        <f aca="false">F80</f>
        <v>0.407884763837658</v>
      </c>
      <c r="I5" s="16" t="n">
        <f aca="false">F90</f>
        <v>128.821945505273</v>
      </c>
      <c r="J5" s="19" t="n">
        <f aca="false">I5/I$4-1</f>
        <v>-0.137088092825425</v>
      </c>
    </row>
    <row r="6" customFormat="false" ht="17.15" hidden="false" customHeight="false" outlineLevel="0" collapsed="false">
      <c r="A6" s="0" t="s">
        <v>879</v>
      </c>
      <c r="B6" s="0" t="s">
        <v>880</v>
      </c>
      <c r="C6" s="34" t="n">
        <f aca="false">E127</f>
        <v>1102.56810276152</v>
      </c>
      <c r="D6" s="17" t="n">
        <f aca="false">E135</f>
        <v>0.410024681173058</v>
      </c>
      <c r="E6" s="16" t="n">
        <f aca="false">E145</f>
        <v>129.736341923625</v>
      </c>
      <c r="F6" s="19" t="n">
        <f aca="false">E6/E$4-1</f>
        <v>0.132368638685602</v>
      </c>
      <c r="G6" s="34" t="n">
        <f aca="false">F127</f>
        <v>1313.94686253653</v>
      </c>
      <c r="H6" s="17" t="n">
        <f aca="false">F135</f>
        <v>0.392504310219166</v>
      </c>
      <c r="I6" s="16" t="n">
        <f aca="false">F145</f>
        <v>156.699431240486</v>
      </c>
      <c r="J6" s="19" t="n">
        <f aca="false">I6/I$4-1</f>
        <v>0.0496488353326712</v>
      </c>
    </row>
    <row r="7" customFormat="false" ht="17.15" hidden="false" customHeight="false" outlineLevel="0" collapsed="false">
      <c r="A7" s="0" t="s">
        <v>881</v>
      </c>
      <c r="B7" s="0" t="s">
        <v>882</v>
      </c>
      <c r="C7" s="34" t="n">
        <f aca="false">E182</f>
        <v>922.134469763106</v>
      </c>
      <c r="D7" s="17" t="n">
        <f aca="false">E190</f>
        <v>0.424809098856656</v>
      </c>
      <c r="E7" s="16" t="n">
        <f aca="false">E200</f>
        <v>105.471419873627</v>
      </c>
      <c r="F7" s="19" t="n">
        <f aca="false">E7/E$4-1</f>
        <v>-0.0794211832113611</v>
      </c>
      <c r="G7" s="34" t="n">
        <f aca="false">F182</f>
        <v>1139.01850947658</v>
      </c>
      <c r="H7" s="17" t="n">
        <f aca="false">F190</f>
        <v>0.404336252797974</v>
      </c>
      <c r="I7" s="16" t="n">
        <f aca="false">F200</f>
        <v>134.507554729724</v>
      </c>
      <c r="J7" s="19" t="n">
        <f aca="false">I7/I$4-1</f>
        <v>-0.0990031230628878</v>
      </c>
    </row>
    <row r="8" customFormat="false" ht="17.15" hidden="false" customHeight="false" outlineLevel="0" collapsed="false">
      <c r="A8" s="0" t="s">
        <v>883</v>
      </c>
      <c r="B8" s="0" t="s">
        <v>884</v>
      </c>
      <c r="C8" s="34" t="n">
        <f aca="false">E237</f>
        <v>1057.45969451192</v>
      </c>
      <c r="D8" s="17" t="n">
        <f aca="false">E245</f>
        <v>0.413247787744442</v>
      </c>
      <c r="E8" s="16" t="n">
        <f aca="false">E255</f>
        <v>123.670111411125</v>
      </c>
      <c r="F8" s="19" t="n">
        <f aca="false">E8/E$4-1</f>
        <v>0.0794211832113616</v>
      </c>
      <c r="G8" s="34" t="n">
        <f aca="false">F237</f>
        <v>1363.92639198223</v>
      </c>
      <c r="H8" s="17" t="n">
        <f aca="false">F245</f>
        <v>0.389681199847825</v>
      </c>
      <c r="I8" s="16" t="n">
        <f aca="false">F255</f>
        <v>164.148747561743</v>
      </c>
      <c r="J8" s="19" t="n">
        <f aca="false">I8/I$4-1</f>
        <v>0.0995479711414751</v>
      </c>
    </row>
    <row r="9" customFormat="false" ht="17.15" hidden="false" customHeight="false" outlineLevel="0" collapsed="false">
      <c r="A9" s="4" t="s">
        <v>885</v>
      </c>
      <c r="B9" s="0" t="s">
        <v>886</v>
      </c>
      <c r="C9" s="34" t="n">
        <f aca="false">E292</f>
        <v>989.797082137512</v>
      </c>
      <c r="D9" s="17" t="n">
        <f aca="false">E300</f>
        <v>0.418633277197091</v>
      </c>
      <c r="E9" s="16" t="n">
        <f aca="false">E310</f>
        <v>114.570765642376</v>
      </c>
      <c r="F9" s="19" t="n">
        <f aca="false">E9/E$4-1</f>
        <v>0</v>
      </c>
      <c r="G9" s="34" t="n">
        <f aca="false">F292</f>
        <v>1597.60965567148</v>
      </c>
      <c r="H9" s="17" t="n">
        <f aca="false">F300</f>
        <v>0.407974009402509</v>
      </c>
      <c r="I9" s="16" t="n">
        <f aca="false">F310</f>
        <v>220.993353957053</v>
      </c>
      <c r="J9" s="19" t="n">
        <f aca="false">I9/I$4-1</f>
        <v>0.480320730974991</v>
      </c>
    </row>
    <row r="10" customFormat="false" ht="17.15" hidden="false" customHeight="false" outlineLevel="0" collapsed="false">
      <c r="A10" s="4" t="s">
        <v>887</v>
      </c>
      <c r="B10" s="0" t="s">
        <v>888</v>
      </c>
      <c r="C10" s="34" t="n">
        <f aca="false">E347</f>
        <v>989.797082137512</v>
      </c>
      <c r="D10" s="17" t="n">
        <f aca="false">E355</f>
        <v>0.418633277197091</v>
      </c>
      <c r="E10" s="16" t="n">
        <f aca="false">E365</f>
        <v>114.570765642376</v>
      </c>
      <c r="F10" s="19" t="n">
        <f aca="false">E10/E$4-1</f>
        <v>0</v>
      </c>
      <c r="G10" s="34" t="n">
        <f aca="false">F347</f>
        <v>1182.24500974099</v>
      </c>
      <c r="H10" s="17" t="n">
        <f aca="false">F355</f>
        <v>0.393208786829712</v>
      </c>
      <c r="I10" s="16" t="n">
        <f aca="false">F365</f>
        <v>134.748706461991</v>
      </c>
      <c r="J10" s="19" t="n">
        <f aca="false">I10/I$4-1</f>
        <v>-0.0973877717312998</v>
      </c>
    </row>
    <row r="11" customFormat="false" ht="17.15" hidden="false" customHeight="false" outlineLevel="0" collapsed="false">
      <c r="A11" s="4" t="s">
        <v>889</v>
      </c>
      <c r="B11" s="0" t="s">
        <v>890</v>
      </c>
      <c r="C11" s="34" t="n">
        <f aca="false">E402</f>
        <v>1060.520330333</v>
      </c>
      <c r="D11" s="17" t="n">
        <f aca="false">E410</f>
        <v>0.412683745929821</v>
      </c>
      <c r="E11" s="16" t="n">
        <f aca="false">E420</f>
        <v>123.888888181234</v>
      </c>
      <c r="F11" s="19" t="n">
        <f aca="false">E11/E$4-1</f>
        <v>0.0813307171913602</v>
      </c>
      <c r="G11" s="34" t="n">
        <f aca="false">F402</f>
        <v>1340.20616545466</v>
      </c>
      <c r="H11" s="17" t="n">
        <f aca="false">F410</f>
        <v>0.390180883237255</v>
      </c>
      <c r="I11" s="16" t="n">
        <f aca="false">F420</f>
        <v>160.316589358168</v>
      </c>
      <c r="J11" s="19" t="n">
        <f aca="false">I11/I$4-1</f>
        <v>0.0738783157805738</v>
      </c>
    </row>
    <row r="12" customFormat="false" ht="17.15" hidden="false" customHeight="false" outlineLevel="0" collapsed="false">
      <c r="A12" s="0" t="s">
        <v>891</v>
      </c>
      <c r="B12" s="4" t="s">
        <v>892</v>
      </c>
      <c r="C12" s="34" t="n">
        <f aca="false">E457</f>
        <v>960.828577546919</v>
      </c>
      <c r="D12" s="17" t="n">
        <f aca="false">E465</f>
        <v>0.434137526017199</v>
      </c>
      <c r="E12" s="16" t="n">
        <f aca="false">E475</f>
        <v>117.403122243916</v>
      </c>
      <c r="F12" s="19" t="n">
        <f aca="false">E12/E$4-1</f>
        <v>0.0247214600134675</v>
      </c>
      <c r="G12" s="34" t="n">
        <f aca="false">F457</f>
        <v>1186.61043784618</v>
      </c>
      <c r="H12" s="17" t="n">
        <f aca="false">F465</f>
        <v>0.420585818430724</v>
      </c>
      <c r="I12" s="16" t="n">
        <f aca="false">F475</f>
        <v>153.408252355968</v>
      </c>
      <c r="J12" s="19" t="n">
        <f aca="false">I12/I$4-1</f>
        <v>0.0276029219834104</v>
      </c>
    </row>
    <row r="13" customFormat="false" ht="17.15" hidden="false" customHeight="false" outlineLevel="0" collapsed="false">
      <c r="A13" s="0" t="s">
        <v>893</v>
      </c>
      <c r="B13" s="4" t="s">
        <v>894</v>
      </c>
      <c r="C13" s="34" t="n">
        <f aca="false">E512</f>
        <v>1021.40615973739</v>
      </c>
      <c r="D13" s="17" t="n">
        <f aca="false">E520</f>
        <v>0.402719110071798</v>
      </c>
      <c r="E13" s="16" t="n">
        <f aca="false">E530</f>
        <v>111.480230563886</v>
      </c>
      <c r="F13" s="19" t="n">
        <f aca="false">E13/E$4-1</f>
        <v>-0.0269749011552951</v>
      </c>
      <c r="G13" s="34" t="n">
        <f aca="false">F512</f>
        <v>1322.2468461456</v>
      </c>
      <c r="H13" s="17" t="n">
        <f aca="false">F520</f>
        <v>0.372618324991107</v>
      </c>
      <c r="I13" s="16" t="n">
        <f aca="false">F530</f>
        <v>144.832519446504</v>
      </c>
      <c r="J13" s="19" t="n">
        <f aca="false">I13/I$4-1</f>
        <v>-0.0298414987734738</v>
      </c>
    </row>
    <row r="14" customFormat="false" ht="17.15" hidden="false" customHeight="false" outlineLevel="0" collapsed="false">
      <c r="A14" s="0" t="s">
        <v>895</v>
      </c>
      <c r="B14" s="4" t="s">
        <v>896</v>
      </c>
      <c r="C14" s="34" t="n">
        <f aca="false">E567</f>
        <v>989.797082137512</v>
      </c>
      <c r="D14" s="17" t="n">
        <f aca="false">E575</f>
        <v>0.40143709225431</v>
      </c>
      <c r="E14" s="16" t="n">
        <f aca="false">E585</f>
        <v>105.379086458988</v>
      </c>
      <c r="F14" s="19" t="n">
        <f aca="false">E14/E$4-1</f>
        <v>-0.0802270904960084</v>
      </c>
      <c r="G14" s="34" t="n">
        <f aca="false">F567</f>
        <v>1251.47245072941</v>
      </c>
      <c r="H14" s="17" t="n">
        <f aca="false">F575</f>
        <v>0.373462058155879</v>
      </c>
      <c r="I14" s="16" t="n">
        <f aca="false">F585</f>
        <v>133.818910284167</v>
      </c>
      <c r="J14" s="19" t="n">
        <f aca="false">I14/I$4-1</f>
        <v>-0.103615997752441</v>
      </c>
    </row>
    <row r="15" customFormat="false" ht="17.15" hidden="false" customHeight="false" outlineLevel="0" collapsed="false">
      <c r="A15" s="0" t="s">
        <v>897</v>
      </c>
      <c r="C15" s="34" t="n">
        <f aca="false">E622</f>
        <v>989.797082137512</v>
      </c>
      <c r="D15" s="17" t="n">
        <f aca="false">E630</f>
        <v>0.435829462139871</v>
      </c>
      <c r="E15" s="16" t="n">
        <f aca="false">E640</f>
        <v>123.762444825764</v>
      </c>
      <c r="F15" s="19" t="n">
        <f aca="false">E15/E$4-1</f>
        <v>0.0802270904960087</v>
      </c>
      <c r="G15" s="34" t="n">
        <f aca="false">F622</f>
        <v>1251.47245072941</v>
      </c>
      <c r="H15" s="17" t="n">
        <f aca="false">F630</f>
        <v>0.419238530932474</v>
      </c>
      <c r="I15" s="16" t="n">
        <f aca="false">F640</f>
        <v>164.756053009766</v>
      </c>
      <c r="J15" s="19" t="n">
        <f aca="false">I15/I$4-1</f>
        <v>0.10361599775244</v>
      </c>
    </row>
    <row r="16" customFormat="false" ht="17.15" hidden="false" customHeight="false" outlineLevel="0" collapsed="false">
      <c r="A16" s="4" t="s">
        <v>898</v>
      </c>
      <c r="B16" s="0" t="s">
        <v>899</v>
      </c>
      <c r="C16" s="34" t="n">
        <f aca="false">E677</f>
        <v>955.651833184906</v>
      </c>
      <c r="D16" s="17" t="n">
        <f aca="false">E685</f>
        <v>0.417071619573566</v>
      </c>
      <c r="E16" s="16" t="n">
        <f aca="false">E695</f>
        <v>107.620950977532</v>
      </c>
      <c r="F16" s="19" t="n">
        <f aca="false">E16/E$4-1</f>
        <v>-0.0606595812280516</v>
      </c>
      <c r="G16" s="34" t="n">
        <f aca="false">F677</f>
        <v>1199.0463607991</v>
      </c>
      <c r="H16" s="17" t="n">
        <f aca="false">F685</f>
        <v>0.393464985638679</v>
      </c>
      <c r="I16" s="16" t="n">
        <f aca="false">F695</f>
        <v>138.237361435508</v>
      </c>
      <c r="J16" s="19" t="n">
        <f aca="false">I16/I$4-1</f>
        <v>-0.0740190677044854</v>
      </c>
    </row>
    <row r="17" customFormat="false" ht="17.15" hidden="false" customHeight="false" outlineLevel="0" collapsed="false">
      <c r="A17" s="4" t="s">
        <v>900</v>
      </c>
      <c r="B17" s="0" t="s">
        <v>901</v>
      </c>
      <c r="C17" s="34" t="n">
        <f aca="false">E732</f>
        <v>955.488739569449</v>
      </c>
      <c r="D17" s="17" t="n">
        <f aca="false">E740</f>
        <v>0.417063892534671</v>
      </c>
      <c r="E17" s="16" t="n">
        <f aca="false">E750</f>
        <v>107.587755425143</v>
      </c>
      <c r="F17" s="19" t="n">
        <f aca="false">E17/E$4-1</f>
        <v>-0.0609493196460756</v>
      </c>
      <c r="G17" s="34" t="n">
        <f aca="false">F732</f>
        <v>1196.61029202284</v>
      </c>
      <c r="H17" s="17" t="n">
        <f aca="false">F740</f>
        <v>0.393324767901822</v>
      </c>
      <c r="I17" s="16" t="n">
        <f aca="false">F750</f>
        <v>137.718997180707</v>
      </c>
      <c r="J17" s="19" t="n">
        <f aca="false">I17/I$4-1</f>
        <v>-0.0774913230408476</v>
      </c>
    </row>
    <row r="18" customFormat="false" ht="17.15" hidden="false" customHeight="false" outlineLevel="0" collapsed="false">
      <c r="A18" s="4" t="s">
        <v>902</v>
      </c>
      <c r="B18" s="0" t="s">
        <v>903</v>
      </c>
      <c r="C18" s="34" t="n">
        <f aca="false">E787</f>
        <v>989.797082137512</v>
      </c>
      <c r="D18" s="17" t="n">
        <f aca="false">E795</f>
        <v>0.405469285667462</v>
      </c>
      <c r="E18" s="16" t="n">
        <f aca="false">E805</f>
        <v>107.534368481273</v>
      </c>
      <c r="F18" s="19" t="n">
        <f aca="false">E18/E$4-1</f>
        <v>-0.0614152931740604</v>
      </c>
      <c r="G18" s="34" t="n">
        <f aca="false">F787</f>
        <v>1251.47245072941</v>
      </c>
      <c r="H18" s="17" t="n">
        <f aca="false">F795</f>
        <v>0.385336025008102</v>
      </c>
      <c r="I18" s="16" t="n">
        <f aca="false">F805</f>
        <v>141.843700857679</v>
      </c>
      <c r="J18" s="19" t="n">
        <f aca="false">I18/I$4-1</f>
        <v>-0.0498620561293304</v>
      </c>
    </row>
    <row r="19" customFormat="false" ht="17.15" hidden="false" customHeight="false" outlineLevel="0" collapsed="false">
      <c r="A19" s="4" t="s">
        <v>904</v>
      </c>
      <c r="B19" s="4" t="s">
        <v>905</v>
      </c>
      <c r="C19" s="34" t="n">
        <f aca="false">E842</f>
        <v>989.797082137512</v>
      </c>
      <c r="D19" s="17" t="n">
        <f aca="false">E850</f>
        <v>0.418633277197091</v>
      </c>
      <c r="E19" s="16" t="n">
        <f aca="false">E860</f>
        <v>100.023875525781</v>
      </c>
      <c r="F19" s="19" t="n">
        <f aca="false">E19/E$4-1</f>
        <v>-0.126968603509221</v>
      </c>
      <c r="G19" s="34" t="n">
        <f aca="false">F842</f>
        <v>1251.47245072941</v>
      </c>
      <c r="H19" s="17" t="n">
        <f aca="false">F850</f>
        <v>0.396350294544177</v>
      </c>
      <c r="I19" s="16" t="n">
        <f aca="false">F860</f>
        <v>123.051391323155</v>
      </c>
      <c r="J19" s="19" t="n">
        <f aca="false">I19/I$4-1</f>
        <v>-0.175742065137481</v>
      </c>
    </row>
    <row r="20" customFormat="false" ht="17.15" hidden="false" customHeight="false" outlineLevel="0" collapsed="false">
      <c r="A20" s="4" t="s">
        <v>906</v>
      </c>
      <c r="B20" s="4" t="s">
        <v>907</v>
      </c>
      <c r="C20" s="34" t="n">
        <f aca="false">E897</f>
        <v>989.797082137512</v>
      </c>
      <c r="D20" s="17" t="n">
        <f aca="false">E905</f>
        <v>0.418633277197091</v>
      </c>
      <c r="E20" s="16" t="n">
        <f aca="false">E915</f>
        <v>103.880395407382</v>
      </c>
      <c r="F20" s="19" t="n">
        <f aca="false">E20/E$4-1</f>
        <v>-0.0933080107744359</v>
      </c>
      <c r="G20" s="34" t="n">
        <f aca="false">F897</f>
        <v>1251.47245072941</v>
      </c>
      <c r="H20" s="17" t="n">
        <f aca="false">F905</f>
        <v>0.396350294544177</v>
      </c>
      <c r="I20" s="16" t="n">
        <f aca="false">F915</f>
        <v>124.232625937863</v>
      </c>
      <c r="J20" s="19" t="n">
        <f aca="false">I20/I$4-1</f>
        <v>-0.167829582445188</v>
      </c>
    </row>
    <row r="21" customFormat="false" ht="17.15" hidden="false" customHeight="false" outlineLevel="0" collapsed="false">
      <c r="A21" s="4" t="s">
        <v>908</v>
      </c>
      <c r="B21" s="4" t="s">
        <v>909</v>
      </c>
      <c r="C21" s="34" t="n">
        <f aca="false">E952</f>
        <v>968.65251577051</v>
      </c>
      <c r="D21" s="17" t="n">
        <f aca="false">E960</f>
        <v>0.420470538862999</v>
      </c>
      <c r="E21" s="16" t="n">
        <f aca="false">E970</f>
        <v>111.727220089642</v>
      </c>
      <c r="F21" s="19" t="n">
        <f aca="false">E21/E$4-1</f>
        <v>-0.0248191197535502</v>
      </c>
      <c r="G21" s="34" t="n">
        <f aca="false">F952</f>
        <v>1216.3305940879</v>
      </c>
      <c r="H21" s="17" t="n">
        <f aca="false">F960</f>
        <v>0.398687281069262</v>
      </c>
      <c r="I21" s="16" t="n">
        <f aca="false">F970</f>
        <v>144.659215825602</v>
      </c>
      <c r="J21" s="19" t="n">
        <f aca="false">I21/I$4-1</f>
        <v>-0.031002370529031</v>
      </c>
    </row>
    <row r="22" customFormat="false" ht="17.15" hidden="false" customHeight="false" outlineLevel="0" collapsed="false">
      <c r="A22" s="4" t="s">
        <v>910</v>
      </c>
      <c r="B22" s="4" t="s">
        <v>911</v>
      </c>
      <c r="C22" s="34" t="n">
        <f aca="false">E1007</f>
        <v>989.797082137512</v>
      </c>
      <c r="D22" s="17" t="n">
        <f aca="false">E1015</f>
        <v>0.418633277197091</v>
      </c>
      <c r="E22" s="16" t="n">
        <f aca="false">E1025</f>
        <v>110.552206144159</v>
      </c>
      <c r="F22" s="19" t="n">
        <f aca="false">E22/E$4-1</f>
        <v>-0.0350749117864868</v>
      </c>
      <c r="G22" s="34" t="n">
        <f aca="false">F1007</f>
        <v>1251.47245072941</v>
      </c>
      <c r="H22" s="17" t="n">
        <f aca="false">F1015</f>
        <v>0.396350294544177</v>
      </c>
      <c r="I22" s="16" t="n">
        <f aca="false">F1025</f>
        <v>144.057873916032</v>
      </c>
      <c r="J22" s="19" t="n">
        <f aca="false">I22/I$4-1</f>
        <v>-0.0350304504653763</v>
      </c>
    </row>
    <row r="23" customFormat="false" ht="17.15" hidden="false" customHeight="false" outlineLevel="0" collapsed="false">
      <c r="A23" s="4" t="s">
        <v>912</v>
      </c>
      <c r="B23" s="4" t="s">
        <v>913</v>
      </c>
      <c r="C23" s="34" t="n">
        <f aca="false">E1062</f>
        <v>989.797082137512</v>
      </c>
      <c r="D23" s="17" t="n">
        <f aca="false">E1070</f>
        <v>0.418633277197091</v>
      </c>
      <c r="E23" s="16" t="n">
        <f aca="false">E1080</f>
        <v>110.250538626993</v>
      </c>
      <c r="F23" s="19" t="n">
        <f aca="false">E23/E$4-1</f>
        <v>-0.0377079352761611</v>
      </c>
      <c r="G23" s="34" t="n">
        <f aca="false">F1062</f>
        <v>1251.47245072941</v>
      </c>
      <c r="H23" s="17" t="n">
        <f aca="false">F1070</f>
        <v>0.396350294544177</v>
      </c>
      <c r="I23" s="16" t="n">
        <f aca="false">F1080</f>
        <v>144.967254631584</v>
      </c>
      <c r="J23" s="19" t="n">
        <f aca="false">I23/I$4-1</f>
        <v>-0.0289389771179833</v>
      </c>
    </row>
    <row r="24" customFormat="false" ht="17.15" hidden="false" customHeight="false" outlineLevel="0" collapsed="false">
      <c r="A24" s="4" t="s">
        <v>914</v>
      </c>
      <c r="B24" s="0" t="s">
        <v>915</v>
      </c>
      <c r="C24" s="34" t="n">
        <f aca="false">PL!E147</f>
        <v>962.749647003524</v>
      </c>
      <c r="D24" s="17" t="n">
        <f aca="false">PL!E155</f>
        <v>0.417405363173788</v>
      </c>
      <c r="E24" s="16" t="n">
        <f aca="false">PL!E165</f>
        <v>109.065617280403</v>
      </c>
      <c r="F24" s="19" t="n">
        <f aca="false">E24/E$4-1</f>
        <v>-0.0480502013852019</v>
      </c>
      <c r="G24" s="34" t="n">
        <f aca="false">PL!F147</f>
        <v>1038.96115253351</v>
      </c>
      <c r="H24" s="17" t="n">
        <f aca="false">PL!F155</f>
        <v>0.417936953342246</v>
      </c>
      <c r="I24" s="16" t="n">
        <f aca="false">PL!F165</f>
        <v>119.520303820291</v>
      </c>
      <c r="J24" s="19" t="n">
        <f aca="false">I24/I$4-1</f>
        <v>-0.199395002838008</v>
      </c>
    </row>
    <row r="25" customFormat="false" ht="17.15" hidden="false" customHeight="false" outlineLevel="0" collapsed="false">
      <c r="A25" s="4" t="s">
        <v>916</v>
      </c>
      <c r="B25" s="0" t="s">
        <v>917</v>
      </c>
      <c r="C25" s="34" t="n">
        <f aca="false">PL!E202</f>
        <v>918.46571833394</v>
      </c>
      <c r="D25" s="17" t="n">
        <f aca="false">PL!E210</f>
        <v>0.415238800622709</v>
      </c>
      <c r="E25" s="16" t="n">
        <f aca="false">PL!E220</f>
        <v>100.052208202263</v>
      </c>
      <c r="F25" s="19" t="n">
        <f aca="false">E25/E$4-1</f>
        <v>-0.126721309390842</v>
      </c>
      <c r="G25" s="34" t="n">
        <f aca="false">PL!F202</f>
        <v>854.345325605158</v>
      </c>
      <c r="H25" s="17" t="n">
        <f aca="false">PL!F210</f>
        <v>0.42934133999837</v>
      </c>
      <c r="I25" s="16" t="n">
        <f aca="false">PL!F220</f>
        <v>85.2804354615451</v>
      </c>
      <c r="J25" s="19" t="n">
        <f aca="false">I25/I$4-1</f>
        <v>-0.428750257417998</v>
      </c>
    </row>
    <row r="27" customFormat="false" ht="17.15" hidden="false" customHeight="false" outlineLevel="0" collapsed="false">
      <c r="A27" s="4" t="s">
        <v>918</v>
      </c>
    </row>
    <row r="29" customFormat="false" ht="17.15" hidden="false" customHeight="false" outlineLevel="0" collapsed="false">
      <c r="A29" s="1" t="s">
        <v>919</v>
      </c>
    </row>
    <row r="30" customFormat="false" ht="17.15" hidden="false" customHeight="false" outlineLevel="0" collapsed="false">
      <c r="A30" s="5" t="s">
        <v>866</v>
      </c>
      <c r="B30" s="5" t="s">
        <v>867</v>
      </c>
      <c r="C30" s="14" t="s">
        <v>920</v>
      </c>
      <c r="D30" s="14" t="s">
        <v>921</v>
      </c>
      <c r="E30" s="5" t="s">
        <v>922</v>
      </c>
      <c r="F30" s="5" t="s">
        <v>923</v>
      </c>
    </row>
    <row r="31" customFormat="false" ht="17.15" hidden="false" customHeight="false" outlineLevel="0" collapsed="false">
      <c r="A31" s="4" t="s">
        <v>25</v>
      </c>
      <c r="B31" s="0" t="s">
        <v>924</v>
      </c>
      <c r="C31" s="1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1845.58121944081</v>
      </c>
      <c r="D31" s="16" t="n">
        <f aca="false">Val!B35</f>
        <v>2267.8787522861</v>
      </c>
      <c r="E31" s="16" t="n">
        <f aca="false">tp_w_dcf*C31+(1-tp_w_dcf)*D31</f>
        <v>2056.72998586345</v>
      </c>
      <c r="F31" s="19" t="n">
        <f aca="false">E31/E$31-1</f>
        <v>0</v>
      </c>
    </row>
    <row r="32" customFormat="false" ht="17.15" hidden="false" customHeight="false" outlineLevel="0" collapsed="false">
      <c r="A32" s="4" t="s">
        <v>925</v>
      </c>
      <c r="B32" s="0" t="s">
        <v>926</v>
      </c>
      <c r="C32" s="16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1595.11133133318</v>
      </c>
      <c r="D32" s="16" t="n">
        <f aca="false">Val!B35</f>
        <v>2267.8787522861</v>
      </c>
      <c r="E32" s="16" t="n">
        <f aca="false">tp_w_dcf*C32+(1-tp_w_dcf)*D32</f>
        <v>1931.49504180964</v>
      </c>
      <c r="F32" s="19" t="n">
        <f aca="false">E32/E$31-1</f>
        <v>-0.0608903185710282</v>
      </c>
    </row>
    <row r="33" customFormat="false" ht="17.15" hidden="false" customHeight="false" outlineLevel="0" collapsed="false">
      <c r="A33" s="4" t="s">
        <v>927</v>
      </c>
      <c r="B33" s="0" t="s">
        <v>928</v>
      </c>
      <c r="C33" s="16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2196.19620328983</v>
      </c>
      <c r="D33" s="16" t="n">
        <f aca="false">Val!B35</f>
        <v>2267.8787522861</v>
      </c>
      <c r="E33" s="16" t="n">
        <f aca="false">tp_w_dcf*C33+(1-tp_w_dcf)*D33</f>
        <v>2232.03747778796</v>
      </c>
      <c r="F33" s="19" t="n">
        <f aca="false">E33/E$31-1</f>
        <v>0.0852360266682806</v>
      </c>
    </row>
    <row r="34" customFormat="false" ht="17.15" hidden="false" customHeight="false" outlineLevel="0" collapsed="false">
      <c r="A34" s="4" t="s">
        <v>929</v>
      </c>
      <c r="B34" s="0" t="s">
        <v>930</v>
      </c>
      <c r="C34" s="16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2020.14188493138</v>
      </c>
      <c r="D34" s="16" t="n">
        <f aca="false">Val!B35</f>
        <v>2267.8787522861</v>
      </c>
      <c r="E34" s="16" t="n">
        <f aca="false">tp_w_dcf*C34+(1-tp_w_dcf)*D34</f>
        <v>2144.01031860874</v>
      </c>
      <c r="F34" s="19" t="n">
        <f aca="false">E34/E$31-1</f>
        <v>0.0424364565816575</v>
      </c>
    </row>
    <row r="35" customFormat="false" ht="17.15" hidden="false" customHeight="false" outlineLevel="0" collapsed="false">
      <c r="A35" s="4" t="s">
        <v>931</v>
      </c>
      <c r="B35" s="0" t="s">
        <v>932</v>
      </c>
      <c r="C35" s="16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1727.20946727665</v>
      </c>
      <c r="D35" s="16" t="n">
        <f aca="false">Val!B35</f>
        <v>2267.8787522861</v>
      </c>
      <c r="E35" s="16" t="n">
        <f aca="false">tp_w_dcf*C35+(1-tp_w_dcf)*D35</f>
        <v>1997.54410978137</v>
      </c>
      <c r="F35" s="19" t="n">
        <f aca="false">E35/E$31-1</f>
        <v>-0.0287766875034059</v>
      </c>
    </row>
    <row r="36" customFormat="false" ht="17.15" hidden="false" customHeight="false" outlineLevel="0" collapsed="false">
      <c r="A36" s="0" t="s">
        <v>933</v>
      </c>
      <c r="C36" s="1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1845.58121944081</v>
      </c>
      <c r="D36" s="16" t="n">
        <f aca="false">Val!B35</f>
        <v>2267.8787522861</v>
      </c>
      <c r="E36" s="16" t="n">
        <f aca="false">0.3*C36+(1-0.3)*D36</f>
        <v>2141.18949243251</v>
      </c>
      <c r="F36" s="19" t="n">
        <f aca="false">E36/E$31-1</f>
        <v>0.0410649463709747</v>
      </c>
    </row>
    <row r="37" customFormat="false" ht="17.15" hidden="false" customHeight="false" outlineLevel="0" collapsed="false">
      <c r="A37" s="0" t="s">
        <v>934</v>
      </c>
      <c r="C37" s="1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1845.58121944081</v>
      </c>
      <c r="D37" s="16" t="n">
        <f aca="false">Val!B35</f>
        <v>2267.8787522861</v>
      </c>
      <c r="E37" s="16" t="n">
        <f aca="false">0.7*C37+(1-0.7)*D37</f>
        <v>1972.27047929439</v>
      </c>
      <c r="F37" s="19" t="n">
        <f aca="false">E37/E$31-1</f>
        <v>-0.0410649463709745</v>
      </c>
    </row>
    <row r="40" customFormat="false" ht="17.15" hidden="false" customHeight="false" outlineLevel="0" collapsed="false">
      <c r="A40" s="1" t="s">
        <v>935</v>
      </c>
    </row>
    <row r="41" customFormat="false" ht="17.15" hidden="false" customHeight="false" outlineLevel="0" collapsed="false">
      <c r="A41" s="5" t="s">
        <v>22</v>
      </c>
      <c r="B41" s="5" t="s">
        <v>23</v>
      </c>
      <c r="C41" s="14" t="s">
        <v>494</v>
      </c>
      <c r="D41" s="14" t="s">
        <v>587</v>
      </c>
      <c r="E41" s="14" t="s">
        <v>588</v>
      </c>
      <c r="F41" s="14" t="s">
        <v>589</v>
      </c>
      <c r="G41" s="14" t="s">
        <v>590</v>
      </c>
      <c r="H41" s="14" t="s">
        <v>591</v>
      </c>
      <c r="I41" s="14" t="s">
        <v>592</v>
      </c>
      <c r="J41" s="14" t="s">
        <v>593</v>
      </c>
      <c r="K41" s="5" t="s">
        <v>557</v>
      </c>
    </row>
    <row r="42" customFormat="false" ht="17.15" hidden="false" customHeight="false" outlineLevel="0" collapsed="false">
      <c r="A42" s="6" t="s">
        <v>609</v>
      </c>
    </row>
    <row r="43" customFormat="false" ht="17.15" hidden="false" customHeight="false" outlineLevel="0" collapsed="false">
      <c r="A43" s="0" t="s">
        <v>610</v>
      </c>
      <c r="B43" s="4" t="s">
        <v>33</v>
      </c>
      <c r="D43" s="20" t="n">
        <f aca="false">u_tpu_26</f>
        <v>3.85</v>
      </c>
      <c r="E43" s="20" t="n">
        <f aca="false">u_tpu_27</f>
        <v>5.5</v>
      </c>
      <c r="F43" s="20" t="n">
        <f aca="false">u_tpu_28*um28_A</f>
        <v>7</v>
      </c>
      <c r="G43" s="20" t="n">
        <f aca="false">u_tpu_28*(1+g29_tpu)*um29_A</f>
        <v>8.05</v>
      </c>
    </row>
    <row r="44" customFormat="false" ht="17.15" hidden="false" customHeight="false" outlineLevel="0" collapsed="false">
      <c r="A44" s="4" t="s">
        <v>611</v>
      </c>
      <c r="B44" s="4" t="s">
        <v>33</v>
      </c>
      <c r="D44" s="20" t="n">
        <f aca="false">u_oth_26</f>
        <v>1</v>
      </c>
      <c r="E44" s="20" t="n">
        <f aca="false">u_oth_27</f>
        <v>4.5</v>
      </c>
      <c r="F44" s="20" t="n">
        <f aca="false">u_oth_28*um28_A</f>
        <v>5</v>
      </c>
      <c r="G44" s="20" t="n">
        <f aca="false">u_oth_28*(1+g29_oth)*um29_A</f>
        <v>5.75</v>
      </c>
    </row>
    <row r="45" customFormat="false" ht="17.15" hidden="false" customHeight="false" outlineLevel="0" collapsed="false">
      <c r="A45" s="4" t="s">
        <v>561</v>
      </c>
      <c r="B45" s="0" t="s">
        <v>46</v>
      </c>
      <c r="D45" s="19" t="n">
        <f aca="false">mtk_tpu_26</f>
        <v>0.05</v>
      </c>
      <c r="E45" s="19" t="n">
        <f aca="false">MIN(1,MAX(0,mtk_tpu_27+(-0.05)))</f>
        <v>0.1</v>
      </c>
      <c r="F45" s="19" t="n">
        <f aca="false">MIN(1,MAX(0,mtk_tpu_28+(-0.05)))</f>
        <v>0.13</v>
      </c>
      <c r="G45" s="19" t="n">
        <f aca="false">MIN(1,MAX(0,mtk_tpu_28+(-0.05)))</f>
        <v>0.13</v>
      </c>
    </row>
    <row r="46" customFormat="false" ht="17.15" hidden="false" customHeight="false" outlineLevel="0" collapsed="false">
      <c r="A46" s="4" t="s">
        <v>612</v>
      </c>
      <c r="B46" s="0" t="s">
        <v>46</v>
      </c>
      <c r="D46" s="19" t="n">
        <f aca="false">mtk_oth_26</f>
        <v>0</v>
      </c>
      <c r="E46" s="19" t="n">
        <f aca="false">MIN(1,MAX(0,mtk_oth_27+0))</f>
        <v>0</v>
      </c>
      <c r="F46" s="19" t="n">
        <f aca="false">MIN(1,MAX(0,mtk_oth_28+0))</f>
        <v>0</v>
      </c>
      <c r="G46" s="19" t="n">
        <f aca="false">MIN(1,MAX(0,mtk_oth_28+0))</f>
        <v>0</v>
      </c>
    </row>
    <row r="47" customFormat="false" ht="17.15" hidden="false" customHeight="false" outlineLevel="0" collapsed="false">
      <c r="A47" s="4" t="s">
        <v>563</v>
      </c>
      <c r="B47" s="4" t="s">
        <v>33</v>
      </c>
      <c r="D47" s="20" t="n">
        <f aca="false">D43*D45</f>
        <v>0.1925</v>
      </c>
      <c r="E47" s="20" t="n">
        <f aca="false">E43*E45*1</f>
        <v>0.55</v>
      </c>
      <c r="F47" s="20" t="n">
        <f aca="false">F43*F45*1</f>
        <v>0.91</v>
      </c>
      <c r="G47" s="20" t="n">
        <f aca="false">G43*G45*1</f>
        <v>1.0465</v>
      </c>
    </row>
    <row r="48" customFormat="false" ht="17.15" hidden="false" customHeight="false" outlineLevel="0" collapsed="false">
      <c r="A48" s="4" t="s">
        <v>613</v>
      </c>
      <c r="B48" s="4" t="s">
        <v>33</v>
      </c>
      <c r="D48" s="20" t="n">
        <f aca="false">D44*D46</f>
        <v>0</v>
      </c>
      <c r="E48" s="20" t="n">
        <f aca="false">E44*E46*1</f>
        <v>0</v>
      </c>
      <c r="F48" s="20" t="n">
        <f aca="false">F44*F46*1</f>
        <v>0</v>
      </c>
      <c r="G48" s="20" t="n">
        <f aca="false">G44*G46*1</f>
        <v>0</v>
      </c>
    </row>
    <row r="49" customFormat="false" ht="17.15" hidden="false" customHeight="false" outlineLevel="0" collapsed="false">
      <c r="A49" s="4" t="s">
        <v>614</v>
      </c>
      <c r="B49" s="0" t="s">
        <v>102</v>
      </c>
      <c r="D49" s="27" t="n">
        <f aca="false">gb_tpu_26</f>
        <v>192</v>
      </c>
      <c r="E49" s="27" t="n">
        <f aca="false">gb_tpu_27</f>
        <v>250</v>
      </c>
      <c r="F49" s="27" t="n">
        <f aca="false">gb_tpu_28</f>
        <v>288</v>
      </c>
      <c r="G49" s="27" t="n">
        <f aca="false">gb_tpu_28</f>
        <v>288</v>
      </c>
    </row>
    <row r="50" customFormat="false" ht="17.15" hidden="false" customHeight="false" outlineLevel="0" collapsed="false">
      <c r="A50" s="4" t="s">
        <v>615</v>
      </c>
      <c r="B50" s="0" t="s">
        <v>102</v>
      </c>
      <c r="D50" s="27" t="n">
        <f aca="false">gb_oth_26</f>
        <v>150</v>
      </c>
      <c r="E50" s="27" t="n">
        <f aca="false">gb_oth_27</f>
        <v>200</v>
      </c>
      <c r="F50" s="27" t="n">
        <f aca="false">gb_oth_28</f>
        <v>250</v>
      </c>
      <c r="G50" s="27" t="n">
        <f aca="false">gb_oth_28</f>
        <v>250</v>
      </c>
    </row>
    <row r="51" customFormat="false" ht="17.15" hidden="false" customHeight="false" outlineLevel="0" collapsed="false">
      <c r="A51" s="0" t="s">
        <v>616</v>
      </c>
      <c r="B51" s="0" t="s">
        <v>194</v>
      </c>
      <c r="D51" s="16" t="n">
        <f aca="false">hbm_A_26</f>
        <v>14.6</v>
      </c>
      <c r="E51" s="16" t="n">
        <f aca="false">hbm_A_27</f>
        <v>26.28</v>
      </c>
      <c r="F51" s="16" t="n">
        <f aca="false">hbm_A_28</f>
        <v>28.908</v>
      </c>
      <c r="G51" s="16" t="n">
        <f aca="false">hbm_A_29</f>
        <v>27.4626</v>
      </c>
    </row>
    <row r="52" customFormat="false" ht="17.15" hidden="false" customHeight="false" outlineLevel="0" collapsed="false">
      <c r="A52" s="4" t="s">
        <v>617</v>
      </c>
      <c r="B52" s="0" t="s">
        <v>86</v>
      </c>
      <c r="D52" s="16" t="n">
        <f aca="false">core_tpu</f>
        <v>8</v>
      </c>
      <c r="E52" s="16" t="n">
        <f aca="false">core_tpu</f>
        <v>8</v>
      </c>
      <c r="F52" s="16" t="n">
        <f aca="false">core_tpu*1</f>
        <v>8</v>
      </c>
      <c r="G52" s="16" t="n">
        <f aca="false">core_tpu*1</f>
        <v>8</v>
      </c>
    </row>
    <row r="53" customFormat="false" ht="17.15" hidden="false" customHeight="false" outlineLevel="0" collapsed="false">
      <c r="A53" s="4" t="s">
        <v>618</v>
      </c>
      <c r="B53" s="0" t="s">
        <v>86</v>
      </c>
      <c r="D53" s="16" t="n">
        <f aca="false">core_oth</f>
        <v>6</v>
      </c>
      <c r="E53" s="16" t="n">
        <f aca="false">core_oth</f>
        <v>6</v>
      </c>
      <c r="F53" s="16" t="n">
        <f aca="false">core_oth*1</f>
        <v>6</v>
      </c>
      <c r="G53" s="16" t="n">
        <f aca="false">core_oth*1</f>
        <v>6</v>
      </c>
    </row>
    <row r="54" customFormat="false" ht="17.15" hidden="false" customHeight="false" outlineLevel="0" collapsed="false">
      <c r="A54" s="4" t="s">
        <v>619</v>
      </c>
      <c r="B54" s="0" t="s">
        <v>86</v>
      </c>
      <c r="D54" s="16" t="n">
        <f aca="false">D49*D51/1000</f>
        <v>2.8032</v>
      </c>
      <c r="E54" s="16" t="n">
        <f aca="false">E49*E51/1000</f>
        <v>6.57</v>
      </c>
      <c r="F54" s="16" t="n">
        <f aca="false">F49*F51/1000</f>
        <v>8.325504</v>
      </c>
      <c r="G54" s="16" t="n">
        <f aca="false">G49*G51/1000</f>
        <v>7.9092288</v>
      </c>
    </row>
    <row r="55" customFormat="false" ht="17.15" hidden="false" customHeight="false" outlineLevel="0" collapsed="false">
      <c r="A55" s="4" t="s">
        <v>620</v>
      </c>
      <c r="B55" s="0" t="s">
        <v>86</v>
      </c>
      <c r="D55" s="16" t="n">
        <f aca="false">D50*D51/1000</f>
        <v>2.19</v>
      </c>
      <c r="E55" s="16" t="n">
        <f aca="false">E50*E51/1000</f>
        <v>5.256</v>
      </c>
      <c r="F55" s="16" t="n">
        <f aca="false">F50*F51/1000</f>
        <v>7.227</v>
      </c>
      <c r="G55" s="16" t="n">
        <f aca="false">G50*G51/1000</f>
        <v>6.86565</v>
      </c>
    </row>
    <row r="56" customFormat="false" ht="17.15" hidden="false" customHeight="false" outlineLevel="0" collapsed="false">
      <c r="A56" s="4" t="s">
        <v>621</v>
      </c>
      <c r="B56" s="0" t="s">
        <v>86</v>
      </c>
      <c r="D56" s="16" t="n">
        <f aca="false">D52+f_hbm*D54</f>
        <v>9.68192</v>
      </c>
      <c r="E56" s="16" t="n">
        <f aca="false">E52+f_hbm*E54</f>
        <v>11.942</v>
      </c>
      <c r="F56" s="16" t="n">
        <f aca="false">F52+f_hbm*F54</f>
        <v>12.9953024</v>
      </c>
      <c r="G56" s="16" t="n">
        <f aca="false">G52+f_hbm*G54</f>
        <v>12.74553728</v>
      </c>
      <c r="K56" s="4" t="s">
        <v>622</v>
      </c>
    </row>
    <row r="57" customFormat="false" ht="17.15" hidden="false" customHeight="false" outlineLevel="0" collapsed="false">
      <c r="A57" s="4" t="s">
        <v>623</v>
      </c>
      <c r="B57" s="0" t="s">
        <v>86</v>
      </c>
      <c r="D57" s="16" t="n">
        <f aca="false">D53+f_hbm*D55</f>
        <v>7.314</v>
      </c>
      <c r="E57" s="16" t="n">
        <f aca="false">E53+f_hbm*E55</f>
        <v>9.1536</v>
      </c>
      <c r="F57" s="16" t="n">
        <f aca="false">F53+f_hbm*F55</f>
        <v>10.3362</v>
      </c>
      <c r="G57" s="16" t="n">
        <f aca="false">G53+f_hbm*G55</f>
        <v>10.11939</v>
      </c>
    </row>
    <row r="58" customFormat="false" ht="17.15" hidden="false" customHeight="false" outlineLevel="0" collapsed="false">
      <c r="A58" s="0" t="s">
        <v>624</v>
      </c>
      <c r="B58" s="0" t="s">
        <v>279</v>
      </c>
      <c r="D58" s="16" t="n">
        <f aca="false">D47*D56+D48*D57</f>
        <v>1.8637696</v>
      </c>
      <c r="E58" s="16" t="n">
        <f aca="false">E47*E56+E48*E57</f>
        <v>6.5681</v>
      </c>
      <c r="F58" s="16" t="n">
        <f aca="false">F47*F56+F48*F57</f>
        <v>11.825725184</v>
      </c>
      <c r="G58" s="16" t="n">
        <f aca="false">G47*G56+G48*G57</f>
        <v>13.33820476352</v>
      </c>
    </row>
    <row r="59" customFormat="false" ht="17.15" hidden="false" customHeight="false" outlineLevel="0" collapsed="false">
      <c r="A59" s="0" t="s">
        <v>625</v>
      </c>
      <c r="B59" s="0" t="s">
        <v>65</v>
      </c>
      <c r="D59" s="20" t="n">
        <f aca="false">dc26/D58</f>
        <v>1.07309401333727</v>
      </c>
      <c r="K59" s="8" t="s">
        <v>626</v>
      </c>
    </row>
    <row r="60" customFormat="false" ht="17.15" hidden="false" customHeight="false" outlineLevel="0" collapsed="false">
      <c r="A60" s="0" t="s">
        <v>627</v>
      </c>
      <c r="B60" s="0" t="s">
        <v>279</v>
      </c>
      <c r="D60" s="16" t="n">
        <f aca="false">D58*$D$59</f>
        <v>2</v>
      </c>
      <c r="E60" s="16" t="n">
        <f aca="false">E58*$D$59</f>
        <v>7.04818878900053</v>
      </c>
      <c r="F60" s="16" t="n">
        <f aca="false">F58*$D$59</f>
        <v>12.6901148983222</v>
      </c>
      <c r="G60" s="16" t="n">
        <f aca="false">G58*$D$59</f>
        <v>14.3131476804</v>
      </c>
    </row>
    <row r="61" customFormat="false" ht="15" hidden="false" customHeight="false" outlineLevel="0" collapsed="false">
      <c r="A61" s="4" t="s">
        <v>628</v>
      </c>
      <c r="B61" s="0" t="s">
        <v>288</v>
      </c>
      <c r="D61" s="16" t="n">
        <f aca="false">fx26</f>
        <v>32</v>
      </c>
      <c r="E61" s="16" t="n">
        <f aca="false">fx</f>
        <v>32</v>
      </c>
      <c r="F61" s="16" t="n">
        <f aca="false">fx</f>
        <v>32</v>
      </c>
      <c r="G61" s="16" t="n">
        <f aca="false">fx</f>
        <v>32</v>
      </c>
    </row>
    <row r="62" customFormat="false" ht="17.15" hidden="false" customHeight="false" outlineLevel="0" collapsed="false">
      <c r="A62" s="0" t="s">
        <v>629</v>
      </c>
      <c r="B62" s="0" t="s">
        <v>301</v>
      </c>
      <c r="C62" s="16" t="n">
        <f aca="false">a25_asic</f>
        <v>0</v>
      </c>
      <c r="D62" s="16" t="n">
        <f aca="false">D60*D61</f>
        <v>64</v>
      </c>
      <c r="E62" s="16" t="n">
        <f aca="false">E60*E61</f>
        <v>225.542041248017</v>
      </c>
      <c r="F62" s="16" t="n">
        <f aca="false">F60*F61</f>
        <v>406.08367674631</v>
      </c>
      <c r="G62" s="16" t="n">
        <f aca="false">G60*G61</f>
        <v>458.020725772799</v>
      </c>
    </row>
    <row r="63" customFormat="false" ht="17.15" hidden="false" customHeight="false" outlineLevel="0" collapsed="false">
      <c r="A63" s="4" t="s">
        <v>630</v>
      </c>
      <c r="B63" s="0" t="s">
        <v>301</v>
      </c>
      <c r="D63" s="16" t="n">
        <f aca="false">$D$59*f_hbm*(D47*D54+D48*D55)*D61</f>
        <v>11.1179270227393</v>
      </c>
      <c r="E63" s="16" t="n">
        <f aca="false">$D$59*f_hbm*(E47*E54+E48*E55)*E61</f>
        <v>74.4504041701292</v>
      </c>
      <c r="F63" s="16" t="n">
        <f aca="false">$D$59*f_hbm*(F47*F54+F48*F55)*F61</f>
        <v>156.09569539926</v>
      </c>
      <c r="G63" s="16" t="n">
        <f aca="false">$D$59*f_hbm*(G47*G54+G48*G55)*G61</f>
        <v>170.534547223691</v>
      </c>
    </row>
    <row r="64" customFormat="false" ht="15" hidden="false" customHeight="false" outlineLevel="0" collapsed="false">
      <c r="A64" s="4" t="s">
        <v>631</v>
      </c>
      <c r="B64" s="0" t="s">
        <v>301</v>
      </c>
      <c r="D64" s="16" t="n">
        <f aca="false">D62-D63</f>
        <v>52.8820729772607</v>
      </c>
      <c r="E64" s="16" t="n">
        <f aca="false">E62-E63</f>
        <v>151.091637077888</v>
      </c>
      <c r="F64" s="16" t="n">
        <f aca="false">F62-F63</f>
        <v>249.987981347051</v>
      </c>
      <c r="G64" s="16" t="n">
        <f aca="false">G62-G63</f>
        <v>287.486178549108</v>
      </c>
    </row>
    <row r="65" customFormat="false" ht="17.15" hidden="false" customHeight="false" outlineLevel="0" collapsed="false">
      <c r="A65" s="4" t="s">
        <v>632</v>
      </c>
      <c r="B65" s="4" t="s">
        <v>33</v>
      </c>
      <c r="D65" s="20" t="n">
        <f aca="false">D47+D48</f>
        <v>0.1925</v>
      </c>
      <c r="E65" s="20" t="n">
        <f aca="false">E47+E48</f>
        <v>0.55</v>
      </c>
      <c r="F65" s="20" t="n">
        <f aca="false">F47+F48</f>
        <v>0.91</v>
      </c>
      <c r="G65" s="20" t="n">
        <f aca="false">G47+G48</f>
        <v>1.0465</v>
      </c>
    </row>
    <row r="66" customFormat="false" ht="17.15" hidden="false" customHeight="false" outlineLevel="0" collapsed="false">
      <c r="A66" s="4" t="s">
        <v>633</v>
      </c>
      <c r="B66" s="0" t="s">
        <v>86</v>
      </c>
      <c r="D66" s="16" t="n">
        <f aca="false">IF(D65&gt;0,D60/D65,0)</f>
        <v>10.3896103896104</v>
      </c>
      <c r="E66" s="16" t="n">
        <f aca="false">IF(E65&gt;0,E60/E65,0)</f>
        <v>12.8148887072737</v>
      </c>
      <c r="F66" s="16" t="n">
        <f aca="false">IF(F65&gt;0,F60/F65,0)</f>
        <v>13.9451812069475</v>
      </c>
      <c r="G66" s="16" t="n">
        <f aca="false">IF(G65&gt;0,G60/G65,0)</f>
        <v>13.677159751935</v>
      </c>
    </row>
    <row r="67" customFormat="false" ht="17.15" hidden="false" customHeight="false" outlineLevel="0" collapsed="false">
      <c r="A67" s="6" t="s">
        <v>634</v>
      </c>
    </row>
    <row r="68" customFormat="false" ht="15" hidden="false" customHeight="false" outlineLevel="0" collapsed="false">
      <c r="A68" s="4" t="s">
        <v>635</v>
      </c>
      <c r="B68" s="0" t="s">
        <v>301</v>
      </c>
      <c r="C68" s="16" t="n">
        <f aca="false">a25_mob</f>
        <v>315.86198</v>
      </c>
      <c r="D68" s="16" t="n">
        <f aca="false">a26_mob</f>
        <v>262.655761173888</v>
      </c>
      <c r="E68" s="16" t="n">
        <f aca="false">D68*(1+g_mob27_A)</f>
        <v>275.788549232582</v>
      </c>
      <c r="F68" s="16" t="n">
        <f aca="false">E68*(1+g_mobL_A)</f>
        <v>286.820091201885</v>
      </c>
      <c r="G68" s="16" t="n">
        <f aca="false">F68*(1+g_mobL_A)</f>
        <v>298.292894849961</v>
      </c>
    </row>
    <row r="69" customFormat="false" ht="17.15" hidden="false" customHeight="false" outlineLevel="0" collapsed="false">
      <c r="A69" s="4" t="s">
        <v>636</v>
      </c>
      <c r="B69" s="0" t="s">
        <v>301</v>
      </c>
      <c r="C69" s="16" t="n">
        <f aca="false">a25_sepx</f>
        <v>247.32589</v>
      </c>
      <c r="D69" s="16" t="n">
        <f aca="false">a26_sepx</f>
        <v>311.894023346019</v>
      </c>
      <c r="E69" s="16" t="n">
        <f aca="false">D69*(1+g_sep27_A)</f>
        <v>336.8455452137</v>
      </c>
      <c r="F69" s="16" t="n">
        <f aca="false">E69*(1+g_sepL_A)</f>
        <v>360.424733378659</v>
      </c>
      <c r="G69" s="16" t="n">
        <f aca="false">F69*(1+g_sepL_A)</f>
        <v>385.654464715166</v>
      </c>
    </row>
    <row r="70" customFormat="false" ht="17.15" hidden="false" customHeight="false" outlineLevel="0" collapsed="false">
      <c r="A70" s="4" t="s">
        <v>637</v>
      </c>
      <c r="B70" s="0" t="s">
        <v>301</v>
      </c>
      <c r="C70" s="16" t="n">
        <f aca="false">a25_pic</f>
        <v>32.77813</v>
      </c>
      <c r="D70" s="16" t="n">
        <f aca="false">a26_pic</f>
        <v>35.9721535362998</v>
      </c>
      <c r="E70" s="16" t="n">
        <f aca="false">D70*(1+g_pic27_A)</f>
        <v>38.8499258192038</v>
      </c>
      <c r="F70" s="16" t="n">
        <f aca="false">E70*(1+g_picL_A)</f>
        <v>41.9579198847401</v>
      </c>
      <c r="G70" s="16" t="n">
        <f aca="false">F70*(1+g_picL_A)</f>
        <v>45.3145534755193</v>
      </c>
    </row>
    <row r="71" customFormat="false" ht="17.15" hidden="false" customHeight="false" outlineLevel="0" collapsed="false">
      <c r="A71" s="4" t="s">
        <v>638</v>
      </c>
      <c r="B71" s="0" t="s">
        <v>301</v>
      </c>
      <c r="C71" s="16" t="n">
        <f aca="false">C68+C69+C70</f>
        <v>595.966</v>
      </c>
      <c r="D71" s="16" t="n">
        <f aca="false">D68+D69+D70</f>
        <v>610.521938056206</v>
      </c>
      <c r="E71" s="16" t="n">
        <f aca="false">E68+E69+E70</f>
        <v>651.484020265486</v>
      </c>
      <c r="F71" s="16" t="n">
        <f aca="false">F68+F69+F70</f>
        <v>689.202744465285</v>
      </c>
      <c r="G71" s="16" t="n">
        <f aca="false">G68+G69+G70</f>
        <v>729.261913040646</v>
      </c>
    </row>
    <row r="72" customFormat="false" ht="17.15" hidden="false" customHeight="false" outlineLevel="0" collapsed="false">
      <c r="A72" s="4" t="s">
        <v>501</v>
      </c>
      <c r="B72" s="0" t="s">
        <v>301</v>
      </c>
      <c r="C72" s="16" t="n">
        <f aca="false">C71+C62</f>
        <v>595.966</v>
      </c>
      <c r="D72" s="16" t="n">
        <f aca="false">D71+D62</f>
        <v>674.521938056206</v>
      </c>
      <c r="E72" s="16" t="n">
        <f aca="false">E71+E62</f>
        <v>877.026061513503</v>
      </c>
      <c r="F72" s="16" t="n">
        <f aca="false">F71+F62</f>
        <v>1095.28642121159</v>
      </c>
      <c r="G72" s="16" t="n">
        <f aca="false">G71+G62</f>
        <v>1187.28263881345</v>
      </c>
      <c r="H72" s="26" t="n">
        <f aca="false">G72*(1+H73)</f>
        <v>1277.51045240774</v>
      </c>
      <c r="I72" s="26" t="n">
        <f aca="false">H72*(1+I73)</f>
        <v>1364.37811436291</v>
      </c>
      <c r="J72" s="26" t="n">
        <f aca="false">I72*(1+J73)</f>
        <v>1446.24080122469</v>
      </c>
      <c r="K72" s="8" t="s">
        <v>639</v>
      </c>
    </row>
    <row r="73" customFormat="false" ht="15" hidden="false" customHeight="false" outlineLevel="0" collapsed="false">
      <c r="A73" s="4" t="s">
        <v>640</v>
      </c>
      <c r="B73" s="0" t="s">
        <v>46</v>
      </c>
      <c r="D73" s="19" t="n">
        <f aca="false">D72/C72-1</f>
        <v>0.131812784716252</v>
      </c>
      <c r="E73" s="19" t="n">
        <f aca="false">E72/D72-1</f>
        <v>0.300218735718011</v>
      </c>
      <c r="F73" s="19" t="n">
        <f aca="false">F72/E72-1</f>
        <v>0.248864166386841</v>
      </c>
      <c r="G73" s="19" t="n">
        <f aca="false">G72/F72-1</f>
        <v>0.0839928404298893</v>
      </c>
      <c r="H73" s="24" t="n">
        <f aca="false">$G73+(fade_gA-$G73)*1/3</f>
        <v>0.0759952269532595</v>
      </c>
      <c r="I73" s="24" t="n">
        <f aca="false">$G73+(fade_gA-$G73)*2/3</f>
        <v>0.0679976134766298</v>
      </c>
      <c r="J73" s="24" t="n">
        <f aca="false">$G73+(fade_gA-$G73)*3/3</f>
        <v>0.06</v>
      </c>
    </row>
    <row r="74" customFormat="false" ht="17.15" hidden="false" customHeight="false" outlineLevel="0" collapsed="false">
      <c r="A74" s="0" t="s">
        <v>641</v>
      </c>
      <c r="B74" s="0" t="s">
        <v>46</v>
      </c>
      <c r="C74" s="19" t="n">
        <f aca="false">C62/C72</f>
        <v>0</v>
      </c>
      <c r="D74" s="19" t="n">
        <f aca="false">D62/D72</f>
        <v>0.0948820140445411</v>
      </c>
      <c r="E74" s="19" t="n">
        <f aca="false">E62/E72</f>
        <v>0.257166863272904</v>
      </c>
      <c r="F74" s="19" t="n">
        <f aca="false">F62/F72</f>
        <v>0.370755693562881</v>
      </c>
      <c r="G74" s="19" t="n">
        <f aca="false">G62/G72</f>
        <v>0.385772275951529</v>
      </c>
    </row>
    <row r="75" customFormat="false" ht="17.15" hidden="false" customHeight="false" outlineLevel="0" collapsed="false">
      <c r="A75" s="4" t="s">
        <v>642</v>
      </c>
      <c r="B75" s="0" t="s">
        <v>46</v>
      </c>
      <c r="C75" s="19" t="n">
        <f aca="false">C68/C72</f>
        <v>0.53</v>
      </c>
      <c r="D75" s="19" t="n">
        <f aca="false">D68/D72</f>
        <v>0.389395431571569</v>
      </c>
      <c r="E75" s="19" t="n">
        <f aca="false">E68/E72</f>
        <v>0.314458784447805</v>
      </c>
      <c r="F75" s="19" t="n">
        <f aca="false">F68/F72</f>
        <v>0.261867659132127</v>
      </c>
      <c r="G75" s="19" t="n">
        <f aca="false">G68/G72</f>
        <v>0.251240003937117</v>
      </c>
    </row>
    <row r="76" customFormat="false" ht="17.15" hidden="false" customHeight="false" outlineLevel="0" collapsed="false">
      <c r="A76" s="6" t="s">
        <v>643</v>
      </c>
    </row>
    <row r="77" customFormat="false" ht="17.15" hidden="false" customHeight="false" outlineLevel="0" collapsed="false">
      <c r="A77" s="0" t="s">
        <v>644</v>
      </c>
      <c r="B77" s="0" t="s">
        <v>301</v>
      </c>
      <c r="D77" s="16" t="n">
        <f aca="false">m_core*D64+m_hbm*D63</f>
        <v>24.9087255420412</v>
      </c>
      <c r="E77" s="16" t="n">
        <f aca="false">m_core*E64+m_hbm*E63</f>
        <v>75.4362771020624</v>
      </c>
      <c r="F77" s="16" t="n">
        <f aca="false">m_core*F64+m_hbm*F63</f>
        <v>128.104161146099</v>
      </c>
      <c r="G77" s="16" t="n">
        <f aca="false">m_core*G64+m_hbm*G63</f>
        <v>146.422235069468</v>
      </c>
    </row>
    <row r="78" customFormat="false" ht="17.15" hidden="false" customHeight="false" outlineLevel="0" collapsed="false">
      <c r="A78" s="4" t="s">
        <v>645</v>
      </c>
      <c r="B78" s="0" t="s">
        <v>46</v>
      </c>
      <c r="C78" s="17" t="n">
        <f aca="false">a25_gp/C71</f>
        <v>0.474993539899927</v>
      </c>
      <c r="D78" s="17" t="n">
        <f aca="false">(a26_gp-D77)/D71</f>
        <v>0.462340704042911</v>
      </c>
      <c r="E78" s="17" t="n">
        <f aca="false">$D78+0</f>
        <v>0.462340704042911</v>
      </c>
      <c r="F78" s="17" t="n">
        <f aca="false">$D78+0</f>
        <v>0.462340704042911</v>
      </c>
      <c r="G78" s="17" t="n">
        <f aca="false">$D78+0</f>
        <v>0.462340704042911</v>
      </c>
      <c r="K78" s="8" t="s">
        <v>646</v>
      </c>
    </row>
    <row r="79" customFormat="false" ht="15" hidden="false" customHeight="false" outlineLevel="0" collapsed="false">
      <c r="A79" s="4" t="s">
        <v>517</v>
      </c>
      <c r="B79" s="0" t="s">
        <v>301</v>
      </c>
      <c r="C79" s="16" t="n">
        <f aca="false">a25_gp</f>
        <v>283.08</v>
      </c>
      <c r="D79" s="16" t="n">
        <f aca="false">a26_gp</f>
        <v>307.17786821659</v>
      </c>
      <c r="E79" s="16" t="n">
        <f aca="false">E78*E71+E77</f>
        <v>376.643857704313</v>
      </c>
      <c r="F79" s="16" t="n">
        <f aca="false">F78*F71+F77</f>
        <v>446.750643250485</v>
      </c>
      <c r="G79" s="16" t="n">
        <f aca="false">G78*G71+G77</f>
        <v>483.58970137636</v>
      </c>
    </row>
    <row r="80" customFormat="false" ht="15" hidden="false" customHeight="false" outlineLevel="0" collapsed="false">
      <c r="A80" s="4" t="s">
        <v>520</v>
      </c>
      <c r="B80" s="0" t="s">
        <v>46</v>
      </c>
      <c r="C80" s="17" t="n">
        <f aca="false">C79/C72</f>
        <v>0.474993539899927</v>
      </c>
      <c r="D80" s="17" t="n">
        <f aca="false">D79/D72</f>
        <v>0.455400856348417</v>
      </c>
      <c r="E80" s="17" t="n">
        <f aca="false">E79/E72</f>
        <v>0.429455718857808</v>
      </c>
      <c r="F80" s="17" t="n">
        <f aca="false">F79/F72</f>
        <v>0.407884763837658</v>
      </c>
      <c r="G80" s="17" t="n">
        <f aca="false">G79/G72</f>
        <v>0.407307986798875</v>
      </c>
    </row>
    <row r="81" customFormat="false" ht="15" hidden="false" customHeight="false" outlineLevel="0" collapsed="false">
      <c r="A81" s="4" t="s">
        <v>647</v>
      </c>
      <c r="B81" s="0" t="s">
        <v>301</v>
      </c>
      <c r="C81" s="16" t="n">
        <f aca="false">a25_opx</f>
        <v>179.61</v>
      </c>
      <c r="D81" s="16" t="n">
        <f aca="false">a26_opx</f>
        <v>192.105</v>
      </c>
      <c r="E81" s="16" t="n">
        <f aca="false">D81*(1+MAX(g_opx_min,phi*E73))+0*E72</f>
        <v>209.407056067533</v>
      </c>
      <c r="F81" s="16" t="n">
        <f aca="false">E81*(1+MAX(g_opx_min,phi*F73))+0*F72</f>
        <v>225.041229800663</v>
      </c>
      <c r="G81" s="16" t="n">
        <f aca="false">F81*(1+MAX(g_opx_min,phi*G73))+0*G72</f>
        <v>238.543703588703</v>
      </c>
    </row>
    <row r="82" customFormat="false" ht="15" hidden="false" customHeight="false" outlineLevel="0" collapsed="false">
      <c r="A82" s="4" t="s">
        <v>524</v>
      </c>
      <c r="B82" s="0" t="s">
        <v>301</v>
      </c>
      <c r="C82" s="16" t="n">
        <f aca="false">C79-C81</f>
        <v>103.47</v>
      </c>
      <c r="D82" s="16" t="n">
        <f aca="false">D79-D81</f>
        <v>115.07286821659</v>
      </c>
      <c r="E82" s="16" t="n">
        <f aca="false">E79-E81</f>
        <v>167.236801636781</v>
      </c>
      <c r="F82" s="16" t="n">
        <f aca="false">F79-F81</f>
        <v>221.709413449822</v>
      </c>
      <c r="G82" s="16" t="n">
        <f aca="false">G79-G81</f>
        <v>245.045997787657</v>
      </c>
    </row>
    <row r="83" customFormat="false" ht="15" hidden="false" customHeight="false" outlineLevel="0" collapsed="false">
      <c r="A83" s="4" t="s">
        <v>598</v>
      </c>
      <c r="B83" s="0" t="s">
        <v>46</v>
      </c>
      <c r="C83" s="17" t="n">
        <f aca="false">C82/C72</f>
        <v>0.173617286892205</v>
      </c>
      <c r="D83" s="17" t="n">
        <f aca="false">D82/D72</f>
        <v>0.170599148410502</v>
      </c>
      <c r="E83" s="17" t="n">
        <f aca="false">E82/E72</f>
        <v>0.190686239526539</v>
      </c>
      <c r="F83" s="17" t="n">
        <f aca="false">F82/F72</f>
        <v>0.202421402435145</v>
      </c>
      <c r="G83" s="17" t="n">
        <f aca="false">G82/G72</f>
        <v>0.206392302706079</v>
      </c>
    </row>
    <row r="84" customFormat="false" ht="15" hidden="false" customHeight="false" outlineLevel="0" collapsed="false">
      <c r="A84" s="4" t="s">
        <v>526</v>
      </c>
      <c r="B84" s="0" t="s">
        <v>301</v>
      </c>
      <c r="C84" s="16" t="n">
        <f aca="false">a25_nonop</f>
        <v>21.418</v>
      </c>
      <c r="D84" s="16" t="n">
        <f aca="false">a26_nonop</f>
        <v>18.823</v>
      </c>
      <c r="E84" s="16" t="n">
        <f aca="false">nonop_f</f>
        <v>18</v>
      </c>
      <c r="F84" s="16" t="n">
        <f aca="false">nonop_f</f>
        <v>18</v>
      </c>
      <c r="G84" s="16" t="n">
        <f aca="false">nonop_f</f>
        <v>18</v>
      </c>
    </row>
    <row r="85" customFormat="false" ht="15" hidden="false" customHeight="false" outlineLevel="0" collapsed="false">
      <c r="A85" s="4" t="s">
        <v>528</v>
      </c>
      <c r="B85" s="0" t="s">
        <v>301</v>
      </c>
      <c r="C85" s="16" t="n">
        <f aca="false">C82+C84</f>
        <v>124.888</v>
      </c>
      <c r="D85" s="16" t="n">
        <f aca="false">D82+D84</f>
        <v>133.89586821659</v>
      </c>
      <c r="E85" s="16" t="n">
        <f aca="false">E82+E84</f>
        <v>185.236801636781</v>
      </c>
      <c r="F85" s="16" t="n">
        <f aca="false">F82+F84</f>
        <v>239.709413449822</v>
      </c>
      <c r="G85" s="16" t="n">
        <f aca="false">G82+G84</f>
        <v>263.045997787657</v>
      </c>
    </row>
    <row r="86" customFormat="false" ht="15" hidden="false" customHeight="false" outlineLevel="0" collapsed="false">
      <c r="A86" s="4" t="s">
        <v>529</v>
      </c>
      <c r="B86" s="0" t="s">
        <v>301</v>
      </c>
      <c r="C86" s="16" t="n">
        <f aca="false">a25_tax</f>
        <v>18.77</v>
      </c>
      <c r="D86" s="16" t="n">
        <f aca="false">a26_tax</f>
        <v>16.2589328681567</v>
      </c>
      <c r="E86" s="16" t="n">
        <f aca="false">E85*tax</f>
        <v>25.9331522291493</v>
      </c>
      <c r="F86" s="16" t="n">
        <f aca="false">F85*tax</f>
        <v>33.559317882975</v>
      </c>
      <c r="G86" s="16" t="n">
        <f aca="false">G85*tax</f>
        <v>36.826439690272</v>
      </c>
    </row>
    <row r="87" customFormat="false" ht="15" hidden="false" customHeight="false" outlineLevel="0" collapsed="false">
      <c r="A87" s="4" t="s">
        <v>530</v>
      </c>
      <c r="B87" s="0" t="s">
        <v>301</v>
      </c>
      <c r="C87" s="16" t="n">
        <f aca="false">a25_nci</f>
        <v>0.798</v>
      </c>
      <c r="D87" s="16" t="n">
        <f aca="false">a26_nci</f>
        <v>0.992</v>
      </c>
      <c r="E87" s="16" t="n">
        <f aca="false">nci</f>
        <v>1</v>
      </c>
      <c r="F87" s="16" t="n">
        <f aca="false">nci</f>
        <v>1</v>
      </c>
      <c r="G87" s="16" t="n">
        <f aca="false">nci</f>
        <v>1</v>
      </c>
    </row>
    <row r="88" customFormat="false" ht="15" hidden="false" customHeight="false" outlineLevel="0" collapsed="false">
      <c r="A88" s="4" t="s">
        <v>532</v>
      </c>
      <c r="B88" s="0" t="s">
        <v>301</v>
      </c>
      <c r="C88" s="16" t="n">
        <f aca="false">C85-C86-C87</f>
        <v>105.32</v>
      </c>
      <c r="D88" s="16" t="n">
        <f aca="false">D85-D86-D87</f>
        <v>116.644935348433</v>
      </c>
      <c r="E88" s="16" t="n">
        <f aca="false">E85-E86-E87</f>
        <v>158.303649407631</v>
      </c>
      <c r="F88" s="16" t="n">
        <f aca="false">F85-F86-F87</f>
        <v>205.150095566847</v>
      </c>
      <c r="G88" s="16" t="n">
        <f aca="false">G85-G86-G87</f>
        <v>225.219558097385</v>
      </c>
      <c r="H88" s="26" t="n">
        <f aca="false">H72*H92</f>
        <v>243.786542320077</v>
      </c>
      <c r="I88" s="26" t="n">
        <f aca="false">I72*I92</f>
        <v>261.913508072368</v>
      </c>
      <c r="J88" s="26" t="n">
        <f aca="false">J72*J92</f>
        <v>279.271384994124</v>
      </c>
    </row>
    <row r="89" customFormat="false" ht="15" hidden="false" customHeight="false" outlineLevel="0" collapsed="false">
      <c r="A89" s="4" t="s">
        <v>648</v>
      </c>
      <c r="B89" s="4" t="s">
        <v>346</v>
      </c>
      <c r="C89" s="18" t="n">
        <f aca="false">a25_sh</f>
        <v>1.59188331318017</v>
      </c>
      <c r="D89" s="18" t="n">
        <f aca="false">a26_sh</f>
        <v>1.59250890647703</v>
      </c>
      <c r="E89" s="18" t="n">
        <f aca="false">D89*(1+sh_g)</f>
        <v>1.59250890647703</v>
      </c>
      <c r="F89" s="18" t="n">
        <f aca="false">E89*(1+sh_g)</f>
        <v>1.59250890647703</v>
      </c>
      <c r="G89" s="18" t="n">
        <f aca="false">F89*(1+sh_g)</f>
        <v>1.59250890647703</v>
      </c>
      <c r="H89" s="28" t="n">
        <f aca="false">G89*(1+sh_g)</f>
        <v>1.59250890647703</v>
      </c>
      <c r="I89" s="28" t="n">
        <f aca="false">H89*(1+sh_g)</f>
        <v>1.59250890647703</v>
      </c>
      <c r="J89" s="28" t="n">
        <f aca="false">I89*(1+sh_g)</f>
        <v>1.59250890647703</v>
      </c>
    </row>
    <row r="90" customFormat="false" ht="17.15" hidden="false" customHeight="false" outlineLevel="0" collapsed="false">
      <c r="A90" s="0" t="s">
        <v>537</v>
      </c>
      <c r="B90" s="0" t="s">
        <v>403</v>
      </c>
      <c r="C90" s="16" t="n">
        <f aca="false">C88/C89</f>
        <v>66.1606281867469</v>
      </c>
      <c r="D90" s="16" t="n">
        <f aca="false">D88/D89</f>
        <v>73.2460175726595</v>
      </c>
      <c r="E90" s="16" t="n">
        <f aca="false">E88/E89</f>
        <v>99.4051893611276</v>
      </c>
      <c r="F90" s="16" t="n">
        <f aca="false">F88/F89</f>
        <v>128.821945505273</v>
      </c>
      <c r="G90" s="16" t="n">
        <f aca="false">G88/G89</f>
        <v>141.424363268158</v>
      </c>
      <c r="H90" s="26" t="n">
        <f aca="false">H88/H89</f>
        <v>153.083314842731</v>
      </c>
      <c r="I90" s="26" t="n">
        <f aca="false">I88/I89</f>
        <v>164.465961230808</v>
      </c>
      <c r="J90" s="26" t="n">
        <f aca="false">J88/J89</f>
        <v>175.365665999277</v>
      </c>
    </row>
    <row r="91" customFormat="false" ht="17.15" hidden="false" customHeight="false" outlineLevel="0" collapsed="false">
      <c r="A91" s="0" t="s">
        <v>649</v>
      </c>
      <c r="B91" s="0" t="s">
        <v>46</v>
      </c>
      <c r="D91" s="19" t="n">
        <f aca="false">D90/C90-1</f>
        <v>0.107093744120947</v>
      </c>
      <c r="E91" s="19" t="n">
        <f aca="false">E90/D90-1</f>
        <v>0.357141216073876</v>
      </c>
      <c r="F91" s="19" t="n">
        <f aca="false">F90/E90-1</f>
        <v>0.295927771308581</v>
      </c>
      <c r="G91" s="19" t="n">
        <f aca="false">G90/F90-1</f>
        <v>0.097828190014168</v>
      </c>
      <c r="H91" s="24" t="n">
        <f aca="false">H90/G90-1</f>
        <v>0.0824394842949827</v>
      </c>
      <c r="I91" s="24" t="n">
        <f aca="false">I90/H90-1</f>
        <v>0.0743558917558742</v>
      </c>
      <c r="J91" s="24" t="n">
        <f aca="false">J90/I90-1</f>
        <v>0.0662733169033813</v>
      </c>
    </row>
    <row r="92" customFormat="false" ht="17.15" hidden="false" customHeight="false" outlineLevel="0" collapsed="false">
      <c r="A92" s="4" t="s">
        <v>650</v>
      </c>
      <c r="B92" s="0" t="s">
        <v>46</v>
      </c>
      <c r="C92" s="17" t="n">
        <f aca="false">C88/C72</f>
        <v>0.176721490823302</v>
      </c>
      <c r="D92" s="17" t="n">
        <f aca="false">D88/D72</f>
        <v>0.172929787405541</v>
      </c>
      <c r="E92" s="17" t="n">
        <f aca="false">E88/E72</f>
        <v>0.180500507743685</v>
      </c>
      <c r="F92" s="17" t="n">
        <f aca="false">F88/F72</f>
        <v>0.187302692331301</v>
      </c>
      <c r="G92" s="17" t="n">
        <f aca="false">G88/G72</f>
        <v>0.189693296890508</v>
      </c>
      <c r="H92" s="25" t="n">
        <f aca="false">$G92+(fade_mA-$G92)*1/3</f>
        <v>0.190829391540875</v>
      </c>
      <c r="I92" s="25" t="n">
        <f aca="false">$G92+(fade_mA-$G92)*2/3</f>
        <v>0.191965486191243</v>
      </c>
      <c r="J92" s="25" t="n">
        <f aca="false">$G92+(fade_mA-$G92)*3/3</f>
        <v>0.19310158084161</v>
      </c>
    </row>
    <row r="95" customFormat="false" ht="17.15" hidden="false" customHeight="false" outlineLevel="0" collapsed="false">
      <c r="A95" s="1" t="s">
        <v>936</v>
      </c>
    </row>
    <row r="96" customFormat="false" ht="17.15" hidden="false" customHeight="false" outlineLevel="0" collapsed="false">
      <c r="A96" s="5" t="s">
        <v>22</v>
      </c>
      <c r="B96" s="5" t="s">
        <v>23</v>
      </c>
      <c r="C96" s="14" t="s">
        <v>494</v>
      </c>
      <c r="D96" s="14" t="s">
        <v>587</v>
      </c>
      <c r="E96" s="14" t="s">
        <v>588</v>
      </c>
      <c r="F96" s="14" t="s">
        <v>589</v>
      </c>
      <c r="G96" s="14" t="s">
        <v>590</v>
      </c>
      <c r="H96" s="14" t="s">
        <v>591</v>
      </c>
      <c r="I96" s="14" t="s">
        <v>592</v>
      </c>
      <c r="J96" s="14" t="s">
        <v>593</v>
      </c>
      <c r="K96" s="5" t="s">
        <v>557</v>
      </c>
    </row>
    <row r="97" customFormat="false" ht="17.15" hidden="false" customHeight="false" outlineLevel="0" collapsed="false">
      <c r="A97" s="6" t="s">
        <v>609</v>
      </c>
    </row>
    <row r="98" customFormat="false" ht="17.15" hidden="false" customHeight="false" outlineLevel="0" collapsed="false">
      <c r="A98" s="0" t="s">
        <v>610</v>
      </c>
      <c r="B98" s="4" t="s">
        <v>33</v>
      </c>
      <c r="D98" s="20" t="n">
        <f aca="false">u_tpu_26</f>
        <v>3.85</v>
      </c>
      <c r="E98" s="20" t="n">
        <f aca="false">u_tpu_27</f>
        <v>5.5</v>
      </c>
      <c r="F98" s="20" t="n">
        <f aca="false">u_tpu_28*um28_A</f>
        <v>7</v>
      </c>
      <c r="G98" s="20" t="n">
        <f aca="false">u_tpu_28*(1+g29_tpu)*um29_A</f>
        <v>8.05</v>
      </c>
    </row>
    <row r="99" customFormat="false" ht="17.15" hidden="false" customHeight="false" outlineLevel="0" collapsed="false">
      <c r="A99" s="4" t="s">
        <v>611</v>
      </c>
      <c r="B99" s="4" t="s">
        <v>33</v>
      </c>
      <c r="D99" s="20" t="n">
        <f aca="false">u_oth_26</f>
        <v>1</v>
      </c>
      <c r="E99" s="20" t="n">
        <f aca="false">u_oth_27</f>
        <v>4.5</v>
      </c>
      <c r="F99" s="20" t="n">
        <f aca="false">u_oth_28*um28_A</f>
        <v>5</v>
      </c>
      <c r="G99" s="20" t="n">
        <f aca="false">u_oth_28*(1+g29_oth)*um29_A</f>
        <v>5.75</v>
      </c>
    </row>
    <row r="100" customFormat="false" ht="17.15" hidden="false" customHeight="false" outlineLevel="0" collapsed="false">
      <c r="A100" s="4" t="s">
        <v>561</v>
      </c>
      <c r="B100" s="0" t="s">
        <v>46</v>
      </c>
      <c r="D100" s="19" t="n">
        <f aca="false">mtk_tpu_26</f>
        <v>0.05</v>
      </c>
      <c r="E100" s="19" t="n">
        <f aca="false">MIN(1,MAX(0,mtk_tpu_27_hi+0))</f>
        <v>0.2</v>
      </c>
      <c r="F100" s="19" t="n">
        <f aca="false">MIN(1,MAX(0,mtk_tpu_28_hi+0))</f>
        <v>0.2</v>
      </c>
      <c r="G100" s="19" t="n">
        <f aca="false">MIN(1,MAX(0,mtk_tpu_28_hi+0))</f>
        <v>0.2</v>
      </c>
    </row>
    <row r="101" customFormat="false" ht="17.15" hidden="false" customHeight="false" outlineLevel="0" collapsed="false">
      <c r="A101" s="4" t="s">
        <v>612</v>
      </c>
      <c r="B101" s="0" t="s">
        <v>46</v>
      </c>
      <c r="D101" s="19" t="n">
        <f aca="false">mtk_oth_26</f>
        <v>0</v>
      </c>
      <c r="E101" s="19" t="n">
        <f aca="false">MIN(1,MAX(0,mtk_oth_27+0))</f>
        <v>0</v>
      </c>
      <c r="F101" s="19" t="n">
        <f aca="false">MIN(1,MAX(0,mtk_oth_28+0))</f>
        <v>0</v>
      </c>
      <c r="G101" s="19" t="n">
        <f aca="false">MIN(1,MAX(0,mtk_oth_28+0))</f>
        <v>0</v>
      </c>
    </row>
    <row r="102" customFormat="false" ht="17.15" hidden="false" customHeight="false" outlineLevel="0" collapsed="false">
      <c r="A102" s="4" t="s">
        <v>563</v>
      </c>
      <c r="B102" s="4" t="s">
        <v>33</v>
      </c>
      <c r="D102" s="20" t="n">
        <f aca="false">D98*D100</f>
        <v>0.1925</v>
      </c>
      <c r="E102" s="20" t="n">
        <f aca="false">E98*E100*1</f>
        <v>1.1</v>
      </c>
      <c r="F102" s="20" t="n">
        <f aca="false">F98*F100*1</f>
        <v>1.4</v>
      </c>
      <c r="G102" s="20" t="n">
        <f aca="false">G98*G100*1</f>
        <v>1.61</v>
      </c>
    </row>
    <row r="103" customFormat="false" ht="17.15" hidden="false" customHeight="false" outlineLevel="0" collapsed="false">
      <c r="A103" s="4" t="s">
        <v>613</v>
      </c>
      <c r="B103" s="4" t="s">
        <v>33</v>
      </c>
      <c r="D103" s="20" t="n">
        <f aca="false">D99*D101</f>
        <v>0</v>
      </c>
      <c r="E103" s="20" t="n">
        <f aca="false">E99*E101*1</f>
        <v>0</v>
      </c>
      <c r="F103" s="20" t="n">
        <f aca="false">F99*F101*1</f>
        <v>0</v>
      </c>
      <c r="G103" s="20" t="n">
        <f aca="false">G99*G101*1</f>
        <v>0</v>
      </c>
    </row>
    <row r="104" customFormat="false" ht="17.15" hidden="false" customHeight="false" outlineLevel="0" collapsed="false">
      <c r="A104" s="4" t="s">
        <v>614</v>
      </c>
      <c r="B104" s="0" t="s">
        <v>102</v>
      </c>
      <c r="D104" s="27" t="n">
        <f aca="false">gb_tpu_26</f>
        <v>192</v>
      </c>
      <c r="E104" s="27" t="n">
        <f aca="false">gb_tpu_27</f>
        <v>250</v>
      </c>
      <c r="F104" s="27" t="n">
        <f aca="false">gb_tpu_28</f>
        <v>288</v>
      </c>
      <c r="G104" s="27" t="n">
        <f aca="false">gb_tpu_28</f>
        <v>288</v>
      </c>
    </row>
    <row r="105" customFormat="false" ht="17.15" hidden="false" customHeight="false" outlineLevel="0" collapsed="false">
      <c r="A105" s="4" t="s">
        <v>615</v>
      </c>
      <c r="B105" s="0" t="s">
        <v>102</v>
      </c>
      <c r="D105" s="27" t="n">
        <f aca="false">gb_oth_26</f>
        <v>150</v>
      </c>
      <c r="E105" s="27" t="n">
        <f aca="false">gb_oth_27</f>
        <v>200</v>
      </c>
      <c r="F105" s="27" t="n">
        <f aca="false">gb_oth_28</f>
        <v>250</v>
      </c>
      <c r="G105" s="27" t="n">
        <f aca="false">gb_oth_28</f>
        <v>250</v>
      </c>
    </row>
    <row r="106" customFormat="false" ht="17.15" hidden="false" customHeight="false" outlineLevel="0" collapsed="false">
      <c r="A106" s="0" t="s">
        <v>616</v>
      </c>
      <c r="B106" s="0" t="s">
        <v>194</v>
      </c>
      <c r="D106" s="16" t="n">
        <f aca="false">hbm_A_26</f>
        <v>14.6</v>
      </c>
      <c r="E106" s="16" t="n">
        <f aca="false">hbm_A_27</f>
        <v>26.28</v>
      </c>
      <c r="F106" s="16" t="n">
        <f aca="false">hbm_A_28</f>
        <v>28.908</v>
      </c>
      <c r="G106" s="16" t="n">
        <f aca="false">hbm_A_29</f>
        <v>27.4626</v>
      </c>
    </row>
    <row r="107" customFormat="false" ht="17.15" hidden="false" customHeight="false" outlineLevel="0" collapsed="false">
      <c r="A107" s="4" t="s">
        <v>617</v>
      </c>
      <c r="B107" s="0" t="s">
        <v>86</v>
      </c>
      <c r="D107" s="16" t="n">
        <f aca="false">core_tpu</f>
        <v>8</v>
      </c>
      <c r="E107" s="16" t="n">
        <f aca="false">core_tpu</f>
        <v>8</v>
      </c>
      <c r="F107" s="16" t="n">
        <f aca="false">core_tpu*1</f>
        <v>8</v>
      </c>
      <c r="G107" s="16" t="n">
        <f aca="false">core_tpu*1</f>
        <v>8</v>
      </c>
    </row>
    <row r="108" customFormat="false" ht="17.15" hidden="false" customHeight="false" outlineLevel="0" collapsed="false">
      <c r="A108" s="4" t="s">
        <v>618</v>
      </c>
      <c r="B108" s="0" t="s">
        <v>86</v>
      </c>
      <c r="D108" s="16" t="n">
        <f aca="false">core_oth</f>
        <v>6</v>
      </c>
      <c r="E108" s="16" t="n">
        <f aca="false">core_oth</f>
        <v>6</v>
      </c>
      <c r="F108" s="16" t="n">
        <f aca="false">core_oth*1</f>
        <v>6</v>
      </c>
      <c r="G108" s="16" t="n">
        <f aca="false">core_oth*1</f>
        <v>6</v>
      </c>
    </row>
    <row r="109" customFormat="false" ht="17.15" hidden="false" customHeight="false" outlineLevel="0" collapsed="false">
      <c r="A109" s="4" t="s">
        <v>619</v>
      </c>
      <c r="B109" s="0" t="s">
        <v>86</v>
      </c>
      <c r="D109" s="16" t="n">
        <f aca="false">D104*D106/1000</f>
        <v>2.8032</v>
      </c>
      <c r="E109" s="16" t="n">
        <f aca="false">E104*E106/1000</f>
        <v>6.57</v>
      </c>
      <c r="F109" s="16" t="n">
        <f aca="false">F104*F106/1000</f>
        <v>8.325504</v>
      </c>
      <c r="G109" s="16" t="n">
        <f aca="false">G104*G106/1000</f>
        <v>7.9092288</v>
      </c>
    </row>
    <row r="110" customFormat="false" ht="17.15" hidden="false" customHeight="false" outlineLevel="0" collapsed="false">
      <c r="A110" s="4" t="s">
        <v>620</v>
      </c>
      <c r="B110" s="0" t="s">
        <v>86</v>
      </c>
      <c r="D110" s="16" t="n">
        <f aca="false">D105*D106/1000</f>
        <v>2.19</v>
      </c>
      <c r="E110" s="16" t="n">
        <f aca="false">E105*E106/1000</f>
        <v>5.256</v>
      </c>
      <c r="F110" s="16" t="n">
        <f aca="false">F105*F106/1000</f>
        <v>7.227</v>
      </c>
      <c r="G110" s="16" t="n">
        <f aca="false">G105*G106/1000</f>
        <v>6.86565</v>
      </c>
    </row>
    <row r="111" customFormat="false" ht="17.15" hidden="false" customHeight="false" outlineLevel="0" collapsed="false">
      <c r="A111" s="4" t="s">
        <v>621</v>
      </c>
      <c r="B111" s="0" t="s">
        <v>86</v>
      </c>
      <c r="D111" s="16" t="n">
        <f aca="false">D107+f_hbm*D109</f>
        <v>9.68192</v>
      </c>
      <c r="E111" s="16" t="n">
        <f aca="false">E107+f_hbm*E109</f>
        <v>11.942</v>
      </c>
      <c r="F111" s="16" t="n">
        <f aca="false">F107+f_hbm*F109</f>
        <v>12.9953024</v>
      </c>
      <c r="G111" s="16" t="n">
        <f aca="false">G107+f_hbm*G109</f>
        <v>12.74553728</v>
      </c>
      <c r="K111" s="4" t="s">
        <v>622</v>
      </c>
    </row>
    <row r="112" customFormat="false" ht="17.15" hidden="false" customHeight="false" outlineLevel="0" collapsed="false">
      <c r="A112" s="4" t="s">
        <v>623</v>
      </c>
      <c r="B112" s="0" t="s">
        <v>86</v>
      </c>
      <c r="D112" s="16" t="n">
        <f aca="false">D108+f_hbm*D110</f>
        <v>7.314</v>
      </c>
      <c r="E112" s="16" t="n">
        <f aca="false">E108+f_hbm*E110</f>
        <v>9.1536</v>
      </c>
      <c r="F112" s="16" t="n">
        <f aca="false">F108+f_hbm*F110</f>
        <v>10.3362</v>
      </c>
      <c r="G112" s="16" t="n">
        <f aca="false">G108+f_hbm*G110</f>
        <v>10.11939</v>
      </c>
    </row>
    <row r="113" customFormat="false" ht="17.15" hidden="false" customHeight="false" outlineLevel="0" collapsed="false">
      <c r="A113" s="0" t="s">
        <v>624</v>
      </c>
      <c r="B113" s="0" t="s">
        <v>279</v>
      </c>
      <c r="D113" s="16" t="n">
        <f aca="false">D102*D111+D103*D112</f>
        <v>1.8637696</v>
      </c>
      <c r="E113" s="16" t="n">
        <f aca="false">E102*E111+E103*E112</f>
        <v>13.1362</v>
      </c>
      <c r="F113" s="16" t="n">
        <f aca="false">F102*F111+F103*F112</f>
        <v>18.19342336</v>
      </c>
      <c r="G113" s="16" t="n">
        <f aca="false">G102*G111+G103*G112</f>
        <v>20.5203150208</v>
      </c>
    </row>
    <row r="114" customFormat="false" ht="17.15" hidden="false" customHeight="false" outlineLevel="0" collapsed="false">
      <c r="A114" s="0" t="s">
        <v>625</v>
      </c>
      <c r="B114" s="0" t="s">
        <v>65</v>
      </c>
      <c r="D114" s="20" t="n">
        <f aca="false">dc26/D113</f>
        <v>1.07309401333727</v>
      </c>
      <c r="K114" s="8" t="s">
        <v>626</v>
      </c>
    </row>
    <row r="115" customFormat="false" ht="17.15" hidden="false" customHeight="false" outlineLevel="0" collapsed="false">
      <c r="A115" s="0" t="s">
        <v>627</v>
      </c>
      <c r="B115" s="0" t="s">
        <v>279</v>
      </c>
      <c r="D115" s="16" t="n">
        <f aca="false">D113*$D$114</f>
        <v>2</v>
      </c>
      <c r="E115" s="16" t="n">
        <f aca="false">E113*$D$114</f>
        <v>14.0963775780011</v>
      </c>
      <c r="F115" s="16" t="n">
        <f aca="false">F113*$D$114</f>
        <v>19.5232536897265</v>
      </c>
      <c r="G115" s="16" t="n">
        <f aca="false">G113*$D$114</f>
        <v>22.0202272006154</v>
      </c>
    </row>
    <row r="116" customFormat="false" ht="15" hidden="false" customHeight="false" outlineLevel="0" collapsed="false">
      <c r="A116" s="4" t="s">
        <v>628</v>
      </c>
      <c r="B116" s="0" t="s">
        <v>288</v>
      </c>
      <c r="D116" s="16" t="n">
        <f aca="false">fx26</f>
        <v>32</v>
      </c>
      <c r="E116" s="16" t="n">
        <f aca="false">fx</f>
        <v>32</v>
      </c>
      <c r="F116" s="16" t="n">
        <f aca="false">fx</f>
        <v>32</v>
      </c>
      <c r="G116" s="16" t="n">
        <f aca="false">fx</f>
        <v>32</v>
      </c>
    </row>
    <row r="117" customFormat="false" ht="17.15" hidden="false" customHeight="false" outlineLevel="0" collapsed="false">
      <c r="A117" s="0" t="s">
        <v>629</v>
      </c>
      <c r="B117" s="0" t="s">
        <v>301</v>
      </c>
      <c r="C117" s="16" t="n">
        <f aca="false">a25_asic</f>
        <v>0</v>
      </c>
      <c r="D117" s="16" t="n">
        <f aca="false">D115*D116</f>
        <v>64</v>
      </c>
      <c r="E117" s="16" t="n">
        <f aca="false">E115*E116</f>
        <v>451.084082496034</v>
      </c>
      <c r="F117" s="16" t="n">
        <f aca="false">F115*F116</f>
        <v>624.744118071247</v>
      </c>
      <c r="G117" s="16" t="n">
        <f aca="false">G115*G116</f>
        <v>704.647270419691</v>
      </c>
    </row>
    <row r="118" customFormat="false" ht="17.15" hidden="false" customHeight="false" outlineLevel="0" collapsed="false">
      <c r="A118" s="4" t="s">
        <v>630</v>
      </c>
      <c r="B118" s="0" t="s">
        <v>301</v>
      </c>
      <c r="D118" s="16" t="n">
        <f aca="false">$D$114*f_hbm*(D102*D109+D103*D110)*D116</f>
        <v>11.1179270227393</v>
      </c>
      <c r="E118" s="16" t="n">
        <f aca="false">$D$114*f_hbm*(E102*E109+E103*E110)*E116</f>
        <v>148.900808340258</v>
      </c>
      <c r="F118" s="16" t="n">
        <f aca="false">$D$114*f_hbm*(F102*F109+F103*F110)*F116</f>
        <v>240.147223691169</v>
      </c>
      <c r="G118" s="16" t="n">
        <f aca="false">$D$114*f_hbm*(G102*G109+G103*G110)*G116</f>
        <v>262.360841882602</v>
      </c>
    </row>
    <row r="119" customFormat="false" ht="15" hidden="false" customHeight="false" outlineLevel="0" collapsed="false">
      <c r="A119" s="4" t="s">
        <v>631</v>
      </c>
      <c r="B119" s="0" t="s">
        <v>301</v>
      </c>
      <c r="D119" s="16" t="n">
        <f aca="false">D117-D118</f>
        <v>52.8820729772607</v>
      </c>
      <c r="E119" s="16" t="n">
        <f aca="false">E117-E118</f>
        <v>302.183274155775</v>
      </c>
      <c r="F119" s="16" t="n">
        <f aca="false">F117-F118</f>
        <v>384.596894380078</v>
      </c>
      <c r="G119" s="16" t="n">
        <f aca="false">G117-G118</f>
        <v>442.28642853709</v>
      </c>
    </row>
    <row r="120" customFormat="false" ht="17.15" hidden="false" customHeight="false" outlineLevel="0" collapsed="false">
      <c r="A120" s="4" t="s">
        <v>632</v>
      </c>
      <c r="B120" s="4" t="s">
        <v>33</v>
      </c>
      <c r="D120" s="20" t="n">
        <f aca="false">D102+D103</f>
        <v>0.1925</v>
      </c>
      <c r="E120" s="20" t="n">
        <f aca="false">E102+E103</f>
        <v>1.1</v>
      </c>
      <c r="F120" s="20" t="n">
        <f aca="false">F102+F103</f>
        <v>1.4</v>
      </c>
      <c r="G120" s="20" t="n">
        <f aca="false">G102+G103</f>
        <v>1.61</v>
      </c>
    </row>
    <row r="121" customFormat="false" ht="17.15" hidden="false" customHeight="false" outlineLevel="0" collapsed="false">
      <c r="A121" s="4" t="s">
        <v>633</v>
      </c>
      <c r="B121" s="0" t="s">
        <v>86</v>
      </c>
      <c r="D121" s="16" t="n">
        <f aca="false">IF(D120&gt;0,D115/D120,0)</f>
        <v>10.3896103896104</v>
      </c>
      <c r="E121" s="16" t="n">
        <f aca="false">IF(E120&gt;0,E115/E120,0)</f>
        <v>12.8148887072737</v>
      </c>
      <c r="F121" s="16" t="n">
        <f aca="false">IF(F120&gt;0,F115/F120,0)</f>
        <v>13.9451812069475</v>
      </c>
      <c r="G121" s="16" t="n">
        <f aca="false">IF(G120&gt;0,G115/G120,0)</f>
        <v>13.677159751935</v>
      </c>
    </row>
    <row r="122" customFormat="false" ht="17.15" hidden="false" customHeight="false" outlineLevel="0" collapsed="false">
      <c r="A122" s="6" t="s">
        <v>634</v>
      </c>
    </row>
    <row r="123" customFormat="false" ht="15" hidden="false" customHeight="false" outlineLevel="0" collapsed="false">
      <c r="A123" s="4" t="s">
        <v>635</v>
      </c>
      <c r="B123" s="0" t="s">
        <v>301</v>
      </c>
      <c r="C123" s="16" t="n">
        <f aca="false">a25_mob</f>
        <v>315.86198</v>
      </c>
      <c r="D123" s="16" t="n">
        <f aca="false">a26_mob</f>
        <v>262.655761173888</v>
      </c>
      <c r="E123" s="16" t="n">
        <f aca="false">D123*(1+g_mob27_A)</f>
        <v>275.788549232582</v>
      </c>
      <c r="F123" s="16" t="n">
        <f aca="false">E123*(1+g_mobL_A)</f>
        <v>286.820091201885</v>
      </c>
      <c r="G123" s="16" t="n">
        <f aca="false">F123*(1+g_mobL_A)</f>
        <v>298.292894849961</v>
      </c>
    </row>
    <row r="124" customFormat="false" ht="17.15" hidden="false" customHeight="false" outlineLevel="0" collapsed="false">
      <c r="A124" s="4" t="s">
        <v>636</v>
      </c>
      <c r="B124" s="0" t="s">
        <v>301</v>
      </c>
      <c r="C124" s="16" t="n">
        <f aca="false">a25_sepx</f>
        <v>247.32589</v>
      </c>
      <c r="D124" s="16" t="n">
        <f aca="false">a26_sepx</f>
        <v>311.894023346019</v>
      </c>
      <c r="E124" s="16" t="n">
        <f aca="false">D124*(1+g_sep27_A)</f>
        <v>336.8455452137</v>
      </c>
      <c r="F124" s="16" t="n">
        <f aca="false">E124*(1+g_sepL_A)</f>
        <v>360.424733378659</v>
      </c>
      <c r="G124" s="16" t="n">
        <f aca="false">F124*(1+g_sepL_A)</f>
        <v>385.654464715166</v>
      </c>
    </row>
    <row r="125" customFormat="false" ht="17.15" hidden="false" customHeight="false" outlineLevel="0" collapsed="false">
      <c r="A125" s="4" t="s">
        <v>637</v>
      </c>
      <c r="B125" s="0" t="s">
        <v>301</v>
      </c>
      <c r="C125" s="16" t="n">
        <f aca="false">a25_pic</f>
        <v>32.77813</v>
      </c>
      <c r="D125" s="16" t="n">
        <f aca="false">a26_pic</f>
        <v>35.9721535362998</v>
      </c>
      <c r="E125" s="16" t="n">
        <f aca="false">D125*(1+g_pic27_A)</f>
        <v>38.8499258192038</v>
      </c>
      <c r="F125" s="16" t="n">
        <f aca="false">E125*(1+g_picL_A)</f>
        <v>41.9579198847401</v>
      </c>
      <c r="G125" s="16" t="n">
        <f aca="false">F125*(1+g_picL_A)</f>
        <v>45.3145534755193</v>
      </c>
    </row>
    <row r="126" customFormat="false" ht="17.15" hidden="false" customHeight="false" outlineLevel="0" collapsed="false">
      <c r="A126" s="4" t="s">
        <v>638</v>
      </c>
      <c r="B126" s="0" t="s">
        <v>301</v>
      </c>
      <c r="C126" s="16" t="n">
        <f aca="false">C123+C124+C125</f>
        <v>595.966</v>
      </c>
      <c r="D126" s="16" t="n">
        <f aca="false">D123+D124+D125</f>
        <v>610.521938056206</v>
      </c>
      <c r="E126" s="16" t="n">
        <f aca="false">E123+E124+E125</f>
        <v>651.484020265486</v>
      </c>
      <c r="F126" s="16" t="n">
        <f aca="false">F123+F124+F125</f>
        <v>689.202744465285</v>
      </c>
      <c r="G126" s="16" t="n">
        <f aca="false">G123+G124+G125</f>
        <v>729.261913040646</v>
      </c>
    </row>
    <row r="127" customFormat="false" ht="17.15" hidden="false" customHeight="false" outlineLevel="0" collapsed="false">
      <c r="A127" s="4" t="s">
        <v>501</v>
      </c>
      <c r="B127" s="0" t="s">
        <v>301</v>
      </c>
      <c r="C127" s="16" t="n">
        <f aca="false">C126+C117</f>
        <v>595.966</v>
      </c>
      <c r="D127" s="16" t="n">
        <f aca="false">D126+D117</f>
        <v>674.521938056206</v>
      </c>
      <c r="E127" s="16" t="n">
        <f aca="false">E126+E117</f>
        <v>1102.56810276152</v>
      </c>
      <c r="F127" s="16" t="n">
        <f aca="false">F126+F117</f>
        <v>1313.94686253653</v>
      </c>
      <c r="G127" s="16" t="n">
        <f aca="false">G126+G117</f>
        <v>1433.90918346034</v>
      </c>
      <c r="H127" s="26" t="n">
        <f aca="false">G127*(1+H128)</f>
        <v>1549.86389179802</v>
      </c>
      <c r="I127" s="26" t="n">
        <f aca="false">H127*(1+I128)</f>
        <v>1659.02556786556</v>
      </c>
      <c r="J127" s="26" t="n">
        <f aca="false">I127*(1+J128)</f>
        <v>1758.56710193749</v>
      </c>
      <c r="K127" s="8" t="s">
        <v>639</v>
      </c>
    </row>
    <row r="128" customFormat="false" ht="15" hidden="false" customHeight="false" outlineLevel="0" collapsed="false">
      <c r="A128" s="4" t="s">
        <v>640</v>
      </c>
      <c r="B128" s="0" t="s">
        <v>46</v>
      </c>
      <c r="D128" s="19" t="n">
        <f aca="false">D127/C127-1</f>
        <v>0.131812784716252</v>
      </c>
      <c r="E128" s="19" t="n">
        <f aca="false">E127/D127-1</f>
        <v>0.634591909551274</v>
      </c>
      <c r="F128" s="19" t="n">
        <f aca="false">F127/E127-1</f>
        <v>0.191714923772587</v>
      </c>
      <c r="G128" s="19" t="n">
        <f aca="false">G127/F127-1</f>
        <v>0.0912992179091796</v>
      </c>
      <c r="H128" s="24" t="n">
        <f aca="false">$G128+(fade_gA-$G128)*1/3</f>
        <v>0.0808661452727864</v>
      </c>
      <c r="I128" s="24" t="n">
        <f aca="false">$G128+(fade_gA-$G128)*2/3</f>
        <v>0.0704330726363932</v>
      </c>
      <c r="J128" s="24" t="n">
        <f aca="false">$G128+(fade_gA-$G128)*3/3</f>
        <v>0.06</v>
      </c>
    </row>
    <row r="129" customFormat="false" ht="17.15" hidden="false" customHeight="false" outlineLevel="0" collapsed="false">
      <c r="A129" s="0" t="s">
        <v>641</v>
      </c>
      <c r="B129" s="0" t="s">
        <v>46</v>
      </c>
      <c r="C129" s="19" t="n">
        <f aca="false">C117/C127</f>
        <v>0</v>
      </c>
      <c r="D129" s="19" t="n">
        <f aca="false">D117/D127</f>
        <v>0.0948820140445411</v>
      </c>
      <c r="E129" s="19" t="n">
        <f aca="false">E117/E127</f>
        <v>0.409121288169173</v>
      </c>
      <c r="F129" s="19" t="n">
        <f aca="false">F117/F127</f>
        <v>0.475471372461135</v>
      </c>
      <c r="G129" s="19" t="n">
        <f aca="false">G117/G127</f>
        <v>0.491416945053119</v>
      </c>
    </row>
    <row r="130" customFormat="false" ht="17.15" hidden="false" customHeight="false" outlineLevel="0" collapsed="false">
      <c r="A130" s="4" t="s">
        <v>642</v>
      </c>
      <c r="B130" s="0" t="s">
        <v>46</v>
      </c>
      <c r="C130" s="19" t="n">
        <f aca="false">C123/C127</f>
        <v>0.53</v>
      </c>
      <c r="D130" s="19" t="n">
        <f aca="false">D123/D127</f>
        <v>0.389395431571569</v>
      </c>
      <c r="E130" s="19" t="n">
        <f aca="false">E123/E127</f>
        <v>0.250132892963106</v>
      </c>
      <c r="F130" s="19" t="n">
        <f aca="false">F123/F127</f>
        <v>0.218288957780369</v>
      </c>
      <c r="G130" s="19" t="n">
        <f aca="false">G123/G127</f>
        <v>0.208027745613648</v>
      </c>
    </row>
    <row r="131" customFormat="false" ht="17.15" hidden="false" customHeight="false" outlineLevel="0" collapsed="false">
      <c r="A131" s="6" t="s">
        <v>643</v>
      </c>
    </row>
    <row r="132" customFormat="false" ht="17.15" hidden="false" customHeight="false" outlineLevel="0" collapsed="false">
      <c r="A132" s="0" t="s">
        <v>644</v>
      </c>
      <c r="B132" s="0" t="s">
        <v>301</v>
      </c>
      <c r="D132" s="16" t="n">
        <f aca="false">m_core*D119+m_hbm*D118</f>
        <v>24.9087255420412</v>
      </c>
      <c r="E132" s="16" t="n">
        <f aca="false">m_core*E119+m_hbm*E118</f>
        <v>150.872554204125</v>
      </c>
      <c r="F132" s="16" t="n">
        <f aca="false">m_core*F119+m_hbm*F118</f>
        <v>197.083324840152</v>
      </c>
      <c r="G132" s="16" t="n">
        <f aca="false">m_core*G119+m_hbm*G118</f>
        <v>225.26497702995</v>
      </c>
    </row>
    <row r="133" customFormat="false" ht="17.15" hidden="false" customHeight="false" outlineLevel="0" collapsed="false">
      <c r="A133" s="4" t="s">
        <v>645</v>
      </c>
      <c r="B133" s="0" t="s">
        <v>46</v>
      </c>
      <c r="C133" s="17" t="n">
        <f aca="false">a25_gp/C126</f>
        <v>0.474993539899927</v>
      </c>
      <c r="D133" s="17" t="n">
        <f aca="false">(a26_gp-D132)/D126</f>
        <v>0.462340704042911</v>
      </c>
      <c r="E133" s="17" t="n">
        <f aca="false">$D133+0</f>
        <v>0.462340704042911</v>
      </c>
      <c r="F133" s="17" t="n">
        <f aca="false">$D133+0</f>
        <v>0.462340704042911</v>
      </c>
      <c r="G133" s="17" t="n">
        <f aca="false">$D133+0</f>
        <v>0.462340704042911</v>
      </c>
      <c r="K133" s="8" t="s">
        <v>646</v>
      </c>
    </row>
    <row r="134" customFormat="false" ht="15" hidden="false" customHeight="false" outlineLevel="0" collapsed="false">
      <c r="A134" s="4" t="s">
        <v>517</v>
      </c>
      <c r="B134" s="0" t="s">
        <v>301</v>
      </c>
      <c r="C134" s="16" t="n">
        <f aca="false">a25_gp</f>
        <v>283.08</v>
      </c>
      <c r="D134" s="16" t="n">
        <f aca="false">a26_gp</f>
        <v>307.17786821659</v>
      </c>
      <c r="E134" s="16" t="n">
        <f aca="false">E133*E126+E132</f>
        <v>452.080134806376</v>
      </c>
      <c r="F134" s="16" t="n">
        <f aca="false">F133*F126+F132</f>
        <v>515.729806944538</v>
      </c>
      <c r="G134" s="16" t="n">
        <f aca="false">G133*G126+G132</f>
        <v>562.432443336842</v>
      </c>
    </row>
    <row r="135" customFormat="false" ht="15" hidden="false" customHeight="false" outlineLevel="0" collapsed="false">
      <c r="A135" s="4" t="s">
        <v>520</v>
      </c>
      <c r="B135" s="0" t="s">
        <v>46</v>
      </c>
      <c r="C135" s="17" t="n">
        <f aca="false">C134/C127</f>
        <v>0.474993539899927</v>
      </c>
      <c r="D135" s="17" t="n">
        <f aca="false">D134/D127</f>
        <v>0.455400856348417</v>
      </c>
      <c r="E135" s="17" t="n">
        <f aca="false">E134/E127</f>
        <v>0.410024681173058</v>
      </c>
      <c r="F135" s="17" t="n">
        <f aca="false">F134/F127</f>
        <v>0.392504310219166</v>
      </c>
      <c r="G135" s="17" t="n">
        <f aca="false">G134/G127</f>
        <v>0.39223714432149</v>
      </c>
    </row>
    <row r="136" customFormat="false" ht="15" hidden="false" customHeight="false" outlineLevel="0" collapsed="false">
      <c r="A136" s="4" t="s">
        <v>647</v>
      </c>
      <c r="B136" s="0" t="s">
        <v>301</v>
      </c>
      <c r="C136" s="16" t="n">
        <f aca="false">a25_opx</f>
        <v>179.61</v>
      </c>
      <c r="D136" s="16" t="n">
        <f aca="false">a26_opx</f>
        <v>192.105</v>
      </c>
      <c r="E136" s="16" t="n">
        <f aca="false">D136*(1+MAX(g_opx_min,phi*E128))+0*E127</f>
        <v>228.677483635304</v>
      </c>
      <c r="F136" s="16" t="n">
        <f aca="false">E136*(1+MAX(g_opx_min,phi*F128))+0*F127</f>
        <v>242.398132653423</v>
      </c>
      <c r="G136" s="16" t="n">
        <f aca="false">F136*(1+MAX(g_opx_min,phi*G128))+0*G127</f>
        <v>256.942020612628</v>
      </c>
    </row>
    <row r="137" customFormat="false" ht="15" hidden="false" customHeight="false" outlineLevel="0" collapsed="false">
      <c r="A137" s="4" t="s">
        <v>524</v>
      </c>
      <c r="B137" s="0" t="s">
        <v>301</v>
      </c>
      <c r="C137" s="16" t="n">
        <f aca="false">C134-C136</f>
        <v>103.47</v>
      </c>
      <c r="D137" s="16" t="n">
        <f aca="false">D134-D136</f>
        <v>115.07286821659</v>
      </c>
      <c r="E137" s="16" t="n">
        <f aca="false">E134-E136</f>
        <v>223.402651171071</v>
      </c>
      <c r="F137" s="16" t="n">
        <f aca="false">F134-F136</f>
        <v>273.331674291116</v>
      </c>
      <c r="G137" s="16" t="n">
        <f aca="false">G134-G136</f>
        <v>305.490422724215</v>
      </c>
    </row>
    <row r="138" customFormat="false" ht="15" hidden="false" customHeight="false" outlineLevel="0" collapsed="false">
      <c r="A138" s="4" t="s">
        <v>598</v>
      </c>
      <c r="B138" s="0" t="s">
        <v>46</v>
      </c>
      <c r="C138" s="17" t="n">
        <f aca="false">C137/C127</f>
        <v>0.173617286892205</v>
      </c>
      <c r="D138" s="17" t="n">
        <f aca="false">D137/D127</f>
        <v>0.170599148410502</v>
      </c>
      <c r="E138" s="17" t="n">
        <f aca="false">E137/E127</f>
        <v>0.202620274077884</v>
      </c>
      <c r="F138" s="17" t="n">
        <f aca="false">F137/F127</f>
        <v>0.208023385179716</v>
      </c>
      <c r="G138" s="17" t="n">
        <f aca="false">G137/G127</f>
        <v>0.213047260069148</v>
      </c>
    </row>
    <row r="139" customFormat="false" ht="15" hidden="false" customHeight="false" outlineLevel="0" collapsed="false">
      <c r="A139" s="4" t="s">
        <v>526</v>
      </c>
      <c r="B139" s="0" t="s">
        <v>301</v>
      </c>
      <c r="C139" s="16" t="n">
        <f aca="false">a25_nonop</f>
        <v>21.418</v>
      </c>
      <c r="D139" s="16" t="n">
        <f aca="false">a26_nonop</f>
        <v>18.823</v>
      </c>
      <c r="E139" s="16" t="n">
        <f aca="false">nonop_f</f>
        <v>18</v>
      </c>
      <c r="F139" s="16" t="n">
        <f aca="false">nonop_f</f>
        <v>18</v>
      </c>
      <c r="G139" s="16" t="n">
        <f aca="false">nonop_f</f>
        <v>18</v>
      </c>
    </row>
    <row r="140" customFormat="false" ht="15" hidden="false" customHeight="false" outlineLevel="0" collapsed="false">
      <c r="A140" s="4" t="s">
        <v>528</v>
      </c>
      <c r="B140" s="0" t="s">
        <v>301</v>
      </c>
      <c r="C140" s="16" t="n">
        <f aca="false">C137+C139</f>
        <v>124.888</v>
      </c>
      <c r="D140" s="16" t="n">
        <f aca="false">D137+D139</f>
        <v>133.89586821659</v>
      </c>
      <c r="E140" s="16" t="n">
        <f aca="false">E137+E139</f>
        <v>241.402651171071</v>
      </c>
      <c r="F140" s="16" t="n">
        <f aca="false">F137+F139</f>
        <v>291.331674291116</v>
      </c>
      <c r="G140" s="16" t="n">
        <f aca="false">G137+G139</f>
        <v>323.490422724215</v>
      </c>
    </row>
    <row r="141" customFormat="false" ht="15" hidden="false" customHeight="false" outlineLevel="0" collapsed="false">
      <c r="A141" s="4" t="s">
        <v>529</v>
      </c>
      <c r="B141" s="0" t="s">
        <v>301</v>
      </c>
      <c r="C141" s="16" t="n">
        <f aca="false">a25_tax</f>
        <v>18.77</v>
      </c>
      <c r="D141" s="16" t="n">
        <f aca="false">a26_tax</f>
        <v>16.2589328681567</v>
      </c>
      <c r="E141" s="16" t="n">
        <f aca="false">E140*tax</f>
        <v>33.79637116395</v>
      </c>
      <c r="F141" s="16" t="n">
        <f aca="false">F140*tax</f>
        <v>40.7864344007562</v>
      </c>
      <c r="G141" s="16" t="n">
        <f aca="false">G140*tax</f>
        <v>45.28865918139</v>
      </c>
    </row>
    <row r="142" customFormat="false" ht="15" hidden="false" customHeight="false" outlineLevel="0" collapsed="false">
      <c r="A142" s="4" t="s">
        <v>530</v>
      </c>
      <c r="B142" s="0" t="s">
        <v>301</v>
      </c>
      <c r="C142" s="16" t="n">
        <f aca="false">a25_nci</f>
        <v>0.798</v>
      </c>
      <c r="D142" s="16" t="n">
        <f aca="false">a26_nci</f>
        <v>0.992</v>
      </c>
      <c r="E142" s="16" t="n">
        <f aca="false">nci</f>
        <v>1</v>
      </c>
      <c r="F142" s="16" t="n">
        <f aca="false">nci</f>
        <v>1</v>
      </c>
      <c r="G142" s="16" t="n">
        <f aca="false">nci</f>
        <v>1</v>
      </c>
    </row>
    <row r="143" customFormat="false" ht="15" hidden="false" customHeight="false" outlineLevel="0" collapsed="false">
      <c r="A143" s="4" t="s">
        <v>532</v>
      </c>
      <c r="B143" s="0" t="s">
        <v>301</v>
      </c>
      <c r="C143" s="16" t="n">
        <f aca="false">C140-C141-C142</f>
        <v>105.32</v>
      </c>
      <c r="D143" s="16" t="n">
        <f aca="false">D140-D141-D142</f>
        <v>116.644935348433</v>
      </c>
      <c r="E143" s="16" t="n">
        <f aca="false">E140-E141-E142</f>
        <v>206.606280007121</v>
      </c>
      <c r="F143" s="16" t="n">
        <f aca="false">F140-F141-F142</f>
        <v>249.545239890359</v>
      </c>
      <c r="G143" s="16" t="n">
        <f aca="false">G140-G141-G142</f>
        <v>277.201763542825</v>
      </c>
      <c r="H143" s="26" t="n">
        <f aca="false">H127*H147</f>
        <v>299.505723614077</v>
      </c>
      <c r="I143" s="26" t="n">
        <f aca="false">I127*I147</f>
        <v>320.480645905946</v>
      </c>
      <c r="J143" s="26" t="n">
        <f aca="false">J127*J147</f>
        <v>339.582087400178</v>
      </c>
    </row>
    <row r="144" customFormat="false" ht="15" hidden="false" customHeight="false" outlineLevel="0" collapsed="false">
      <c r="A144" s="4" t="s">
        <v>648</v>
      </c>
      <c r="B144" s="4" t="s">
        <v>346</v>
      </c>
      <c r="C144" s="18" t="n">
        <f aca="false">a25_sh</f>
        <v>1.59188331318017</v>
      </c>
      <c r="D144" s="18" t="n">
        <f aca="false">a26_sh</f>
        <v>1.59250890647703</v>
      </c>
      <c r="E144" s="18" t="n">
        <f aca="false">D144*(1+sh_g)</f>
        <v>1.59250890647703</v>
      </c>
      <c r="F144" s="18" t="n">
        <f aca="false">E144*(1+sh_g)</f>
        <v>1.59250890647703</v>
      </c>
      <c r="G144" s="18" t="n">
        <f aca="false">F144*(1+sh_g)</f>
        <v>1.59250890647703</v>
      </c>
      <c r="H144" s="28" t="n">
        <f aca="false">G144*(1+sh_g)</f>
        <v>1.59250890647703</v>
      </c>
      <c r="I144" s="28" t="n">
        <f aca="false">H144*(1+sh_g)</f>
        <v>1.59250890647703</v>
      </c>
      <c r="J144" s="28" t="n">
        <f aca="false">I144*(1+sh_g)</f>
        <v>1.59250890647703</v>
      </c>
    </row>
    <row r="145" customFormat="false" ht="17.15" hidden="false" customHeight="false" outlineLevel="0" collapsed="false">
      <c r="A145" s="0" t="s">
        <v>537</v>
      </c>
      <c r="B145" s="0" t="s">
        <v>403</v>
      </c>
      <c r="C145" s="16" t="n">
        <f aca="false">C143/C144</f>
        <v>66.1606281867469</v>
      </c>
      <c r="D145" s="16" t="n">
        <f aca="false">D143/D144</f>
        <v>73.2460175726595</v>
      </c>
      <c r="E145" s="16" t="n">
        <f aca="false">E143/E144</f>
        <v>129.736341923625</v>
      </c>
      <c r="F145" s="16" t="n">
        <f aca="false">F143/F144</f>
        <v>156.699431240486</v>
      </c>
      <c r="G145" s="16" t="n">
        <f aca="false">G143/G144</f>
        <v>174.066067960684</v>
      </c>
      <c r="H145" s="26" t="n">
        <f aca="false">H143/H144</f>
        <v>188.071616049324</v>
      </c>
      <c r="I145" s="26" t="n">
        <f aca="false">I143/I144</f>
        <v>201.242608190442</v>
      </c>
      <c r="J145" s="26" t="n">
        <f aca="false">J143/J144</f>
        <v>213.237166849764</v>
      </c>
    </row>
    <row r="146" customFormat="false" ht="17.15" hidden="false" customHeight="false" outlineLevel="0" collapsed="false">
      <c r="A146" s="0" t="s">
        <v>649</v>
      </c>
      <c r="B146" s="0" t="s">
        <v>46</v>
      </c>
      <c r="D146" s="19" t="n">
        <f aca="false">D145/C145-1</f>
        <v>0.107093744120947</v>
      </c>
      <c r="E146" s="19" t="n">
        <f aca="false">E145/D145-1</f>
        <v>0.771240897772047</v>
      </c>
      <c r="F146" s="19" t="n">
        <f aca="false">F145/E145-1</f>
        <v>0.207829887270407</v>
      </c>
      <c r="G146" s="19" t="n">
        <f aca="false">G145/F145-1</f>
        <v>0.110827694668175</v>
      </c>
      <c r="H146" s="24" t="n">
        <f aca="false">H145/G145-1</f>
        <v>0.0804611045261499</v>
      </c>
      <c r="I146" s="24" t="n">
        <f aca="false">I145/H145-1</f>
        <v>0.0700317911750352</v>
      </c>
      <c r="J146" s="24" t="n">
        <f aca="false">J145/I145-1</f>
        <v>0.0596024806435214</v>
      </c>
    </row>
    <row r="147" customFormat="false" ht="17.15" hidden="false" customHeight="false" outlineLevel="0" collapsed="false">
      <c r="A147" s="4" t="s">
        <v>650</v>
      </c>
      <c r="B147" s="0" t="s">
        <v>46</v>
      </c>
      <c r="C147" s="17" t="n">
        <f aca="false">C143/C127</f>
        <v>0.176721490823302</v>
      </c>
      <c r="D147" s="17" t="n">
        <f aca="false">D143/D127</f>
        <v>0.172929787405541</v>
      </c>
      <c r="E147" s="17" t="n">
        <f aca="false">E143/E127</f>
        <v>0.187386411315228</v>
      </c>
      <c r="F147" s="17" t="n">
        <f aca="false">F143/F127</f>
        <v>0.189920343817116</v>
      </c>
      <c r="G147" s="17" t="n">
        <f aca="false">G143/G127</f>
        <v>0.19331891220187</v>
      </c>
      <c r="H147" s="25" t="n">
        <f aca="false">$G147+(fade_mA-$G147)*1/3</f>
        <v>0.193246468415117</v>
      </c>
      <c r="I147" s="25" t="n">
        <f aca="false">$G147+(fade_mA-$G147)*2/3</f>
        <v>0.193174024628363</v>
      </c>
      <c r="J147" s="25" t="n">
        <f aca="false">$G147+(fade_mA-$G147)*3/3</f>
        <v>0.19310158084161</v>
      </c>
    </row>
    <row r="150" customFormat="false" ht="17.15" hidden="false" customHeight="false" outlineLevel="0" collapsed="false">
      <c r="A150" s="1" t="s">
        <v>937</v>
      </c>
    </row>
    <row r="151" customFormat="false" ht="17.15" hidden="false" customHeight="false" outlineLevel="0" collapsed="false">
      <c r="A151" s="5" t="s">
        <v>22</v>
      </c>
      <c r="B151" s="5" t="s">
        <v>23</v>
      </c>
      <c r="C151" s="14" t="s">
        <v>494</v>
      </c>
      <c r="D151" s="14" t="s">
        <v>587</v>
      </c>
      <c r="E151" s="14" t="s">
        <v>588</v>
      </c>
      <c r="F151" s="14" t="s">
        <v>589</v>
      </c>
      <c r="G151" s="14" t="s">
        <v>590</v>
      </c>
      <c r="H151" s="14" t="s">
        <v>591</v>
      </c>
      <c r="I151" s="14" t="s">
        <v>592</v>
      </c>
      <c r="J151" s="14" t="s">
        <v>593</v>
      </c>
      <c r="K151" s="5" t="s">
        <v>557</v>
      </c>
    </row>
    <row r="152" customFormat="false" ht="17.15" hidden="false" customHeight="false" outlineLevel="0" collapsed="false">
      <c r="A152" s="6" t="s">
        <v>609</v>
      </c>
    </row>
    <row r="153" customFormat="false" ht="17.15" hidden="false" customHeight="false" outlineLevel="0" collapsed="false">
      <c r="A153" s="0" t="s">
        <v>610</v>
      </c>
      <c r="B153" s="4" t="s">
        <v>33</v>
      </c>
      <c r="D153" s="20" t="n">
        <f aca="false">u_tpu_26</f>
        <v>3.85</v>
      </c>
      <c r="E153" s="20" t="n">
        <f aca="false">u_tpu_27</f>
        <v>5.5</v>
      </c>
      <c r="F153" s="20" t="n">
        <f aca="false">u_tpu_28*um28_A</f>
        <v>7</v>
      </c>
      <c r="G153" s="20" t="n">
        <f aca="false">u_tpu_28*(1+g29_tpu)*um29_A</f>
        <v>8.05</v>
      </c>
    </row>
    <row r="154" customFormat="false" ht="17.15" hidden="false" customHeight="false" outlineLevel="0" collapsed="false">
      <c r="A154" s="4" t="s">
        <v>611</v>
      </c>
      <c r="B154" s="4" t="s">
        <v>33</v>
      </c>
      <c r="D154" s="20" t="n">
        <f aca="false">u_oth_26</f>
        <v>1</v>
      </c>
      <c r="E154" s="20" t="n">
        <f aca="false">u_oth_27</f>
        <v>4.5</v>
      </c>
      <c r="F154" s="20" t="n">
        <f aca="false">u_oth_28*um28_A</f>
        <v>5</v>
      </c>
      <c r="G154" s="20" t="n">
        <f aca="false">u_oth_28*(1+g29_oth)*um29_A</f>
        <v>5.75</v>
      </c>
    </row>
    <row r="155" customFormat="false" ht="17.15" hidden="false" customHeight="false" outlineLevel="0" collapsed="false">
      <c r="A155" s="4" t="s">
        <v>561</v>
      </c>
      <c r="B155" s="0" t="s">
        <v>46</v>
      </c>
      <c r="D155" s="19" t="n">
        <f aca="false">mtk_tpu_26</f>
        <v>0.05</v>
      </c>
      <c r="E155" s="19" t="n">
        <f aca="false">MIN(1,MAX(0,mtk_tpu_27+0))</f>
        <v>0.15</v>
      </c>
      <c r="F155" s="19" t="n">
        <f aca="false">MIN(1,MAX(0,mtk_tpu_28+0))</f>
        <v>0.18</v>
      </c>
      <c r="G155" s="19" t="n">
        <f aca="false">MIN(1,MAX(0,mtk_tpu_28+0))</f>
        <v>0.18</v>
      </c>
    </row>
    <row r="156" customFormat="false" ht="17.15" hidden="false" customHeight="false" outlineLevel="0" collapsed="false">
      <c r="A156" s="4" t="s">
        <v>612</v>
      </c>
      <c r="B156" s="0" t="s">
        <v>46</v>
      </c>
      <c r="D156" s="19" t="n">
        <f aca="false">mtk_oth_26</f>
        <v>0</v>
      </c>
      <c r="E156" s="19" t="n">
        <f aca="false">MIN(1,MAX(0,mtk_oth_27+0))</f>
        <v>0</v>
      </c>
      <c r="F156" s="19" t="n">
        <f aca="false">MIN(1,MAX(0,mtk_oth_28+0))</f>
        <v>0</v>
      </c>
      <c r="G156" s="19" t="n">
        <f aca="false">MIN(1,MAX(0,mtk_oth_28+0))</f>
        <v>0</v>
      </c>
    </row>
    <row r="157" customFormat="false" ht="17.15" hidden="false" customHeight="false" outlineLevel="0" collapsed="false">
      <c r="A157" s="4" t="s">
        <v>563</v>
      </c>
      <c r="B157" s="4" t="s">
        <v>33</v>
      </c>
      <c r="D157" s="20" t="n">
        <f aca="false">D153*D155</f>
        <v>0.1925</v>
      </c>
      <c r="E157" s="20" t="n">
        <f aca="false">E153*E155*uf_lo</f>
        <v>0.66</v>
      </c>
      <c r="F157" s="20" t="n">
        <f aca="false">F153*F155*uf_lo</f>
        <v>1.008</v>
      </c>
      <c r="G157" s="20" t="n">
        <f aca="false">G153*G155*uf_lo</f>
        <v>1.1592</v>
      </c>
    </row>
    <row r="158" customFormat="false" ht="17.15" hidden="false" customHeight="false" outlineLevel="0" collapsed="false">
      <c r="A158" s="4" t="s">
        <v>613</v>
      </c>
      <c r="B158" s="4" t="s">
        <v>33</v>
      </c>
      <c r="D158" s="20" t="n">
        <f aca="false">D154*D156</f>
        <v>0</v>
      </c>
      <c r="E158" s="20" t="n">
        <f aca="false">E154*E156*uf_lo</f>
        <v>0</v>
      </c>
      <c r="F158" s="20" t="n">
        <f aca="false">F154*F156*uf_lo</f>
        <v>0</v>
      </c>
      <c r="G158" s="20" t="n">
        <f aca="false">G154*G156*uf_lo</f>
        <v>0</v>
      </c>
    </row>
    <row r="159" customFormat="false" ht="17.15" hidden="false" customHeight="false" outlineLevel="0" collapsed="false">
      <c r="A159" s="4" t="s">
        <v>614</v>
      </c>
      <c r="B159" s="0" t="s">
        <v>102</v>
      </c>
      <c r="D159" s="27" t="n">
        <f aca="false">gb_tpu_26</f>
        <v>192</v>
      </c>
      <c r="E159" s="27" t="n">
        <f aca="false">gb_tpu_27</f>
        <v>250</v>
      </c>
      <c r="F159" s="27" t="n">
        <f aca="false">gb_tpu_28</f>
        <v>288</v>
      </c>
      <c r="G159" s="27" t="n">
        <f aca="false">gb_tpu_28</f>
        <v>288</v>
      </c>
    </row>
    <row r="160" customFormat="false" ht="17.15" hidden="false" customHeight="false" outlineLevel="0" collapsed="false">
      <c r="A160" s="4" t="s">
        <v>615</v>
      </c>
      <c r="B160" s="0" t="s">
        <v>102</v>
      </c>
      <c r="D160" s="27" t="n">
        <f aca="false">gb_oth_26</f>
        <v>150</v>
      </c>
      <c r="E160" s="27" t="n">
        <f aca="false">gb_oth_27</f>
        <v>200</v>
      </c>
      <c r="F160" s="27" t="n">
        <f aca="false">gb_oth_28</f>
        <v>250</v>
      </c>
      <c r="G160" s="27" t="n">
        <f aca="false">gb_oth_28</f>
        <v>250</v>
      </c>
    </row>
    <row r="161" customFormat="false" ht="17.15" hidden="false" customHeight="false" outlineLevel="0" collapsed="false">
      <c r="A161" s="0" t="s">
        <v>616</v>
      </c>
      <c r="B161" s="0" t="s">
        <v>194</v>
      </c>
      <c r="D161" s="16" t="n">
        <f aca="false">hbm_A_26</f>
        <v>14.6</v>
      </c>
      <c r="E161" s="16" t="n">
        <f aca="false">hbm_A_27</f>
        <v>26.28</v>
      </c>
      <c r="F161" s="16" t="n">
        <f aca="false">hbm_A_28</f>
        <v>28.908</v>
      </c>
      <c r="G161" s="16" t="n">
        <f aca="false">hbm_A_29</f>
        <v>27.4626</v>
      </c>
    </row>
    <row r="162" customFormat="false" ht="17.15" hidden="false" customHeight="false" outlineLevel="0" collapsed="false">
      <c r="A162" s="4" t="s">
        <v>617</v>
      </c>
      <c r="B162" s="0" t="s">
        <v>86</v>
      </c>
      <c r="D162" s="16" t="n">
        <f aca="false">core_tpu</f>
        <v>8</v>
      </c>
      <c r="E162" s="16" t="n">
        <f aca="false">core_tpu</f>
        <v>8</v>
      </c>
      <c r="F162" s="16" t="n">
        <f aca="false">core_tpu*1</f>
        <v>8</v>
      </c>
      <c r="G162" s="16" t="n">
        <f aca="false">core_tpu*1</f>
        <v>8</v>
      </c>
    </row>
    <row r="163" customFormat="false" ht="17.15" hidden="false" customHeight="false" outlineLevel="0" collapsed="false">
      <c r="A163" s="4" t="s">
        <v>618</v>
      </c>
      <c r="B163" s="0" t="s">
        <v>86</v>
      </c>
      <c r="D163" s="16" t="n">
        <f aca="false">core_oth</f>
        <v>6</v>
      </c>
      <c r="E163" s="16" t="n">
        <f aca="false">core_oth</f>
        <v>6</v>
      </c>
      <c r="F163" s="16" t="n">
        <f aca="false">core_oth*1</f>
        <v>6</v>
      </c>
      <c r="G163" s="16" t="n">
        <f aca="false">core_oth*1</f>
        <v>6</v>
      </c>
    </row>
    <row r="164" customFormat="false" ht="17.15" hidden="false" customHeight="false" outlineLevel="0" collapsed="false">
      <c r="A164" s="4" t="s">
        <v>619</v>
      </c>
      <c r="B164" s="0" t="s">
        <v>86</v>
      </c>
      <c r="D164" s="16" t="n">
        <f aca="false">D159*D161/1000</f>
        <v>2.8032</v>
      </c>
      <c r="E164" s="16" t="n">
        <f aca="false">E159*E161/1000</f>
        <v>6.57</v>
      </c>
      <c r="F164" s="16" t="n">
        <f aca="false">F159*F161/1000</f>
        <v>8.325504</v>
      </c>
      <c r="G164" s="16" t="n">
        <f aca="false">G159*G161/1000</f>
        <v>7.9092288</v>
      </c>
    </row>
    <row r="165" customFormat="false" ht="17.15" hidden="false" customHeight="false" outlineLevel="0" collapsed="false">
      <c r="A165" s="4" t="s">
        <v>620</v>
      </c>
      <c r="B165" s="0" t="s">
        <v>86</v>
      </c>
      <c r="D165" s="16" t="n">
        <f aca="false">D160*D161/1000</f>
        <v>2.19</v>
      </c>
      <c r="E165" s="16" t="n">
        <f aca="false">E160*E161/1000</f>
        <v>5.256</v>
      </c>
      <c r="F165" s="16" t="n">
        <f aca="false">F160*F161/1000</f>
        <v>7.227</v>
      </c>
      <c r="G165" s="16" t="n">
        <f aca="false">G160*G161/1000</f>
        <v>6.86565</v>
      </c>
    </row>
    <row r="166" customFormat="false" ht="17.15" hidden="false" customHeight="false" outlineLevel="0" collapsed="false">
      <c r="A166" s="4" t="s">
        <v>621</v>
      </c>
      <c r="B166" s="0" t="s">
        <v>86</v>
      </c>
      <c r="D166" s="16" t="n">
        <f aca="false">D162+f_hbm*D164</f>
        <v>9.68192</v>
      </c>
      <c r="E166" s="16" t="n">
        <f aca="false">E162+f_hbm*E164</f>
        <v>11.942</v>
      </c>
      <c r="F166" s="16" t="n">
        <f aca="false">F162+f_hbm*F164</f>
        <v>12.9953024</v>
      </c>
      <c r="G166" s="16" t="n">
        <f aca="false">G162+f_hbm*G164</f>
        <v>12.74553728</v>
      </c>
      <c r="K166" s="4" t="s">
        <v>622</v>
      </c>
    </row>
    <row r="167" customFormat="false" ht="17.15" hidden="false" customHeight="false" outlineLevel="0" collapsed="false">
      <c r="A167" s="4" t="s">
        <v>623</v>
      </c>
      <c r="B167" s="0" t="s">
        <v>86</v>
      </c>
      <c r="D167" s="16" t="n">
        <f aca="false">D163+f_hbm*D165</f>
        <v>7.314</v>
      </c>
      <c r="E167" s="16" t="n">
        <f aca="false">E163+f_hbm*E165</f>
        <v>9.1536</v>
      </c>
      <c r="F167" s="16" t="n">
        <f aca="false">F163+f_hbm*F165</f>
        <v>10.3362</v>
      </c>
      <c r="G167" s="16" t="n">
        <f aca="false">G163+f_hbm*G165</f>
        <v>10.11939</v>
      </c>
    </row>
    <row r="168" customFormat="false" ht="17.15" hidden="false" customHeight="false" outlineLevel="0" collapsed="false">
      <c r="A168" s="0" t="s">
        <v>624</v>
      </c>
      <c r="B168" s="0" t="s">
        <v>279</v>
      </c>
      <c r="D168" s="16" t="n">
        <f aca="false">D157*D166+D158*D167</f>
        <v>1.8637696</v>
      </c>
      <c r="E168" s="16" t="n">
        <f aca="false">E157*E166+E158*E167</f>
        <v>7.88172</v>
      </c>
      <c r="F168" s="16" t="n">
        <f aca="false">F157*F166+F158*F167</f>
        <v>13.0992648192</v>
      </c>
      <c r="G168" s="16" t="n">
        <f aca="false">G157*G166+G158*G167</f>
        <v>14.774626814976</v>
      </c>
    </row>
    <row r="169" customFormat="false" ht="17.15" hidden="false" customHeight="false" outlineLevel="0" collapsed="false">
      <c r="A169" s="0" t="s">
        <v>625</v>
      </c>
      <c r="B169" s="0" t="s">
        <v>65</v>
      </c>
      <c r="D169" s="20" t="n">
        <f aca="false">dc26/D168</f>
        <v>1.07309401333727</v>
      </c>
      <c r="K169" s="8" t="s">
        <v>626</v>
      </c>
    </row>
    <row r="170" customFormat="false" ht="17.15" hidden="false" customHeight="false" outlineLevel="0" collapsed="false">
      <c r="A170" s="0" t="s">
        <v>627</v>
      </c>
      <c r="B170" s="0" t="s">
        <v>279</v>
      </c>
      <c r="D170" s="16" t="n">
        <f aca="false">D168*$D$169</f>
        <v>2</v>
      </c>
      <c r="E170" s="16" t="n">
        <f aca="false">E168*$D$169</f>
        <v>8.45782654680063</v>
      </c>
      <c r="F170" s="16" t="n">
        <f aca="false">F168*$D$169</f>
        <v>14.056742656603</v>
      </c>
      <c r="G170" s="16" t="n">
        <f aca="false">G168*$D$169</f>
        <v>15.8545635844431</v>
      </c>
    </row>
    <row r="171" customFormat="false" ht="15" hidden="false" customHeight="false" outlineLevel="0" collapsed="false">
      <c r="A171" s="4" t="s">
        <v>628</v>
      </c>
      <c r="B171" s="0" t="s">
        <v>288</v>
      </c>
      <c r="D171" s="16" t="n">
        <f aca="false">fx26</f>
        <v>32</v>
      </c>
      <c r="E171" s="16" t="n">
        <f aca="false">fx</f>
        <v>32</v>
      </c>
      <c r="F171" s="16" t="n">
        <f aca="false">fx</f>
        <v>32</v>
      </c>
      <c r="G171" s="16" t="n">
        <f aca="false">fx</f>
        <v>32</v>
      </c>
    </row>
    <row r="172" customFormat="false" ht="17.15" hidden="false" customHeight="false" outlineLevel="0" collapsed="false">
      <c r="A172" s="0" t="s">
        <v>629</v>
      </c>
      <c r="B172" s="0" t="s">
        <v>301</v>
      </c>
      <c r="C172" s="16" t="n">
        <f aca="false">a25_asic</f>
        <v>0</v>
      </c>
      <c r="D172" s="16" t="n">
        <f aca="false">D170*D171</f>
        <v>64</v>
      </c>
      <c r="E172" s="16" t="n">
        <f aca="false">E170*E171</f>
        <v>270.65044949762</v>
      </c>
      <c r="F172" s="16" t="n">
        <f aca="false">F170*F171</f>
        <v>449.815765011298</v>
      </c>
      <c r="G172" s="16" t="n">
        <f aca="false">G170*G171</f>
        <v>507.346034702178</v>
      </c>
    </row>
    <row r="173" customFormat="false" ht="17.15" hidden="false" customHeight="false" outlineLevel="0" collapsed="false">
      <c r="A173" s="4" t="s">
        <v>630</v>
      </c>
      <c r="B173" s="0" t="s">
        <v>301</v>
      </c>
      <c r="D173" s="16" t="n">
        <f aca="false">$D$169*f_hbm*(D157*D164+D158*D165)*D171</f>
        <v>11.1179270227393</v>
      </c>
      <c r="E173" s="16" t="n">
        <f aca="false">$D$169*f_hbm*(E157*E164+E158*E165)*E171</f>
        <v>89.340485004155</v>
      </c>
      <c r="F173" s="16" t="n">
        <f aca="false">$D$169*f_hbm*(F157*F164+F158*F165)*F171</f>
        <v>172.906001057641</v>
      </c>
      <c r="G173" s="16" t="n">
        <f aca="false">$D$169*f_hbm*(G157*G164+G158*G165)*G171</f>
        <v>188.899806155473</v>
      </c>
    </row>
    <row r="174" customFormat="false" ht="15" hidden="false" customHeight="false" outlineLevel="0" collapsed="false">
      <c r="A174" s="4" t="s">
        <v>631</v>
      </c>
      <c r="B174" s="0" t="s">
        <v>301</v>
      </c>
      <c r="D174" s="16" t="n">
        <f aca="false">D172-D173</f>
        <v>52.8820729772607</v>
      </c>
      <c r="E174" s="16" t="n">
        <f aca="false">E172-E173</f>
        <v>181.309964493465</v>
      </c>
      <c r="F174" s="16" t="n">
        <f aca="false">F172-F173</f>
        <v>276.909763953656</v>
      </c>
      <c r="G174" s="16" t="n">
        <f aca="false">G172-G173</f>
        <v>318.446228546705</v>
      </c>
    </row>
    <row r="175" customFormat="false" ht="17.15" hidden="false" customHeight="false" outlineLevel="0" collapsed="false">
      <c r="A175" s="4" t="s">
        <v>632</v>
      </c>
      <c r="B175" s="4" t="s">
        <v>33</v>
      </c>
      <c r="D175" s="20" t="n">
        <f aca="false">D157+D158</f>
        <v>0.1925</v>
      </c>
      <c r="E175" s="20" t="n">
        <f aca="false">E157+E158</f>
        <v>0.66</v>
      </c>
      <c r="F175" s="20" t="n">
        <f aca="false">F157+F158</f>
        <v>1.008</v>
      </c>
      <c r="G175" s="20" t="n">
        <f aca="false">G157+G158</f>
        <v>1.1592</v>
      </c>
    </row>
    <row r="176" customFormat="false" ht="17.15" hidden="false" customHeight="false" outlineLevel="0" collapsed="false">
      <c r="A176" s="4" t="s">
        <v>633</v>
      </c>
      <c r="B176" s="0" t="s">
        <v>86</v>
      </c>
      <c r="D176" s="16" t="n">
        <f aca="false">IF(D175&gt;0,D170/D175,0)</f>
        <v>10.3896103896104</v>
      </c>
      <c r="E176" s="16" t="n">
        <f aca="false">IF(E175&gt;0,E170/E175,0)</f>
        <v>12.8148887072737</v>
      </c>
      <c r="F176" s="16" t="n">
        <f aca="false">IF(F175&gt;0,F170/F175,0)</f>
        <v>13.9451812069475</v>
      </c>
      <c r="G176" s="16" t="n">
        <f aca="false">IF(G175&gt;0,G170/G175,0)</f>
        <v>13.677159751935</v>
      </c>
    </row>
    <row r="177" customFormat="false" ht="17.15" hidden="false" customHeight="false" outlineLevel="0" collapsed="false">
      <c r="A177" s="6" t="s">
        <v>634</v>
      </c>
    </row>
    <row r="178" customFormat="false" ht="15" hidden="false" customHeight="false" outlineLevel="0" collapsed="false">
      <c r="A178" s="4" t="s">
        <v>635</v>
      </c>
      <c r="B178" s="0" t="s">
        <v>301</v>
      </c>
      <c r="C178" s="16" t="n">
        <f aca="false">a25_mob</f>
        <v>315.86198</v>
      </c>
      <c r="D178" s="16" t="n">
        <f aca="false">a26_mob</f>
        <v>262.655761173888</v>
      </c>
      <c r="E178" s="16" t="n">
        <f aca="false">D178*(1+g_mob27_A)</f>
        <v>275.788549232582</v>
      </c>
      <c r="F178" s="16" t="n">
        <f aca="false">E178*(1+g_mobL_A)</f>
        <v>286.820091201885</v>
      </c>
      <c r="G178" s="16" t="n">
        <f aca="false">F178*(1+g_mobL_A)</f>
        <v>298.292894849961</v>
      </c>
    </row>
    <row r="179" customFormat="false" ht="17.15" hidden="false" customHeight="false" outlineLevel="0" collapsed="false">
      <c r="A179" s="4" t="s">
        <v>636</v>
      </c>
      <c r="B179" s="0" t="s">
        <v>301</v>
      </c>
      <c r="C179" s="16" t="n">
        <f aca="false">a25_sepx</f>
        <v>247.32589</v>
      </c>
      <c r="D179" s="16" t="n">
        <f aca="false">a26_sepx</f>
        <v>311.894023346019</v>
      </c>
      <c r="E179" s="16" t="n">
        <f aca="false">D179*(1+g_sep27_A)</f>
        <v>336.8455452137</v>
      </c>
      <c r="F179" s="16" t="n">
        <f aca="false">E179*(1+g_sepL_A)</f>
        <v>360.424733378659</v>
      </c>
      <c r="G179" s="16" t="n">
        <f aca="false">F179*(1+g_sepL_A)</f>
        <v>385.654464715166</v>
      </c>
    </row>
    <row r="180" customFormat="false" ht="17.15" hidden="false" customHeight="false" outlineLevel="0" collapsed="false">
      <c r="A180" s="4" t="s">
        <v>637</v>
      </c>
      <c r="B180" s="0" t="s">
        <v>301</v>
      </c>
      <c r="C180" s="16" t="n">
        <f aca="false">a25_pic</f>
        <v>32.77813</v>
      </c>
      <c r="D180" s="16" t="n">
        <f aca="false">a26_pic</f>
        <v>35.9721535362998</v>
      </c>
      <c r="E180" s="16" t="n">
        <f aca="false">D180*(1+g_pic27_A)</f>
        <v>38.8499258192038</v>
      </c>
      <c r="F180" s="16" t="n">
        <f aca="false">E180*(1+g_picL_A)</f>
        <v>41.9579198847401</v>
      </c>
      <c r="G180" s="16" t="n">
        <f aca="false">F180*(1+g_picL_A)</f>
        <v>45.3145534755193</v>
      </c>
    </row>
    <row r="181" customFormat="false" ht="17.15" hidden="false" customHeight="false" outlineLevel="0" collapsed="false">
      <c r="A181" s="4" t="s">
        <v>638</v>
      </c>
      <c r="B181" s="0" t="s">
        <v>301</v>
      </c>
      <c r="C181" s="16" t="n">
        <f aca="false">C178+C179+C180</f>
        <v>595.966</v>
      </c>
      <c r="D181" s="16" t="n">
        <f aca="false">D178+D179+D180</f>
        <v>610.521938056206</v>
      </c>
      <c r="E181" s="16" t="n">
        <f aca="false">E178+E179+E180</f>
        <v>651.484020265486</v>
      </c>
      <c r="F181" s="16" t="n">
        <f aca="false">F178+F179+F180</f>
        <v>689.202744465285</v>
      </c>
      <c r="G181" s="16" t="n">
        <f aca="false">G178+G179+G180</f>
        <v>729.261913040646</v>
      </c>
    </row>
    <row r="182" customFormat="false" ht="17.15" hidden="false" customHeight="false" outlineLevel="0" collapsed="false">
      <c r="A182" s="4" t="s">
        <v>501</v>
      </c>
      <c r="B182" s="0" t="s">
        <v>301</v>
      </c>
      <c r="C182" s="16" t="n">
        <f aca="false">C181+C172</f>
        <v>595.966</v>
      </c>
      <c r="D182" s="16" t="n">
        <f aca="false">D181+D172</f>
        <v>674.521938056206</v>
      </c>
      <c r="E182" s="16" t="n">
        <f aca="false">E181+E172</f>
        <v>922.134469763106</v>
      </c>
      <c r="F182" s="16" t="n">
        <f aca="false">F181+F172</f>
        <v>1139.01850947658</v>
      </c>
      <c r="G182" s="16" t="n">
        <f aca="false">G181+G172</f>
        <v>1236.60794774282</v>
      </c>
      <c r="H182" s="26" t="n">
        <f aca="false">G182*(1+H183)</f>
        <v>1331.97394566912</v>
      </c>
      <c r="I182" s="26" t="n">
        <f aca="false">H182*(1+I183)</f>
        <v>1423.29342934091</v>
      </c>
      <c r="J182" s="26" t="n">
        <f aca="false">I182*(1+J183)</f>
        <v>1508.69103510137</v>
      </c>
      <c r="K182" s="8" t="s">
        <v>639</v>
      </c>
    </row>
    <row r="183" customFormat="false" ht="15" hidden="false" customHeight="false" outlineLevel="0" collapsed="false">
      <c r="A183" s="4" t="s">
        <v>640</v>
      </c>
      <c r="B183" s="0" t="s">
        <v>46</v>
      </c>
      <c r="D183" s="19" t="n">
        <f aca="false">D182/C182-1</f>
        <v>0.131812784716252</v>
      </c>
      <c r="E183" s="19" t="n">
        <f aca="false">E182/D182-1</f>
        <v>0.367093370484664</v>
      </c>
      <c r="F183" s="19" t="n">
        <f aca="false">F182/E182-1</f>
        <v>0.235197844593308</v>
      </c>
      <c r="G183" s="19" t="n">
        <f aca="false">G182/F182-1</f>
        <v>0.0856785359099097</v>
      </c>
      <c r="H183" s="24" t="n">
        <f aca="false">$G183+(fade_gA-$G183)*1/3</f>
        <v>0.0771190239399398</v>
      </c>
      <c r="I183" s="24" t="n">
        <f aca="false">$G183+(fade_gA-$G183)*2/3</f>
        <v>0.0685595119699699</v>
      </c>
      <c r="J183" s="24" t="n">
        <f aca="false">$G183+(fade_gA-$G183)*3/3</f>
        <v>0.06</v>
      </c>
    </row>
    <row r="184" customFormat="false" ht="17.15" hidden="false" customHeight="false" outlineLevel="0" collapsed="false">
      <c r="A184" s="0" t="s">
        <v>641</v>
      </c>
      <c r="B184" s="0" t="s">
        <v>46</v>
      </c>
      <c r="C184" s="19" t="n">
        <f aca="false">C172/C182</f>
        <v>0</v>
      </c>
      <c r="D184" s="19" t="n">
        <f aca="false">D172/D182</f>
        <v>0.0948820140445411</v>
      </c>
      <c r="E184" s="19" t="n">
        <f aca="false">E172/E182</f>
        <v>0.293504318916903</v>
      </c>
      <c r="F184" s="19" t="n">
        <f aca="false">F172/F182</f>
        <v>0.394915237345882</v>
      </c>
      <c r="G184" s="19" t="n">
        <f aca="false">G172/G182</f>
        <v>0.410272338640743</v>
      </c>
    </row>
    <row r="185" customFormat="false" ht="17.15" hidden="false" customHeight="false" outlineLevel="0" collapsed="false">
      <c r="A185" s="4" t="s">
        <v>642</v>
      </c>
      <c r="B185" s="0" t="s">
        <v>46</v>
      </c>
      <c r="C185" s="19" t="n">
        <f aca="false">C178/C182</f>
        <v>0.53</v>
      </c>
      <c r="D185" s="19" t="n">
        <f aca="false">D178/D182</f>
        <v>0.389395431571569</v>
      </c>
      <c r="E185" s="19" t="n">
        <f aca="false">E178/E182</f>
        <v>0.299076282555007</v>
      </c>
      <c r="F185" s="19" t="n">
        <f aca="false">F178/F182</f>
        <v>0.251813371613855</v>
      </c>
      <c r="G185" s="19" t="n">
        <f aca="false">G178/G182</f>
        <v>0.241218646050621</v>
      </c>
    </row>
    <row r="186" customFormat="false" ht="17.15" hidden="false" customHeight="false" outlineLevel="0" collapsed="false">
      <c r="A186" s="6" t="s">
        <v>643</v>
      </c>
    </row>
    <row r="187" customFormat="false" ht="17.15" hidden="false" customHeight="false" outlineLevel="0" collapsed="false">
      <c r="A187" s="0" t="s">
        <v>644</v>
      </c>
      <c r="B187" s="0" t="s">
        <v>301</v>
      </c>
      <c r="D187" s="16" t="n">
        <f aca="false">m_core*D174+m_hbm*D173</f>
        <v>24.9087255420412</v>
      </c>
      <c r="E187" s="16" t="n">
        <f aca="false">m_core*E174+m_hbm*E173</f>
        <v>90.5235325224749</v>
      </c>
      <c r="F187" s="16" t="n">
        <f aca="false">m_core*F174+m_hbm*F173</f>
        <v>141.899993884909</v>
      </c>
      <c r="G187" s="16" t="n">
        <f aca="false">m_core*G174+m_hbm*G173</f>
        <v>162.190783461564</v>
      </c>
    </row>
    <row r="188" customFormat="false" ht="17.15" hidden="false" customHeight="false" outlineLevel="0" collapsed="false">
      <c r="A188" s="4" t="s">
        <v>645</v>
      </c>
      <c r="B188" s="0" t="s">
        <v>46</v>
      </c>
      <c r="C188" s="17" t="n">
        <f aca="false">a25_gp/C181</f>
        <v>0.474993539899927</v>
      </c>
      <c r="D188" s="17" t="n">
        <f aca="false">(a26_gp-D187)/D181</f>
        <v>0.462340704042911</v>
      </c>
      <c r="E188" s="17" t="n">
        <f aca="false">$D188+0</f>
        <v>0.462340704042911</v>
      </c>
      <c r="F188" s="17" t="n">
        <f aca="false">$D188+0</f>
        <v>0.462340704042911</v>
      </c>
      <c r="G188" s="17" t="n">
        <f aca="false">$D188+0</f>
        <v>0.462340704042911</v>
      </c>
      <c r="K188" s="8" t="s">
        <v>646</v>
      </c>
    </row>
    <row r="189" customFormat="false" ht="15" hidden="false" customHeight="false" outlineLevel="0" collapsed="false">
      <c r="A189" s="4" t="s">
        <v>517</v>
      </c>
      <c r="B189" s="0" t="s">
        <v>301</v>
      </c>
      <c r="C189" s="16" t="n">
        <f aca="false">a25_gp</f>
        <v>283.08</v>
      </c>
      <c r="D189" s="16" t="n">
        <f aca="false">a26_gp</f>
        <v>307.17786821659</v>
      </c>
      <c r="E189" s="16" t="n">
        <f aca="false">E188*E181+E187</f>
        <v>391.731113124726</v>
      </c>
      <c r="F189" s="16" t="n">
        <f aca="false">F188*F181+F187</f>
        <v>460.546475989295</v>
      </c>
      <c r="G189" s="16" t="n">
        <f aca="false">G188*G181+G187</f>
        <v>499.358249768456</v>
      </c>
    </row>
    <row r="190" customFormat="false" ht="15" hidden="false" customHeight="false" outlineLevel="0" collapsed="false">
      <c r="A190" s="4" t="s">
        <v>520</v>
      </c>
      <c r="B190" s="0" t="s">
        <v>46</v>
      </c>
      <c r="C190" s="17" t="n">
        <f aca="false">C189/C182</f>
        <v>0.474993539899927</v>
      </c>
      <c r="D190" s="17" t="n">
        <f aca="false">D189/D182</f>
        <v>0.455400856348417</v>
      </c>
      <c r="E190" s="17" t="n">
        <f aca="false">E189/E182</f>
        <v>0.424809098856656</v>
      </c>
      <c r="F190" s="17" t="n">
        <f aca="false">F189/F182</f>
        <v>0.404336252797974</v>
      </c>
      <c r="G190" s="17" t="n">
        <f aca="false">G189/G182</f>
        <v>0.403812906653183</v>
      </c>
    </row>
    <row r="191" customFormat="false" ht="15" hidden="false" customHeight="false" outlineLevel="0" collapsed="false">
      <c r="A191" s="4" t="s">
        <v>647</v>
      </c>
      <c r="B191" s="0" t="s">
        <v>301</v>
      </c>
      <c r="C191" s="16" t="n">
        <f aca="false">a25_opx</f>
        <v>179.61</v>
      </c>
      <c r="D191" s="16" t="n">
        <f aca="false">a26_opx</f>
        <v>192.105</v>
      </c>
      <c r="E191" s="16" t="n">
        <f aca="false">D191*(1+MAX(g_opx_min,phi*E183))+0*E182</f>
        <v>213.261141581087</v>
      </c>
      <c r="F191" s="16" t="n">
        <f aca="false">E191*(1+MAX(g_opx_min,phi*F183))+0*F182</f>
        <v>228.308709831701</v>
      </c>
      <c r="G191" s="16" t="n">
        <f aca="false">F191*(1+MAX(g_opx_min,phi*G183))+0*G182</f>
        <v>242.007232421603</v>
      </c>
    </row>
    <row r="192" customFormat="false" ht="15" hidden="false" customHeight="false" outlineLevel="0" collapsed="false">
      <c r="A192" s="4" t="s">
        <v>524</v>
      </c>
      <c r="B192" s="0" t="s">
        <v>301</v>
      </c>
      <c r="C192" s="16" t="n">
        <f aca="false">C189-C191</f>
        <v>103.47</v>
      </c>
      <c r="D192" s="16" t="n">
        <f aca="false">D189-D191</f>
        <v>115.07286821659</v>
      </c>
      <c r="E192" s="16" t="n">
        <f aca="false">E189-E191</f>
        <v>178.469971543639</v>
      </c>
      <c r="F192" s="16" t="n">
        <f aca="false">F189-F191</f>
        <v>232.237766157595</v>
      </c>
      <c r="G192" s="16" t="n">
        <f aca="false">G189-G191</f>
        <v>257.351017346853</v>
      </c>
    </row>
    <row r="193" customFormat="false" ht="15" hidden="false" customHeight="false" outlineLevel="0" collapsed="false">
      <c r="A193" s="4" t="s">
        <v>598</v>
      </c>
      <c r="B193" s="0" t="s">
        <v>46</v>
      </c>
      <c r="C193" s="17" t="n">
        <f aca="false">C192/C182</f>
        <v>0.173617286892205</v>
      </c>
      <c r="D193" s="17" t="n">
        <f aca="false">D192/D182</f>
        <v>0.170599148410502</v>
      </c>
      <c r="E193" s="17" t="n">
        <f aca="false">E192/E182</f>
        <v>0.193540071861197</v>
      </c>
      <c r="F193" s="17" t="n">
        <f aca="false">F192/F182</f>
        <v>0.203892881656783</v>
      </c>
      <c r="G193" s="17" t="n">
        <f aca="false">G192/G182</f>
        <v>0.208110434529064</v>
      </c>
    </row>
    <row r="194" customFormat="false" ht="15" hidden="false" customHeight="false" outlineLevel="0" collapsed="false">
      <c r="A194" s="4" t="s">
        <v>526</v>
      </c>
      <c r="B194" s="0" t="s">
        <v>301</v>
      </c>
      <c r="C194" s="16" t="n">
        <f aca="false">a25_nonop</f>
        <v>21.418</v>
      </c>
      <c r="D194" s="16" t="n">
        <f aca="false">a26_nonop</f>
        <v>18.823</v>
      </c>
      <c r="E194" s="16" t="n">
        <f aca="false">nonop_f</f>
        <v>18</v>
      </c>
      <c r="F194" s="16" t="n">
        <f aca="false">nonop_f</f>
        <v>18</v>
      </c>
      <c r="G194" s="16" t="n">
        <f aca="false">nonop_f</f>
        <v>18</v>
      </c>
    </row>
    <row r="195" customFormat="false" ht="15" hidden="false" customHeight="false" outlineLevel="0" collapsed="false">
      <c r="A195" s="4" t="s">
        <v>528</v>
      </c>
      <c r="B195" s="0" t="s">
        <v>301</v>
      </c>
      <c r="C195" s="16" t="n">
        <f aca="false">C192+C194</f>
        <v>124.888</v>
      </c>
      <c r="D195" s="16" t="n">
        <f aca="false">D192+D194</f>
        <v>133.89586821659</v>
      </c>
      <c r="E195" s="16" t="n">
        <f aca="false">E192+E194</f>
        <v>196.469971543639</v>
      </c>
      <c r="F195" s="16" t="n">
        <f aca="false">F192+F194</f>
        <v>250.237766157595</v>
      </c>
      <c r="G195" s="16" t="n">
        <f aca="false">G192+G194</f>
        <v>275.351017346853</v>
      </c>
    </row>
    <row r="196" customFormat="false" ht="15" hidden="false" customHeight="false" outlineLevel="0" collapsed="false">
      <c r="A196" s="4" t="s">
        <v>529</v>
      </c>
      <c r="B196" s="0" t="s">
        <v>301</v>
      </c>
      <c r="C196" s="16" t="n">
        <f aca="false">a25_tax</f>
        <v>18.77</v>
      </c>
      <c r="D196" s="16" t="n">
        <f aca="false">a26_tax</f>
        <v>16.2589328681567</v>
      </c>
      <c r="E196" s="16" t="n">
        <f aca="false">E195*tax</f>
        <v>27.5057960161094</v>
      </c>
      <c r="F196" s="16" t="n">
        <f aca="false">F195*tax</f>
        <v>35.0332872620633</v>
      </c>
      <c r="G196" s="16" t="n">
        <f aca="false">G195*tax</f>
        <v>38.5491424285595</v>
      </c>
    </row>
    <row r="197" customFormat="false" ht="15" hidden="false" customHeight="false" outlineLevel="0" collapsed="false">
      <c r="A197" s="4" t="s">
        <v>530</v>
      </c>
      <c r="B197" s="0" t="s">
        <v>301</v>
      </c>
      <c r="C197" s="16" t="n">
        <f aca="false">a25_nci</f>
        <v>0.798</v>
      </c>
      <c r="D197" s="16" t="n">
        <f aca="false">a26_nci</f>
        <v>0.992</v>
      </c>
      <c r="E197" s="16" t="n">
        <f aca="false">nci</f>
        <v>1</v>
      </c>
      <c r="F197" s="16" t="n">
        <f aca="false">nci</f>
        <v>1</v>
      </c>
      <c r="G197" s="16" t="n">
        <f aca="false">nci</f>
        <v>1</v>
      </c>
    </row>
    <row r="198" customFormat="false" ht="15" hidden="false" customHeight="false" outlineLevel="0" collapsed="false">
      <c r="A198" s="4" t="s">
        <v>532</v>
      </c>
      <c r="B198" s="0" t="s">
        <v>301</v>
      </c>
      <c r="C198" s="16" t="n">
        <f aca="false">C195-C196-C197</f>
        <v>105.32</v>
      </c>
      <c r="D198" s="16" t="n">
        <f aca="false">D195-D196-D197</f>
        <v>116.644935348433</v>
      </c>
      <c r="E198" s="16" t="n">
        <f aca="false">E195-E196-E197</f>
        <v>167.964175527529</v>
      </c>
      <c r="F198" s="16" t="n">
        <f aca="false">F195-F196-F197</f>
        <v>214.204478895531</v>
      </c>
      <c r="G198" s="16" t="n">
        <f aca="false">G195-G196-G197</f>
        <v>235.801874918294</v>
      </c>
      <c r="H198" s="26" t="n">
        <f aca="false">H182*H202</f>
        <v>255.059881752982</v>
      </c>
      <c r="I198" s="26" t="n">
        <f aca="false">I182*I202</f>
        <v>273.693436988145</v>
      </c>
      <c r="J198" s="26" t="n">
        <f aca="false">J182*J202</f>
        <v>291.330623879639</v>
      </c>
    </row>
    <row r="199" customFormat="false" ht="15" hidden="false" customHeight="false" outlineLevel="0" collapsed="false">
      <c r="A199" s="4" t="s">
        <v>648</v>
      </c>
      <c r="B199" s="4" t="s">
        <v>346</v>
      </c>
      <c r="C199" s="18" t="n">
        <f aca="false">a25_sh</f>
        <v>1.59188331318017</v>
      </c>
      <c r="D199" s="18" t="n">
        <f aca="false">a26_sh</f>
        <v>1.59250890647703</v>
      </c>
      <c r="E199" s="18" t="n">
        <f aca="false">D199*(1+sh_g)</f>
        <v>1.59250890647703</v>
      </c>
      <c r="F199" s="18" t="n">
        <f aca="false">E199*(1+sh_g)</f>
        <v>1.59250890647703</v>
      </c>
      <c r="G199" s="18" t="n">
        <f aca="false">F199*(1+sh_g)</f>
        <v>1.59250890647703</v>
      </c>
      <c r="H199" s="28" t="n">
        <f aca="false">G199*(1+sh_g)</f>
        <v>1.59250890647703</v>
      </c>
      <c r="I199" s="28" t="n">
        <f aca="false">H199*(1+sh_g)</f>
        <v>1.59250890647703</v>
      </c>
      <c r="J199" s="28" t="n">
        <f aca="false">I199*(1+sh_g)</f>
        <v>1.59250890647703</v>
      </c>
    </row>
    <row r="200" customFormat="false" ht="17.15" hidden="false" customHeight="false" outlineLevel="0" collapsed="false">
      <c r="A200" s="0" t="s">
        <v>537</v>
      </c>
      <c r="B200" s="0" t="s">
        <v>403</v>
      </c>
      <c r="C200" s="16" t="n">
        <f aca="false">C198/C199</f>
        <v>66.1606281867469</v>
      </c>
      <c r="D200" s="16" t="n">
        <f aca="false">D198/D199</f>
        <v>73.2460175726595</v>
      </c>
      <c r="E200" s="16" t="n">
        <f aca="false">E198/E199</f>
        <v>105.471419873627</v>
      </c>
      <c r="F200" s="16" t="n">
        <f aca="false">F198/F199</f>
        <v>134.507554729724</v>
      </c>
      <c r="G200" s="16" t="n">
        <f aca="false">G198/G199</f>
        <v>148.069423008715</v>
      </c>
      <c r="H200" s="26" t="n">
        <f aca="false">H198/H199</f>
        <v>160.162295303722</v>
      </c>
      <c r="I200" s="26" t="n">
        <f aca="false">I198/I199</f>
        <v>171.86304947808</v>
      </c>
      <c r="J200" s="26" t="n">
        <f aca="false">J198/J199</f>
        <v>182.938144141451</v>
      </c>
    </row>
    <row r="201" customFormat="false" ht="17.15" hidden="false" customHeight="false" outlineLevel="0" collapsed="false">
      <c r="A201" s="0" t="s">
        <v>649</v>
      </c>
      <c r="B201" s="0" t="s">
        <v>46</v>
      </c>
      <c r="D201" s="19" t="n">
        <f aca="false">D200/C200-1</f>
        <v>0.107093744120947</v>
      </c>
      <c r="E201" s="19" t="n">
        <f aca="false">E200/D200-1</f>
        <v>0.439961152413511</v>
      </c>
      <c r="F201" s="19" t="n">
        <f aca="false">F200/E200-1</f>
        <v>0.27529860592459</v>
      </c>
      <c r="G201" s="19" t="n">
        <f aca="false">G200/F200-1</f>
        <v>0.100826071117289</v>
      </c>
      <c r="H201" s="24" t="n">
        <f aca="false">H200/G200-1</f>
        <v>0.0816702871483135</v>
      </c>
      <c r="I201" s="24" t="n">
        <f aca="false">I200/H200-1</f>
        <v>0.0730556099497051</v>
      </c>
      <c r="J201" s="24" t="n">
        <f aca="false">J200/I200-1</f>
        <v>0.0644413950351954</v>
      </c>
    </row>
    <row r="202" customFormat="false" ht="17.15" hidden="false" customHeight="false" outlineLevel="0" collapsed="false">
      <c r="A202" s="4" t="s">
        <v>650</v>
      </c>
      <c r="B202" s="0" t="s">
        <v>46</v>
      </c>
      <c r="C202" s="17" t="n">
        <f aca="false">C198/C182</f>
        <v>0.176721490823302</v>
      </c>
      <c r="D202" s="17" t="n">
        <f aca="false">D198/D182</f>
        <v>0.172929787405541</v>
      </c>
      <c r="E202" s="17" t="n">
        <f aca="false">E198/E182</f>
        <v>0.182147160783046</v>
      </c>
      <c r="F202" s="17" t="n">
        <f aca="false">F198/F182</f>
        <v>0.188060577693303</v>
      </c>
      <c r="G202" s="17" t="n">
        <f aca="false">G198/G182</f>
        <v>0.190684424557276</v>
      </c>
      <c r="H202" s="25" t="n">
        <f aca="false">$G202+(fade_mA-$G202)*1/3</f>
        <v>0.19149014331872</v>
      </c>
      <c r="I202" s="25" t="n">
        <f aca="false">$G202+(fade_mA-$G202)*2/3</f>
        <v>0.192295862080165</v>
      </c>
      <c r="J202" s="25" t="n">
        <f aca="false">$G202+(fade_mA-$G202)*3/3</f>
        <v>0.19310158084161</v>
      </c>
    </row>
    <row r="205" customFormat="false" ht="17.15" hidden="false" customHeight="false" outlineLevel="0" collapsed="false">
      <c r="A205" s="1" t="s">
        <v>938</v>
      </c>
    </row>
    <row r="206" customFormat="false" ht="17.15" hidden="false" customHeight="false" outlineLevel="0" collapsed="false">
      <c r="A206" s="5" t="s">
        <v>22</v>
      </c>
      <c r="B206" s="5" t="s">
        <v>23</v>
      </c>
      <c r="C206" s="14" t="s">
        <v>494</v>
      </c>
      <c r="D206" s="14" t="s">
        <v>587</v>
      </c>
      <c r="E206" s="14" t="s">
        <v>588</v>
      </c>
      <c r="F206" s="14" t="s">
        <v>589</v>
      </c>
      <c r="G206" s="14" t="s">
        <v>590</v>
      </c>
      <c r="H206" s="14" t="s">
        <v>591</v>
      </c>
      <c r="I206" s="14" t="s">
        <v>592</v>
      </c>
      <c r="J206" s="14" t="s">
        <v>593</v>
      </c>
      <c r="K206" s="5" t="s">
        <v>557</v>
      </c>
    </row>
    <row r="207" customFormat="false" ht="17.15" hidden="false" customHeight="false" outlineLevel="0" collapsed="false">
      <c r="A207" s="6" t="s">
        <v>609</v>
      </c>
    </row>
    <row r="208" customFormat="false" ht="17.15" hidden="false" customHeight="false" outlineLevel="0" collapsed="false">
      <c r="A208" s="0" t="s">
        <v>610</v>
      </c>
      <c r="B208" s="4" t="s">
        <v>33</v>
      </c>
      <c r="D208" s="20" t="n">
        <f aca="false">u_tpu_26</f>
        <v>3.85</v>
      </c>
      <c r="E208" s="20" t="n">
        <f aca="false">u_tpu_27</f>
        <v>5.5</v>
      </c>
      <c r="F208" s="20" t="n">
        <f aca="false">u_tpu_28*um28_A</f>
        <v>7</v>
      </c>
      <c r="G208" s="20" t="n">
        <f aca="false">u_tpu_28*(1+g29_tpu)*um29_A</f>
        <v>8.05</v>
      </c>
    </row>
    <row r="209" customFormat="false" ht="17.15" hidden="false" customHeight="false" outlineLevel="0" collapsed="false">
      <c r="A209" s="4" t="s">
        <v>611</v>
      </c>
      <c r="B209" s="4" t="s">
        <v>33</v>
      </c>
      <c r="D209" s="20" t="n">
        <f aca="false">u_oth_26</f>
        <v>1</v>
      </c>
      <c r="E209" s="20" t="n">
        <f aca="false">u_oth_27</f>
        <v>4.5</v>
      </c>
      <c r="F209" s="20" t="n">
        <f aca="false">u_oth_28*um28_A</f>
        <v>5</v>
      </c>
      <c r="G209" s="20" t="n">
        <f aca="false">u_oth_28*(1+g29_oth)*um29_A</f>
        <v>5.75</v>
      </c>
    </row>
    <row r="210" customFormat="false" ht="17.15" hidden="false" customHeight="false" outlineLevel="0" collapsed="false">
      <c r="A210" s="4" t="s">
        <v>561</v>
      </c>
      <c r="B210" s="0" t="s">
        <v>46</v>
      </c>
      <c r="D210" s="19" t="n">
        <f aca="false">mtk_tpu_26</f>
        <v>0.05</v>
      </c>
      <c r="E210" s="19" t="n">
        <f aca="false">MIN(1,MAX(0,mtk_tpu_27+0))</f>
        <v>0.15</v>
      </c>
      <c r="F210" s="19" t="n">
        <f aca="false">MIN(1,MAX(0,mtk_tpu_28+0))</f>
        <v>0.18</v>
      </c>
      <c r="G210" s="19" t="n">
        <f aca="false">MIN(1,MAX(0,mtk_tpu_28+0))</f>
        <v>0.18</v>
      </c>
    </row>
    <row r="211" customFormat="false" ht="17.15" hidden="false" customHeight="false" outlineLevel="0" collapsed="false">
      <c r="A211" s="4" t="s">
        <v>612</v>
      </c>
      <c r="B211" s="0" t="s">
        <v>46</v>
      </c>
      <c r="D211" s="19" t="n">
        <f aca="false">mtk_oth_26</f>
        <v>0</v>
      </c>
      <c r="E211" s="19" t="n">
        <f aca="false">MIN(1,MAX(0,mtk_oth_27+0))</f>
        <v>0</v>
      </c>
      <c r="F211" s="19" t="n">
        <f aca="false">MIN(1,MAX(0,mtk_oth_28+0))</f>
        <v>0</v>
      </c>
      <c r="G211" s="19" t="n">
        <f aca="false">MIN(1,MAX(0,mtk_oth_28+0))</f>
        <v>0</v>
      </c>
    </row>
    <row r="212" customFormat="false" ht="17.15" hidden="false" customHeight="false" outlineLevel="0" collapsed="false">
      <c r="A212" s="4" t="s">
        <v>563</v>
      </c>
      <c r="B212" s="4" t="s">
        <v>33</v>
      </c>
      <c r="D212" s="20" t="n">
        <f aca="false">D208*D210</f>
        <v>0.1925</v>
      </c>
      <c r="E212" s="20" t="n">
        <f aca="false">E208*E210*uf_hi</f>
        <v>0.99</v>
      </c>
      <c r="F212" s="20" t="n">
        <f aca="false">F208*F210*uf_hi</f>
        <v>1.512</v>
      </c>
      <c r="G212" s="20" t="n">
        <f aca="false">G208*G210*uf_hi</f>
        <v>1.7388</v>
      </c>
    </row>
    <row r="213" customFormat="false" ht="17.15" hidden="false" customHeight="false" outlineLevel="0" collapsed="false">
      <c r="A213" s="4" t="s">
        <v>613</v>
      </c>
      <c r="B213" s="4" t="s">
        <v>33</v>
      </c>
      <c r="D213" s="20" t="n">
        <f aca="false">D209*D211</f>
        <v>0</v>
      </c>
      <c r="E213" s="20" t="n">
        <f aca="false">E209*E211*uf_hi</f>
        <v>0</v>
      </c>
      <c r="F213" s="20" t="n">
        <f aca="false">F209*F211*uf_hi</f>
        <v>0</v>
      </c>
      <c r="G213" s="20" t="n">
        <f aca="false">G209*G211*uf_hi</f>
        <v>0</v>
      </c>
    </row>
    <row r="214" customFormat="false" ht="17.15" hidden="false" customHeight="false" outlineLevel="0" collapsed="false">
      <c r="A214" s="4" t="s">
        <v>614</v>
      </c>
      <c r="B214" s="0" t="s">
        <v>102</v>
      </c>
      <c r="D214" s="27" t="n">
        <f aca="false">gb_tpu_26</f>
        <v>192</v>
      </c>
      <c r="E214" s="27" t="n">
        <f aca="false">gb_tpu_27</f>
        <v>250</v>
      </c>
      <c r="F214" s="27" t="n">
        <f aca="false">gb_tpu_28</f>
        <v>288</v>
      </c>
      <c r="G214" s="27" t="n">
        <f aca="false">gb_tpu_28</f>
        <v>288</v>
      </c>
    </row>
    <row r="215" customFormat="false" ht="17.15" hidden="false" customHeight="false" outlineLevel="0" collapsed="false">
      <c r="A215" s="4" t="s">
        <v>615</v>
      </c>
      <c r="B215" s="0" t="s">
        <v>102</v>
      </c>
      <c r="D215" s="27" t="n">
        <f aca="false">gb_oth_26</f>
        <v>150</v>
      </c>
      <c r="E215" s="27" t="n">
        <f aca="false">gb_oth_27</f>
        <v>200</v>
      </c>
      <c r="F215" s="27" t="n">
        <f aca="false">gb_oth_28</f>
        <v>250</v>
      </c>
      <c r="G215" s="27" t="n">
        <f aca="false">gb_oth_28</f>
        <v>250</v>
      </c>
    </row>
    <row r="216" customFormat="false" ht="17.15" hidden="false" customHeight="false" outlineLevel="0" collapsed="false">
      <c r="A216" s="0" t="s">
        <v>616</v>
      </c>
      <c r="B216" s="0" t="s">
        <v>194</v>
      </c>
      <c r="D216" s="16" t="n">
        <f aca="false">hbm_A_26</f>
        <v>14.6</v>
      </c>
      <c r="E216" s="16" t="n">
        <f aca="false">hbm_A_27</f>
        <v>26.28</v>
      </c>
      <c r="F216" s="16" t="n">
        <f aca="false">hbm_A_28</f>
        <v>28.908</v>
      </c>
      <c r="G216" s="16" t="n">
        <f aca="false">hbm_A_29</f>
        <v>27.4626</v>
      </c>
    </row>
    <row r="217" customFormat="false" ht="17.15" hidden="false" customHeight="false" outlineLevel="0" collapsed="false">
      <c r="A217" s="4" t="s">
        <v>617</v>
      </c>
      <c r="B217" s="0" t="s">
        <v>86</v>
      </c>
      <c r="D217" s="16" t="n">
        <f aca="false">core_tpu</f>
        <v>8</v>
      </c>
      <c r="E217" s="16" t="n">
        <f aca="false">core_tpu</f>
        <v>8</v>
      </c>
      <c r="F217" s="16" t="n">
        <f aca="false">core_tpu*1</f>
        <v>8</v>
      </c>
      <c r="G217" s="16" t="n">
        <f aca="false">core_tpu*1</f>
        <v>8</v>
      </c>
    </row>
    <row r="218" customFormat="false" ht="17.15" hidden="false" customHeight="false" outlineLevel="0" collapsed="false">
      <c r="A218" s="4" t="s">
        <v>618</v>
      </c>
      <c r="B218" s="0" t="s">
        <v>86</v>
      </c>
      <c r="D218" s="16" t="n">
        <f aca="false">core_oth</f>
        <v>6</v>
      </c>
      <c r="E218" s="16" t="n">
        <f aca="false">core_oth</f>
        <v>6</v>
      </c>
      <c r="F218" s="16" t="n">
        <f aca="false">core_oth*1</f>
        <v>6</v>
      </c>
      <c r="G218" s="16" t="n">
        <f aca="false">core_oth*1</f>
        <v>6</v>
      </c>
    </row>
    <row r="219" customFormat="false" ht="17.15" hidden="false" customHeight="false" outlineLevel="0" collapsed="false">
      <c r="A219" s="4" t="s">
        <v>619</v>
      </c>
      <c r="B219" s="0" t="s">
        <v>86</v>
      </c>
      <c r="D219" s="16" t="n">
        <f aca="false">D214*D216/1000</f>
        <v>2.8032</v>
      </c>
      <c r="E219" s="16" t="n">
        <f aca="false">E214*E216/1000</f>
        <v>6.57</v>
      </c>
      <c r="F219" s="16" t="n">
        <f aca="false">F214*F216/1000</f>
        <v>8.325504</v>
      </c>
      <c r="G219" s="16" t="n">
        <f aca="false">G214*G216/1000</f>
        <v>7.9092288</v>
      </c>
    </row>
    <row r="220" customFormat="false" ht="17.15" hidden="false" customHeight="false" outlineLevel="0" collapsed="false">
      <c r="A220" s="4" t="s">
        <v>620</v>
      </c>
      <c r="B220" s="0" t="s">
        <v>86</v>
      </c>
      <c r="D220" s="16" t="n">
        <f aca="false">D215*D216/1000</f>
        <v>2.19</v>
      </c>
      <c r="E220" s="16" t="n">
        <f aca="false">E215*E216/1000</f>
        <v>5.256</v>
      </c>
      <c r="F220" s="16" t="n">
        <f aca="false">F215*F216/1000</f>
        <v>7.227</v>
      </c>
      <c r="G220" s="16" t="n">
        <f aca="false">G215*G216/1000</f>
        <v>6.86565</v>
      </c>
    </row>
    <row r="221" customFormat="false" ht="17.15" hidden="false" customHeight="false" outlineLevel="0" collapsed="false">
      <c r="A221" s="4" t="s">
        <v>621</v>
      </c>
      <c r="B221" s="0" t="s">
        <v>86</v>
      </c>
      <c r="D221" s="16" t="n">
        <f aca="false">D217+f_hbm*D219</f>
        <v>9.68192</v>
      </c>
      <c r="E221" s="16" t="n">
        <f aca="false">E217+f_hbm*E219</f>
        <v>11.942</v>
      </c>
      <c r="F221" s="16" t="n">
        <f aca="false">F217+f_hbm*F219</f>
        <v>12.9953024</v>
      </c>
      <c r="G221" s="16" t="n">
        <f aca="false">G217+f_hbm*G219</f>
        <v>12.74553728</v>
      </c>
      <c r="K221" s="4" t="s">
        <v>622</v>
      </c>
    </row>
    <row r="222" customFormat="false" ht="17.15" hidden="false" customHeight="false" outlineLevel="0" collapsed="false">
      <c r="A222" s="4" t="s">
        <v>623</v>
      </c>
      <c r="B222" s="0" t="s">
        <v>86</v>
      </c>
      <c r="D222" s="16" t="n">
        <f aca="false">D218+f_hbm*D220</f>
        <v>7.314</v>
      </c>
      <c r="E222" s="16" t="n">
        <f aca="false">E218+f_hbm*E220</f>
        <v>9.1536</v>
      </c>
      <c r="F222" s="16" t="n">
        <f aca="false">F218+f_hbm*F220</f>
        <v>10.3362</v>
      </c>
      <c r="G222" s="16" t="n">
        <f aca="false">G218+f_hbm*G220</f>
        <v>10.11939</v>
      </c>
    </row>
    <row r="223" customFormat="false" ht="17.15" hidden="false" customHeight="false" outlineLevel="0" collapsed="false">
      <c r="A223" s="0" t="s">
        <v>624</v>
      </c>
      <c r="B223" s="0" t="s">
        <v>279</v>
      </c>
      <c r="D223" s="16" t="n">
        <f aca="false">D212*D221+D213*D222</f>
        <v>1.8637696</v>
      </c>
      <c r="E223" s="16" t="n">
        <f aca="false">E212*E221+E213*E222</f>
        <v>11.82258</v>
      </c>
      <c r="F223" s="16" t="n">
        <f aca="false">F212*F221+F213*F222</f>
        <v>19.6488972288</v>
      </c>
      <c r="G223" s="16" t="n">
        <f aca="false">G212*G221+G213*G222</f>
        <v>22.161940222464</v>
      </c>
    </row>
    <row r="224" customFormat="false" ht="17.15" hidden="false" customHeight="false" outlineLevel="0" collapsed="false">
      <c r="A224" s="0" t="s">
        <v>625</v>
      </c>
      <c r="B224" s="0" t="s">
        <v>65</v>
      </c>
      <c r="D224" s="20" t="n">
        <f aca="false">dc26/D223</f>
        <v>1.07309401333727</v>
      </c>
      <c r="K224" s="8" t="s">
        <v>626</v>
      </c>
    </row>
    <row r="225" customFormat="false" ht="17.15" hidden="false" customHeight="false" outlineLevel="0" collapsed="false">
      <c r="A225" s="0" t="s">
        <v>627</v>
      </c>
      <c r="B225" s="0" t="s">
        <v>279</v>
      </c>
      <c r="D225" s="16" t="n">
        <f aca="false">D223*$D$224</f>
        <v>2</v>
      </c>
      <c r="E225" s="16" t="n">
        <f aca="false">E223*$D$224</f>
        <v>12.686739820201</v>
      </c>
      <c r="F225" s="16" t="n">
        <f aca="false">F223*$D$224</f>
        <v>21.0851139849046</v>
      </c>
      <c r="G225" s="16" t="n">
        <f aca="false">G223*$D$224</f>
        <v>23.7818453766646</v>
      </c>
    </row>
    <row r="226" customFormat="false" ht="15" hidden="false" customHeight="false" outlineLevel="0" collapsed="false">
      <c r="A226" s="4" t="s">
        <v>628</v>
      </c>
      <c r="B226" s="0" t="s">
        <v>288</v>
      </c>
      <c r="D226" s="16" t="n">
        <f aca="false">fx26</f>
        <v>32</v>
      </c>
      <c r="E226" s="16" t="n">
        <f aca="false">fx</f>
        <v>32</v>
      </c>
      <c r="F226" s="16" t="n">
        <f aca="false">fx</f>
        <v>32</v>
      </c>
      <c r="G226" s="16" t="n">
        <f aca="false">fx</f>
        <v>32</v>
      </c>
    </row>
    <row r="227" customFormat="false" ht="17.15" hidden="false" customHeight="false" outlineLevel="0" collapsed="false">
      <c r="A227" s="0" t="s">
        <v>629</v>
      </c>
      <c r="B227" s="0" t="s">
        <v>301</v>
      </c>
      <c r="C227" s="16" t="n">
        <f aca="false">a25_asic</f>
        <v>0</v>
      </c>
      <c r="D227" s="16" t="n">
        <f aca="false">D225*D226</f>
        <v>64</v>
      </c>
      <c r="E227" s="16" t="n">
        <f aca="false">E225*E226</f>
        <v>405.97567424643</v>
      </c>
      <c r="F227" s="16" t="n">
        <f aca="false">F225*F226</f>
        <v>674.723647516946</v>
      </c>
      <c r="G227" s="16" t="n">
        <f aca="false">G225*G226</f>
        <v>761.019052053267</v>
      </c>
    </row>
    <row r="228" customFormat="false" ht="17.15" hidden="false" customHeight="false" outlineLevel="0" collapsed="false">
      <c r="A228" s="4" t="s">
        <v>630</v>
      </c>
      <c r="B228" s="0" t="s">
        <v>301</v>
      </c>
      <c r="D228" s="16" t="n">
        <f aca="false">$D$224*f_hbm*(D212*D219+D213*D220)*D226</f>
        <v>11.1179270227393</v>
      </c>
      <c r="E228" s="16" t="n">
        <f aca="false">$D$224*f_hbm*(E212*E219+E213*E220)*E226</f>
        <v>134.010727506233</v>
      </c>
      <c r="F228" s="16" t="n">
        <f aca="false">$D$224*f_hbm*(F212*F219+F213*F220)*F226</f>
        <v>259.359001586462</v>
      </c>
      <c r="G228" s="16" t="n">
        <f aca="false">$D$224*f_hbm*(G212*G219+G213*G220)*G226</f>
        <v>283.34970923321</v>
      </c>
    </row>
    <row r="229" customFormat="false" ht="15" hidden="false" customHeight="false" outlineLevel="0" collapsed="false">
      <c r="A229" s="4" t="s">
        <v>631</v>
      </c>
      <c r="B229" s="0" t="s">
        <v>301</v>
      </c>
      <c r="D229" s="16" t="n">
        <f aca="false">D227-D228</f>
        <v>52.8820729772607</v>
      </c>
      <c r="E229" s="16" t="n">
        <f aca="false">E227-E228</f>
        <v>271.964946740198</v>
      </c>
      <c r="F229" s="16" t="n">
        <f aca="false">F227-F228</f>
        <v>415.364645930484</v>
      </c>
      <c r="G229" s="16" t="n">
        <f aca="false">G227-G228</f>
        <v>477.669342820057</v>
      </c>
    </row>
    <row r="230" customFormat="false" ht="17.15" hidden="false" customHeight="false" outlineLevel="0" collapsed="false">
      <c r="A230" s="4" t="s">
        <v>632</v>
      </c>
      <c r="B230" s="4" t="s">
        <v>33</v>
      </c>
      <c r="D230" s="20" t="n">
        <f aca="false">D212+D213</f>
        <v>0.1925</v>
      </c>
      <c r="E230" s="20" t="n">
        <f aca="false">E212+E213</f>
        <v>0.99</v>
      </c>
      <c r="F230" s="20" t="n">
        <f aca="false">F212+F213</f>
        <v>1.512</v>
      </c>
      <c r="G230" s="20" t="n">
        <f aca="false">G212+G213</f>
        <v>1.7388</v>
      </c>
    </row>
    <row r="231" customFormat="false" ht="17.15" hidden="false" customHeight="false" outlineLevel="0" collapsed="false">
      <c r="A231" s="4" t="s">
        <v>633</v>
      </c>
      <c r="B231" s="0" t="s">
        <v>86</v>
      </c>
      <c r="D231" s="16" t="n">
        <f aca="false">IF(D230&gt;0,D225/D230,0)</f>
        <v>10.3896103896104</v>
      </c>
      <c r="E231" s="16" t="n">
        <f aca="false">IF(E230&gt;0,E225/E230,0)</f>
        <v>12.8148887072737</v>
      </c>
      <c r="F231" s="16" t="n">
        <f aca="false">IF(F230&gt;0,F225/F230,0)</f>
        <v>13.9451812069475</v>
      </c>
      <c r="G231" s="16" t="n">
        <f aca="false">IF(G230&gt;0,G225/G230,0)</f>
        <v>13.677159751935</v>
      </c>
    </row>
    <row r="232" customFormat="false" ht="17.15" hidden="false" customHeight="false" outlineLevel="0" collapsed="false">
      <c r="A232" s="6" t="s">
        <v>634</v>
      </c>
    </row>
    <row r="233" customFormat="false" ht="15" hidden="false" customHeight="false" outlineLevel="0" collapsed="false">
      <c r="A233" s="4" t="s">
        <v>635</v>
      </c>
      <c r="B233" s="0" t="s">
        <v>301</v>
      </c>
      <c r="C233" s="16" t="n">
        <f aca="false">a25_mob</f>
        <v>315.86198</v>
      </c>
      <c r="D233" s="16" t="n">
        <f aca="false">a26_mob</f>
        <v>262.655761173888</v>
      </c>
      <c r="E233" s="16" t="n">
        <f aca="false">D233*(1+g_mob27_A)</f>
        <v>275.788549232582</v>
      </c>
      <c r="F233" s="16" t="n">
        <f aca="false">E233*(1+g_mobL_A)</f>
        <v>286.820091201885</v>
      </c>
      <c r="G233" s="16" t="n">
        <f aca="false">F233*(1+g_mobL_A)</f>
        <v>298.292894849961</v>
      </c>
    </row>
    <row r="234" customFormat="false" ht="17.15" hidden="false" customHeight="false" outlineLevel="0" collapsed="false">
      <c r="A234" s="4" t="s">
        <v>636</v>
      </c>
      <c r="B234" s="0" t="s">
        <v>301</v>
      </c>
      <c r="C234" s="16" t="n">
        <f aca="false">a25_sepx</f>
        <v>247.32589</v>
      </c>
      <c r="D234" s="16" t="n">
        <f aca="false">a26_sepx</f>
        <v>311.894023346019</v>
      </c>
      <c r="E234" s="16" t="n">
        <f aca="false">D234*(1+g_sep27_A)</f>
        <v>336.8455452137</v>
      </c>
      <c r="F234" s="16" t="n">
        <f aca="false">E234*(1+g_sepL_A)</f>
        <v>360.424733378659</v>
      </c>
      <c r="G234" s="16" t="n">
        <f aca="false">F234*(1+g_sepL_A)</f>
        <v>385.654464715166</v>
      </c>
    </row>
    <row r="235" customFormat="false" ht="17.15" hidden="false" customHeight="false" outlineLevel="0" collapsed="false">
      <c r="A235" s="4" t="s">
        <v>637</v>
      </c>
      <c r="B235" s="0" t="s">
        <v>301</v>
      </c>
      <c r="C235" s="16" t="n">
        <f aca="false">a25_pic</f>
        <v>32.77813</v>
      </c>
      <c r="D235" s="16" t="n">
        <f aca="false">a26_pic</f>
        <v>35.9721535362998</v>
      </c>
      <c r="E235" s="16" t="n">
        <f aca="false">D235*(1+g_pic27_A)</f>
        <v>38.8499258192038</v>
      </c>
      <c r="F235" s="16" t="n">
        <f aca="false">E235*(1+g_picL_A)</f>
        <v>41.9579198847401</v>
      </c>
      <c r="G235" s="16" t="n">
        <f aca="false">F235*(1+g_picL_A)</f>
        <v>45.3145534755193</v>
      </c>
    </row>
    <row r="236" customFormat="false" ht="17.15" hidden="false" customHeight="false" outlineLevel="0" collapsed="false">
      <c r="A236" s="4" t="s">
        <v>638</v>
      </c>
      <c r="B236" s="0" t="s">
        <v>301</v>
      </c>
      <c r="C236" s="16" t="n">
        <f aca="false">C233+C234+C235</f>
        <v>595.966</v>
      </c>
      <c r="D236" s="16" t="n">
        <f aca="false">D233+D234+D235</f>
        <v>610.521938056206</v>
      </c>
      <c r="E236" s="16" t="n">
        <f aca="false">E233+E234+E235</f>
        <v>651.484020265486</v>
      </c>
      <c r="F236" s="16" t="n">
        <f aca="false">F233+F234+F235</f>
        <v>689.202744465285</v>
      </c>
      <c r="G236" s="16" t="n">
        <f aca="false">G233+G234+G235</f>
        <v>729.261913040646</v>
      </c>
    </row>
    <row r="237" customFormat="false" ht="17.15" hidden="false" customHeight="false" outlineLevel="0" collapsed="false">
      <c r="A237" s="4" t="s">
        <v>501</v>
      </c>
      <c r="B237" s="0" t="s">
        <v>301</v>
      </c>
      <c r="C237" s="16" t="n">
        <f aca="false">C236+C227</f>
        <v>595.966</v>
      </c>
      <c r="D237" s="16" t="n">
        <f aca="false">D236+D227</f>
        <v>674.521938056206</v>
      </c>
      <c r="E237" s="16" t="n">
        <f aca="false">E236+E227</f>
        <v>1057.45969451192</v>
      </c>
      <c r="F237" s="16" t="n">
        <f aca="false">F236+F227</f>
        <v>1363.92639198223</v>
      </c>
      <c r="G237" s="16" t="n">
        <f aca="false">G236+G227</f>
        <v>1490.28096509391</v>
      </c>
      <c r="H237" s="26" t="n">
        <f aca="false">G237*(1+H238)</f>
        <v>1612.12665159582</v>
      </c>
      <c r="I237" s="26" t="n">
        <f aca="false">H237*(1+I238)</f>
        <v>1726.39435892773</v>
      </c>
      <c r="J237" s="26" t="n">
        <f aca="false">I237*(1+J238)</f>
        <v>1829.9780204634</v>
      </c>
      <c r="K237" s="8" t="s">
        <v>639</v>
      </c>
    </row>
    <row r="238" customFormat="false" ht="15" hidden="false" customHeight="false" outlineLevel="0" collapsed="false">
      <c r="A238" s="4" t="s">
        <v>640</v>
      </c>
      <c r="B238" s="0" t="s">
        <v>46</v>
      </c>
      <c r="D238" s="19" t="n">
        <f aca="false">D237/C237-1</f>
        <v>0.131812784716252</v>
      </c>
      <c r="E238" s="19" t="n">
        <f aca="false">E237/D237-1</f>
        <v>0.567717274784621</v>
      </c>
      <c r="F238" s="19" t="n">
        <f aca="false">F237/E237-1</f>
        <v>0.289814069567699</v>
      </c>
      <c r="G238" s="19" t="n">
        <f aca="false">G237/F237-1</f>
        <v>0.0926403168488048</v>
      </c>
      <c r="H238" s="24" t="n">
        <f aca="false">$G238+(fade_gA-$G238)*1/3</f>
        <v>0.0817602112325365</v>
      </c>
      <c r="I238" s="24" t="n">
        <f aca="false">$G238+(fade_gA-$G238)*2/3</f>
        <v>0.0708801056162683</v>
      </c>
      <c r="J238" s="24" t="n">
        <f aca="false">$G238+(fade_gA-$G238)*3/3</f>
        <v>0.06</v>
      </c>
    </row>
    <row r="239" customFormat="false" ht="17.15" hidden="false" customHeight="false" outlineLevel="0" collapsed="false">
      <c r="A239" s="0" t="s">
        <v>641</v>
      </c>
      <c r="B239" s="0" t="s">
        <v>46</v>
      </c>
      <c r="C239" s="19" t="n">
        <f aca="false">C227/C237</f>
        <v>0</v>
      </c>
      <c r="D239" s="19" t="n">
        <f aca="false">D227/D237</f>
        <v>0.0948820140445411</v>
      </c>
      <c r="E239" s="19" t="n">
        <f aca="false">E227/E237</f>
        <v>0.383915979354479</v>
      </c>
      <c r="F239" s="19" t="n">
        <f aca="false">F227/F237</f>
        <v>0.494692126703665</v>
      </c>
      <c r="G239" s="19" t="n">
        <f aca="false">G227/G237</f>
        <v>0.510654748921999</v>
      </c>
    </row>
    <row r="240" customFormat="false" ht="17.15" hidden="false" customHeight="false" outlineLevel="0" collapsed="false">
      <c r="A240" s="4" t="s">
        <v>642</v>
      </c>
      <c r="B240" s="0" t="s">
        <v>46</v>
      </c>
      <c r="C240" s="19" t="n">
        <f aca="false">C233/C237</f>
        <v>0.53</v>
      </c>
      <c r="D240" s="19" t="n">
        <f aca="false">D233/D237</f>
        <v>0.389395431571569</v>
      </c>
      <c r="E240" s="19" t="n">
        <f aca="false">E233/E237</f>
        <v>0.260802894582073</v>
      </c>
      <c r="F240" s="19" t="n">
        <f aca="false">F233/F237</f>
        <v>0.210290007501829</v>
      </c>
      <c r="G240" s="19" t="n">
        <f aca="false">G233/G237</f>
        <v>0.200158830339193</v>
      </c>
    </row>
    <row r="241" customFormat="false" ht="17.15" hidden="false" customHeight="false" outlineLevel="0" collapsed="false">
      <c r="A241" s="6" t="s">
        <v>643</v>
      </c>
    </row>
    <row r="242" customFormat="false" ht="17.15" hidden="false" customHeight="false" outlineLevel="0" collapsed="false">
      <c r="A242" s="0" t="s">
        <v>644</v>
      </c>
      <c r="B242" s="0" t="s">
        <v>301</v>
      </c>
      <c r="D242" s="16" t="n">
        <f aca="false">m_core*D229+m_hbm*D228</f>
        <v>24.9087255420412</v>
      </c>
      <c r="E242" s="16" t="n">
        <f aca="false">m_core*E229+m_hbm*E228</f>
        <v>135.785298783712</v>
      </c>
      <c r="F242" s="16" t="n">
        <f aca="false">m_core*F229+m_hbm*F228</f>
        <v>212.849990827364</v>
      </c>
      <c r="G242" s="16" t="n">
        <f aca="false">m_core*G229+m_hbm*G228</f>
        <v>243.286175192347</v>
      </c>
    </row>
    <row r="243" customFormat="false" ht="17.15" hidden="false" customHeight="false" outlineLevel="0" collapsed="false">
      <c r="A243" s="4" t="s">
        <v>645</v>
      </c>
      <c r="B243" s="0" t="s">
        <v>46</v>
      </c>
      <c r="C243" s="17" t="n">
        <f aca="false">a25_gp/C236</f>
        <v>0.474993539899927</v>
      </c>
      <c r="D243" s="17" t="n">
        <f aca="false">(a26_gp-D242)/D236</f>
        <v>0.462340704042911</v>
      </c>
      <c r="E243" s="17" t="n">
        <f aca="false">$D243+0</f>
        <v>0.462340704042911</v>
      </c>
      <c r="F243" s="17" t="n">
        <f aca="false">$D243+0</f>
        <v>0.462340704042911</v>
      </c>
      <c r="G243" s="17" t="n">
        <f aca="false">$D243+0</f>
        <v>0.462340704042911</v>
      </c>
      <c r="K243" s="8" t="s">
        <v>646</v>
      </c>
    </row>
    <row r="244" customFormat="false" ht="15" hidden="false" customHeight="false" outlineLevel="0" collapsed="false">
      <c r="A244" s="4" t="s">
        <v>517</v>
      </c>
      <c r="B244" s="0" t="s">
        <v>301</v>
      </c>
      <c r="C244" s="16" t="n">
        <f aca="false">a25_gp</f>
        <v>283.08</v>
      </c>
      <c r="D244" s="16" t="n">
        <f aca="false">a26_gp</f>
        <v>307.17786821659</v>
      </c>
      <c r="E244" s="16" t="n">
        <f aca="false">E243*E236+E242</f>
        <v>436.992879385963</v>
      </c>
      <c r="F244" s="16" t="n">
        <f aca="false">F243*F236+F242</f>
        <v>531.49647293175</v>
      </c>
      <c r="G244" s="16" t="n">
        <f aca="false">G243*G236+G242</f>
        <v>580.453641499239</v>
      </c>
    </row>
    <row r="245" customFormat="false" ht="15" hidden="false" customHeight="false" outlineLevel="0" collapsed="false">
      <c r="A245" s="4" t="s">
        <v>520</v>
      </c>
      <c r="B245" s="0" t="s">
        <v>46</v>
      </c>
      <c r="C245" s="17" t="n">
        <f aca="false">C244/C237</f>
        <v>0.474993539899927</v>
      </c>
      <c r="D245" s="17" t="n">
        <f aca="false">D244/D237</f>
        <v>0.455400856348417</v>
      </c>
      <c r="E245" s="17" t="n">
        <f aca="false">E244/E237</f>
        <v>0.413247787744442</v>
      </c>
      <c r="F245" s="17" t="n">
        <f aca="false">F244/F237</f>
        <v>0.389681199847825</v>
      </c>
      <c r="G245" s="17" t="n">
        <f aca="false">G244/G237</f>
        <v>0.389492756798823</v>
      </c>
    </row>
    <row r="246" customFormat="false" ht="15" hidden="false" customHeight="false" outlineLevel="0" collapsed="false">
      <c r="A246" s="4" t="s">
        <v>647</v>
      </c>
      <c r="B246" s="0" t="s">
        <v>301</v>
      </c>
      <c r="C246" s="16" t="n">
        <f aca="false">a25_opx</f>
        <v>179.61</v>
      </c>
      <c r="D246" s="16" t="n">
        <f aca="false">a26_opx</f>
        <v>192.105</v>
      </c>
      <c r="E246" s="16" t="n">
        <f aca="false">D246*(1+MAX(g_opx_min,phi*E238))+0*E237</f>
        <v>224.82339812175</v>
      </c>
      <c r="F246" s="16" t="n">
        <f aca="false">E246*(1+MAX(g_opx_min,phi*F238))+0*F237</f>
        <v>244.370493304861</v>
      </c>
      <c r="G246" s="16" t="n">
        <f aca="false">F246*(1+MAX(g_opx_min,phi*G238))+0*G237</f>
        <v>259.032722903153</v>
      </c>
    </row>
    <row r="247" customFormat="false" ht="15" hidden="false" customHeight="false" outlineLevel="0" collapsed="false">
      <c r="A247" s="4" t="s">
        <v>524</v>
      </c>
      <c r="B247" s="0" t="s">
        <v>301</v>
      </c>
      <c r="C247" s="16" t="n">
        <f aca="false">C244-C246</f>
        <v>103.47</v>
      </c>
      <c r="D247" s="16" t="n">
        <f aca="false">D244-D246</f>
        <v>115.07286821659</v>
      </c>
      <c r="E247" s="16" t="n">
        <f aca="false">E244-E246</f>
        <v>212.169481264213</v>
      </c>
      <c r="F247" s="16" t="n">
        <f aca="false">F244-F246</f>
        <v>287.125979626889</v>
      </c>
      <c r="G247" s="16" t="n">
        <f aca="false">G244-G246</f>
        <v>321.420918596086</v>
      </c>
    </row>
    <row r="248" customFormat="false" ht="15" hidden="false" customHeight="false" outlineLevel="0" collapsed="false">
      <c r="A248" s="4" t="s">
        <v>598</v>
      </c>
      <c r="B248" s="0" t="s">
        <v>46</v>
      </c>
      <c r="C248" s="17" t="n">
        <f aca="false">C247/C237</f>
        <v>0.173617286892205</v>
      </c>
      <c r="D248" s="17" t="n">
        <f aca="false">D247/D237</f>
        <v>0.170599148410502</v>
      </c>
      <c r="E248" s="17" t="n">
        <f aca="false">E247/E237</f>
        <v>0.200640726417608</v>
      </c>
      <c r="F248" s="17" t="n">
        <f aca="false">F247/F237</f>
        <v>0.210514277980648</v>
      </c>
      <c r="G248" s="17" t="n">
        <f aca="false">G247/G237</f>
        <v>0.215678067508452</v>
      </c>
    </row>
    <row r="249" customFormat="false" ht="15" hidden="false" customHeight="false" outlineLevel="0" collapsed="false">
      <c r="A249" s="4" t="s">
        <v>526</v>
      </c>
      <c r="B249" s="0" t="s">
        <v>301</v>
      </c>
      <c r="C249" s="16" t="n">
        <f aca="false">a25_nonop</f>
        <v>21.418</v>
      </c>
      <c r="D249" s="16" t="n">
        <f aca="false">a26_nonop</f>
        <v>18.823</v>
      </c>
      <c r="E249" s="16" t="n">
        <f aca="false">nonop_f</f>
        <v>18</v>
      </c>
      <c r="F249" s="16" t="n">
        <f aca="false">nonop_f</f>
        <v>18</v>
      </c>
      <c r="G249" s="16" t="n">
        <f aca="false">nonop_f</f>
        <v>18</v>
      </c>
    </row>
    <row r="250" customFormat="false" ht="15" hidden="false" customHeight="false" outlineLevel="0" collapsed="false">
      <c r="A250" s="4" t="s">
        <v>528</v>
      </c>
      <c r="B250" s="0" t="s">
        <v>301</v>
      </c>
      <c r="C250" s="16" t="n">
        <f aca="false">C247+C249</f>
        <v>124.888</v>
      </c>
      <c r="D250" s="16" t="n">
        <f aca="false">D247+D249</f>
        <v>133.89586821659</v>
      </c>
      <c r="E250" s="16" t="n">
        <f aca="false">E247+E249</f>
        <v>230.169481264213</v>
      </c>
      <c r="F250" s="16" t="n">
        <f aca="false">F247+F249</f>
        <v>305.125979626889</v>
      </c>
      <c r="G250" s="16" t="n">
        <f aca="false">G247+G249</f>
        <v>339.420918596086</v>
      </c>
    </row>
    <row r="251" customFormat="false" ht="15" hidden="false" customHeight="false" outlineLevel="0" collapsed="false">
      <c r="A251" s="4" t="s">
        <v>529</v>
      </c>
      <c r="B251" s="0" t="s">
        <v>301</v>
      </c>
      <c r="C251" s="16" t="n">
        <f aca="false">a25_tax</f>
        <v>18.77</v>
      </c>
      <c r="D251" s="16" t="n">
        <f aca="false">a26_tax</f>
        <v>16.2589328681567</v>
      </c>
      <c r="E251" s="16" t="n">
        <f aca="false">E250*tax</f>
        <v>32.2237273769899</v>
      </c>
      <c r="F251" s="16" t="n">
        <f aca="false">F250*tax</f>
        <v>42.7176371477645</v>
      </c>
      <c r="G251" s="16" t="n">
        <f aca="false">G250*tax</f>
        <v>47.518928603452</v>
      </c>
    </row>
    <row r="252" customFormat="false" ht="15" hidden="false" customHeight="false" outlineLevel="0" collapsed="false">
      <c r="A252" s="4" t="s">
        <v>530</v>
      </c>
      <c r="B252" s="0" t="s">
        <v>301</v>
      </c>
      <c r="C252" s="16" t="n">
        <f aca="false">a25_nci</f>
        <v>0.798</v>
      </c>
      <c r="D252" s="16" t="n">
        <f aca="false">a26_nci</f>
        <v>0.992</v>
      </c>
      <c r="E252" s="16" t="n">
        <f aca="false">nci</f>
        <v>1</v>
      </c>
      <c r="F252" s="16" t="n">
        <f aca="false">nci</f>
        <v>1</v>
      </c>
      <c r="G252" s="16" t="n">
        <f aca="false">nci</f>
        <v>1</v>
      </c>
    </row>
    <row r="253" customFormat="false" ht="15" hidden="false" customHeight="false" outlineLevel="0" collapsed="false">
      <c r="A253" s="4" t="s">
        <v>532</v>
      </c>
      <c r="B253" s="0" t="s">
        <v>301</v>
      </c>
      <c r="C253" s="16" t="n">
        <f aca="false">C250-C251-C252</f>
        <v>105.32</v>
      </c>
      <c r="D253" s="16" t="n">
        <f aca="false">D250-D251-D252</f>
        <v>116.644935348433</v>
      </c>
      <c r="E253" s="16" t="n">
        <f aca="false">E250-E251-E252</f>
        <v>196.945753887223</v>
      </c>
      <c r="F253" s="16" t="n">
        <f aca="false">F250-F251-F252</f>
        <v>261.408342479125</v>
      </c>
      <c r="G253" s="16" t="n">
        <f aca="false">G250-G251-G252</f>
        <v>290.901989992634</v>
      </c>
      <c r="H253" s="26" t="n">
        <f aca="false">H237*H257</f>
        <v>313.558867074946</v>
      </c>
      <c r="I253" s="26" t="n">
        <f aca="false">I237*I257</f>
        <v>334.576716277559</v>
      </c>
      <c r="J253" s="26" t="n">
        <f aca="false">J237*J257</f>
        <v>353.371648656882</v>
      </c>
    </row>
    <row r="254" customFormat="false" ht="15" hidden="false" customHeight="false" outlineLevel="0" collapsed="false">
      <c r="A254" s="4" t="s">
        <v>648</v>
      </c>
      <c r="B254" s="4" t="s">
        <v>346</v>
      </c>
      <c r="C254" s="18" t="n">
        <f aca="false">a25_sh</f>
        <v>1.59188331318017</v>
      </c>
      <c r="D254" s="18" t="n">
        <f aca="false">a26_sh</f>
        <v>1.59250890647703</v>
      </c>
      <c r="E254" s="18" t="n">
        <f aca="false">D254*(1+sh_g)</f>
        <v>1.59250890647703</v>
      </c>
      <c r="F254" s="18" t="n">
        <f aca="false">E254*(1+sh_g)</f>
        <v>1.59250890647703</v>
      </c>
      <c r="G254" s="18" t="n">
        <f aca="false">F254*(1+sh_g)</f>
        <v>1.59250890647703</v>
      </c>
      <c r="H254" s="28" t="n">
        <f aca="false">G254*(1+sh_g)</f>
        <v>1.59250890647703</v>
      </c>
      <c r="I254" s="28" t="n">
        <f aca="false">H254*(1+sh_g)</f>
        <v>1.59250890647703</v>
      </c>
      <c r="J254" s="28" t="n">
        <f aca="false">I254*(1+sh_g)</f>
        <v>1.59250890647703</v>
      </c>
    </row>
    <row r="255" customFormat="false" ht="17.15" hidden="false" customHeight="false" outlineLevel="0" collapsed="false">
      <c r="A255" s="0" t="s">
        <v>537</v>
      </c>
      <c r="B255" s="0" t="s">
        <v>403</v>
      </c>
      <c r="C255" s="16" t="n">
        <f aca="false">C253/C254</f>
        <v>66.1606281867469</v>
      </c>
      <c r="D255" s="16" t="n">
        <f aca="false">D253/D254</f>
        <v>73.2460175726595</v>
      </c>
      <c r="E255" s="16" t="n">
        <f aca="false">E253/E254</f>
        <v>123.670111411125</v>
      </c>
      <c r="F255" s="16" t="n">
        <f aca="false">F253/F254</f>
        <v>164.148747561743</v>
      </c>
      <c r="G255" s="16" t="n">
        <f aca="false">G253/G254</f>
        <v>182.668987789947</v>
      </c>
      <c r="H255" s="26" t="n">
        <f aca="false">H253/H254</f>
        <v>196.896146577042</v>
      </c>
      <c r="I255" s="26" t="n">
        <f aca="false">I253/I254</f>
        <v>210.09409424134</v>
      </c>
      <c r="J255" s="26" t="n">
        <f aca="false">J253/J254</f>
        <v>221.896183575271</v>
      </c>
    </row>
    <row r="256" customFormat="false" ht="17.15" hidden="false" customHeight="false" outlineLevel="0" collapsed="false">
      <c r="A256" s="0" t="s">
        <v>649</v>
      </c>
      <c r="B256" s="0" t="s">
        <v>46</v>
      </c>
      <c r="D256" s="19" t="n">
        <f aca="false">D255/C255-1</f>
        <v>0.107093744120947</v>
      </c>
      <c r="E256" s="19" t="n">
        <f aca="false">E255/D255-1</f>
        <v>0.688420961432414</v>
      </c>
      <c r="F256" s="19" t="n">
        <f aca="false">F255/E255-1</f>
        <v>0.327311390672654</v>
      </c>
      <c r="G256" s="19" t="n">
        <f aca="false">G255/F255-1</f>
        <v>0.112825961229085</v>
      </c>
      <c r="H256" s="24" t="n">
        <f aca="false">H255/G255-1</f>
        <v>0.0778849160945436</v>
      </c>
      <c r="I256" s="24" t="n">
        <f aca="false">I255/H255-1</f>
        <v>0.0670299947141648</v>
      </c>
      <c r="J256" s="24" t="n">
        <f aca="false">J255/I255-1</f>
        <v>0.0561752550758214</v>
      </c>
    </row>
    <row r="257" customFormat="false" ht="17.15" hidden="false" customHeight="false" outlineLevel="0" collapsed="false">
      <c r="A257" s="4" t="s">
        <v>650</v>
      </c>
      <c r="B257" s="0" t="s">
        <v>46</v>
      </c>
      <c r="C257" s="17" t="n">
        <f aca="false">C253/C237</f>
        <v>0.176721490823302</v>
      </c>
      <c r="D257" s="17" t="n">
        <f aca="false">D253/D237</f>
        <v>0.172929787405541</v>
      </c>
      <c r="E257" s="17" t="n">
        <f aca="false">E253/E237</f>
        <v>0.186244218015445</v>
      </c>
      <c r="F257" s="17" t="n">
        <f aca="false">F253/F237</f>
        <v>0.191658687753093</v>
      </c>
      <c r="G257" s="17" t="n">
        <f aca="false">G253/G237</f>
        <v>0.195199426689518</v>
      </c>
      <c r="H257" s="25" t="n">
        <f aca="false">$G257+(fade_mA-$G257)*1/3</f>
        <v>0.194500144740216</v>
      </c>
      <c r="I257" s="25" t="n">
        <f aca="false">$G257+(fade_mA-$G257)*2/3</f>
        <v>0.193800862790913</v>
      </c>
      <c r="J257" s="25" t="n">
        <f aca="false">$G257+(fade_mA-$G257)*3/3</f>
        <v>0.19310158084161</v>
      </c>
    </row>
    <row r="260" customFormat="false" ht="17.15" hidden="false" customHeight="false" outlineLevel="0" collapsed="false">
      <c r="A260" s="1" t="s">
        <v>939</v>
      </c>
    </row>
    <row r="261" customFormat="false" ht="17.15" hidden="false" customHeight="false" outlineLevel="0" collapsed="false">
      <c r="A261" s="5" t="s">
        <v>22</v>
      </c>
      <c r="B261" s="5" t="s">
        <v>23</v>
      </c>
      <c r="C261" s="14" t="s">
        <v>494</v>
      </c>
      <c r="D261" s="14" t="s">
        <v>587</v>
      </c>
      <c r="E261" s="14" t="s">
        <v>588</v>
      </c>
      <c r="F261" s="14" t="s">
        <v>589</v>
      </c>
      <c r="G261" s="14" t="s">
        <v>590</v>
      </c>
      <c r="H261" s="14" t="s">
        <v>591</v>
      </c>
      <c r="I261" s="14" t="s">
        <v>592</v>
      </c>
      <c r="J261" s="14" t="s">
        <v>593</v>
      </c>
      <c r="K261" s="5" t="s">
        <v>557</v>
      </c>
    </row>
    <row r="262" customFormat="false" ht="17.15" hidden="false" customHeight="false" outlineLevel="0" collapsed="false">
      <c r="A262" s="6" t="s">
        <v>609</v>
      </c>
    </row>
    <row r="263" customFormat="false" ht="17.15" hidden="false" customHeight="false" outlineLevel="0" collapsed="false">
      <c r="A263" s="0" t="s">
        <v>610</v>
      </c>
      <c r="B263" s="4" t="s">
        <v>33</v>
      </c>
      <c r="D263" s="20" t="n">
        <f aca="false">u_tpu_26</f>
        <v>3.85</v>
      </c>
      <c r="E263" s="20" t="n">
        <f aca="false">u_tpu_27</f>
        <v>5.5</v>
      </c>
      <c r="F263" s="20" t="n">
        <f aca="false">u_tpu_28*um28_A</f>
        <v>7</v>
      </c>
      <c r="G263" s="20" t="n">
        <f aca="false">u_tpu_28*(1+g29_tpu)*um29_A</f>
        <v>8.05</v>
      </c>
    </row>
    <row r="264" customFormat="false" ht="17.15" hidden="false" customHeight="false" outlineLevel="0" collapsed="false">
      <c r="A264" s="4" t="s">
        <v>611</v>
      </c>
      <c r="B264" s="4" t="s">
        <v>33</v>
      </c>
      <c r="D264" s="20" t="n">
        <f aca="false">u_oth_26</f>
        <v>1</v>
      </c>
      <c r="E264" s="20" t="n">
        <f aca="false">u_oth_27</f>
        <v>4.5</v>
      </c>
      <c r="F264" s="20" t="n">
        <f aca="false">u_oth_28*um28_A</f>
        <v>5</v>
      </c>
      <c r="G264" s="20" t="n">
        <f aca="false">u_oth_28*(1+g29_oth)*um29_A</f>
        <v>5.75</v>
      </c>
    </row>
    <row r="265" customFormat="false" ht="17.15" hidden="false" customHeight="false" outlineLevel="0" collapsed="false">
      <c r="A265" s="4" t="s">
        <v>561</v>
      </c>
      <c r="B265" s="0" t="s">
        <v>46</v>
      </c>
      <c r="D265" s="19" t="n">
        <f aca="false">mtk_tpu_26</f>
        <v>0.05</v>
      </c>
      <c r="E265" s="19" t="n">
        <f aca="false">MIN(1,MAX(0,mtk_tpu_27+0))</f>
        <v>0.15</v>
      </c>
      <c r="F265" s="19" t="n">
        <f aca="false">MIN(1,MAX(0,mtk_tpu_28+0))</f>
        <v>0.18</v>
      </c>
      <c r="G265" s="19" t="n">
        <f aca="false">MIN(1,MAX(0,mtk_tpu_28+0))</f>
        <v>0.18</v>
      </c>
    </row>
    <row r="266" customFormat="false" ht="17.15" hidden="false" customHeight="false" outlineLevel="0" collapsed="false">
      <c r="A266" s="4" t="s">
        <v>612</v>
      </c>
      <c r="B266" s="0" t="s">
        <v>46</v>
      </c>
      <c r="D266" s="19" t="n">
        <f aca="false">mtk_oth_26</f>
        <v>0</v>
      </c>
      <c r="E266" s="19" t="n">
        <f aca="false">MIN(1,MAX(0,mtk_oth_27+0))</f>
        <v>0</v>
      </c>
      <c r="F266" s="19" t="n">
        <f aca="false">MIN(1,MAX(0,mtk_oth_28+0))</f>
        <v>0</v>
      </c>
      <c r="G266" s="19" t="n">
        <f aca="false">MIN(1,MAX(0,mtk_oth_28+0))</f>
        <v>0</v>
      </c>
    </row>
    <row r="267" customFormat="false" ht="17.15" hidden="false" customHeight="false" outlineLevel="0" collapsed="false">
      <c r="A267" s="4" t="s">
        <v>563</v>
      </c>
      <c r="B267" s="4" t="s">
        <v>33</v>
      </c>
      <c r="D267" s="20" t="n">
        <f aca="false">D263*D265</f>
        <v>0.1925</v>
      </c>
      <c r="E267" s="20" t="n">
        <f aca="false">E263*E265*1</f>
        <v>0.825</v>
      </c>
      <c r="F267" s="20" t="n">
        <f aca="false">F263*F265*1</f>
        <v>1.26</v>
      </c>
      <c r="G267" s="20" t="n">
        <f aca="false">G263*G265*1</f>
        <v>1.449</v>
      </c>
    </row>
    <row r="268" customFormat="false" ht="17.15" hidden="false" customHeight="false" outlineLevel="0" collapsed="false">
      <c r="A268" s="4" t="s">
        <v>613</v>
      </c>
      <c r="B268" s="4" t="s">
        <v>33</v>
      </c>
      <c r="D268" s="20" t="n">
        <f aca="false">D264*D266</f>
        <v>0</v>
      </c>
      <c r="E268" s="20" t="n">
        <f aca="false">E264*E266*1</f>
        <v>0</v>
      </c>
      <c r="F268" s="20" t="n">
        <f aca="false">F264*F266*1</f>
        <v>0</v>
      </c>
      <c r="G268" s="20" t="n">
        <f aca="false">G264*G266*1</f>
        <v>0</v>
      </c>
    </row>
    <row r="269" customFormat="false" ht="17.15" hidden="false" customHeight="false" outlineLevel="0" collapsed="false">
      <c r="A269" s="4" t="s">
        <v>614</v>
      </c>
      <c r="B269" s="0" t="s">
        <v>102</v>
      </c>
      <c r="D269" s="27" t="n">
        <f aca="false">gb_tpu_26</f>
        <v>192</v>
      </c>
      <c r="E269" s="27" t="n">
        <f aca="false">gb_tpu_27</f>
        <v>250</v>
      </c>
      <c r="F269" s="27" t="n">
        <f aca="false">gb_tpu_28</f>
        <v>288</v>
      </c>
      <c r="G269" s="27" t="n">
        <f aca="false">gb_tpu_28</f>
        <v>288</v>
      </c>
    </row>
    <row r="270" customFormat="false" ht="17.15" hidden="false" customHeight="false" outlineLevel="0" collapsed="false">
      <c r="A270" s="4" t="s">
        <v>615</v>
      </c>
      <c r="B270" s="0" t="s">
        <v>102</v>
      </c>
      <c r="D270" s="27" t="n">
        <f aca="false">gb_oth_26</f>
        <v>150</v>
      </c>
      <c r="E270" s="27" t="n">
        <f aca="false">gb_oth_27</f>
        <v>200</v>
      </c>
      <c r="F270" s="27" t="n">
        <f aca="false">gb_oth_28</f>
        <v>250</v>
      </c>
      <c r="G270" s="27" t="n">
        <f aca="false">gb_oth_28</f>
        <v>250</v>
      </c>
    </row>
    <row r="271" customFormat="false" ht="17.15" hidden="false" customHeight="false" outlineLevel="0" collapsed="false">
      <c r="A271" s="0" t="s">
        <v>616</v>
      </c>
      <c r="B271" s="0" t="s">
        <v>194</v>
      </c>
      <c r="D271" s="16" t="n">
        <f aca="false">hbm_A_26</f>
        <v>14.6</v>
      </c>
      <c r="E271" s="16" t="n">
        <f aca="false">hbm_A_27</f>
        <v>26.28</v>
      </c>
      <c r="F271" s="16" t="n">
        <f aca="false">hbm_A_28</f>
        <v>28.908</v>
      </c>
      <c r="G271" s="16" t="n">
        <f aca="false">hbm_A_29</f>
        <v>27.4626</v>
      </c>
    </row>
    <row r="272" customFormat="false" ht="17.15" hidden="false" customHeight="false" outlineLevel="0" collapsed="false">
      <c r="A272" s="4" t="s">
        <v>617</v>
      </c>
      <c r="B272" s="0" t="s">
        <v>86</v>
      </c>
      <c r="D272" s="16" t="n">
        <f aca="false">core_tpu</f>
        <v>8</v>
      </c>
      <c r="E272" s="16" t="n">
        <f aca="false">core_tpu</f>
        <v>8</v>
      </c>
      <c r="F272" s="16" t="n">
        <f aca="false">core_tpu*pfc_hi</f>
        <v>16</v>
      </c>
      <c r="G272" s="16" t="n">
        <f aca="false">core_tpu*pfc_hi</f>
        <v>16</v>
      </c>
    </row>
    <row r="273" customFormat="false" ht="17.15" hidden="false" customHeight="false" outlineLevel="0" collapsed="false">
      <c r="A273" s="4" t="s">
        <v>618</v>
      </c>
      <c r="B273" s="0" t="s">
        <v>86</v>
      </c>
      <c r="D273" s="16" t="n">
        <f aca="false">core_oth</f>
        <v>6</v>
      </c>
      <c r="E273" s="16" t="n">
        <f aca="false">core_oth</f>
        <v>6</v>
      </c>
      <c r="F273" s="16" t="n">
        <f aca="false">core_oth*pfc_hi</f>
        <v>12</v>
      </c>
      <c r="G273" s="16" t="n">
        <f aca="false">core_oth*pfc_hi</f>
        <v>12</v>
      </c>
    </row>
    <row r="274" customFormat="false" ht="17.15" hidden="false" customHeight="false" outlineLevel="0" collapsed="false">
      <c r="A274" s="4" t="s">
        <v>619</v>
      </c>
      <c r="B274" s="0" t="s">
        <v>86</v>
      </c>
      <c r="D274" s="16" t="n">
        <f aca="false">D269*D271/1000</f>
        <v>2.8032</v>
      </c>
      <c r="E274" s="16" t="n">
        <f aca="false">E269*E271/1000</f>
        <v>6.57</v>
      </c>
      <c r="F274" s="16" t="n">
        <f aca="false">F269*F271/1000</f>
        <v>8.325504</v>
      </c>
      <c r="G274" s="16" t="n">
        <f aca="false">G269*G271/1000</f>
        <v>7.9092288</v>
      </c>
    </row>
    <row r="275" customFormat="false" ht="17.15" hidden="false" customHeight="false" outlineLevel="0" collapsed="false">
      <c r="A275" s="4" t="s">
        <v>620</v>
      </c>
      <c r="B275" s="0" t="s">
        <v>86</v>
      </c>
      <c r="D275" s="16" t="n">
        <f aca="false">D270*D271/1000</f>
        <v>2.19</v>
      </c>
      <c r="E275" s="16" t="n">
        <f aca="false">E270*E271/1000</f>
        <v>5.256</v>
      </c>
      <c r="F275" s="16" t="n">
        <f aca="false">F270*F271/1000</f>
        <v>7.227</v>
      </c>
      <c r="G275" s="16" t="n">
        <f aca="false">G270*G271/1000</f>
        <v>6.86565</v>
      </c>
    </row>
    <row r="276" customFormat="false" ht="17.15" hidden="false" customHeight="false" outlineLevel="0" collapsed="false">
      <c r="A276" s="4" t="s">
        <v>621</v>
      </c>
      <c r="B276" s="0" t="s">
        <v>86</v>
      </c>
      <c r="D276" s="16" t="n">
        <f aca="false">D272+f_hbm*D274</f>
        <v>9.68192</v>
      </c>
      <c r="E276" s="16" t="n">
        <f aca="false">E272+f_hbm*E274</f>
        <v>11.942</v>
      </c>
      <c r="F276" s="16" t="n">
        <f aca="false">F272+f_hbm*F274</f>
        <v>20.9953024</v>
      </c>
      <c r="G276" s="16" t="n">
        <f aca="false">G272+f_hbm*G274</f>
        <v>20.74553728</v>
      </c>
      <c r="K276" s="4" t="s">
        <v>622</v>
      </c>
    </row>
    <row r="277" customFormat="false" ht="17.15" hidden="false" customHeight="false" outlineLevel="0" collapsed="false">
      <c r="A277" s="4" t="s">
        <v>623</v>
      </c>
      <c r="B277" s="0" t="s">
        <v>86</v>
      </c>
      <c r="D277" s="16" t="n">
        <f aca="false">D273+f_hbm*D275</f>
        <v>7.314</v>
      </c>
      <c r="E277" s="16" t="n">
        <f aca="false">E273+f_hbm*E275</f>
        <v>9.1536</v>
      </c>
      <c r="F277" s="16" t="n">
        <f aca="false">F273+f_hbm*F275</f>
        <v>16.3362</v>
      </c>
      <c r="G277" s="16" t="n">
        <f aca="false">G273+f_hbm*G275</f>
        <v>16.11939</v>
      </c>
    </row>
    <row r="278" customFormat="false" ht="17.15" hidden="false" customHeight="false" outlineLevel="0" collapsed="false">
      <c r="A278" s="0" t="s">
        <v>624</v>
      </c>
      <c r="B278" s="0" t="s">
        <v>279</v>
      </c>
      <c r="D278" s="16" t="n">
        <f aca="false">D267*D276+D268*D277</f>
        <v>1.8637696</v>
      </c>
      <c r="E278" s="16" t="n">
        <f aca="false">E267*E276+E268*E277</f>
        <v>9.85215</v>
      </c>
      <c r="F278" s="16" t="n">
        <f aca="false">F267*F276+F268*F277</f>
        <v>26.454081024</v>
      </c>
      <c r="G278" s="16" t="n">
        <f aca="false">G267*G276+G268*G277</f>
        <v>30.06028351872</v>
      </c>
    </row>
    <row r="279" customFormat="false" ht="17.15" hidden="false" customHeight="false" outlineLevel="0" collapsed="false">
      <c r="A279" s="0" t="s">
        <v>625</v>
      </c>
      <c r="B279" s="0" t="s">
        <v>65</v>
      </c>
      <c r="D279" s="20" t="n">
        <f aca="false">dc26/D278</f>
        <v>1.07309401333727</v>
      </c>
      <c r="K279" s="8" t="s">
        <v>626</v>
      </c>
    </row>
    <row r="280" customFormat="false" ht="17.15" hidden="false" customHeight="false" outlineLevel="0" collapsed="false">
      <c r="A280" s="0" t="s">
        <v>627</v>
      </c>
      <c r="B280" s="0" t="s">
        <v>279</v>
      </c>
      <c r="D280" s="16" t="n">
        <f aca="false">D278*$D$279</f>
        <v>2</v>
      </c>
      <c r="E280" s="16" t="n">
        <f aca="false">E278*$D$279</f>
        <v>10.5722831835008</v>
      </c>
      <c r="F280" s="16" t="n">
        <f aca="false">F278*$D$279</f>
        <v>28.3877159751935</v>
      </c>
      <c r="G280" s="16" t="n">
        <f aca="false">G278*$D$279</f>
        <v>32.2575102831595</v>
      </c>
    </row>
    <row r="281" customFormat="false" ht="15" hidden="false" customHeight="false" outlineLevel="0" collapsed="false">
      <c r="A281" s="4" t="s">
        <v>628</v>
      </c>
      <c r="B281" s="0" t="s">
        <v>288</v>
      </c>
      <c r="D281" s="16" t="n">
        <f aca="false">fx26</f>
        <v>32</v>
      </c>
      <c r="E281" s="16" t="n">
        <f aca="false">fx</f>
        <v>32</v>
      </c>
      <c r="F281" s="16" t="n">
        <f aca="false">fx</f>
        <v>32</v>
      </c>
      <c r="G281" s="16" t="n">
        <f aca="false">fx</f>
        <v>32</v>
      </c>
    </row>
    <row r="282" customFormat="false" ht="17.15" hidden="false" customHeight="false" outlineLevel="0" collapsed="false">
      <c r="A282" s="0" t="s">
        <v>629</v>
      </c>
      <c r="B282" s="0" t="s">
        <v>301</v>
      </c>
      <c r="C282" s="16" t="n">
        <f aca="false">a25_asic</f>
        <v>0</v>
      </c>
      <c r="D282" s="16" t="n">
        <f aca="false">D280*D281</f>
        <v>64</v>
      </c>
      <c r="E282" s="16" t="n">
        <f aca="false">E280*E281</f>
        <v>338.313061872025</v>
      </c>
      <c r="F282" s="16" t="n">
        <f aca="false">F280*F281</f>
        <v>908.406911206192</v>
      </c>
      <c r="G282" s="16" t="n">
        <f aca="false">G280*G281</f>
        <v>1032.2403290611</v>
      </c>
    </row>
    <row r="283" customFormat="false" ht="17.15" hidden="false" customHeight="false" outlineLevel="0" collapsed="false">
      <c r="A283" s="4" t="s">
        <v>630</v>
      </c>
      <c r="B283" s="0" t="s">
        <v>301</v>
      </c>
      <c r="D283" s="16" t="n">
        <f aca="false">$D$279*f_hbm*(D267*D274+D268*D275)*D281</f>
        <v>11.1179270227393</v>
      </c>
      <c r="E283" s="16" t="n">
        <f aca="false">$D$279*f_hbm*(E267*E274+E268*E275)*E281</f>
        <v>111.675606255194</v>
      </c>
      <c r="F283" s="16" t="n">
        <f aca="false">$D$279*f_hbm*(F267*F274+F268*F275)*F281</f>
        <v>216.132501322052</v>
      </c>
      <c r="G283" s="16" t="n">
        <f aca="false">$D$279*f_hbm*(G267*G274+G268*G275)*G281</f>
        <v>236.124757694342</v>
      </c>
    </row>
    <row r="284" customFormat="false" ht="15" hidden="false" customHeight="false" outlineLevel="0" collapsed="false">
      <c r="A284" s="4" t="s">
        <v>631</v>
      </c>
      <c r="B284" s="0" t="s">
        <v>301</v>
      </c>
      <c r="D284" s="16" t="n">
        <f aca="false">D282-D283</f>
        <v>52.8820729772607</v>
      </c>
      <c r="E284" s="16" t="n">
        <f aca="false">E282-E283</f>
        <v>226.637455616832</v>
      </c>
      <c r="F284" s="16" t="n">
        <f aca="false">F282-F283</f>
        <v>692.27440988414</v>
      </c>
      <c r="G284" s="16" t="n">
        <f aca="false">G282-G283</f>
        <v>796.115571366761</v>
      </c>
    </row>
    <row r="285" customFormat="false" ht="17.15" hidden="false" customHeight="false" outlineLevel="0" collapsed="false">
      <c r="A285" s="4" t="s">
        <v>632</v>
      </c>
      <c r="B285" s="4" t="s">
        <v>33</v>
      </c>
      <c r="D285" s="20" t="n">
        <f aca="false">D267+D268</f>
        <v>0.1925</v>
      </c>
      <c r="E285" s="20" t="n">
        <f aca="false">E267+E268</f>
        <v>0.825</v>
      </c>
      <c r="F285" s="20" t="n">
        <f aca="false">F267+F268</f>
        <v>1.26</v>
      </c>
      <c r="G285" s="20" t="n">
        <f aca="false">G267+G268</f>
        <v>1.449</v>
      </c>
    </row>
    <row r="286" customFormat="false" ht="17.15" hidden="false" customHeight="false" outlineLevel="0" collapsed="false">
      <c r="A286" s="4" t="s">
        <v>633</v>
      </c>
      <c r="B286" s="0" t="s">
        <v>86</v>
      </c>
      <c r="D286" s="16" t="n">
        <f aca="false">IF(D285&gt;0,D280/D285,0)</f>
        <v>10.3896103896104</v>
      </c>
      <c r="E286" s="16" t="n">
        <f aca="false">IF(E285&gt;0,E280/E285,0)</f>
        <v>12.8148887072737</v>
      </c>
      <c r="F286" s="16" t="n">
        <f aca="false">IF(F285&gt;0,F280/F285,0)</f>
        <v>22.5299333136456</v>
      </c>
      <c r="G286" s="16" t="n">
        <f aca="false">IF(G285&gt;0,G280/G285,0)</f>
        <v>22.2619118586332</v>
      </c>
    </row>
    <row r="287" customFormat="false" ht="17.15" hidden="false" customHeight="false" outlineLevel="0" collapsed="false">
      <c r="A287" s="6" t="s">
        <v>634</v>
      </c>
    </row>
    <row r="288" customFormat="false" ht="15" hidden="false" customHeight="false" outlineLevel="0" collapsed="false">
      <c r="A288" s="4" t="s">
        <v>635</v>
      </c>
      <c r="B288" s="0" t="s">
        <v>301</v>
      </c>
      <c r="C288" s="16" t="n">
        <f aca="false">a25_mob</f>
        <v>315.86198</v>
      </c>
      <c r="D288" s="16" t="n">
        <f aca="false">a26_mob</f>
        <v>262.655761173888</v>
      </c>
      <c r="E288" s="16" t="n">
        <f aca="false">D288*(1+g_mob27_A)</f>
        <v>275.788549232582</v>
      </c>
      <c r="F288" s="16" t="n">
        <f aca="false">E288*(1+g_mobL_A)</f>
        <v>286.820091201885</v>
      </c>
      <c r="G288" s="16" t="n">
        <f aca="false">F288*(1+g_mobL_A)</f>
        <v>298.292894849961</v>
      </c>
    </row>
    <row r="289" customFormat="false" ht="17.15" hidden="false" customHeight="false" outlineLevel="0" collapsed="false">
      <c r="A289" s="4" t="s">
        <v>636</v>
      </c>
      <c r="B289" s="0" t="s">
        <v>301</v>
      </c>
      <c r="C289" s="16" t="n">
        <f aca="false">a25_sepx</f>
        <v>247.32589</v>
      </c>
      <c r="D289" s="16" t="n">
        <f aca="false">a26_sepx</f>
        <v>311.894023346019</v>
      </c>
      <c r="E289" s="16" t="n">
        <f aca="false">D289*(1+g_sep27_A)</f>
        <v>336.8455452137</v>
      </c>
      <c r="F289" s="16" t="n">
        <f aca="false">E289*(1+g_sepL_A)</f>
        <v>360.424733378659</v>
      </c>
      <c r="G289" s="16" t="n">
        <f aca="false">F289*(1+g_sepL_A)</f>
        <v>385.654464715166</v>
      </c>
    </row>
    <row r="290" customFormat="false" ht="17.15" hidden="false" customHeight="false" outlineLevel="0" collapsed="false">
      <c r="A290" s="4" t="s">
        <v>637</v>
      </c>
      <c r="B290" s="0" t="s">
        <v>301</v>
      </c>
      <c r="C290" s="16" t="n">
        <f aca="false">a25_pic</f>
        <v>32.77813</v>
      </c>
      <c r="D290" s="16" t="n">
        <f aca="false">a26_pic</f>
        <v>35.9721535362998</v>
      </c>
      <c r="E290" s="16" t="n">
        <f aca="false">D290*(1+g_pic27_A)</f>
        <v>38.8499258192038</v>
      </c>
      <c r="F290" s="16" t="n">
        <f aca="false">E290*(1+g_picL_A)</f>
        <v>41.9579198847401</v>
      </c>
      <c r="G290" s="16" t="n">
        <f aca="false">F290*(1+g_picL_A)</f>
        <v>45.3145534755193</v>
      </c>
    </row>
    <row r="291" customFormat="false" ht="17.15" hidden="false" customHeight="false" outlineLevel="0" collapsed="false">
      <c r="A291" s="4" t="s">
        <v>638</v>
      </c>
      <c r="B291" s="0" t="s">
        <v>301</v>
      </c>
      <c r="C291" s="16" t="n">
        <f aca="false">C288+C289+C290</f>
        <v>595.966</v>
      </c>
      <c r="D291" s="16" t="n">
        <f aca="false">D288+D289+D290</f>
        <v>610.521938056206</v>
      </c>
      <c r="E291" s="16" t="n">
        <f aca="false">E288+E289+E290</f>
        <v>651.484020265486</v>
      </c>
      <c r="F291" s="16" t="n">
        <f aca="false">F288+F289+F290</f>
        <v>689.202744465285</v>
      </c>
      <c r="G291" s="16" t="n">
        <f aca="false">G288+G289+G290</f>
        <v>729.261913040646</v>
      </c>
    </row>
    <row r="292" customFormat="false" ht="17.15" hidden="false" customHeight="false" outlineLevel="0" collapsed="false">
      <c r="A292" s="4" t="s">
        <v>501</v>
      </c>
      <c r="B292" s="0" t="s">
        <v>301</v>
      </c>
      <c r="C292" s="16" t="n">
        <f aca="false">C291+C282</f>
        <v>595.966</v>
      </c>
      <c r="D292" s="16" t="n">
        <f aca="false">D291+D282</f>
        <v>674.521938056206</v>
      </c>
      <c r="E292" s="16" t="n">
        <f aca="false">E291+E282</f>
        <v>989.797082137512</v>
      </c>
      <c r="F292" s="16" t="n">
        <f aca="false">F291+F282</f>
        <v>1597.60965567148</v>
      </c>
      <c r="G292" s="16" t="n">
        <f aca="false">G291+G282</f>
        <v>1761.50224210175</v>
      </c>
      <c r="H292" s="26" t="n">
        <f aca="false">G292*(1+H293)</f>
        <v>1917.20274831333</v>
      </c>
      <c r="I292" s="26" t="n">
        <f aca="false">H292*(1+I293)</f>
        <v>2059.45032621245</v>
      </c>
      <c r="J292" s="26" t="n">
        <f aca="false">I292*(1+J293)</f>
        <v>2183.01734578519</v>
      </c>
      <c r="K292" s="8" t="s">
        <v>639</v>
      </c>
    </row>
    <row r="293" customFormat="false" ht="15" hidden="false" customHeight="false" outlineLevel="0" collapsed="false">
      <c r="A293" s="4" t="s">
        <v>640</v>
      </c>
      <c r="B293" s="0" t="s">
        <v>46</v>
      </c>
      <c r="D293" s="19" t="n">
        <f aca="false">D292/C292-1</f>
        <v>0.131812784716252</v>
      </c>
      <c r="E293" s="19" t="n">
        <f aca="false">E292/D292-1</f>
        <v>0.467405322634643</v>
      </c>
      <c r="F293" s="19" t="n">
        <f aca="false">F292/E292-1</f>
        <v>0.61407796052638</v>
      </c>
      <c r="G293" s="19" t="n">
        <f aca="false">G292/F292-1</f>
        <v>0.102586126622643</v>
      </c>
      <c r="H293" s="24" t="n">
        <f aca="false">$G293+(fade_gA-$G293)*1/3</f>
        <v>0.0883907510817622</v>
      </c>
      <c r="I293" s="24" t="n">
        <f aca="false">$G293+(fade_gA-$G293)*2/3</f>
        <v>0.0741953755408811</v>
      </c>
      <c r="J293" s="24" t="n">
        <f aca="false">$G293+(fade_gA-$G293)*3/3</f>
        <v>0.06</v>
      </c>
    </row>
    <row r="294" customFormat="false" ht="17.15" hidden="false" customHeight="false" outlineLevel="0" collapsed="false">
      <c r="A294" s="0" t="s">
        <v>641</v>
      </c>
      <c r="B294" s="0" t="s">
        <v>46</v>
      </c>
      <c r="C294" s="19" t="n">
        <f aca="false">C282/C292</f>
        <v>0</v>
      </c>
      <c r="D294" s="19" t="n">
        <f aca="false">D282/D292</f>
        <v>0.0948820140445411</v>
      </c>
      <c r="E294" s="19" t="n">
        <f aca="false">E282/E292</f>
        <v>0.341800423518549</v>
      </c>
      <c r="F294" s="19" t="n">
        <f aca="false">F282/F292</f>
        <v>0.568603793787405</v>
      </c>
      <c r="G294" s="19" t="n">
        <f aca="false">G282/G292</f>
        <v>0.586000008623025</v>
      </c>
    </row>
    <row r="295" customFormat="false" ht="17.15" hidden="false" customHeight="false" outlineLevel="0" collapsed="false">
      <c r="A295" s="4" t="s">
        <v>642</v>
      </c>
      <c r="B295" s="0" t="s">
        <v>46</v>
      </c>
      <c r="C295" s="19" t="n">
        <f aca="false">C288/C292</f>
        <v>0.53</v>
      </c>
      <c r="D295" s="19" t="n">
        <f aca="false">D288/D292</f>
        <v>0.389395431571569</v>
      </c>
      <c r="E295" s="19" t="n">
        <f aca="false">E288/E292</f>
        <v>0.278631402546676</v>
      </c>
      <c r="F295" s="19" t="n">
        <f aca="false">F288/F292</f>
        <v>0.179530769724432</v>
      </c>
      <c r="G295" s="19" t="n">
        <f aca="false">G288/G292</f>
        <v>0.169340059706112</v>
      </c>
    </row>
    <row r="296" customFormat="false" ht="17.15" hidden="false" customHeight="false" outlineLevel="0" collapsed="false">
      <c r="A296" s="6" t="s">
        <v>643</v>
      </c>
    </row>
    <row r="297" customFormat="false" ht="17.15" hidden="false" customHeight="false" outlineLevel="0" collapsed="false">
      <c r="A297" s="0" t="s">
        <v>644</v>
      </c>
      <c r="B297" s="0" t="s">
        <v>301</v>
      </c>
      <c r="D297" s="16" t="n">
        <f aca="false">m_core*D284+m_hbm*D283</f>
        <v>24.9087255420412</v>
      </c>
      <c r="E297" s="16" t="n">
        <f aca="false">m_core*E284+m_hbm*E283</f>
        <v>113.154415653094</v>
      </c>
      <c r="F297" s="16" t="n">
        <f aca="false">m_core*F284+m_hbm*F283</f>
        <v>333.136734580068</v>
      </c>
      <c r="G297" s="16" t="n">
        <f aca="false">m_core*G284+m_hbm*G283</f>
        <v>381.864482884477</v>
      </c>
    </row>
    <row r="298" customFormat="false" ht="17.15" hidden="false" customHeight="false" outlineLevel="0" collapsed="false">
      <c r="A298" s="4" t="s">
        <v>645</v>
      </c>
      <c r="B298" s="0" t="s">
        <v>46</v>
      </c>
      <c r="C298" s="17" t="n">
        <f aca="false">a25_gp/C291</f>
        <v>0.474993539899927</v>
      </c>
      <c r="D298" s="17" t="n">
        <f aca="false">(a26_gp-D297)/D291</f>
        <v>0.462340704042911</v>
      </c>
      <c r="E298" s="17" t="n">
        <f aca="false">$D298+0</f>
        <v>0.462340704042911</v>
      </c>
      <c r="F298" s="17" t="n">
        <f aca="false">$D298+0</f>
        <v>0.462340704042911</v>
      </c>
      <c r="G298" s="17" t="n">
        <f aca="false">$D298+0</f>
        <v>0.462340704042911</v>
      </c>
      <c r="K298" s="8" t="s">
        <v>646</v>
      </c>
    </row>
    <row r="299" customFormat="false" ht="15" hidden="false" customHeight="false" outlineLevel="0" collapsed="false">
      <c r="A299" s="4" t="s">
        <v>517</v>
      </c>
      <c r="B299" s="0" t="s">
        <v>301</v>
      </c>
      <c r="C299" s="16" t="n">
        <f aca="false">a25_gp</f>
        <v>283.08</v>
      </c>
      <c r="D299" s="16" t="n">
        <f aca="false">a26_gp</f>
        <v>307.17786821659</v>
      </c>
      <c r="E299" s="16" t="n">
        <f aca="false">E298*E291+E297</f>
        <v>414.361996255344</v>
      </c>
      <c r="F299" s="16" t="n">
        <f aca="false">F298*F291+F297</f>
        <v>651.783216684454</v>
      </c>
      <c r="G299" s="16" t="n">
        <f aca="false">G298*G291+G297</f>
        <v>719.031949191369</v>
      </c>
    </row>
    <row r="300" customFormat="false" ht="15" hidden="false" customHeight="false" outlineLevel="0" collapsed="false">
      <c r="A300" s="4" t="s">
        <v>520</v>
      </c>
      <c r="B300" s="0" t="s">
        <v>46</v>
      </c>
      <c r="C300" s="17" t="n">
        <f aca="false">C299/C292</f>
        <v>0.474993539899927</v>
      </c>
      <c r="D300" s="17" t="n">
        <f aca="false">D299/D292</f>
        <v>0.455400856348417</v>
      </c>
      <c r="E300" s="17" t="n">
        <f aca="false">E299/E292</f>
        <v>0.418633277197091</v>
      </c>
      <c r="F300" s="17" t="n">
        <f aca="false">F299/F292</f>
        <v>0.407974009402509</v>
      </c>
      <c r="G300" s="17" t="n">
        <f aca="false">G299/G292</f>
        <v>0.408192468908499</v>
      </c>
    </row>
    <row r="301" customFormat="false" ht="15" hidden="false" customHeight="false" outlineLevel="0" collapsed="false">
      <c r="A301" s="4" t="s">
        <v>647</v>
      </c>
      <c r="B301" s="0" t="s">
        <v>301</v>
      </c>
      <c r="C301" s="16" t="n">
        <f aca="false">a25_opx</f>
        <v>179.61</v>
      </c>
      <c r="D301" s="16" t="n">
        <f aca="false">a26_opx</f>
        <v>192.105</v>
      </c>
      <c r="E301" s="16" t="n">
        <f aca="false">D301*(1+MAX(g_opx_min,phi*E293))+0*E292</f>
        <v>219.042269851418</v>
      </c>
      <c r="F301" s="16" t="n">
        <f aca="false">E301*(1+MAX(g_opx_min,phi*F293))+0*F292</f>
        <v>259.394978953247</v>
      </c>
      <c r="G301" s="16" t="n">
        <f aca="false">F301*(1+MAX(g_opx_min,phi*G293))+0*G292</f>
        <v>274.958677690442</v>
      </c>
    </row>
    <row r="302" customFormat="false" ht="15" hidden="false" customHeight="false" outlineLevel="0" collapsed="false">
      <c r="A302" s="4" t="s">
        <v>524</v>
      </c>
      <c r="B302" s="0" t="s">
        <v>301</v>
      </c>
      <c r="C302" s="16" t="n">
        <f aca="false">C299-C301</f>
        <v>103.47</v>
      </c>
      <c r="D302" s="16" t="n">
        <f aca="false">D299-D301</f>
        <v>115.07286821659</v>
      </c>
      <c r="E302" s="16" t="n">
        <f aca="false">E299-E301</f>
        <v>195.319726403926</v>
      </c>
      <c r="F302" s="16" t="n">
        <f aca="false">F299-F301</f>
        <v>392.388237731208</v>
      </c>
      <c r="G302" s="16" t="n">
        <f aca="false">G299-G301</f>
        <v>444.073271500927</v>
      </c>
    </row>
    <row r="303" customFormat="false" ht="15" hidden="false" customHeight="false" outlineLevel="0" collapsed="false">
      <c r="A303" s="4" t="s">
        <v>598</v>
      </c>
      <c r="B303" s="0" t="s">
        <v>46</v>
      </c>
      <c r="C303" s="17" t="n">
        <f aca="false">C302/C292</f>
        <v>0.173617286892205</v>
      </c>
      <c r="D303" s="17" t="n">
        <f aca="false">D302/D292</f>
        <v>0.170599148410502</v>
      </c>
      <c r="E303" s="17" t="n">
        <f aca="false">E302/E292</f>
        <v>0.197333099812867</v>
      </c>
      <c r="F303" s="17" t="n">
        <f aca="false">F302/F292</f>
        <v>0.24560958074974</v>
      </c>
      <c r="G303" s="17" t="n">
        <f aca="false">G302/G292</f>
        <v>0.252099180396772</v>
      </c>
    </row>
    <row r="304" customFormat="false" ht="15" hidden="false" customHeight="false" outlineLevel="0" collapsed="false">
      <c r="A304" s="4" t="s">
        <v>526</v>
      </c>
      <c r="B304" s="0" t="s">
        <v>301</v>
      </c>
      <c r="C304" s="16" t="n">
        <f aca="false">a25_nonop</f>
        <v>21.418</v>
      </c>
      <c r="D304" s="16" t="n">
        <f aca="false">a26_nonop</f>
        <v>18.823</v>
      </c>
      <c r="E304" s="16" t="n">
        <f aca="false">nonop_f</f>
        <v>18</v>
      </c>
      <c r="F304" s="16" t="n">
        <f aca="false">nonop_f</f>
        <v>18</v>
      </c>
      <c r="G304" s="16" t="n">
        <f aca="false">nonop_f</f>
        <v>18</v>
      </c>
    </row>
    <row r="305" customFormat="false" ht="15" hidden="false" customHeight="false" outlineLevel="0" collapsed="false">
      <c r="A305" s="4" t="s">
        <v>528</v>
      </c>
      <c r="B305" s="0" t="s">
        <v>301</v>
      </c>
      <c r="C305" s="16" t="n">
        <f aca="false">C302+C304</f>
        <v>124.888</v>
      </c>
      <c r="D305" s="16" t="n">
        <f aca="false">D302+D304</f>
        <v>133.89586821659</v>
      </c>
      <c r="E305" s="16" t="n">
        <f aca="false">E302+E304</f>
        <v>213.319726403926</v>
      </c>
      <c r="F305" s="16" t="n">
        <f aca="false">F302+F304</f>
        <v>410.388237731208</v>
      </c>
      <c r="G305" s="16" t="n">
        <f aca="false">G302+G304</f>
        <v>462.073271500927</v>
      </c>
    </row>
    <row r="306" customFormat="false" ht="15" hidden="false" customHeight="false" outlineLevel="0" collapsed="false">
      <c r="A306" s="4" t="s">
        <v>529</v>
      </c>
      <c r="B306" s="0" t="s">
        <v>301</v>
      </c>
      <c r="C306" s="16" t="n">
        <f aca="false">a25_tax</f>
        <v>18.77</v>
      </c>
      <c r="D306" s="16" t="n">
        <f aca="false">a26_tax</f>
        <v>16.2589328681567</v>
      </c>
      <c r="E306" s="16" t="n">
        <f aca="false">E305*tax</f>
        <v>29.8647616965496</v>
      </c>
      <c r="F306" s="16" t="n">
        <f aca="false">F305*tax</f>
        <v>57.4543532823691</v>
      </c>
      <c r="G306" s="16" t="n">
        <f aca="false">G305*tax</f>
        <v>64.6902580101298</v>
      </c>
    </row>
    <row r="307" customFormat="false" ht="15" hidden="false" customHeight="false" outlineLevel="0" collapsed="false">
      <c r="A307" s="4" t="s">
        <v>530</v>
      </c>
      <c r="B307" s="0" t="s">
        <v>301</v>
      </c>
      <c r="C307" s="16" t="n">
        <f aca="false">a25_nci</f>
        <v>0.798</v>
      </c>
      <c r="D307" s="16" t="n">
        <f aca="false">a26_nci</f>
        <v>0.992</v>
      </c>
      <c r="E307" s="16" t="n">
        <f aca="false">nci</f>
        <v>1</v>
      </c>
      <c r="F307" s="16" t="n">
        <f aca="false">nci</f>
        <v>1</v>
      </c>
      <c r="G307" s="16" t="n">
        <f aca="false">nci</f>
        <v>1</v>
      </c>
    </row>
    <row r="308" customFormat="false" ht="15" hidden="false" customHeight="false" outlineLevel="0" collapsed="false">
      <c r="A308" s="4" t="s">
        <v>532</v>
      </c>
      <c r="B308" s="0" t="s">
        <v>301</v>
      </c>
      <c r="C308" s="16" t="n">
        <f aca="false">C305-C306-C307</f>
        <v>105.32</v>
      </c>
      <c r="D308" s="16" t="n">
        <f aca="false">D305-D306-D307</f>
        <v>116.644935348433</v>
      </c>
      <c r="E308" s="16" t="n">
        <f aca="false">E305-E306-E307</f>
        <v>182.454964707376</v>
      </c>
      <c r="F308" s="16" t="n">
        <f aca="false">F305-F306-F307</f>
        <v>351.933884448838</v>
      </c>
      <c r="G308" s="16" t="n">
        <f aca="false">G305-G306-G307</f>
        <v>396.383013490797</v>
      </c>
      <c r="H308" s="26" t="n">
        <f aca="false">H292*H312</f>
        <v>411.018031010595</v>
      </c>
      <c r="I308" s="26" t="n">
        <f aca="false">I292*I312</f>
        <v>419.598390915946</v>
      </c>
      <c r="J308" s="26" t="n">
        <f aca="false">J292*J312</f>
        <v>421.544100475777</v>
      </c>
    </row>
    <row r="309" customFormat="false" ht="15" hidden="false" customHeight="false" outlineLevel="0" collapsed="false">
      <c r="A309" s="4" t="s">
        <v>648</v>
      </c>
      <c r="B309" s="4" t="s">
        <v>346</v>
      </c>
      <c r="C309" s="18" t="n">
        <f aca="false">a25_sh</f>
        <v>1.59188331318017</v>
      </c>
      <c r="D309" s="18" t="n">
        <f aca="false">a26_sh</f>
        <v>1.59250890647703</v>
      </c>
      <c r="E309" s="18" t="n">
        <f aca="false">D309*(1+sh_g)</f>
        <v>1.59250890647703</v>
      </c>
      <c r="F309" s="18" t="n">
        <f aca="false">E309*(1+sh_g)</f>
        <v>1.59250890647703</v>
      </c>
      <c r="G309" s="18" t="n">
        <f aca="false">F309*(1+sh_g)</f>
        <v>1.59250890647703</v>
      </c>
      <c r="H309" s="28" t="n">
        <f aca="false">G309*(1+sh_g)</f>
        <v>1.59250890647703</v>
      </c>
      <c r="I309" s="28" t="n">
        <f aca="false">H309*(1+sh_g)</f>
        <v>1.59250890647703</v>
      </c>
      <c r="J309" s="28" t="n">
        <f aca="false">I309*(1+sh_g)</f>
        <v>1.59250890647703</v>
      </c>
    </row>
    <row r="310" customFormat="false" ht="17.15" hidden="false" customHeight="false" outlineLevel="0" collapsed="false">
      <c r="A310" s="0" t="s">
        <v>537</v>
      </c>
      <c r="B310" s="0" t="s">
        <v>403</v>
      </c>
      <c r="C310" s="16" t="n">
        <f aca="false">C308/C309</f>
        <v>66.1606281867469</v>
      </c>
      <c r="D310" s="16" t="n">
        <f aca="false">D308/D309</f>
        <v>73.2460175726595</v>
      </c>
      <c r="E310" s="16" t="n">
        <f aca="false">E308/E309</f>
        <v>114.570765642376</v>
      </c>
      <c r="F310" s="16" t="n">
        <f aca="false">F308/F309</f>
        <v>220.993353957053</v>
      </c>
      <c r="G310" s="16" t="n">
        <f aca="false">G308/G309</f>
        <v>248.904738854919</v>
      </c>
      <c r="H310" s="26" t="n">
        <f aca="false">H308/H309</f>
        <v>258.094651363586</v>
      </c>
      <c r="I310" s="26" t="n">
        <f aca="false">I308/I309</f>
        <v>263.482602332308</v>
      </c>
      <c r="J310" s="26" t="n">
        <f aca="false">J308/J309</f>
        <v>264.704391141097</v>
      </c>
    </row>
    <row r="311" customFormat="false" ht="17.15" hidden="false" customHeight="false" outlineLevel="0" collapsed="false">
      <c r="A311" s="0" t="s">
        <v>649</v>
      </c>
      <c r="B311" s="0" t="s">
        <v>46</v>
      </c>
      <c r="D311" s="19" t="n">
        <f aca="false">D310/C310-1</f>
        <v>0.107093744120947</v>
      </c>
      <c r="E311" s="19" t="n">
        <f aca="false">E310/D310-1</f>
        <v>0.564191056922962</v>
      </c>
      <c r="F311" s="19" t="n">
        <f aca="false">F310/E310-1</f>
        <v>0.928880833762318</v>
      </c>
      <c r="G311" s="19" t="n">
        <f aca="false">G310/F310-1</f>
        <v>0.126299657424491</v>
      </c>
      <c r="H311" s="24" t="n">
        <f aca="false">H310/G310-1</f>
        <v>0.0369214043531099</v>
      </c>
      <c r="I311" s="24" t="n">
        <f aca="false">I310/H310-1</f>
        <v>0.0208758722439846</v>
      </c>
      <c r="J311" s="24" t="n">
        <f aca="false">J310/I310-1</f>
        <v>0.00463707583716588</v>
      </c>
    </row>
    <row r="312" customFormat="false" ht="17.15" hidden="false" customHeight="false" outlineLevel="0" collapsed="false">
      <c r="A312" s="4" t="s">
        <v>650</v>
      </c>
      <c r="B312" s="0" t="s">
        <v>46</v>
      </c>
      <c r="C312" s="17" t="n">
        <f aca="false">C308/C292</f>
        <v>0.176721490823302</v>
      </c>
      <c r="D312" s="17" t="n">
        <f aca="false">D308/D292</f>
        <v>0.172929787405541</v>
      </c>
      <c r="E312" s="17" t="n">
        <f aca="false">E308/E292</f>
        <v>0.184335726988967</v>
      </c>
      <c r="F312" s="17" t="n">
        <f aca="false">F308/F292</f>
        <v>0.220287780059091</v>
      </c>
      <c r="G312" s="17" t="n">
        <f aca="false">G308/G292</f>
        <v>0.225025551496233</v>
      </c>
      <c r="H312" s="25" t="n">
        <f aca="false">$G312+(fade_mA-$G312)*1/3</f>
        <v>0.214384227944692</v>
      </c>
      <c r="I312" s="25" t="n">
        <f aca="false">$G312+(fade_mA-$G312)*2/3</f>
        <v>0.203742904393151</v>
      </c>
      <c r="J312" s="25" t="n">
        <f aca="false">$G312+(fade_mA-$G312)*3/3</f>
        <v>0.19310158084161</v>
      </c>
    </row>
    <row r="315" customFormat="false" ht="17.15" hidden="false" customHeight="false" outlineLevel="0" collapsed="false">
      <c r="A315" s="1" t="s">
        <v>940</v>
      </c>
    </row>
    <row r="316" customFormat="false" ht="17.15" hidden="false" customHeight="false" outlineLevel="0" collapsed="false">
      <c r="A316" s="5" t="s">
        <v>22</v>
      </c>
      <c r="B316" s="5" t="s">
        <v>23</v>
      </c>
      <c r="C316" s="14" t="s">
        <v>494</v>
      </c>
      <c r="D316" s="14" t="s">
        <v>587</v>
      </c>
      <c r="E316" s="14" t="s">
        <v>588</v>
      </c>
      <c r="F316" s="14" t="s">
        <v>589</v>
      </c>
      <c r="G316" s="14" t="s">
        <v>590</v>
      </c>
      <c r="H316" s="14" t="s">
        <v>591</v>
      </c>
      <c r="I316" s="14" t="s">
        <v>592</v>
      </c>
      <c r="J316" s="14" t="s">
        <v>593</v>
      </c>
      <c r="K316" s="5" t="s">
        <v>557</v>
      </c>
    </row>
    <row r="317" customFormat="false" ht="17.15" hidden="false" customHeight="false" outlineLevel="0" collapsed="false">
      <c r="A317" s="6" t="s">
        <v>609</v>
      </c>
    </row>
    <row r="318" customFormat="false" ht="17.15" hidden="false" customHeight="false" outlineLevel="0" collapsed="false">
      <c r="A318" s="0" t="s">
        <v>610</v>
      </c>
      <c r="B318" s="4" t="s">
        <v>33</v>
      </c>
      <c r="D318" s="20" t="n">
        <f aca="false">u_tpu_26</f>
        <v>3.85</v>
      </c>
      <c r="E318" s="20" t="n">
        <f aca="false">u_tpu_27</f>
        <v>5.5</v>
      </c>
      <c r="F318" s="20" t="n">
        <f aca="false">u_tpu_28*um28_A</f>
        <v>7</v>
      </c>
      <c r="G318" s="20" t="n">
        <f aca="false">u_tpu_28*(1+g29_tpu)*um29_A</f>
        <v>8.05</v>
      </c>
    </row>
    <row r="319" customFormat="false" ht="17.15" hidden="false" customHeight="false" outlineLevel="0" collapsed="false">
      <c r="A319" s="4" t="s">
        <v>611</v>
      </c>
      <c r="B319" s="4" t="s">
        <v>33</v>
      </c>
      <c r="D319" s="20" t="n">
        <f aca="false">u_oth_26</f>
        <v>1</v>
      </c>
      <c r="E319" s="20" t="n">
        <f aca="false">u_oth_27</f>
        <v>4.5</v>
      </c>
      <c r="F319" s="20" t="n">
        <f aca="false">u_oth_28*um28_A</f>
        <v>5</v>
      </c>
      <c r="G319" s="20" t="n">
        <f aca="false">u_oth_28*(1+g29_oth)*um29_A</f>
        <v>5.75</v>
      </c>
    </row>
    <row r="320" customFormat="false" ht="17.15" hidden="false" customHeight="false" outlineLevel="0" collapsed="false">
      <c r="A320" s="4" t="s">
        <v>561</v>
      </c>
      <c r="B320" s="0" t="s">
        <v>46</v>
      </c>
      <c r="D320" s="19" t="n">
        <f aca="false">mtk_tpu_26</f>
        <v>0.05</v>
      </c>
      <c r="E320" s="19" t="n">
        <f aca="false">MIN(1,MAX(0,mtk_tpu_27+0))</f>
        <v>0.15</v>
      </c>
      <c r="F320" s="19" t="n">
        <f aca="false">MIN(1,MAX(0,mtk_tpu_28+0))</f>
        <v>0.18</v>
      </c>
      <c r="G320" s="19" t="n">
        <f aca="false">MIN(1,MAX(0,mtk_tpu_28+0))</f>
        <v>0.18</v>
      </c>
    </row>
    <row r="321" customFormat="false" ht="17.15" hidden="false" customHeight="false" outlineLevel="0" collapsed="false">
      <c r="A321" s="4" t="s">
        <v>612</v>
      </c>
      <c r="B321" s="0" t="s">
        <v>46</v>
      </c>
      <c r="D321" s="19" t="n">
        <f aca="false">mtk_oth_26</f>
        <v>0</v>
      </c>
      <c r="E321" s="19" t="n">
        <f aca="false">MIN(1,MAX(0,mtk_oth_27+0))</f>
        <v>0</v>
      </c>
      <c r="F321" s="19" t="n">
        <f aca="false">MIN(1,MAX(0,mtk_oth_28+0))</f>
        <v>0</v>
      </c>
      <c r="G321" s="19" t="n">
        <f aca="false">MIN(1,MAX(0,mtk_oth_28+0))</f>
        <v>0</v>
      </c>
    </row>
    <row r="322" customFormat="false" ht="17.15" hidden="false" customHeight="false" outlineLevel="0" collapsed="false">
      <c r="A322" s="4" t="s">
        <v>563</v>
      </c>
      <c r="B322" s="4" t="s">
        <v>33</v>
      </c>
      <c r="D322" s="20" t="n">
        <f aca="false">D318*D320</f>
        <v>0.1925</v>
      </c>
      <c r="E322" s="20" t="n">
        <f aca="false">E318*E320*1</f>
        <v>0.825</v>
      </c>
      <c r="F322" s="20" t="n">
        <f aca="false">F318*F320*1</f>
        <v>1.26</v>
      </c>
      <c r="G322" s="20" t="n">
        <f aca="false">G318*G320*1</f>
        <v>1.449</v>
      </c>
    </row>
    <row r="323" customFormat="false" ht="17.15" hidden="false" customHeight="false" outlineLevel="0" collapsed="false">
      <c r="A323" s="4" t="s">
        <v>613</v>
      </c>
      <c r="B323" s="4" t="s">
        <v>33</v>
      </c>
      <c r="D323" s="20" t="n">
        <f aca="false">D319*D321</f>
        <v>0</v>
      </c>
      <c r="E323" s="20" t="n">
        <f aca="false">E319*E321*1</f>
        <v>0</v>
      </c>
      <c r="F323" s="20" t="n">
        <f aca="false">F319*F321*1</f>
        <v>0</v>
      </c>
      <c r="G323" s="20" t="n">
        <f aca="false">G319*G321*1</f>
        <v>0</v>
      </c>
    </row>
    <row r="324" customFormat="false" ht="17.15" hidden="false" customHeight="false" outlineLevel="0" collapsed="false">
      <c r="A324" s="4" t="s">
        <v>614</v>
      </c>
      <c r="B324" s="0" t="s">
        <v>102</v>
      </c>
      <c r="D324" s="27" t="n">
        <f aca="false">gb_tpu_26</f>
        <v>192</v>
      </c>
      <c r="E324" s="27" t="n">
        <f aca="false">gb_tpu_27</f>
        <v>250</v>
      </c>
      <c r="F324" s="27" t="n">
        <f aca="false">gb_tpu_28</f>
        <v>288</v>
      </c>
      <c r="G324" s="27" t="n">
        <f aca="false">gb_tpu_28</f>
        <v>288</v>
      </c>
    </row>
    <row r="325" customFormat="false" ht="17.15" hidden="false" customHeight="false" outlineLevel="0" collapsed="false">
      <c r="A325" s="4" t="s">
        <v>615</v>
      </c>
      <c r="B325" s="0" t="s">
        <v>102</v>
      </c>
      <c r="D325" s="27" t="n">
        <f aca="false">gb_oth_26</f>
        <v>150</v>
      </c>
      <c r="E325" s="27" t="n">
        <f aca="false">gb_oth_27</f>
        <v>200</v>
      </c>
      <c r="F325" s="27" t="n">
        <f aca="false">gb_oth_28</f>
        <v>250</v>
      </c>
      <c r="G325" s="27" t="n">
        <f aca="false">gb_oth_28</f>
        <v>250</v>
      </c>
    </row>
    <row r="326" customFormat="false" ht="17.15" hidden="false" customHeight="false" outlineLevel="0" collapsed="false">
      <c r="A326" s="0" t="s">
        <v>616</v>
      </c>
      <c r="B326" s="0" t="s">
        <v>194</v>
      </c>
      <c r="D326" s="16" t="n">
        <f aca="false">hbm_A_26</f>
        <v>14.6</v>
      </c>
      <c r="E326" s="16" t="n">
        <f aca="false">hbm_A_27</f>
        <v>26.28</v>
      </c>
      <c r="F326" s="16" t="n">
        <f aca="false">hbm_A_28</f>
        <v>28.908</v>
      </c>
      <c r="G326" s="16" t="n">
        <f aca="false">hbm_A_29</f>
        <v>27.4626</v>
      </c>
    </row>
    <row r="327" customFormat="false" ht="17.15" hidden="false" customHeight="false" outlineLevel="0" collapsed="false">
      <c r="A327" s="4" t="s">
        <v>617</v>
      </c>
      <c r="B327" s="0" t="s">
        <v>86</v>
      </c>
      <c r="D327" s="16" t="n">
        <f aca="false">core_tpu</f>
        <v>8</v>
      </c>
      <c r="E327" s="16" t="n">
        <f aca="false">core_tpu</f>
        <v>8</v>
      </c>
      <c r="F327" s="16" t="n">
        <f aca="false">core_tpu*pfc_lo</f>
        <v>6.4</v>
      </c>
      <c r="G327" s="16" t="n">
        <f aca="false">core_tpu*pfc_lo</f>
        <v>6.4</v>
      </c>
    </row>
    <row r="328" customFormat="false" ht="17.15" hidden="false" customHeight="false" outlineLevel="0" collapsed="false">
      <c r="A328" s="4" t="s">
        <v>618</v>
      </c>
      <c r="B328" s="0" t="s">
        <v>86</v>
      </c>
      <c r="D328" s="16" t="n">
        <f aca="false">core_oth</f>
        <v>6</v>
      </c>
      <c r="E328" s="16" t="n">
        <f aca="false">core_oth</f>
        <v>6</v>
      </c>
      <c r="F328" s="16" t="n">
        <f aca="false">core_oth*pfc_lo</f>
        <v>4.8</v>
      </c>
      <c r="G328" s="16" t="n">
        <f aca="false">core_oth*pfc_lo</f>
        <v>4.8</v>
      </c>
    </row>
    <row r="329" customFormat="false" ht="17.15" hidden="false" customHeight="false" outlineLevel="0" collapsed="false">
      <c r="A329" s="4" t="s">
        <v>619</v>
      </c>
      <c r="B329" s="0" t="s">
        <v>86</v>
      </c>
      <c r="D329" s="16" t="n">
        <f aca="false">D324*D326/1000</f>
        <v>2.8032</v>
      </c>
      <c r="E329" s="16" t="n">
        <f aca="false">E324*E326/1000</f>
        <v>6.57</v>
      </c>
      <c r="F329" s="16" t="n">
        <f aca="false">F324*F326/1000</f>
        <v>8.325504</v>
      </c>
      <c r="G329" s="16" t="n">
        <f aca="false">G324*G326/1000</f>
        <v>7.9092288</v>
      </c>
    </row>
    <row r="330" customFormat="false" ht="17.15" hidden="false" customHeight="false" outlineLevel="0" collapsed="false">
      <c r="A330" s="4" t="s">
        <v>620</v>
      </c>
      <c r="B330" s="0" t="s">
        <v>86</v>
      </c>
      <c r="D330" s="16" t="n">
        <f aca="false">D325*D326/1000</f>
        <v>2.19</v>
      </c>
      <c r="E330" s="16" t="n">
        <f aca="false">E325*E326/1000</f>
        <v>5.256</v>
      </c>
      <c r="F330" s="16" t="n">
        <f aca="false">F325*F326/1000</f>
        <v>7.227</v>
      </c>
      <c r="G330" s="16" t="n">
        <f aca="false">G325*G326/1000</f>
        <v>6.86565</v>
      </c>
    </row>
    <row r="331" customFormat="false" ht="17.15" hidden="false" customHeight="false" outlineLevel="0" collapsed="false">
      <c r="A331" s="4" t="s">
        <v>621</v>
      </c>
      <c r="B331" s="0" t="s">
        <v>86</v>
      </c>
      <c r="D331" s="16" t="n">
        <f aca="false">D327+f_hbm*D329</f>
        <v>9.68192</v>
      </c>
      <c r="E331" s="16" t="n">
        <f aca="false">E327+f_hbm*E329</f>
        <v>11.942</v>
      </c>
      <c r="F331" s="16" t="n">
        <f aca="false">F327+f_hbm*F329</f>
        <v>11.3953024</v>
      </c>
      <c r="G331" s="16" t="n">
        <f aca="false">G327+f_hbm*G329</f>
        <v>11.14553728</v>
      </c>
      <c r="K331" s="4" t="s">
        <v>622</v>
      </c>
    </row>
    <row r="332" customFormat="false" ht="17.15" hidden="false" customHeight="false" outlineLevel="0" collapsed="false">
      <c r="A332" s="4" t="s">
        <v>623</v>
      </c>
      <c r="B332" s="0" t="s">
        <v>86</v>
      </c>
      <c r="D332" s="16" t="n">
        <f aca="false">D328+f_hbm*D330</f>
        <v>7.314</v>
      </c>
      <c r="E332" s="16" t="n">
        <f aca="false">E328+f_hbm*E330</f>
        <v>9.1536</v>
      </c>
      <c r="F332" s="16" t="n">
        <f aca="false">F328+f_hbm*F330</f>
        <v>9.1362</v>
      </c>
      <c r="G332" s="16" t="n">
        <f aca="false">G328+f_hbm*G330</f>
        <v>8.91939</v>
      </c>
    </row>
    <row r="333" customFormat="false" ht="17.15" hidden="false" customHeight="false" outlineLevel="0" collapsed="false">
      <c r="A333" s="0" t="s">
        <v>624</v>
      </c>
      <c r="B333" s="0" t="s">
        <v>279</v>
      </c>
      <c r="D333" s="16" t="n">
        <f aca="false">D322*D331+D323*D332</f>
        <v>1.8637696</v>
      </c>
      <c r="E333" s="16" t="n">
        <f aca="false">E322*E331+E323*E332</f>
        <v>9.85215</v>
      </c>
      <c r="F333" s="16" t="n">
        <f aca="false">F322*F331+F323*F332</f>
        <v>14.358081024</v>
      </c>
      <c r="G333" s="16" t="n">
        <f aca="false">G322*G331+G323*G332</f>
        <v>16.14988351872</v>
      </c>
    </row>
    <row r="334" customFormat="false" ht="17.15" hidden="false" customHeight="false" outlineLevel="0" collapsed="false">
      <c r="A334" s="0" t="s">
        <v>625</v>
      </c>
      <c r="B334" s="0" t="s">
        <v>65</v>
      </c>
      <c r="D334" s="20" t="n">
        <f aca="false">dc26/D333</f>
        <v>1.07309401333727</v>
      </c>
      <c r="K334" s="8" t="s">
        <v>626</v>
      </c>
    </row>
    <row r="335" customFormat="false" ht="17.15" hidden="false" customHeight="false" outlineLevel="0" collapsed="false">
      <c r="A335" s="0" t="s">
        <v>627</v>
      </c>
      <c r="B335" s="0" t="s">
        <v>279</v>
      </c>
      <c r="D335" s="16" t="n">
        <f aca="false">D333*$D$334</f>
        <v>2</v>
      </c>
      <c r="E335" s="16" t="n">
        <f aca="false">E333*$D$334</f>
        <v>10.5722831835008</v>
      </c>
      <c r="F335" s="16" t="n">
        <f aca="false">F333*$D$334</f>
        <v>15.4075707898659</v>
      </c>
      <c r="G335" s="16" t="n">
        <f aca="false">G333*$D$334</f>
        <v>17.3303433200327</v>
      </c>
    </row>
    <row r="336" customFormat="false" ht="15" hidden="false" customHeight="false" outlineLevel="0" collapsed="false">
      <c r="A336" s="4" t="s">
        <v>628</v>
      </c>
      <c r="B336" s="0" t="s">
        <v>288</v>
      </c>
      <c r="D336" s="16" t="n">
        <f aca="false">fx26</f>
        <v>32</v>
      </c>
      <c r="E336" s="16" t="n">
        <f aca="false">fx</f>
        <v>32</v>
      </c>
      <c r="F336" s="16" t="n">
        <f aca="false">fx</f>
        <v>32</v>
      </c>
      <c r="G336" s="16" t="n">
        <f aca="false">fx</f>
        <v>32</v>
      </c>
    </row>
    <row r="337" customFormat="false" ht="17.15" hidden="false" customHeight="false" outlineLevel="0" collapsed="false">
      <c r="A337" s="0" t="s">
        <v>629</v>
      </c>
      <c r="B337" s="0" t="s">
        <v>301</v>
      </c>
      <c r="C337" s="16" t="n">
        <f aca="false">a25_asic</f>
        <v>0</v>
      </c>
      <c r="D337" s="16" t="n">
        <f aca="false">D335*D336</f>
        <v>64</v>
      </c>
      <c r="E337" s="16" t="n">
        <f aca="false">E335*E336</f>
        <v>338.313061872025</v>
      </c>
      <c r="F337" s="16" t="n">
        <f aca="false">F335*F336</f>
        <v>493.042265275708</v>
      </c>
      <c r="G337" s="16" t="n">
        <f aca="false">G335*G336</f>
        <v>554.570986241046</v>
      </c>
    </row>
    <row r="338" customFormat="false" ht="17.15" hidden="false" customHeight="false" outlineLevel="0" collapsed="false">
      <c r="A338" s="4" t="s">
        <v>630</v>
      </c>
      <c r="B338" s="0" t="s">
        <v>301</v>
      </c>
      <c r="D338" s="16" t="n">
        <f aca="false">$D$334*f_hbm*(D322*D329+D323*D330)*D336</f>
        <v>11.1179270227393</v>
      </c>
      <c r="E338" s="16" t="n">
        <f aca="false">$D$334*f_hbm*(E322*E329+E323*E330)*E336</f>
        <v>111.675606255194</v>
      </c>
      <c r="F338" s="16" t="n">
        <f aca="false">$D$334*f_hbm*(F322*F329+F323*F330)*F336</f>
        <v>216.132501322052</v>
      </c>
      <c r="G338" s="16" t="n">
        <f aca="false">$D$334*f_hbm*(G322*G329+G323*G330)*G336</f>
        <v>236.124757694342</v>
      </c>
    </row>
    <row r="339" customFormat="false" ht="15" hidden="false" customHeight="false" outlineLevel="0" collapsed="false">
      <c r="A339" s="4" t="s">
        <v>631</v>
      </c>
      <c r="B339" s="0" t="s">
        <v>301</v>
      </c>
      <c r="D339" s="16" t="n">
        <f aca="false">D337-D338</f>
        <v>52.8820729772607</v>
      </c>
      <c r="E339" s="16" t="n">
        <f aca="false">E337-E338</f>
        <v>226.637455616832</v>
      </c>
      <c r="F339" s="16" t="n">
        <f aca="false">F337-F338</f>
        <v>276.909763953656</v>
      </c>
      <c r="G339" s="16" t="n">
        <f aca="false">G337-G338</f>
        <v>318.446228546704</v>
      </c>
    </row>
    <row r="340" customFormat="false" ht="17.15" hidden="false" customHeight="false" outlineLevel="0" collapsed="false">
      <c r="A340" s="4" t="s">
        <v>632</v>
      </c>
      <c r="B340" s="4" t="s">
        <v>33</v>
      </c>
      <c r="D340" s="20" t="n">
        <f aca="false">D322+D323</f>
        <v>0.1925</v>
      </c>
      <c r="E340" s="20" t="n">
        <f aca="false">E322+E323</f>
        <v>0.825</v>
      </c>
      <c r="F340" s="20" t="n">
        <f aca="false">F322+F323</f>
        <v>1.26</v>
      </c>
      <c r="G340" s="20" t="n">
        <f aca="false">G322+G323</f>
        <v>1.449</v>
      </c>
    </row>
    <row r="341" customFormat="false" ht="17.15" hidden="false" customHeight="false" outlineLevel="0" collapsed="false">
      <c r="A341" s="4" t="s">
        <v>633</v>
      </c>
      <c r="B341" s="0" t="s">
        <v>86</v>
      </c>
      <c r="D341" s="16" t="n">
        <f aca="false">IF(D340&gt;0,D335/D340,0)</f>
        <v>10.3896103896104</v>
      </c>
      <c r="E341" s="16" t="n">
        <f aca="false">IF(E340&gt;0,E335/E340,0)</f>
        <v>12.8148887072737</v>
      </c>
      <c r="F341" s="16" t="n">
        <f aca="false">IF(F340&gt;0,F335/F340,0)</f>
        <v>12.2282307856078</v>
      </c>
      <c r="G341" s="16" t="n">
        <f aca="false">IF(G340&gt;0,G335/G340,0)</f>
        <v>11.9602093305954</v>
      </c>
    </row>
    <row r="342" customFormat="false" ht="17.15" hidden="false" customHeight="false" outlineLevel="0" collapsed="false">
      <c r="A342" s="6" t="s">
        <v>634</v>
      </c>
    </row>
    <row r="343" customFormat="false" ht="15" hidden="false" customHeight="false" outlineLevel="0" collapsed="false">
      <c r="A343" s="4" t="s">
        <v>635</v>
      </c>
      <c r="B343" s="0" t="s">
        <v>301</v>
      </c>
      <c r="C343" s="16" t="n">
        <f aca="false">a25_mob</f>
        <v>315.86198</v>
      </c>
      <c r="D343" s="16" t="n">
        <f aca="false">a26_mob</f>
        <v>262.655761173888</v>
      </c>
      <c r="E343" s="16" t="n">
        <f aca="false">D343*(1+g_mob27_A)</f>
        <v>275.788549232582</v>
      </c>
      <c r="F343" s="16" t="n">
        <f aca="false">E343*(1+g_mobL_A)</f>
        <v>286.820091201885</v>
      </c>
      <c r="G343" s="16" t="n">
        <f aca="false">F343*(1+g_mobL_A)</f>
        <v>298.292894849961</v>
      </c>
    </row>
    <row r="344" customFormat="false" ht="17.15" hidden="false" customHeight="false" outlineLevel="0" collapsed="false">
      <c r="A344" s="4" t="s">
        <v>636</v>
      </c>
      <c r="B344" s="0" t="s">
        <v>301</v>
      </c>
      <c r="C344" s="16" t="n">
        <f aca="false">a25_sepx</f>
        <v>247.32589</v>
      </c>
      <c r="D344" s="16" t="n">
        <f aca="false">a26_sepx</f>
        <v>311.894023346019</v>
      </c>
      <c r="E344" s="16" t="n">
        <f aca="false">D344*(1+g_sep27_A)</f>
        <v>336.8455452137</v>
      </c>
      <c r="F344" s="16" t="n">
        <f aca="false">E344*(1+g_sepL_A)</f>
        <v>360.424733378659</v>
      </c>
      <c r="G344" s="16" t="n">
        <f aca="false">F344*(1+g_sepL_A)</f>
        <v>385.654464715166</v>
      </c>
    </row>
    <row r="345" customFormat="false" ht="17.15" hidden="false" customHeight="false" outlineLevel="0" collapsed="false">
      <c r="A345" s="4" t="s">
        <v>637</v>
      </c>
      <c r="B345" s="0" t="s">
        <v>301</v>
      </c>
      <c r="C345" s="16" t="n">
        <f aca="false">a25_pic</f>
        <v>32.77813</v>
      </c>
      <c r="D345" s="16" t="n">
        <f aca="false">a26_pic</f>
        <v>35.9721535362998</v>
      </c>
      <c r="E345" s="16" t="n">
        <f aca="false">D345*(1+g_pic27_A)</f>
        <v>38.8499258192038</v>
      </c>
      <c r="F345" s="16" t="n">
        <f aca="false">E345*(1+g_picL_A)</f>
        <v>41.9579198847401</v>
      </c>
      <c r="G345" s="16" t="n">
        <f aca="false">F345*(1+g_picL_A)</f>
        <v>45.3145534755193</v>
      </c>
    </row>
    <row r="346" customFormat="false" ht="17.15" hidden="false" customHeight="false" outlineLevel="0" collapsed="false">
      <c r="A346" s="4" t="s">
        <v>638</v>
      </c>
      <c r="B346" s="0" t="s">
        <v>301</v>
      </c>
      <c r="C346" s="16" t="n">
        <f aca="false">C343+C344+C345</f>
        <v>595.966</v>
      </c>
      <c r="D346" s="16" t="n">
        <f aca="false">D343+D344+D345</f>
        <v>610.521938056206</v>
      </c>
      <c r="E346" s="16" t="n">
        <f aca="false">E343+E344+E345</f>
        <v>651.484020265486</v>
      </c>
      <c r="F346" s="16" t="n">
        <f aca="false">F343+F344+F345</f>
        <v>689.202744465285</v>
      </c>
      <c r="G346" s="16" t="n">
        <f aca="false">G343+G344+G345</f>
        <v>729.261913040646</v>
      </c>
    </row>
    <row r="347" customFormat="false" ht="17.15" hidden="false" customHeight="false" outlineLevel="0" collapsed="false">
      <c r="A347" s="4" t="s">
        <v>501</v>
      </c>
      <c r="B347" s="0" t="s">
        <v>301</v>
      </c>
      <c r="C347" s="16" t="n">
        <f aca="false">C346+C337</f>
        <v>595.966</v>
      </c>
      <c r="D347" s="16" t="n">
        <f aca="false">D346+D337</f>
        <v>674.521938056206</v>
      </c>
      <c r="E347" s="16" t="n">
        <f aca="false">E346+E337</f>
        <v>989.797082137512</v>
      </c>
      <c r="F347" s="16" t="n">
        <f aca="false">F346+F337</f>
        <v>1182.24500974099</v>
      </c>
      <c r="G347" s="16" t="n">
        <f aca="false">G346+G337</f>
        <v>1283.83289928169</v>
      </c>
      <c r="H347" s="26" t="n">
        <f aca="false">G347*(1+H348)</f>
        <v>1383.05430965866</v>
      </c>
      <c r="I347" s="26" t="n">
        <f aca="false">H347*(1+I348)</f>
        <v>1477.99082235539</v>
      </c>
      <c r="J347" s="26" t="n">
        <f aca="false">I347*(1+J348)</f>
        <v>1566.67027169672</v>
      </c>
      <c r="K347" s="8" t="s">
        <v>639</v>
      </c>
    </row>
    <row r="348" customFormat="false" ht="15" hidden="false" customHeight="false" outlineLevel="0" collapsed="false">
      <c r="A348" s="4" t="s">
        <v>640</v>
      </c>
      <c r="B348" s="0" t="s">
        <v>46</v>
      </c>
      <c r="D348" s="19" t="n">
        <f aca="false">D347/C347-1</f>
        <v>0.131812784716252</v>
      </c>
      <c r="E348" s="19" t="n">
        <f aca="false">E347/D347-1</f>
        <v>0.467405322634643</v>
      </c>
      <c r="F348" s="19" t="n">
        <f aca="false">F347/E347-1</f>
        <v>0.194431698250596</v>
      </c>
      <c r="G348" s="19" t="n">
        <f aca="false">G347/F347-1</f>
        <v>0.0859279495397953</v>
      </c>
      <c r="H348" s="24" t="n">
        <f aca="false">$G348+(fade_gA-$G348)*1/3</f>
        <v>0.0772852996931969</v>
      </c>
      <c r="I348" s="24" t="n">
        <f aca="false">$G348+(fade_gA-$G348)*2/3</f>
        <v>0.0686426498465984</v>
      </c>
      <c r="J348" s="24" t="n">
        <f aca="false">$G348+(fade_gA-$G348)*3/3</f>
        <v>0.06</v>
      </c>
    </row>
    <row r="349" customFormat="false" ht="17.15" hidden="false" customHeight="false" outlineLevel="0" collapsed="false">
      <c r="A349" s="0" t="s">
        <v>641</v>
      </c>
      <c r="B349" s="0" t="s">
        <v>46</v>
      </c>
      <c r="C349" s="19" t="n">
        <f aca="false">C337/C347</f>
        <v>0</v>
      </c>
      <c r="D349" s="19" t="n">
        <f aca="false">D337/D347</f>
        <v>0.0948820140445411</v>
      </c>
      <c r="E349" s="19" t="n">
        <f aca="false">E337/E347</f>
        <v>0.341800423518549</v>
      </c>
      <c r="F349" s="19" t="n">
        <f aca="false">F337/F347</f>
        <v>0.417038990406671</v>
      </c>
      <c r="G349" s="19" t="n">
        <f aca="false">G337/G347</f>
        <v>0.43196508404741</v>
      </c>
    </row>
    <row r="350" customFormat="false" ht="17.15" hidden="false" customHeight="false" outlineLevel="0" collapsed="false">
      <c r="A350" s="4" t="s">
        <v>642</v>
      </c>
      <c r="B350" s="0" t="s">
        <v>46</v>
      </c>
      <c r="C350" s="19" t="n">
        <f aca="false">C343/C347</f>
        <v>0.53</v>
      </c>
      <c r="D350" s="19" t="n">
        <f aca="false">D343/D347</f>
        <v>0.389395431571569</v>
      </c>
      <c r="E350" s="19" t="n">
        <f aca="false">E343/E347</f>
        <v>0.278631402546676</v>
      </c>
      <c r="F350" s="19" t="n">
        <f aca="false">F343/F347</f>
        <v>0.242606303125544</v>
      </c>
      <c r="G350" s="19" t="n">
        <f aca="false">G343/G347</f>
        <v>0.232345576294903</v>
      </c>
    </row>
    <row r="351" customFormat="false" ht="17.15" hidden="false" customHeight="false" outlineLevel="0" collapsed="false">
      <c r="A351" s="6" t="s">
        <v>643</v>
      </c>
    </row>
    <row r="352" customFormat="false" ht="17.15" hidden="false" customHeight="false" outlineLevel="0" collapsed="false">
      <c r="A352" s="0" t="s">
        <v>644</v>
      </c>
      <c r="B352" s="0" t="s">
        <v>301</v>
      </c>
      <c r="D352" s="16" t="n">
        <f aca="false">m_core*D339+m_hbm*D338</f>
        <v>24.9087255420412</v>
      </c>
      <c r="E352" s="16" t="n">
        <f aca="false">m_core*E339+m_hbm*E338</f>
        <v>113.154415653094</v>
      </c>
      <c r="F352" s="16" t="n">
        <f aca="false">m_core*F339+m_hbm*F338</f>
        <v>146.22264391135</v>
      </c>
      <c r="G352" s="16" t="n">
        <f aca="false">m_core*G339+m_hbm*G338</f>
        <v>166.913278615451</v>
      </c>
    </row>
    <row r="353" customFormat="false" ht="17.15" hidden="false" customHeight="false" outlineLevel="0" collapsed="false">
      <c r="A353" s="4" t="s">
        <v>645</v>
      </c>
      <c r="B353" s="0" t="s">
        <v>46</v>
      </c>
      <c r="C353" s="17" t="n">
        <f aca="false">a25_gp/C346</f>
        <v>0.474993539899927</v>
      </c>
      <c r="D353" s="17" t="n">
        <f aca="false">(a26_gp-D352)/D346</f>
        <v>0.462340704042911</v>
      </c>
      <c r="E353" s="17" t="n">
        <f aca="false">$D353+0</f>
        <v>0.462340704042911</v>
      </c>
      <c r="F353" s="17" t="n">
        <f aca="false">$D353+0</f>
        <v>0.462340704042911</v>
      </c>
      <c r="G353" s="17" t="n">
        <f aca="false">$D353+0</f>
        <v>0.462340704042911</v>
      </c>
      <c r="K353" s="8" t="s">
        <v>646</v>
      </c>
    </row>
    <row r="354" customFormat="false" ht="15" hidden="false" customHeight="false" outlineLevel="0" collapsed="false">
      <c r="A354" s="4" t="s">
        <v>517</v>
      </c>
      <c r="B354" s="0" t="s">
        <v>301</v>
      </c>
      <c r="C354" s="16" t="n">
        <f aca="false">a25_gp</f>
        <v>283.08</v>
      </c>
      <c r="D354" s="16" t="n">
        <f aca="false">a26_gp</f>
        <v>307.17786821659</v>
      </c>
      <c r="E354" s="16" t="n">
        <f aca="false">E353*E346+E352</f>
        <v>414.361996255344</v>
      </c>
      <c r="F354" s="16" t="n">
        <f aca="false">F353*F346+F352</f>
        <v>464.869126015736</v>
      </c>
      <c r="G354" s="16" t="n">
        <f aca="false">G353*G346+G352</f>
        <v>504.080744922343</v>
      </c>
    </row>
    <row r="355" customFormat="false" ht="15" hidden="false" customHeight="false" outlineLevel="0" collapsed="false">
      <c r="A355" s="4" t="s">
        <v>520</v>
      </c>
      <c r="B355" s="0" t="s">
        <v>46</v>
      </c>
      <c r="C355" s="17" t="n">
        <f aca="false">C354/C347</f>
        <v>0.474993539899927</v>
      </c>
      <c r="D355" s="17" t="n">
        <f aca="false">D354/D347</f>
        <v>0.455400856348417</v>
      </c>
      <c r="E355" s="17" t="n">
        <f aca="false">E354/E347</f>
        <v>0.418633277197091</v>
      </c>
      <c r="F355" s="17" t="n">
        <f aca="false">F354/F347</f>
        <v>0.393208786829712</v>
      </c>
      <c r="G355" s="17" t="n">
        <f aca="false">G354/G347</f>
        <v>0.392637348057039</v>
      </c>
    </row>
    <row r="356" customFormat="false" ht="15" hidden="false" customHeight="false" outlineLevel="0" collapsed="false">
      <c r="A356" s="4" t="s">
        <v>647</v>
      </c>
      <c r="B356" s="0" t="s">
        <v>301</v>
      </c>
      <c r="C356" s="16" t="n">
        <f aca="false">a25_opx</f>
        <v>179.61</v>
      </c>
      <c r="D356" s="16" t="n">
        <f aca="false">a26_opx</f>
        <v>192.105</v>
      </c>
      <c r="E356" s="16" t="n">
        <f aca="false">D356*(1+MAX(g_opx_min,phi*E348))+0*E347</f>
        <v>219.042269851418</v>
      </c>
      <c r="F356" s="16" t="n">
        <f aca="false">E356*(1+MAX(g_opx_min,phi*F348))+0*F347</f>
        <v>232.184806042504</v>
      </c>
      <c r="G356" s="16" t="n">
        <f aca="false">F356*(1+MAX(g_opx_min,phi*G348))+0*G347</f>
        <v>246.115894405054</v>
      </c>
    </row>
    <row r="357" customFormat="false" ht="15" hidden="false" customHeight="false" outlineLevel="0" collapsed="false">
      <c r="A357" s="4" t="s">
        <v>524</v>
      </c>
      <c r="B357" s="0" t="s">
        <v>301</v>
      </c>
      <c r="C357" s="16" t="n">
        <f aca="false">C354-C356</f>
        <v>103.47</v>
      </c>
      <c r="D357" s="16" t="n">
        <f aca="false">D354-D356</f>
        <v>115.07286821659</v>
      </c>
      <c r="E357" s="16" t="n">
        <f aca="false">E354-E356</f>
        <v>195.319726403926</v>
      </c>
      <c r="F357" s="16" t="n">
        <f aca="false">F354-F356</f>
        <v>232.684319973233</v>
      </c>
      <c r="G357" s="16" t="n">
        <f aca="false">G354-G356</f>
        <v>257.964850517289</v>
      </c>
    </row>
    <row r="358" customFormat="false" ht="15" hidden="false" customHeight="false" outlineLevel="0" collapsed="false">
      <c r="A358" s="4" t="s">
        <v>598</v>
      </c>
      <c r="B358" s="0" t="s">
        <v>46</v>
      </c>
      <c r="C358" s="17" t="n">
        <f aca="false">C357/C347</f>
        <v>0.173617286892205</v>
      </c>
      <c r="D358" s="17" t="n">
        <f aca="false">D357/D347</f>
        <v>0.170599148410502</v>
      </c>
      <c r="E358" s="17" t="n">
        <f aca="false">E357/E347</f>
        <v>0.197333099812867</v>
      </c>
      <c r="F358" s="17" t="n">
        <f aca="false">F357/F347</f>
        <v>0.196815649933857</v>
      </c>
      <c r="G358" s="17" t="n">
        <f aca="false">G357/G347</f>
        <v>0.200933354069382</v>
      </c>
    </row>
    <row r="359" customFormat="false" ht="15" hidden="false" customHeight="false" outlineLevel="0" collapsed="false">
      <c r="A359" s="4" t="s">
        <v>526</v>
      </c>
      <c r="B359" s="0" t="s">
        <v>301</v>
      </c>
      <c r="C359" s="16" t="n">
        <f aca="false">a25_nonop</f>
        <v>21.418</v>
      </c>
      <c r="D359" s="16" t="n">
        <f aca="false">a26_nonop</f>
        <v>18.823</v>
      </c>
      <c r="E359" s="16" t="n">
        <f aca="false">nonop_f</f>
        <v>18</v>
      </c>
      <c r="F359" s="16" t="n">
        <f aca="false">nonop_f</f>
        <v>18</v>
      </c>
      <c r="G359" s="16" t="n">
        <f aca="false">nonop_f</f>
        <v>18</v>
      </c>
    </row>
    <row r="360" customFormat="false" ht="15" hidden="false" customHeight="false" outlineLevel="0" collapsed="false">
      <c r="A360" s="4" t="s">
        <v>528</v>
      </c>
      <c r="B360" s="0" t="s">
        <v>301</v>
      </c>
      <c r="C360" s="16" t="n">
        <f aca="false">C357+C359</f>
        <v>124.888</v>
      </c>
      <c r="D360" s="16" t="n">
        <f aca="false">D357+D359</f>
        <v>133.89586821659</v>
      </c>
      <c r="E360" s="16" t="n">
        <f aca="false">E357+E359</f>
        <v>213.319726403926</v>
      </c>
      <c r="F360" s="16" t="n">
        <f aca="false">F357+F359</f>
        <v>250.684319973233</v>
      </c>
      <c r="G360" s="16" t="n">
        <f aca="false">G357+G359</f>
        <v>275.964850517289</v>
      </c>
    </row>
    <row r="361" customFormat="false" ht="15" hidden="false" customHeight="false" outlineLevel="0" collapsed="false">
      <c r="A361" s="4" t="s">
        <v>529</v>
      </c>
      <c r="B361" s="0" t="s">
        <v>301</v>
      </c>
      <c r="C361" s="16" t="n">
        <f aca="false">a25_tax</f>
        <v>18.77</v>
      </c>
      <c r="D361" s="16" t="n">
        <f aca="false">a26_tax</f>
        <v>16.2589328681567</v>
      </c>
      <c r="E361" s="16" t="n">
        <f aca="false">E360*tax</f>
        <v>29.8647616965496</v>
      </c>
      <c r="F361" s="16" t="n">
        <f aca="false">F360*tax</f>
        <v>35.0958047962526</v>
      </c>
      <c r="G361" s="16" t="n">
        <f aca="false">G360*tax</f>
        <v>38.6350790724205</v>
      </c>
    </row>
    <row r="362" customFormat="false" ht="15" hidden="false" customHeight="false" outlineLevel="0" collapsed="false">
      <c r="A362" s="4" t="s">
        <v>530</v>
      </c>
      <c r="B362" s="0" t="s">
        <v>301</v>
      </c>
      <c r="C362" s="16" t="n">
        <f aca="false">a25_nci</f>
        <v>0.798</v>
      </c>
      <c r="D362" s="16" t="n">
        <f aca="false">a26_nci</f>
        <v>0.992</v>
      </c>
      <c r="E362" s="16" t="n">
        <f aca="false">nci</f>
        <v>1</v>
      </c>
      <c r="F362" s="16" t="n">
        <f aca="false">nci</f>
        <v>1</v>
      </c>
      <c r="G362" s="16" t="n">
        <f aca="false">nci</f>
        <v>1</v>
      </c>
    </row>
    <row r="363" customFormat="false" ht="15" hidden="false" customHeight="false" outlineLevel="0" collapsed="false">
      <c r="A363" s="4" t="s">
        <v>532</v>
      </c>
      <c r="B363" s="0" t="s">
        <v>301</v>
      </c>
      <c r="C363" s="16" t="n">
        <f aca="false">C360-C361-C362</f>
        <v>105.32</v>
      </c>
      <c r="D363" s="16" t="n">
        <f aca="false">D360-D361-D362</f>
        <v>116.644935348433</v>
      </c>
      <c r="E363" s="16" t="n">
        <f aca="false">E360-E361-E362</f>
        <v>182.454964707376</v>
      </c>
      <c r="F363" s="16" t="n">
        <f aca="false">F360-F361-F362</f>
        <v>214.58851517698</v>
      </c>
      <c r="G363" s="16" t="n">
        <f aca="false">G360-G361-G362</f>
        <v>236.329771444869</v>
      </c>
      <c r="H363" s="26" t="n">
        <f aca="false">H347*H367</f>
        <v>258.753050299903</v>
      </c>
      <c r="I363" s="26" t="n">
        <f aca="false">I347*I367</f>
        <v>280.958454797298</v>
      </c>
      <c r="J363" s="26" t="n">
        <f aca="false">J347*J367</f>
        <v>302.52650612219</v>
      </c>
    </row>
    <row r="364" customFormat="false" ht="15" hidden="false" customHeight="false" outlineLevel="0" collapsed="false">
      <c r="A364" s="4" t="s">
        <v>648</v>
      </c>
      <c r="B364" s="4" t="s">
        <v>346</v>
      </c>
      <c r="C364" s="18" t="n">
        <f aca="false">a25_sh</f>
        <v>1.59188331318017</v>
      </c>
      <c r="D364" s="18" t="n">
        <f aca="false">a26_sh</f>
        <v>1.59250890647703</v>
      </c>
      <c r="E364" s="18" t="n">
        <f aca="false">D364*(1+sh_g)</f>
        <v>1.59250890647703</v>
      </c>
      <c r="F364" s="18" t="n">
        <f aca="false">E364*(1+sh_g)</f>
        <v>1.59250890647703</v>
      </c>
      <c r="G364" s="18" t="n">
        <f aca="false">F364*(1+sh_g)</f>
        <v>1.59250890647703</v>
      </c>
      <c r="H364" s="28" t="n">
        <f aca="false">G364*(1+sh_g)</f>
        <v>1.59250890647703</v>
      </c>
      <c r="I364" s="28" t="n">
        <f aca="false">H364*(1+sh_g)</f>
        <v>1.59250890647703</v>
      </c>
      <c r="J364" s="28" t="n">
        <f aca="false">I364*(1+sh_g)</f>
        <v>1.59250890647703</v>
      </c>
    </row>
    <row r="365" customFormat="false" ht="17.15" hidden="false" customHeight="false" outlineLevel="0" collapsed="false">
      <c r="A365" s="0" t="s">
        <v>537</v>
      </c>
      <c r="B365" s="0" t="s">
        <v>403</v>
      </c>
      <c r="C365" s="16" t="n">
        <f aca="false">C363/C364</f>
        <v>66.1606281867469</v>
      </c>
      <c r="D365" s="16" t="n">
        <f aca="false">D363/D364</f>
        <v>73.2460175726595</v>
      </c>
      <c r="E365" s="16" t="n">
        <f aca="false">E363/E364</f>
        <v>114.570765642376</v>
      </c>
      <c r="F365" s="16" t="n">
        <f aca="false">F363/F364</f>
        <v>134.748706461991</v>
      </c>
      <c r="G365" s="16" t="n">
        <f aca="false">G363/G364</f>
        <v>148.400910339447</v>
      </c>
      <c r="H365" s="26" t="n">
        <f aca="false">H363/H364</f>
        <v>162.481383461974</v>
      </c>
      <c r="I365" s="26" t="n">
        <f aca="false">I363/I364</f>
        <v>176.425044566211</v>
      </c>
      <c r="J365" s="26" t="n">
        <f aca="false">J363/J364</f>
        <v>189.968486136409</v>
      </c>
    </row>
    <row r="366" customFormat="false" ht="17.15" hidden="false" customHeight="false" outlineLevel="0" collapsed="false">
      <c r="A366" s="0" t="s">
        <v>649</v>
      </c>
      <c r="B366" s="0" t="s">
        <v>46</v>
      </c>
      <c r="D366" s="19" t="n">
        <f aca="false">D365/C365-1</f>
        <v>0.107093744120947</v>
      </c>
      <c r="E366" s="19" t="n">
        <f aca="false">E365/D365-1</f>
        <v>0.564191056922962</v>
      </c>
      <c r="F366" s="19" t="n">
        <f aca="false">F365/E365-1</f>
        <v>0.176117709491436</v>
      </c>
      <c r="G366" s="19" t="n">
        <f aca="false">G365/F365-1</f>
        <v>0.101316029191766</v>
      </c>
      <c r="H366" s="24" t="n">
        <f aca="false">H365/G365-1</f>
        <v>0.0948813123202525</v>
      </c>
      <c r="I366" s="24" t="n">
        <f aca="false">I365/H365-1</f>
        <v>0.0858169767338313</v>
      </c>
      <c r="J366" s="24" t="n">
        <f aca="false">J365/I365-1</f>
        <v>0.076765980722854</v>
      </c>
    </row>
    <row r="367" customFormat="false" ht="17.15" hidden="false" customHeight="false" outlineLevel="0" collapsed="false">
      <c r="A367" s="4" t="s">
        <v>650</v>
      </c>
      <c r="B367" s="0" t="s">
        <v>46</v>
      </c>
      <c r="C367" s="17" t="n">
        <f aca="false">C363/C347</f>
        <v>0.176721490823302</v>
      </c>
      <c r="D367" s="17" t="n">
        <f aca="false">D363/D347</f>
        <v>0.172929787405541</v>
      </c>
      <c r="E367" s="17" t="n">
        <f aca="false">E363/E347</f>
        <v>0.184335726988967</v>
      </c>
      <c r="F367" s="17" t="n">
        <f aca="false">F363/F347</f>
        <v>0.18150934316398</v>
      </c>
      <c r="G367" s="17" t="n">
        <f aca="false">G363/G347</f>
        <v>0.184081410888517</v>
      </c>
      <c r="H367" s="25" t="n">
        <f aca="false">$G367+(fade_mA-$G367)*1/3</f>
        <v>0.187088134206215</v>
      </c>
      <c r="I367" s="25" t="n">
        <f aca="false">$G367+(fade_mA-$G367)*2/3</f>
        <v>0.190094857523912</v>
      </c>
      <c r="J367" s="25" t="n">
        <f aca="false">$G367+(fade_mA-$G367)*3/3</f>
        <v>0.19310158084161</v>
      </c>
    </row>
    <row r="370" customFormat="false" ht="17.15" hidden="false" customHeight="false" outlineLevel="0" collapsed="false">
      <c r="A370" s="1" t="s">
        <v>941</v>
      </c>
    </row>
    <row r="371" customFormat="false" ht="17.15" hidden="false" customHeight="false" outlineLevel="0" collapsed="false">
      <c r="A371" s="5" t="s">
        <v>22</v>
      </c>
      <c r="B371" s="5" t="s">
        <v>23</v>
      </c>
      <c r="C371" s="14" t="s">
        <v>494</v>
      </c>
      <c r="D371" s="14" t="s">
        <v>587</v>
      </c>
      <c r="E371" s="14" t="s">
        <v>588</v>
      </c>
      <c r="F371" s="14" t="s">
        <v>589</v>
      </c>
      <c r="G371" s="14" t="s">
        <v>590</v>
      </c>
      <c r="H371" s="14" t="s">
        <v>591</v>
      </c>
      <c r="I371" s="14" t="s">
        <v>592</v>
      </c>
      <c r="J371" s="14" t="s">
        <v>593</v>
      </c>
      <c r="K371" s="5" t="s">
        <v>557</v>
      </c>
    </row>
    <row r="372" customFormat="false" ht="17.15" hidden="false" customHeight="false" outlineLevel="0" collapsed="false">
      <c r="A372" s="6" t="s">
        <v>609</v>
      </c>
    </row>
    <row r="373" customFormat="false" ht="17.15" hidden="false" customHeight="false" outlineLevel="0" collapsed="false">
      <c r="A373" s="0" t="s">
        <v>610</v>
      </c>
      <c r="B373" s="4" t="s">
        <v>33</v>
      </c>
      <c r="D373" s="20" t="n">
        <f aca="false">u_tpu_26</f>
        <v>3.85</v>
      </c>
      <c r="E373" s="20" t="n">
        <f aca="false">u_tpu_27</f>
        <v>5.5</v>
      </c>
      <c r="F373" s="20" t="n">
        <f aca="false">u_tpu_28*um28_A</f>
        <v>7</v>
      </c>
      <c r="G373" s="20" t="n">
        <f aca="false">u_tpu_28*(1+g29_tpu)*um29_A</f>
        <v>8.05</v>
      </c>
    </row>
    <row r="374" customFormat="false" ht="17.15" hidden="false" customHeight="false" outlineLevel="0" collapsed="false">
      <c r="A374" s="4" t="s">
        <v>611</v>
      </c>
      <c r="B374" s="4" t="s">
        <v>33</v>
      </c>
      <c r="D374" s="20" t="n">
        <f aca="false">u_oth_26</f>
        <v>1</v>
      </c>
      <c r="E374" s="20" t="n">
        <f aca="false">u_oth_27</f>
        <v>4.5</v>
      </c>
      <c r="F374" s="20" t="n">
        <f aca="false">u_oth_28*um28_A</f>
        <v>5</v>
      </c>
      <c r="G374" s="20" t="n">
        <f aca="false">u_oth_28*(1+g29_oth)*um29_A</f>
        <v>5.75</v>
      </c>
    </row>
    <row r="375" customFormat="false" ht="17.15" hidden="false" customHeight="false" outlineLevel="0" collapsed="false">
      <c r="A375" s="4" t="s">
        <v>561</v>
      </c>
      <c r="B375" s="0" t="s">
        <v>46</v>
      </c>
      <c r="D375" s="19" t="n">
        <f aca="false">mtk_tpu_26</f>
        <v>0.05</v>
      </c>
      <c r="E375" s="19" t="n">
        <f aca="false">MIN(1,MAX(0,mtk_tpu_27+0))</f>
        <v>0.15</v>
      </c>
      <c r="F375" s="19" t="n">
        <f aca="false">MIN(1,MAX(0,mtk_tpu_28+0))</f>
        <v>0.18</v>
      </c>
      <c r="G375" s="19" t="n">
        <f aca="false">MIN(1,MAX(0,mtk_tpu_28+0))</f>
        <v>0.18</v>
      </c>
    </row>
    <row r="376" customFormat="false" ht="17.15" hidden="false" customHeight="false" outlineLevel="0" collapsed="false">
      <c r="A376" s="4" t="s">
        <v>612</v>
      </c>
      <c r="B376" s="0" t="s">
        <v>46</v>
      </c>
      <c r="D376" s="19" t="n">
        <f aca="false">mtk_oth_26</f>
        <v>0</v>
      </c>
      <c r="E376" s="19" t="n">
        <f aca="false">MIN(1,MAX(0,mtk_oth_27+0.05))</f>
        <v>0.05</v>
      </c>
      <c r="F376" s="19" t="n">
        <f aca="false">MIN(1,MAX(0,mtk_oth_28+0.05))</f>
        <v>0.05</v>
      </c>
      <c r="G376" s="19" t="n">
        <f aca="false">MIN(1,MAX(0,mtk_oth_28+0.05))</f>
        <v>0.05</v>
      </c>
    </row>
    <row r="377" customFormat="false" ht="17.15" hidden="false" customHeight="false" outlineLevel="0" collapsed="false">
      <c r="A377" s="4" t="s">
        <v>563</v>
      </c>
      <c r="B377" s="4" t="s">
        <v>33</v>
      </c>
      <c r="D377" s="20" t="n">
        <f aca="false">D373*D375</f>
        <v>0.1925</v>
      </c>
      <c r="E377" s="20" t="n">
        <f aca="false">E373*E375*1</f>
        <v>0.825</v>
      </c>
      <c r="F377" s="20" t="n">
        <f aca="false">F373*F375*1</f>
        <v>1.26</v>
      </c>
      <c r="G377" s="20" t="n">
        <f aca="false">G373*G375*1</f>
        <v>1.449</v>
      </c>
    </row>
    <row r="378" customFormat="false" ht="17.15" hidden="false" customHeight="false" outlineLevel="0" collapsed="false">
      <c r="A378" s="4" t="s">
        <v>613</v>
      </c>
      <c r="B378" s="4" t="s">
        <v>33</v>
      </c>
      <c r="D378" s="20" t="n">
        <f aca="false">D374*D376</f>
        <v>0</v>
      </c>
      <c r="E378" s="20" t="n">
        <f aca="false">E374*E376*1</f>
        <v>0.225</v>
      </c>
      <c r="F378" s="20" t="n">
        <f aca="false">F374*F376*1</f>
        <v>0.25</v>
      </c>
      <c r="G378" s="20" t="n">
        <f aca="false">G374*G376*1</f>
        <v>0.2875</v>
      </c>
    </row>
    <row r="379" customFormat="false" ht="17.15" hidden="false" customHeight="false" outlineLevel="0" collapsed="false">
      <c r="A379" s="4" t="s">
        <v>614</v>
      </c>
      <c r="B379" s="0" t="s">
        <v>102</v>
      </c>
      <c r="D379" s="27" t="n">
        <f aca="false">gb_tpu_26</f>
        <v>192</v>
      </c>
      <c r="E379" s="27" t="n">
        <f aca="false">gb_tpu_27</f>
        <v>250</v>
      </c>
      <c r="F379" s="27" t="n">
        <f aca="false">gb_tpu_28</f>
        <v>288</v>
      </c>
      <c r="G379" s="27" t="n">
        <f aca="false">gb_tpu_28</f>
        <v>288</v>
      </c>
    </row>
    <row r="380" customFormat="false" ht="17.15" hidden="false" customHeight="false" outlineLevel="0" collapsed="false">
      <c r="A380" s="4" t="s">
        <v>615</v>
      </c>
      <c r="B380" s="0" t="s">
        <v>102</v>
      </c>
      <c r="D380" s="27" t="n">
        <f aca="false">gb_oth_26</f>
        <v>150</v>
      </c>
      <c r="E380" s="27" t="n">
        <f aca="false">gb_oth_27</f>
        <v>200</v>
      </c>
      <c r="F380" s="27" t="n">
        <f aca="false">gb_oth_28</f>
        <v>250</v>
      </c>
      <c r="G380" s="27" t="n">
        <f aca="false">gb_oth_28</f>
        <v>250</v>
      </c>
    </row>
    <row r="381" customFormat="false" ht="17.15" hidden="false" customHeight="false" outlineLevel="0" collapsed="false">
      <c r="A381" s="0" t="s">
        <v>616</v>
      </c>
      <c r="B381" s="0" t="s">
        <v>194</v>
      </c>
      <c r="D381" s="16" t="n">
        <f aca="false">hbm_A_26</f>
        <v>14.6</v>
      </c>
      <c r="E381" s="16" t="n">
        <f aca="false">hbm_A_27</f>
        <v>26.28</v>
      </c>
      <c r="F381" s="16" t="n">
        <f aca="false">hbm_A_28</f>
        <v>28.908</v>
      </c>
      <c r="G381" s="16" t="n">
        <f aca="false">hbm_A_29</f>
        <v>27.4626</v>
      </c>
    </row>
    <row r="382" customFormat="false" ht="17.15" hidden="false" customHeight="false" outlineLevel="0" collapsed="false">
      <c r="A382" s="4" t="s">
        <v>617</v>
      </c>
      <c r="B382" s="0" t="s">
        <v>86</v>
      </c>
      <c r="D382" s="16" t="n">
        <f aca="false">core_tpu</f>
        <v>8</v>
      </c>
      <c r="E382" s="16" t="n">
        <f aca="false">core_tpu</f>
        <v>8</v>
      </c>
      <c r="F382" s="16" t="n">
        <f aca="false">core_tpu*1</f>
        <v>8</v>
      </c>
      <c r="G382" s="16" t="n">
        <f aca="false">core_tpu*1</f>
        <v>8</v>
      </c>
    </row>
    <row r="383" customFormat="false" ht="17.15" hidden="false" customHeight="false" outlineLevel="0" collapsed="false">
      <c r="A383" s="4" t="s">
        <v>618</v>
      </c>
      <c r="B383" s="0" t="s">
        <v>86</v>
      </c>
      <c r="D383" s="16" t="n">
        <f aca="false">core_oth</f>
        <v>6</v>
      </c>
      <c r="E383" s="16" t="n">
        <f aca="false">core_oth</f>
        <v>6</v>
      </c>
      <c r="F383" s="16" t="n">
        <f aca="false">core_oth*1</f>
        <v>6</v>
      </c>
      <c r="G383" s="16" t="n">
        <f aca="false">core_oth*1</f>
        <v>6</v>
      </c>
    </row>
    <row r="384" customFormat="false" ht="17.15" hidden="false" customHeight="false" outlineLevel="0" collapsed="false">
      <c r="A384" s="4" t="s">
        <v>619</v>
      </c>
      <c r="B384" s="0" t="s">
        <v>86</v>
      </c>
      <c r="D384" s="16" t="n">
        <f aca="false">D379*D381/1000</f>
        <v>2.8032</v>
      </c>
      <c r="E384" s="16" t="n">
        <f aca="false">E379*E381/1000</f>
        <v>6.57</v>
      </c>
      <c r="F384" s="16" t="n">
        <f aca="false">F379*F381/1000</f>
        <v>8.325504</v>
      </c>
      <c r="G384" s="16" t="n">
        <f aca="false">G379*G381/1000</f>
        <v>7.9092288</v>
      </c>
    </row>
    <row r="385" customFormat="false" ht="17.15" hidden="false" customHeight="false" outlineLevel="0" collapsed="false">
      <c r="A385" s="4" t="s">
        <v>620</v>
      </c>
      <c r="B385" s="0" t="s">
        <v>86</v>
      </c>
      <c r="D385" s="16" t="n">
        <f aca="false">D380*D381/1000</f>
        <v>2.19</v>
      </c>
      <c r="E385" s="16" t="n">
        <f aca="false">E380*E381/1000</f>
        <v>5.256</v>
      </c>
      <c r="F385" s="16" t="n">
        <f aca="false">F380*F381/1000</f>
        <v>7.227</v>
      </c>
      <c r="G385" s="16" t="n">
        <f aca="false">G380*G381/1000</f>
        <v>6.86565</v>
      </c>
    </row>
    <row r="386" customFormat="false" ht="17.15" hidden="false" customHeight="false" outlineLevel="0" collapsed="false">
      <c r="A386" s="4" t="s">
        <v>621</v>
      </c>
      <c r="B386" s="0" t="s">
        <v>86</v>
      </c>
      <c r="D386" s="16" t="n">
        <f aca="false">D382+f_hbm*D384</f>
        <v>9.68192</v>
      </c>
      <c r="E386" s="16" t="n">
        <f aca="false">E382+f_hbm*E384</f>
        <v>11.942</v>
      </c>
      <c r="F386" s="16" t="n">
        <f aca="false">F382+f_hbm*F384</f>
        <v>12.9953024</v>
      </c>
      <c r="G386" s="16" t="n">
        <f aca="false">G382+f_hbm*G384</f>
        <v>12.74553728</v>
      </c>
      <c r="K386" s="4" t="s">
        <v>622</v>
      </c>
    </row>
    <row r="387" customFormat="false" ht="17.15" hidden="false" customHeight="false" outlineLevel="0" collapsed="false">
      <c r="A387" s="4" t="s">
        <v>623</v>
      </c>
      <c r="B387" s="0" t="s">
        <v>86</v>
      </c>
      <c r="D387" s="16" t="n">
        <f aca="false">D383+f_hbm*D385</f>
        <v>7.314</v>
      </c>
      <c r="E387" s="16" t="n">
        <f aca="false">E383+f_hbm*E385</f>
        <v>9.1536</v>
      </c>
      <c r="F387" s="16" t="n">
        <f aca="false">F383+f_hbm*F385</f>
        <v>10.3362</v>
      </c>
      <c r="G387" s="16" t="n">
        <f aca="false">G383+f_hbm*G385</f>
        <v>10.11939</v>
      </c>
    </row>
    <row r="388" customFormat="false" ht="17.15" hidden="false" customHeight="false" outlineLevel="0" collapsed="false">
      <c r="A388" s="0" t="s">
        <v>624</v>
      </c>
      <c r="B388" s="0" t="s">
        <v>279</v>
      </c>
      <c r="D388" s="16" t="n">
        <f aca="false">D377*D386+D378*D387</f>
        <v>1.8637696</v>
      </c>
      <c r="E388" s="16" t="n">
        <f aca="false">E377*E386+E378*E387</f>
        <v>11.91171</v>
      </c>
      <c r="F388" s="16" t="n">
        <f aca="false">F377*F386+F378*F387</f>
        <v>18.958131024</v>
      </c>
      <c r="G388" s="16" t="n">
        <f aca="false">G377*G386+G378*G387</f>
        <v>21.37760814372</v>
      </c>
    </row>
    <row r="389" customFormat="false" ht="17.15" hidden="false" customHeight="false" outlineLevel="0" collapsed="false">
      <c r="A389" s="0" t="s">
        <v>625</v>
      </c>
      <c r="B389" s="0" t="s">
        <v>65</v>
      </c>
      <c r="D389" s="20" t="n">
        <f aca="false">dc26/D388</f>
        <v>1.07309401333727</v>
      </c>
      <c r="K389" s="8" t="s">
        <v>626</v>
      </c>
    </row>
    <row r="390" customFormat="false" ht="17.15" hidden="false" customHeight="false" outlineLevel="0" collapsed="false">
      <c r="A390" s="0" t="s">
        <v>627</v>
      </c>
      <c r="B390" s="0" t="s">
        <v>279</v>
      </c>
      <c r="D390" s="16" t="n">
        <f aca="false">D388*$D$389</f>
        <v>2</v>
      </c>
      <c r="E390" s="16" t="n">
        <f aca="false">E388*$D$389</f>
        <v>12.7823846896097</v>
      </c>
      <c r="F390" s="16" t="n">
        <f aca="false">F388*$D$389</f>
        <v>20.343856905918</v>
      </c>
      <c r="G390" s="16" t="n">
        <f aca="false">G388*$D$389</f>
        <v>22.940183318496</v>
      </c>
    </row>
    <row r="391" customFormat="false" ht="15" hidden="false" customHeight="false" outlineLevel="0" collapsed="false">
      <c r="A391" s="4" t="s">
        <v>628</v>
      </c>
      <c r="B391" s="0" t="s">
        <v>288</v>
      </c>
      <c r="D391" s="16" t="n">
        <f aca="false">fx26</f>
        <v>32</v>
      </c>
      <c r="E391" s="16" t="n">
        <f aca="false">fx</f>
        <v>32</v>
      </c>
      <c r="F391" s="16" t="n">
        <f aca="false">fx</f>
        <v>32</v>
      </c>
      <c r="G391" s="16" t="n">
        <f aca="false">fx</f>
        <v>32</v>
      </c>
    </row>
    <row r="392" customFormat="false" ht="17.15" hidden="false" customHeight="false" outlineLevel="0" collapsed="false">
      <c r="A392" s="0" t="s">
        <v>629</v>
      </c>
      <c r="B392" s="0" t="s">
        <v>301</v>
      </c>
      <c r="C392" s="16" t="n">
        <f aca="false">a25_asic</f>
        <v>0</v>
      </c>
      <c r="D392" s="16" t="n">
        <f aca="false">D390*D391</f>
        <v>64</v>
      </c>
      <c r="E392" s="16" t="n">
        <f aca="false">E390*E391</f>
        <v>409.03631006751</v>
      </c>
      <c r="F392" s="16" t="n">
        <f aca="false">F390*F391</f>
        <v>651.003420989376</v>
      </c>
      <c r="G392" s="16" t="n">
        <f aca="false">G390*G391</f>
        <v>734.085866191873</v>
      </c>
    </row>
    <row r="393" customFormat="false" ht="17.15" hidden="false" customHeight="false" outlineLevel="0" collapsed="false">
      <c r="A393" s="4" t="s">
        <v>630</v>
      </c>
      <c r="B393" s="0" t="s">
        <v>301</v>
      </c>
      <c r="D393" s="16" t="n">
        <f aca="false">$D$389*f_hbm*(D377*D384+D378*D385)*D391</f>
        <v>11.1179270227393</v>
      </c>
      <c r="E393" s="16" t="n">
        <f aca="false">$D$389*f_hbm*(E377*E384+E378*E385)*E391</f>
        <v>136.041193074509</v>
      </c>
      <c r="F393" s="16" t="n">
        <f aca="false">$D$389*f_hbm*(F377*F384+F378*F385)*F391</f>
        <v>253.357703407116</v>
      </c>
      <c r="G393" s="16" t="n">
        <f aca="false">$D$389*f_hbm*(G377*G384+G378*G385)*G391</f>
        <v>276.793290972275</v>
      </c>
    </row>
    <row r="394" customFormat="false" ht="15" hidden="false" customHeight="false" outlineLevel="0" collapsed="false">
      <c r="A394" s="4" t="s">
        <v>631</v>
      </c>
      <c r="B394" s="0" t="s">
        <v>301</v>
      </c>
      <c r="D394" s="16" t="n">
        <f aca="false">D392-D393</f>
        <v>52.8820729772607</v>
      </c>
      <c r="E394" s="16" t="n">
        <f aca="false">E392-E393</f>
        <v>272.995116993002</v>
      </c>
      <c r="F394" s="16" t="n">
        <f aca="false">F392-F393</f>
        <v>397.645717582259</v>
      </c>
      <c r="G394" s="16" t="n">
        <f aca="false">G392-G393</f>
        <v>457.292575219598</v>
      </c>
    </row>
    <row r="395" customFormat="false" ht="17.15" hidden="false" customHeight="false" outlineLevel="0" collapsed="false">
      <c r="A395" s="4" t="s">
        <v>632</v>
      </c>
      <c r="B395" s="4" t="s">
        <v>33</v>
      </c>
      <c r="D395" s="20" t="n">
        <f aca="false">D377+D378</f>
        <v>0.1925</v>
      </c>
      <c r="E395" s="20" t="n">
        <f aca="false">E377+E378</f>
        <v>1.05</v>
      </c>
      <c r="F395" s="20" t="n">
        <f aca="false">F377+F378</f>
        <v>1.51</v>
      </c>
      <c r="G395" s="20" t="n">
        <f aca="false">G377+G378</f>
        <v>1.7365</v>
      </c>
    </row>
    <row r="396" customFormat="false" ht="17.15" hidden="false" customHeight="false" outlineLevel="0" collapsed="false">
      <c r="A396" s="4" t="s">
        <v>633</v>
      </c>
      <c r="B396" s="0" t="s">
        <v>86</v>
      </c>
      <c r="D396" s="16" t="n">
        <f aca="false">IF(D395&gt;0,D390/D395,0)</f>
        <v>10.3896103896104</v>
      </c>
      <c r="E396" s="16" t="n">
        <f aca="false">IF(E395&gt;0,E390/E395,0)</f>
        <v>12.1736997043902</v>
      </c>
      <c r="F396" s="16" t="n">
        <f aca="false">IF(F395&gt;0,F390/F395,0)</f>
        <v>13.4727529178265</v>
      </c>
      <c r="G396" s="16" t="n">
        <f aca="false">IF(G395&gt;0,G390/G395,0)</f>
        <v>13.2105864200956</v>
      </c>
    </row>
    <row r="397" customFormat="false" ht="17.15" hidden="false" customHeight="false" outlineLevel="0" collapsed="false">
      <c r="A397" s="6" t="s">
        <v>634</v>
      </c>
    </row>
    <row r="398" customFormat="false" ht="15" hidden="false" customHeight="false" outlineLevel="0" collapsed="false">
      <c r="A398" s="4" t="s">
        <v>635</v>
      </c>
      <c r="B398" s="0" t="s">
        <v>301</v>
      </c>
      <c r="C398" s="16" t="n">
        <f aca="false">a25_mob</f>
        <v>315.86198</v>
      </c>
      <c r="D398" s="16" t="n">
        <f aca="false">a26_mob</f>
        <v>262.655761173888</v>
      </c>
      <c r="E398" s="16" t="n">
        <f aca="false">D398*(1+g_mob27_A)</f>
        <v>275.788549232582</v>
      </c>
      <c r="F398" s="16" t="n">
        <f aca="false">E398*(1+g_mobL_A)</f>
        <v>286.820091201885</v>
      </c>
      <c r="G398" s="16" t="n">
        <f aca="false">F398*(1+g_mobL_A)</f>
        <v>298.292894849961</v>
      </c>
    </row>
    <row r="399" customFormat="false" ht="17.15" hidden="false" customHeight="false" outlineLevel="0" collapsed="false">
      <c r="A399" s="4" t="s">
        <v>636</v>
      </c>
      <c r="B399" s="0" t="s">
        <v>301</v>
      </c>
      <c r="C399" s="16" t="n">
        <f aca="false">a25_sepx</f>
        <v>247.32589</v>
      </c>
      <c r="D399" s="16" t="n">
        <f aca="false">a26_sepx</f>
        <v>311.894023346019</v>
      </c>
      <c r="E399" s="16" t="n">
        <f aca="false">D399*(1+g_sep27_A)</f>
        <v>336.8455452137</v>
      </c>
      <c r="F399" s="16" t="n">
        <f aca="false">E399*(1+g_sepL_A)</f>
        <v>360.424733378659</v>
      </c>
      <c r="G399" s="16" t="n">
        <f aca="false">F399*(1+g_sepL_A)</f>
        <v>385.654464715166</v>
      </c>
    </row>
    <row r="400" customFormat="false" ht="17.15" hidden="false" customHeight="false" outlineLevel="0" collapsed="false">
      <c r="A400" s="4" t="s">
        <v>637</v>
      </c>
      <c r="B400" s="0" t="s">
        <v>301</v>
      </c>
      <c r="C400" s="16" t="n">
        <f aca="false">a25_pic</f>
        <v>32.77813</v>
      </c>
      <c r="D400" s="16" t="n">
        <f aca="false">a26_pic</f>
        <v>35.9721535362998</v>
      </c>
      <c r="E400" s="16" t="n">
        <f aca="false">D400*(1+g_pic27_A)</f>
        <v>38.8499258192038</v>
      </c>
      <c r="F400" s="16" t="n">
        <f aca="false">E400*(1+g_picL_A)</f>
        <v>41.9579198847401</v>
      </c>
      <c r="G400" s="16" t="n">
        <f aca="false">F400*(1+g_picL_A)</f>
        <v>45.3145534755193</v>
      </c>
    </row>
    <row r="401" customFormat="false" ht="17.15" hidden="false" customHeight="false" outlineLevel="0" collapsed="false">
      <c r="A401" s="4" t="s">
        <v>638</v>
      </c>
      <c r="B401" s="0" t="s">
        <v>301</v>
      </c>
      <c r="C401" s="16" t="n">
        <f aca="false">C398+C399+C400</f>
        <v>595.966</v>
      </c>
      <c r="D401" s="16" t="n">
        <f aca="false">D398+D399+D400</f>
        <v>610.521938056206</v>
      </c>
      <c r="E401" s="16" t="n">
        <f aca="false">E398+E399+E400</f>
        <v>651.484020265486</v>
      </c>
      <c r="F401" s="16" t="n">
        <f aca="false">F398+F399+F400</f>
        <v>689.202744465285</v>
      </c>
      <c r="G401" s="16" t="n">
        <f aca="false">G398+G399+G400</f>
        <v>729.261913040646</v>
      </c>
    </row>
    <row r="402" customFormat="false" ht="17.15" hidden="false" customHeight="false" outlineLevel="0" collapsed="false">
      <c r="A402" s="4" t="s">
        <v>501</v>
      </c>
      <c r="B402" s="0" t="s">
        <v>301</v>
      </c>
      <c r="C402" s="16" t="n">
        <f aca="false">C401+C392</f>
        <v>595.966</v>
      </c>
      <c r="D402" s="16" t="n">
        <f aca="false">D401+D392</f>
        <v>674.521938056206</v>
      </c>
      <c r="E402" s="16" t="n">
        <f aca="false">E401+E392</f>
        <v>1060.520330333</v>
      </c>
      <c r="F402" s="16" t="n">
        <f aca="false">F401+F392</f>
        <v>1340.20616545466</v>
      </c>
      <c r="G402" s="16" t="n">
        <f aca="false">G401+G392</f>
        <v>1463.34777923252</v>
      </c>
      <c r="H402" s="26" t="n">
        <f aca="false">G402*(1+H403)</f>
        <v>1582.25219095278</v>
      </c>
      <c r="I402" s="26" t="n">
        <f aca="false">H402*(1+I403)</f>
        <v>1694.00275510059</v>
      </c>
      <c r="J402" s="26" t="n">
        <f aca="false">I402*(1+J403)</f>
        <v>1795.64292040662</v>
      </c>
      <c r="K402" s="8" t="s">
        <v>639</v>
      </c>
    </row>
    <row r="403" customFormat="false" ht="15" hidden="false" customHeight="false" outlineLevel="0" collapsed="false">
      <c r="A403" s="4" t="s">
        <v>640</v>
      </c>
      <c r="B403" s="0" t="s">
        <v>46</v>
      </c>
      <c r="D403" s="19" t="n">
        <f aca="false">D402/C402-1</f>
        <v>0.131812784716252</v>
      </c>
      <c r="E403" s="19" t="n">
        <f aca="false">E402/D402-1</f>
        <v>0.572254763705886</v>
      </c>
      <c r="F403" s="19" t="n">
        <f aca="false">F402/E402-1</f>
        <v>0.263725104669935</v>
      </c>
      <c r="G403" s="19" t="n">
        <f aca="false">G402/F402-1</f>
        <v>0.0918825901208136</v>
      </c>
      <c r="H403" s="24" t="n">
        <f aca="false">$G403+(fade_gA-$G403)*1/3</f>
        <v>0.0812550600805424</v>
      </c>
      <c r="I403" s="24" t="n">
        <f aca="false">$G403+(fade_gA-$G403)*2/3</f>
        <v>0.0706275300402712</v>
      </c>
      <c r="J403" s="24" t="n">
        <f aca="false">$G403+(fade_gA-$G403)*3/3</f>
        <v>0.06</v>
      </c>
    </row>
    <row r="404" customFormat="false" ht="17.15" hidden="false" customHeight="false" outlineLevel="0" collapsed="false">
      <c r="A404" s="0" t="s">
        <v>641</v>
      </c>
      <c r="B404" s="0" t="s">
        <v>46</v>
      </c>
      <c r="C404" s="19" t="n">
        <f aca="false">C392/C402</f>
        <v>0</v>
      </c>
      <c r="D404" s="19" t="n">
        <f aca="false">D392/D402</f>
        <v>0.0948820140445411</v>
      </c>
      <c r="E404" s="19" t="n">
        <f aca="false">E392/E402</f>
        <v>0.385693982819807</v>
      </c>
      <c r="F404" s="19" t="n">
        <f aca="false">F392/F402</f>
        <v>0.48574871372012</v>
      </c>
      <c r="G404" s="19" t="n">
        <f aca="false">G392/G402</f>
        <v>0.501648259292729</v>
      </c>
    </row>
    <row r="405" customFormat="false" ht="17.15" hidden="false" customHeight="false" outlineLevel="0" collapsed="false">
      <c r="A405" s="4" t="s">
        <v>642</v>
      </c>
      <c r="B405" s="0" t="s">
        <v>46</v>
      </c>
      <c r="C405" s="19" t="n">
        <f aca="false">C398/C402</f>
        <v>0.53</v>
      </c>
      <c r="D405" s="19" t="n">
        <f aca="false">D398/D402</f>
        <v>0.389395431571569</v>
      </c>
      <c r="E405" s="19" t="n">
        <f aca="false">E398/E402</f>
        <v>0.26005022378589</v>
      </c>
      <c r="F405" s="19" t="n">
        <f aca="false">F398/F402</f>
        <v>0.214011917416141</v>
      </c>
      <c r="G405" s="19" t="n">
        <f aca="false">G398/G402</f>
        <v>0.203842790540473</v>
      </c>
    </row>
    <row r="406" customFormat="false" ht="17.15" hidden="false" customHeight="false" outlineLevel="0" collapsed="false">
      <c r="A406" s="6" t="s">
        <v>643</v>
      </c>
    </row>
    <row r="407" customFormat="false" ht="17.15" hidden="false" customHeight="false" outlineLevel="0" collapsed="false">
      <c r="A407" s="0" t="s">
        <v>644</v>
      </c>
      <c r="B407" s="0" t="s">
        <v>301</v>
      </c>
      <c r="D407" s="16" t="n">
        <f aca="false">m_core*D394+m_hbm*D393</f>
        <v>24.9087255420412</v>
      </c>
      <c r="E407" s="16" t="n">
        <f aca="false">m_core*E394+m_hbm*E393</f>
        <v>136.451921954302</v>
      </c>
      <c r="F407" s="16" t="n">
        <f aca="false">m_core*F394+m_hbm*F393</f>
        <v>204.276343252728</v>
      </c>
      <c r="G407" s="16" t="n">
        <f aca="false">m_core*G394+m_hbm*G393</f>
        <v>233.460987946047</v>
      </c>
    </row>
    <row r="408" customFormat="false" ht="17.15" hidden="false" customHeight="false" outlineLevel="0" collapsed="false">
      <c r="A408" s="4" t="s">
        <v>645</v>
      </c>
      <c r="B408" s="0" t="s">
        <v>46</v>
      </c>
      <c r="C408" s="17" t="n">
        <f aca="false">a25_gp/C401</f>
        <v>0.474993539899927</v>
      </c>
      <c r="D408" s="17" t="n">
        <f aca="false">(a26_gp-D407)/D401</f>
        <v>0.462340704042911</v>
      </c>
      <c r="E408" s="17" t="n">
        <f aca="false">$D408+0</f>
        <v>0.462340704042911</v>
      </c>
      <c r="F408" s="17" t="n">
        <f aca="false">$D408+0</f>
        <v>0.462340704042911</v>
      </c>
      <c r="G408" s="17" t="n">
        <f aca="false">$D408+0</f>
        <v>0.462340704042911</v>
      </c>
      <c r="K408" s="8" t="s">
        <v>646</v>
      </c>
    </row>
    <row r="409" customFormat="false" ht="15" hidden="false" customHeight="false" outlineLevel="0" collapsed="false">
      <c r="A409" s="4" t="s">
        <v>517</v>
      </c>
      <c r="B409" s="0" t="s">
        <v>301</v>
      </c>
      <c r="C409" s="16" t="n">
        <f aca="false">a25_gp</f>
        <v>283.08</v>
      </c>
      <c r="D409" s="16" t="n">
        <f aca="false">a26_gp</f>
        <v>307.17786821659</v>
      </c>
      <c r="E409" s="16" t="n">
        <f aca="false">E408*E401+E407</f>
        <v>437.659502556552</v>
      </c>
      <c r="F409" s="16" t="n">
        <f aca="false">F408*F401+F407</f>
        <v>522.922825357114</v>
      </c>
      <c r="G409" s="16" t="n">
        <f aca="false">G408*G401+G407</f>
        <v>570.628454252939</v>
      </c>
    </row>
    <row r="410" customFormat="false" ht="15" hidden="false" customHeight="false" outlineLevel="0" collapsed="false">
      <c r="A410" s="4" t="s">
        <v>520</v>
      </c>
      <c r="B410" s="0" t="s">
        <v>46</v>
      </c>
      <c r="C410" s="17" t="n">
        <f aca="false">C409/C402</f>
        <v>0.474993539899927</v>
      </c>
      <c r="D410" s="17" t="n">
        <f aca="false">D409/D402</f>
        <v>0.455400856348417</v>
      </c>
      <c r="E410" s="17" t="n">
        <f aca="false">E409/E402</f>
        <v>0.412683745929821</v>
      </c>
      <c r="F410" s="17" t="n">
        <f aca="false">F409/F402</f>
        <v>0.390180883237255</v>
      </c>
      <c r="G410" s="17" t="n">
        <f aca="false">G409/G402</f>
        <v>0.389947258164574</v>
      </c>
    </row>
    <row r="411" customFormat="false" ht="15" hidden="false" customHeight="false" outlineLevel="0" collapsed="false">
      <c r="A411" s="4" t="s">
        <v>647</v>
      </c>
      <c r="B411" s="0" t="s">
        <v>301</v>
      </c>
      <c r="C411" s="16" t="n">
        <f aca="false">a25_opx</f>
        <v>179.61</v>
      </c>
      <c r="D411" s="16" t="n">
        <f aca="false">a26_opx</f>
        <v>192.105</v>
      </c>
      <c r="E411" s="16" t="n">
        <f aca="false">D411*(1+MAX(g_opx_min,phi*E403))+0*E402</f>
        <v>225.084900414516</v>
      </c>
      <c r="F411" s="16" t="n">
        <f aca="false">E411*(1+MAX(g_opx_min,phi*F403))+0*F402</f>
        <v>242.893062090948</v>
      </c>
      <c r="G411" s="16" t="n">
        <f aca="false">F411*(1+MAX(g_opx_min,phi*G403))+0*G402</f>
        <v>257.466645816405</v>
      </c>
    </row>
    <row r="412" customFormat="false" ht="15" hidden="false" customHeight="false" outlineLevel="0" collapsed="false">
      <c r="A412" s="4" t="s">
        <v>524</v>
      </c>
      <c r="B412" s="0" t="s">
        <v>301</v>
      </c>
      <c r="C412" s="16" t="n">
        <f aca="false">C409-C411</f>
        <v>103.47</v>
      </c>
      <c r="D412" s="16" t="n">
        <f aca="false">D409-D411</f>
        <v>115.07286821659</v>
      </c>
      <c r="E412" s="16" t="n">
        <f aca="false">E409-E411</f>
        <v>212.574602142037</v>
      </c>
      <c r="F412" s="16" t="n">
        <f aca="false">F409-F411</f>
        <v>280.029763266167</v>
      </c>
      <c r="G412" s="16" t="n">
        <f aca="false">G409-G411</f>
        <v>313.161808436534</v>
      </c>
    </row>
    <row r="413" customFormat="false" ht="15" hidden="false" customHeight="false" outlineLevel="0" collapsed="false">
      <c r="A413" s="4" t="s">
        <v>598</v>
      </c>
      <c r="B413" s="0" t="s">
        <v>46</v>
      </c>
      <c r="C413" s="17" t="n">
        <f aca="false">C412/C402</f>
        <v>0.173617286892205</v>
      </c>
      <c r="D413" s="17" t="n">
        <f aca="false">D412/D402</f>
        <v>0.170599148410502</v>
      </c>
      <c r="E413" s="17" t="n">
        <f aca="false">E412/E402</f>
        <v>0.20044368416331</v>
      </c>
      <c r="F413" s="17" t="n">
        <f aca="false">F412/F402</f>
        <v>0.208945288034224</v>
      </c>
      <c r="G413" s="17" t="n">
        <f aca="false">G412/G402</f>
        <v>0.214003679016603</v>
      </c>
    </row>
    <row r="414" customFormat="false" ht="15" hidden="false" customHeight="false" outlineLevel="0" collapsed="false">
      <c r="A414" s="4" t="s">
        <v>526</v>
      </c>
      <c r="B414" s="0" t="s">
        <v>301</v>
      </c>
      <c r="C414" s="16" t="n">
        <f aca="false">a25_nonop</f>
        <v>21.418</v>
      </c>
      <c r="D414" s="16" t="n">
        <f aca="false">a26_nonop</f>
        <v>18.823</v>
      </c>
      <c r="E414" s="16" t="n">
        <f aca="false">nonop_f</f>
        <v>18</v>
      </c>
      <c r="F414" s="16" t="n">
        <f aca="false">nonop_f</f>
        <v>18</v>
      </c>
      <c r="G414" s="16" t="n">
        <f aca="false">nonop_f</f>
        <v>18</v>
      </c>
    </row>
    <row r="415" customFormat="false" ht="15" hidden="false" customHeight="false" outlineLevel="0" collapsed="false">
      <c r="A415" s="4" t="s">
        <v>528</v>
      </c>
      <c r="B415" s="0" t="s">
        <v>301</v>
      </c>
      <c r="C415" s="16" t="n">
        <f aca="false">C412+C414</f>
        <v>124.888</v>
      </c>
      <c r="D415" s="16" t="n">
        <f aca="false">D412+D414</f>
        <v>133.89586821659</v>
      </c>
      <c r="E415" s="16" t="n">
        <f aca="false">E412+E414</f>
        <v>230.574602142037</v>
      </c>
      <c r="F415" s="16" t="n">
        <f aca="false">F412+F414</f>
        <v>298.029763266167</v>
      </c>
      <c r="G415" s="16" t="n">
        <f aca="false">G412+G414</f>
        <v>331.161808436534</v>
      </c>
    </row>
    <row r="416" customFormat="false" ht="15" hidden="false" customHeight="false" outlineLevel="0" collapsed="false">
      <c r="A416" s="4" t="s">
        <v>529</v>
      </c>
      <c r="B416" s="0" t="s">
        <v>301</v>
      </c>
      <c r="C416" s="16" t="n">
        <f aca="false">a25_tax</f>
        <v>18.77</v>
      </c>
      <c r="D416" s="16" t="n">
        <f aca="false">a26_tax</f>
        <v>16.2589328681567</v>
      </c>
      <c r="E416" s="16" t="n">
        <f aca="false">E415*tax</f>
        <v>32.2804442998851</v>
      </c>
      <c r="F416" s="16" t="n">
        <f aca="false">F415*tax</f>
        <v>41.7241668572633</v>
      </c>
      <c r="G416" s="16" t="n">
        <f aca="false">G415*tax</f>
        <v>46.3626531811148</v>
      </c>
    </row>
    <row r="417" customFormat="false" ht="15" hidden="false" customHeight="false" outlineLevel="0" collapsed="false">
      <c r="A417" s="4" t="s">
        <v>530</v>
      </c>
      <c r="B417" s="0" t="s">
        <v>301</v>
      </c>
      <c r="C417" s="16" t="n">
        <f aca="false">a25_nci</f>
        <v>0.798</v>
      </c>
      <c r="D417" s="16" t="n">
        <f aca="false">a26_nci</f>
        <v>0.992</v>
      </c>
      <c r="E417" s="16" t="n">
        <f aca="false">nci</f>
        <v>1</v>
      </c>
      <c r="F417" s="16" t="n">
        <f aca="false">nci</f>
        <v>1</v>
      </c>
      <c r="G417" s="16" t="n">
        <f aca="false">nci</f>
        <v>1</v>
      </c>
    </row>
    <row r="418" customFormat="false" ht="15" hidden="false" customHeight="false" outlineLevel="0" collapsed="false">
      <c r="A418" s="4" t="s">
        <v>532</v>
      </c>
      <c r="B418" s="0" t="s">
        <v>301</v>
      </c>
      <c r="C418" s="16" t="n">
        <f aca="false">C415-C416-C417</f>
        <v>105.32</v>
      </c>
      <c r="D418" s="16" t="n">
        <f aca="false">D415-D416-D417</f>
        <v>116.644935348433</v>
      </c>
      <c r="E418" s="16" t="n">
        <f aca="false">E415-E416-E417</f>
        <v>197.294157842152</v>
      </c>
      <c r="F418" s="16" t="n">
        <f aca="false">F415-F416-F417</f>
        <v>255.305596408903</v>
      </c>
      <c r="G418" s="16" t="n">
        <f aca="false">G415-G416-G417</f>
        <v>283.799155255419</v>
      </c>
      <c r="H418" s="26" t="n">
        <f aca="false">H402*H422</f>
        <v>306.417981565365</v>
      </c>
      <c r="I418" s="26" t="n">
        <f aca="false">I402*I422</f>
        <v>327.587068361609</v>
      </c>
      <c r="J418" s="26" t="n">
        <f aca="false">J402*J422</f>
        <v>346.741486557564</v>
      </c>
    </row>
    <row r="419" customFormat="false" ht="15" hidden="false" customHeight="false" outlineLevel="0" collapsed="false">
      <c r="A419" s="4" t="s">
        <v>648</v>
      </c>
      <c r="B419" s="4" t="s">
        <v>346</v>
      </c>
      <c r="C419" s="18" t="n">
        <f aca="false">a25_sh</f>
        <v>1.59188331318017</v>
      </c>
      <c r="D419" s="18" t="n">
        <f aca="false">a26_sh</f>
        <v>1.59250890647703</v>
      </c>
      <c r="E419" s="18" t="n">
        <f aca="false">D419*(1+sh_g)</f>
        <v>1.59250890647703</v>
      </c>
      <c r="F419" s="18" t="n">
        <f aca="false">E419*(1+sh_g)</f>
        <v>1.59250890647703</v>
      </c>
      <c r="G419" s="18" t="n">
        <f aca="false">F419*(1+sh_g)</f>
        <v>1.59250890647703</v>
      </c>
      <c r="H419" s="28" t="n">
        <f aca="false">G419*(1+sh_g)</f>
        <v>1.59250890647703</v>
      </c>
      <c r="I419" s="28" t="n">
        <f aca="false">H419*(1+sh_g)</f>
        <v>1.59250890647703</v>
      </c>
      <c r="J419" s="28" t="n">
        <f aca="false">I419*(1+sh_g)</f>
        <v>1.59250890647703</v>
      </c>
    </row>
    <row r="420" customFormat="false" ht="17.15" hidden="false" customHeight="false" outlineLevel="0" collapsed="false">
      <c r="A420" s="0" t="s">
        <v>537</v>
      </c>
      <c r="B420" s="0" t="s">
        <v>403</v>
      </c>
      <c r="C420" s="16" t="n">
        <f aca="false">C418/C419</f>
        <v>66.1606281867469</v>
      </c>
      <c r="D420" s="16" t="n">
        <f aca="false">D418/D419</f>
        <v>73.2460175726595</v>
      </c>
      <c r="E420" s="16" t="n">
        <f aca="false">E418/E419</f>
        <v>123.888888181234</v>
      </c>
      <c r="F420" s="16" t="n">
        <f aca="false">F418/F419</f>
        <v>160.316589358168</v>
      </c>
      <c r="G420" s="16" t="n">
        <f aca="false">G418/G419</f>
        <v>178.208833935657</v>
      </c>
      <c r="H420" s="26" t="n">
        <f aca="false">H418/H419</f>
        <v>192.412099121773</v>
      </c>
      <c r="I420" s="26" t="n">
        <f aca="false">I418/I419</f>
        <v>205.705014916558</v>
      </c>
      <c r="J420" s="26" t="n">
        <f aca="false">J418/J419</f>
        <v>217.732839764539</v>
      </c>
    </row>
    <row r="421" customFormat="false" ht="17.15" hidden="false" customHeight="false" outlineLevel="0" collapsed="false">
      <c r="A421" s="0" t="s">
        <v>649</v>
      </c>
      <c r="B421" s="0" t="s">
        <v>46</v>
      </c>
      <c r="D421" s="19" t="n">
        <f aca="false">D420/C420-1</f>
        <v>0.107093744120947</v>
      </c>
      <c r="E421" s="19" t="n">
        <f aca="false">E420/D420-1</f>
        <v>0.691407837406818</v>
      </c>
      <c r="F421" s="19" t="n">
        <f aca="false">F420/E420-1</f>
        <v>0.294035257816224</v>
      </c>
      <c r="G421" s="19" t="n">
        <f aca="false">G420/F420-1</f>
        <v>0.111605696260884</v>
      </c>
      <c r="H421" s="24" t="n">
        <f aca="false">H420/G420-1</f>
        <v>0.0797001185207502</v>
      </c>
      <c r="I421" s="24" t="n">
        <f aca="false">I420/H420-1</f>
        <v>0.0690856544648584</v>
      </c>
      <c r="J421" s="24" t="n">
        <f aca="false">J420/I420-1</f>
        <v>0.058471228097476</v>
      </c>
    </row>
    <row r="422" customFormat="false" ht="17.15" hidden="false" customHeight="false" outlineLevel="0" collapsed="false">
      <c r="A422" s="4" t="s">
        <v>650</v>
      </c>
      <c r="B422" s="0" t="s">
        <v>46</v>
      </c>
      <c r="C422" s="17" t="n">
        <f aca="false">C418/C402</f>
        <v>0.176721490823302</v>
      </c>
      <c r="D422" s="17" t="n">
        <f aca="false">D418/D402</f>
        <v>0.172929787405541</v>
      </c>
      <c r="E422" s="17" t="n">
        <f aca="false">E418/E402</f>
        <v>0.186035243454694</v>
      </c>
      <c r="F422" s="17" t="n">
        <f aca="false">F418/F402</f>
        <v>0.190497255563879</v>
      </c>
      <c r="G422" s="17" t="n">
        <f aca="false">G418/G402</f>
        <v>0.193938282671439</v>
      </c>
      <c r="H422" s="25" t="n">
        <f aca="false">$G422+(fade_mA-$G422)*1/3</f>
        <v>0.193659382061496</v>
      </c>
      <c r="I422" s="25" t="n">
        <f aca="false">$G422+(fade_mA-$G422)*2/3</f>
        <v>0.193380481451553</v>
      </c>
      <c r="J422" s="25" t="n">
        <f aca="false">$G422+(fade_mA-$G422)*3/3</f>
        <v>0.19310158084161</v>
      </c>
    </row>
    <row r="425" customFormat="false" ht="17.15" hidden="false" customHeight="false" outlineLevel="0" collapsed="false">
      <c r="A425" s="1" t="s">
        <v>942</v>
      </c>
    </row>
    <row r="426" customFormat="false" ht="17.15" hidden="false" customHeight="false" outlineLevel="0" collapsed="false">
      <c r="A426" s="5" t="s">
        <v>22</v>
      </c>
      <c r="B426" s="5" t="s">
        <v>23</v>
      </c>
      <c r="C426" s="14" t="s">
        <v>494</v>
      </c>
      <c r="D426" s="14" t="s">
        <v>587</v>
      </c>
      <c r="E426" s="14" t="s">
        <v>588</v>
      </c>
      <c r="F426" s="14" t="s">
        <v>589</v>
      </c>
      <c r="G426" s="14" t="s">
        <v>590</v>
      </c>
      <c r="H426" s="14" t="s">
        <v>591</v>
      </c>
      <c r="I426" s="14" t="s">
        <v>592</v>
      </c>
      <c r="J426" s="14" t="s">
        <v>593</v>
      </c>
      <c r="K426" s="5" t="s">
        <v>557</v>
      </c>
    </row>
    <row r="427" customFormat="false" ht="17.15" hidden="false" customHeight="false" outlineLevel="0" collapsed="false">
      <c r="A427" s="6" t="s">
        <v>609</v>
      </c>
    </row>
    <row r="428" customFormat="false" ht="17.15" hidden="false" customHeight="false" outlineLevel="0" collapsed="false">
      <c r="A428" s="0" t="s">
        <v>610</v>
      </c>
      <c r="B428" s="4" t="s">
        <v>33</v>
      </c>
      <c r="D428" s="20" t="n">
        <f aca="false">u_tpu_26</f>
        <v>3.85</v>
      </c>
      <c r="E428" s="20" t="n">
        <f aca="false">u_tpu_27</f>
        <v>5.5</v>
      </c>
      <c r="F428" s="20" t="n">
        <f aca="false">u_tpu_28*um28_A</f>
        <v>7</v>
      </c>
      <c r="G428" s="20" t="n">
        <f aca="false">u_tpu_28*(1+g29_tpu)*um29_A</f>
        <v>8.05</v>
      </c>
    </row>
    <row r="429" customFormat="false" ht="17.15" hidden="false" customHeight="false" outlineLevel="0" collapsed="false">
      <c r="A429" s="4" t="s">
        <v>611</v>
      </c>
      <c r="B429" s="4" t="s">
        <v>33</v>
      </c>
      <c r="D429" s="20" t="n">
        <f aca="false">u_oth_26</f>
        <v>1</v>
      </c>
      <c r="E429" s="20" t="n">
        <f aca="false">u_oth_27</f>
        <v>4.5</v>
      </c>
      <c r="F429" s="20" t="n">
        <f aca="false">u_oth_28*um28_A</f>
        <v>5</v>
      </c>
      <c r="G429" s="20" t="n">
        <f aca="false">u_oth_28*(1+g29_oth)*um29_A</f>
        <v>5.75</v>
      </c>
    </row>
    <row r="430" customFormat="false" ht="17.15" hidden="false" customHeight="false" outlineLevel="0" collapsed="false">
      <c r="A430" s="4" t="s">
        <v>561</v>
      </c>
      <c r="B430" s="0" t="s">
        <v>46</v>
      </c>
      <c r="D430" s="19" t="n">
        <f aca="false">mtk_tpu_26</f>
        <v>0.05</v>
      </c>
      <c r="E430" s="19" t="n">
        <f aca="false">MIN(1,MAX(0,mtk_tpu_27+0))</f>
        <v>0.15</v>
      </c>
      <c r="F430" s="19" t="n">
        <f aca="false">MIN(1,MAX(0,mtk_tpu_28+0))</f>
        <v>0.18</v>
      </c>
      <c r="G430" s="19" t="n">
        <f aca="false">MIN(1,MAX(0,mtk_tpu_28+0))</f>
        <v>0.18</v>
      </c>
    </row>
    <row r="431" customFormat="false" ht="17.15" hidden="false" customHeight="false" outlineLevel="0" collapsed="false">
      <c r="A431" s="4" t="s">
        <v>612</v>
      </c>
      <c r="B431" s="0" t="s">
        <v>46</v>
      </c>
      <c r="D431" s="19" t="n">
        <f aca="false">mtk_oth_26</f>
        <v>0</v>
      </c>
      <c r="E431" s="19" t="n">
        <f aca="false">MIN(1,MAX(0,mtk_oth_27+0))</f>
        <v>0</v>
      </c>
      <c r="F431" s="19" t="n">
        <f aca="false">MIN(1,MAX(0,mtk_oth_28+0))</f>
        <v>0</v>
      </c>
      <c r="G431" s="19" t="n">
        <f aca="false">MIN(1,MAX(0,mtk_oth_28+0))</f>
        <v>0</v>
      </c>
    </row>
    <row r="432" customFormat="false" ht="17.15" hidden="false" customHeight="false" outlineLevel="0" collapsed="false">
      <c r="A432" s="4" t="s">
        <v>563</v>
      </c>
      <c r="B432" s="4" t="s">
        <v>33</v>
      </c>
      <c r="D432" s="20" t="n">
        <f aca="false">D428*D430</f>
        <v>0.1925</v>
      </c>
      <c r="E432" s="20" t="n">
        <f aca="false">E428*E430*1</f>
        <v>0.825</v>
      </c>
      <c r="F432" s="20" t="n">
        <f aca="false">F428*F430*1</f>
        <v>1.26</v>
      </c>
      <c r="G432" s="20" t="n">
        <f aca="false">G428*G430*1</f>
        <v>1.449</v>
      </c>
    </row>
    <row r="433" customFormat="false" ht="17.15" hidden="false" customHeight="false" outlineLevel="0" collapsed="false">
      <c r="A433" s="4" t="s">
        <v>613</v>
      </c>
      <c r="B433" s="4" t="s">
        <v>33</v>
      </c>
      <c r="D433" s="20" t="n">
        <f aca="false">D429*D431</f>
        <v>0</v>
      </c>
      <c r="E433" s="20" t="n">
        <f aca="false">E429*E431*1</f>
        <v>0</v>
      </c>
      <c r="F433" s="20" t="n">
        <f aca="false">F429*F431*1</f>
        <v>0</v>
      </c>
      <c r="G433" s="20" t="n">
        <f aca="false">G429*G431*1</f>
        <v>0</v>
      </c>
    </row>
    <row r="434" customFormat="false" ht="17.15" hidden="false" customHeight="false" outlineLevel="0" collapsed="false">
      <c r="A434" s="4" t="s">
        <v>614</v>
      </c>
      <c r="B434" s="0" t="s">
        <v>102</v>
      </c>
      <c r="D434" s="27" t="n">
        <f aca="false">gb_tpu_26</f>
        <v>192</v>
      </c>
      <c r="E434" s="27" t="n">
        <f aca="false">gb_tpu_27</f>
        <v>250</v>
      </c>
      <c r="F434" s="27" t="n">
        <f aca="false">gb_tpu_28</f>
        <v>288</v>
      </c>
      <c r="G434" s="27" t="n">
        <f aca="false">gb_tpu_28</f>
        <v>288</v>
      </c>
    </row>
    <row r="435" customFormat="false" ht="17.15" hidden="false" customHeight="false" outlineLevel="0" collapsed="false">
      <c r="A435" s="4" t="s">
        <v>615</v>
      </c>
      <c r="B435" s="0" t="s">
        <v>102</v>
      </c>
      <c r="D435" s="27" t="n">
        <f aca="false">gb_oth_26</f>
        <v>150</v>
      </c>
      <c r="E435" s="27" t="n">
        <f aca="false">gb_oth_27</f>
        <v>200</v>
      </c>
      <c r="F435" s="27" t="n">
        <f aca="false">gb_oth_28</f>
        <v>250</v>
      </c>
      <c r="G435" s="27" t="n">
        <f aca="false">gb_oth_28</f>
        <v>250</v>
      </c>
    </row>
    <row r="436" customFormat="false" ht="17.15" hidden="false" customHeight="false" outlineLevel="0" collapsed="false">
      <c r="A436" s="0" t="s">
        <v>616</v>
      </c>
      <c r="B436" s="0" t="s">
        <v>194</v>
      </c>
      <c r="D436" s="16" t="n">
        <f aca="false">hbm_A_26</f>
        <v>14.6</v>
      </c>
      <c r="E436" s="16" t="n">
        <f aca="false">hbm_A_27</f>
        <v>26.28</v>
      </c>
      <c r="F436" s="16" t="n">
        <f aca="false">hbm_A_28</f>
        <v>28.908</v>
      </c>
      <c r="G436" s="16" t="n">
        <f aca="false">hbm_A_29</f>
        <v>27.4626</v>
      </c>
    </row>
    <row r="437" customFormat="false" ht="17.15" hidden="false" customHeight="false" outlineLevel="0" collapsed="false">
      <c r="A437" s="4" t="s">
        <v>617</v>
      </c>
      <c r="B437" s="0" t="s">
        <v>86</v>
      </c>
      <c r="D437" s="16" t="n">
        <f aca="false">core_tpu</f>
        <v>8</v>
      </c>
      <c r="E437" s="16" t="n">
        <f aca="false">core_tpu</f>
        <v>8</v>
      </c>
      <c r="F437" s="16" t="n">
        <f aca="false">core_tpu*1</f>
        <v>8</v>
      </c>
      <c r="G437" s="16" t="n">
        <f aca="false">core_tpu*1</f>
        <v>8</v>
      </c>
    </row>
    <row r="438" customFormat="false" ht="17.15" hidden="false" customHeight="false" outlineLevel="0" collapsed="false">
      <c r="A438" s="4" t="s">
        <v>618</v>
      </c>
      <c r="B438" s="0" t="s">
        <v>86</v>
      </c>
      <c r="D438" s="16" t="n">
        <f aca="false">core_oth</f>
        <v>6</v>
      </c>
      <c r="E438" s="16" t="n">
        <f aca="false">core_oth</f>
        <v>6</v>
      </c>
      <c r="F438" s="16" t="n">
        <f aca="false">core_oth*1</f>
        <v>6</v>
      </c>
      <c r="G438" s="16" t="n">
        <f aca="false">core_oth*1</f>
        <v>6</v>
      </c>
    </row>
    <row r="439" customFormat="false" ht="17.15" hidden="false" customHeight="false" outlineLevel="0" collapsed="false">
      <c r="A439" s="4" t="s">
        <v>619</v>
      </c>
      <c r="B439" s="0" t="s">
        <v>86</v>
      </c>
      <c r="D439" s="16" t="n">
        <f aca="false">D434*D436/1000</f>
        <v>2.8032</v>
      </c>
      <c r="E439" s="16" t="n">
        <f aca="false">E434*E436/1000</f>
        <v>6.57</v>
      </c>
      <c r="F439" s="16" t="n">
        <f aca="false">F434*F436/1000</f>
        <v>8.325504</v>
      </c>
      <c r="G439" s="16" t="n">
        <f aca="false">G434*G436/1000</f>
        <v>7.9092288</v>
      </c>
    </row>
    <row r="440" customFormat="false" ht="17.15" hidden="false" customHeight="false" outlineLevel="0" collapsed="false">
      <c r="A440" s="4" t="s">
        <v>620</v>
      </c>
      <c r="B440" s="0" t="s">
        <v>86</v>
      </c>
      <c r="D440" s="16" t="n">
        <f aca="false">D435*D436/1000</f>
        <v>2.19</v>
      </c>
      <c r="E440" s="16" t="n">
        <f aca="false">E435*E436/1000</f>
        <v>5.256</v>
      </c>
      <c r="F440" s="16" t="n">
        <f aca="false">F435*F436/1000</f>
        <v>7.227</v>
      </c>
      <c r="G440" s="16" t="n">
        <f aca="false">G435*G436/1000</f>
        <v>6.86565</v>
      </c>
    </row>
    <row r="441" customFormat="false" ht="17.15" hidden="false" customHeight="false" outlineLevel="0" collapsed="false">
      <c r="A441" s="4" t="s">
        <v>621</v>
      </c>
      <c r="B441" s="0" t="s">
        <v>86</v>
      </c>
      <c r="D441" s="16" t="n">
        <f aca="false">D437+f_hbm_lo*D439</f>
        <v>8.84096</v>
      </c>
      <c r="E441" s="16" t="n">
        <f aca="false">E437+f_hbm_lo*E439</f>
        <v>9.971</v>
      </c>
      <c r="F441" s="16" t="n">
        <f aca="false">F437+f_hbm_lo*F439</f>
        <v>10.4976512</v>
      </c>
      <c r="G441" s="16" t="n">
        <f aca="false">G437+f_hbm_lo*G439</f>
        <v>10.37276864</v>
      </c>
      <c r="K441" s="4" t="s">
        <v>622</v>
      </c>
    </row>
    <row r="442" customFormat="false" ht="17.15" hidden="false" customHeight="false" outlineLevel="0" collapsed="false">
      <c r="A442" s="4" t="s">
        <v>623</v>
      </c>
      <c r="B442" s="0" t="s">
        <v>86</v>
      </c>
      <c r="D442" s="16" t="n">
        <f aca="false">D438+f_hbm_lo*D440</f>
        <v>6.657</v>
      </c>
      <c r="E442" s="16" t="n">
        <f aca="false">E438+f_hbm_lo*E440</f>
        <v>7.5768</v>
      </c>
      <c r="F442" s="16" t="n">
        <f aca="false">F438+f_hbm_lo*F440</f>
        <v>8.1681</v>
      </c>
      <c r="G442" s="16" t="n">
        <f aca="false">G438+f_hbm_lo*G440</f>
        <v>8.059695</v>
      </c>
    </row>
    <row r="443" customFormat="false" ht="17.15" hidden="false" customHeight="false" outlineLevel="0" collapsed="false">
      <c r="A443" s="0" t="s">
        <v>624</v>
      </c>
      <c r="B443" s="0" t="s">
        <v>279</v>
      </c>
      <c r="D443" s="16" t="n">
        <f aca="false">D432*D441+D433*D442</f>
        <v>1.7018848</v>
      </c>
      <c r="E443" s="16" t="n">
        <f aca="false">E432*E441+E433*E442</f>
        <v>8.226075</v>
      </c>
      <c r="F443" s="16" t="n">
        <f aca="false">F432*F441+F433*F442</f>
        <v>13.227040512</v>
      </c>
      <c r="G443" s="16" t="n">
        <f aca="false">G432*G441+G433*G442</f>
        <v>15.03014175936</v>
      </c>
    </row>
    <row r="444" customFormat="false" ht="17.15" hidden="false" customHeight="false" outlineLevel="0" collapsed="false">
      <c r="A444" s="0" t="s">
        <v>625</v>
      </c>
      <c r="B444" s="0" t="s">
        <v>65</v>
      </c>
      <c r="D444" s="20" t="n">
        <f aca="false">dc26/D443</f>
        <v>1.17516767292357</v>
      </c>
      <c r="K444" s="8" t="s">
        <v>626</v>
      </c>
    </row>
    <row r="445" customFormat="false" ht="17.15" hidden="false" customHeight="false" outlineLevel="0" collapsed="false">
      <c r="A445" s="0" t="s">
        <v>627</v>
      </c>
      <c r="B445" s="0" t="s">
        <v>279</v>
      </c>
      <c r="D445" s="16" t="n">
        <f aca="false">D443*$D$444</f>
        <v>2</v>
      </c>
      <c r="E445" s="16" t="n">
        <f aca="false">E443*$D$444</f>
        <v>9.66701741504478</v>
      </c>
      <c r="F445" s="16" t="n">
        <f aca="false">F443*$D$444</f>
        <v>15.5439904181529</v>
      </c>
      <c r="G445" s="16" t="n">
        <f aca="false">G443*$D$444</f>
        <v>17.6629367150585</v>
      </c>
    </row>
    <row r="446" customFormat="false" ht="15" hidden="false" customHeight="false" outlineLevel="0" collapsed="false">
      <c r="A446" s="4" t="s">
        <v>628</v>
      </c>
      <c r="B446" s="0" t="s">
        <v>288</v>
      </c>
      <c r="D446" s="16" t="n">
        <f aca="false">fx26</f>
        <v>32</v>
      </c>
      <c r="E446" s="16" t="n">
        <f aca="false">fx</f>
        <v>32</v>
      </c>
      <c r="F446" s="16" t="n">
        <f aca="false">fx</f>
        <v>32</v>
      </c>
      <c r="G446" s="16" t="n">
        <f aca="false">fx</f>
        <v>32</v>
      </c>
    </row>
    <row r="447" customFormat="false" ht="17.15" hidden="false" customHeight="false" outlineLevel="0" collapsed="false">
      <c r="A447" s="0" t="s">
        <v>629</v>
      </c>
      <c r="B447" s="0" t="s">
        <v>301</v>
      </c>
      <c r="C447" s="16" t="n">
        <f aca="false">a25_asic</f>
        <v>0</v>
      </c>
      <c r="D447" s="16" t="n">
        <f aca="false">D445*D446</f>
        <v>64</v>
      </c>
      <c r="E447" s="16" t="n">
        <f aca="false">E445*E446</f>
        <v>309.344557281433</v>
      </c>
      <c r="F447" s="16" t="n">
        <f aca="false">F445*F446</f>
        <v>497.407693380892</v>
      </c>
      <c r="G447" s="16" t="n">
        <f aca="false">G445*G446</f>
        <v>565.213974881872</v>
      </c>
    </row>
    <row r="448" customFormat="false" ht="17.15" hidden="false" customHeight="false" outlineLevel="0" collapsed="false">
      <c r="A448" s="4" t="s">
        <v>630</v>
      </c>
      <c r="B448" s="0" t="s">
        <v>301</v>
      </c>
      <c r="D448" s="16" t="n">
        <f aca="false">$D$444*f_hbm_lo*(D432*D439+D433*D440)*D446</f>
        <v>6.08773707832634</v>
      </c>
      <c r="E448" s="16" t="n">
        <f aca="false">$D$444*f_hbm_lo*(E432*E439+E433*E440)*E446</f>
        <v>61.1491447599744</v>
      </c>
      <c r="F448" s="16" t="n">
        <f aca="false">$D$444*f_hbm_lo*(F432*F439+F433*F440)*F446</f>
        <v>118.345608802664</v>
      </c>
      <c r="G448" s="16" t="n">
        <f aca="false">$D$444*f_hbm_lo*(G432*G439+G433*G440)*G446</f>
        <v>129.29257761691</v>
      </c>
    </row>
    <row r="449" customFormat="false" ht="15" hidden="false" customHeight="false" outlineLevel="0" collapsed="false">
      <c r="A449" s="4" t="s">
        <v>631</v>
      </c>
      <c r="B449" s="0" t="s">
        <v>301</v>
      </c>
      <c r="D449" s="16" t="n">
        <f aca="false">D447-D448</f>
        <v>57.9122629216737</v>
      </c>
      <c r="E449" s="16" t="n">
        <f aca="false">E447-E448</f>
        <v>248.195412521459</v>
      </c>
      <c r="F449" s="16" t="n">
        <f aca="false">F447-F448</f>
        <v>379.062084578228</v>
      </c>
      <c r="G449" s="16" t="n">
        <f aca="false">G447-G448</f>
        <v>435.921397264962</v>
      </c>
    </row>
    <row r="450" customFormat="false" ht="17.15" hidden="false" customHeight="false" outlineLevel="0" collapsed="false">
      <c r="A450" s="4" t="s">
        <v>632</v>
      </c>
      <c r="B450" s="4" t="s">
        <v>33</v>
      </c>
      <c r="D450" s="20" t="n">
        <f aca="false">D432+D433</f>
        <v>0.1925</v>
      </c>
      <c r="E450" s="20" t="n">
        <f aca="false">E432+E433</f>
        <v>0.825</v>
      </c>
      <c r="F450" s="20" t="n">
        <f aca="false">F432+F433</f>
        <v>1.26</v>
      </c>
      <c r="G450" s="20" t="n">
        <f aca="false">G432+G433</f>
        <v>1.449</v>
      </c>
    </row>
    <row r="451" customFormat="false" ht="17.15" hidden="false" customHeight="false" outlineLevel="0" collapsed="false">
      <c r="A451" s="4" t="s">
        <v>633</v>
      </c>
      <c r="B451" s="0" t="s">
        <v>86</v>
      </c>
      <c r="D451" s="16" t="n">
        <f aca="false">IF(D450&gt;0,D445/D450,0)</f>
        <v>10.3896103896104</v>
      </c>
      <c r="E451" s="16" t="n">
        <f aca="false">IF(E450&gt;0,E445/E450,0)</f>
        <v>11.7175968667209</v>
      </c>
      <c r="F451" s="16" t="n">
        <f aca="false">IF(F450&gt;0,F445/F450,0)</f>
        <v>12.3365003318674</v>
      </c>
      <c r="G451" s="16" t="n">
        <f aca="false">IF(G450&gt;0,G445/G450,0)</f>
        <v>12.1897423844434</v>
      </c>
    </row>
    <row r="452" customFormat="false" ht="17.15" hidden="false" customHeight="false" outlineLevel="0" collapsed="false">
      <c r="A452" s="6" t="s">
        <v>634</v>
      </c>
    </row>
    <row r="453" customFormat="false" ht="15" hidden="false" customHeight="false" outlineLevel="0" collapsed="false">
      <c r="A453" s="4" t="s">
        <v>635</v>
      </c>
      <c r="B453" s="0" t="s">
        <v>301</v>
      </c>
      <c r="C453" s="16" t="n">
        <f aca="false">a25_mob</f>
        <v>315.86198</v>
      </c>
      <c r="D453" s="16" t="n">
        <f aca="false">a26_mob</f>
        <v>262.655761173888</v>
      </c>
      <c r="E453" s="16" t="n">
        <f aca="false">D453*(1+g_mob27_A)</f>
        <v>275.788549232582</v>
      </c>
      <c r="F453" s="16" t="n">
        <f aca="false">E453*(1+g_mobL_A)</f>
        <v>286.820091201885</v>
      </c>
      <c r="G453" s="16" t="n">
        <f aca="false">F453*(1+g_mobL_A)</f>
        <v>298.292894849961</v>
      </c>
    </row>
    <row r="454" customFormat="false" ht="17.15" hidden="false" customHeight="false" outlineLevel="0" collapsed="false">
      <c r="A454" s="4" t="s">
        <v>636</v>
      </c>
      <c r="B454" s="0" t="s">
        <v>301</v>
      </c>
      <c r="C454" s="16" t="n">
        <f aca="false">a25_sepx</f>
        <v>247.32589</v>
      </c>
      <c r="D454" s="16" t="n">
        <f aca="false">a26_sepx</f>
        <v>311.894023346019</v>
      </c>
      <c r="E454" s="16" t="n">
        <f aca="false">D454*(1+g_sep27_A)</f>
        <v>336.8455452137</v>
      </c>
      <c r="F454" s="16" t="n">
        <f aca="false">E454*(1+g_sepL_A)</f>
        <v>360.424733378659</v>
      </c>
      <c r="G454" s="16" t="n">
        <f aca="false">F454*(1+g_sepL_A)</f>
        <v>385.654464715166</v>
      </c>
    </row>
    <row r="455" customFormat="false" ht="17.15" hidden="false" customHeight="false" outlineLevel="0" collapsed="false">
      <c r="A455" s="4" t="s">
        <v>637</v>
      </c>
      <c r="B455" s="0" t="s">
        <v>301</v>
      </c>
      <c r="C455" s="16" t="n">
        <f aca="false">a25_pic</f>
        <v>32.77813</v>
      </c>
      <c r="D455" s="16" t="n">
        <f aca="false">a26_pic</f>
        <v>35.9721535362998</v>
      </c>
      <c r="E455" s="16" t="n">
        <f aca="false">D455*(1+g_pic27_A)</f>
        <v>38.8499258192038</v>
      </c>
      <c r="F455" s="16" t="n">
        <f aca="false">E455*(1+g_picL_A)</f>
        <v>41.9579198847401</v>
      </c>
      <c r="G455" s="16" t="n">
        <f aca="false">F455*(1+g_picL_A)</f>
        <v>45.3145534755193</v>
      </c>
    </row>
    <row r="456" customFormat="false" ht="17.15" hidden="false" customHeight="false" outlineLevel="0" collapsed="false">
      <c r="A456" s="4" t="s">
        <v>638</v>
      </c>
      <c r="B456" s="0" t="s">
        <v>301</v>
      </c>
      <c r="C456" s="16" t="n">
        <f aca="false">C453+C454+C455</f>
        <v>595.966</v>
      </c>
      <c r="D456" s="16" t="n">
        <f aca="false">D453+D454+D455</f>
        <v>610.521938056206</v>
      </c>
      <c r="E456" s="16" t="n">
        <f aca="false">E453+E454+E455</f>
        <v>651.484020265486</v>
      </c>
      <c r="F456" s="16" t="n">
        <f aca="false">F453+F454+F455</f>
        <v>689.202744465285</v>
      </c>
      <c r="G456" s="16" t="n">
        <f aca="false">G453+G454+G455</f>
        <v>729.261913040646</v>
      </c>
    </row>
    <row r="457" customFormat="false" ht="17.15" hidden="false" customHeight="false" outlineLevel="0" collapsed="false">
      <c r="A457" s="4" t="s">
        <v>501</v>
      </c>
      <c r="B457" s="0" t="s">
        <v>301</v>
      </c>
      <c r="C457" s="16" t="n">
        <f aca="false">C456+C447</f>
        <v>595.966</v>
      </c>
      <c r="D457" s="16" t="n">
        <f aca="false">D456+D447</f>
        <v>674.521938056206</v>
      </c>
      <c r="E457" s="16" t="n">
        <f aca="false">E456+E447</f>
        <v>960.828577546919</v>
      </c>
      <c r="F457" s="16" t="n">
        <f aca="false">F456+F447</f>
        <v>1186.61043784618</v>
      </c>
      <c r="G457" s="16" t="n">
        <f aca="false">G456+G447</f>
        <v>1294.47588792252</v>
      </c>
      <c r="H457" s="26" t="n">
        <f aca="false">G457*(1+H458)</f>
        <v>1398.81250722351</v>
      </c>
      <c r="I457" s="26" t="n">
        <f aca="false">H457*(1+I458)</f>
        <v>1497.15003291808</v>
      </c>
      <c r="J457" s="26" t="n">
        <f aca="false">I457*(1+J458)</f>
        <v>1586.97903489316</v>
      </c>
      <c r="K457" s="8" t="s">
        <v>639</v>
      </c>
    </row>
    <row r="458" customFormat="false" ht="15" hidden="false" customHeight="false" outlineLevel="0" collapsed="false">
      <c r="A458" s="4" t="s">
        <v>640</v>
      </c>
      <c r="B458" s="0" t="s">
        <v>46</v>
      </c>
      <c r="D458" s="19" t="n">
        <f aca="false">D457/C457-1</f>
        <v>0.131812784716252</v>
      </c>
      <c r="E458" s="19" t="n">
        <f aca="false">E457/D457-1</f>
        <v>0.4244586029563</v>
      </c>
      <c r="F458" s="19" t="n">
        <f aca="false">F457/E457-1</f>
        <v>0.234986620480938</v>
      </c>
      <c r="G458" s="19" t="n">
        <f aca="false">G457/F457-1</f>
        <v>0.0909021584810332</v>
      </c>
      <c r="H458" s="24" t="n">
        <f aca="false">$G458+(fade_gA-$G458)*1/3</f>
        <v>0.0806014389873555</v>
      </c>
      <c r="I458" s="24" t="n">
        <f aca="false">$G458+(fade_gA-$G458)*2/3</f>
        <v>0.0703007194936777</v>
      </c>
      <c r="J458" s="24" t="n">
        <f aca="false">$G458+(fade_gA-$G458)*3/3</f>
        <v>0.06</v>
      </c>
    </row>
    <row r="459" customFormat="false" ht="17.15" hidden="false" customHeight="false" outlineLevel="0" collapsed="false">
      <c r="A459" s="0" t="s">
        <v>641</v>
      </c>
      <c r="B459" s="0" t="s">
        <v>46</v>
      </c>
      <c r="C459" s="19" t="n">
        <f aca="false">C447/C457</f>
        <v>0</v>
      </c>
      <c r="D459" s="19" t="n">
        <f aca="false">D447/D457</f>
        <v>0.0948820140445411</v>
      </c>
      <c r="E459" s="19" t="n">
        <f aca="false">E447/E457</f>
        <v>0.321956033063897</v>
      </c>
      <c r="F459" s="19" t="n">
        <f aca="false">F447/F457</f>
        <v>0.419183649086839</v>
      </c>
      <c r="G459" s="19" t="n">
        <f aca="false">G447/G457</f>
        <v>0.436635382825843</v>
      </c>
    </row>
    <row r="460" customFormat="false" ht="17.15" hidden="false" customHeight="false" outlineLevel="0" collapsed="false">
      <c r="A460" s="4" t="s">
        <v>642</v>
      </c>
      <c r="B460" s="0" t="s">
        <v>46</v>
      </c>
      <c r="C460" s="19" t="n">
        <f aca="false">C453/C457</f>
        <v>0.53</v>
      </c>
      <c r="D460" s="19" t="n">
        <f aca="false">D453/D457</f>
        <v>0.389395431571569</v>
      </c>
      <c r="E460" s="19" t="n">
        <f aca="false">E453/E457</f>
        <v>0.287032001001359</v>
      </c>
      <c r="F460" s="19" t="n">
        <f aca="false">F453/F457</f>
        <v>0.241713777372879</v>
      </c>
      <c r="G460" s="19" t="n">
        <f aca="false">G453/G457</f>
        <v>0.230435265448386</v>
      </c>
    </row>
    <row r="461" customFormat="false" ht="17.15" hidden="false" customHeight="false" outlineLevel="0" collapsed="false">
      <c r="A461" s="6" t="s">
        <v>643</v>
      </c>
    </row>
    <row r="462" customFormat="false" ht="17.15" hidden="false" customHeight="false" outlineLevel="0" collapsed="false">
      <c r="A462" s="0" t="s">
        <v>644</v>
      </c>
      <c r="B462" s="0" t="s">
        <v>301</v>
      </c>
      <c r="D462" s="16" t="n">
        <f aca="false">m_core*D449+m_hbm*D448</f>
        <v>26.6692920225858</v>
      </c>
      <c r="E462" s="16" t="n">
        <f aca="false">m_core*E449+m_hbm*E448</f>
        <v>117.802850110654</v>
      </c>
      <c r="F462" s="16" t="n">
        <f aca="false">m_core*F449+m_hbm*F448</f>
        <v>182.412498940469</v>
      </c>
      <c r="G462" s="16" t="n">
        <f aca="false">m_core*G449+m_hbm*G448</f>
        <v>209.093886530924</v>
      </c>
    </row>
    <row r="463" customFormat="false" ht="17.15" hidden="false" customHeight="false" outlineLevel="0" collapsed="false">
      <c r="A463" s="4" t="s">
        <v>645</v>
      </c>
      <c r="B463" s="0" t="s">
        <v>46</v>
      </c>
      <c r="C463" s="17" t="n">
        <f aca="false">a25_gp/C456</f>
        <v>0.474993539899927</v>
      </c>
      <c r="D463" s="17" t="n">
        <f aca="false">(a26_gp-D462)/D456</f>
        <v>0.45945699688875</v>
      </c>
      <c r="E463" s="17" t="n">
        <f aca="false">$D463+0</f>
        <v>0.45945699688875</v>
      </c>
      <c r="F463" s="17" t="n">
        <f aca="false">$D463+0</f>
        <v>0.45945699688875</v>
      </c>
      <c r="G463" s="17" t="n">
        <f aca="false">$D463+0</f>
        <v>0.45945699688875</v>
      </c>
      <c r="K463" s="8" t="s">
        <v>646</v>
      </c>
    </row>
    <row r="464" customFormat="false" ht="15" hidden="false" customHeight="false" outlineLevel="0" collapsed="false">
      <c r="A464" s="4" t="s">
        <v>517</v>
      </c>
      <c r="B464" s="0" t="s">
        <v>301</v>
      </c>
      <c r="C464" s="16" t="n">
        <f aca="false">a25_gp</f>
        <v>283.08</v>
      </c>
      <c r="D464" s="16" t="n">
        <f aca="false">a26_gp</f>
        <v>307.17786821659</v>
      </c>
      <c r="E464" s="16" t="n">
        <f aca="false">E463*E456+E462</f>
        <v>417.131741582844</v>
      </c>
      <c r="F464" s="16" t="n">
        <f aca="false">F463*F456+F462</f>
        <v>499.071522159973</v>
      </c>
      <c r="G464" s="16" t="n">
        <f aca="false">G463*G456+G462</f>
        <v>544.158375041924</v>
      </c>
    </row>
    <row r="465" customFormat="false" ht="15" hidden="false" customHeight="false" outlineLevel="0" collapsed="false">
      <c r="A465" s="4" t="s">
        <v>520</v>
      </c>
      <c r="B465" s="0" t="s">
        <v>46</v>
      </c>
      <c r="C465" s="17" t="n">
        <f aca="false">C464/C457</f>
        <v>0.474993539899927</v>
      </c>
      <c r="D465" s="17" t="n">
        <f aca="false">D464/D457</f>
        <v>0.455400856348417</v>
      </c>
      <c r="E465" s="17" t="n">
        <f aca="false">E464/E457</f>
        <v>0.434137526017199</v>
      </c>
      <c r="F465" s="17" t="n">
        <f aca="false">F464/F457</f>
        <v>0.420585818430724</v>
      </c>
      <c r="G465" s="17" t="n">
        <f aca="false">G464/G457</f>
        <v>0.420369649306666</v>
      </c>
    </row>
    <row r="466" customFormat="false" ht="15" hidden="false" customHeight="false" outlineLevel="0" collapsed="false">
      <c r="A466" s="4" t="s">
        <v>647</v>
      </c>
      <c r="B466" s="0" t="s">
        <v>301</v>
      </c>
      <c r="C466" s="16" t="n">
        <f aca="false">a25_opx</f>
        <v>179.61</v>
      </c>
      <c r="D466" s="16" t="n">
        <f aca="false">a26_opx</f>
        <v>192.105</v>
      </c>
      <c r="E466" s="16" t="n">
        <f aca="false">D466*(1+MAX(g_opx_min,phi*E458))+0*E457</f>
        <v>216.567185976276</v>
      </c>
      <c r="F466" s="16" t="n">
        <f aca="false">E466*(1+MAX(g_opx_min,phi*F458))+0*F457</f>
        <v>231.834303318166</v>
      </c>
      <c r="G466" s="16" t="n">
        <f aca="false">F466*(1+MAX(g_opx_min,phi*G458))+0*G457</f>
        <v>245.744361517256</v>
      </c>
    </row>
    <row r="467" customFormat="false" ht="15" hidden="false" customHeight="false" outlineLevel="0" collapsed="false">
      <c r="A467" s="4" t="s">
        <v>524</v>
      </c>
      <c r="B467" s="0" t="s">
        <v>301</v>
      </c>
      <c r="C467" s="16" t="n">
        <f aca="false">C464-C466</f>
        <v>103.47</v>
      </c>
      <c r="D467" s="16" t="n">
        <f aca="false">D464-D466</f>
        <v>115.07286821659</v>
      </c>
      <c r="E467" s="16" t="n">
        <f aca="false">E464-E466</f>
        <v>200.564555606568</v>
      </c>
      <c r="F467" s="16" t="n">
        <f aca="false">F464-F466</f>
        <v>267.237218841808</v>
      </c>
      <c r="G467" s="16" t="n">
        <f aca="false">G464-G466</f>
        <v>298.414013524668</v>
      </c>
    </row>
    <row r="468" customFormat="false" ht="15" hidden="false" customHeight="false" outlineLevel="0" collapsed="false">
      <c r="A468" s="4" t="s">
        <v>598</v>
      </c>
      <c r="B468" s="0" t="s">
        <v>46</v>
      </c>
      <c r="C468" s="17" t="n">
        <f aca="false">C467/C457</f>
        <v>0.173617286892205</v>
      </c>
      <c r="D468" s="17" t="n">
        <f aca="false">D467/D457</f>
        <v>0.170599148410502</v>
      </c>
      <c r="E468" s="17" t="n">
        <f aca="false">E467/E457</f>
        <v>0.208741247183371</v>
      </c>
      <c r="F468" s="17" t="n">
        <f aca="false">F467/F457</f>
        <v>0.225210574859658</v>
      </c>
      <c r="G468" s="17" t="n">
        <f aca="false">G467/G457</f>
        <v>0.230528831250451</v>
      </c>
    </row>
    <row r="469" customFormat="false" ht="15" hidden="false" customHeight="false" outlineLevel="0" collapsed="false">
      <c r="A469" s="4" t="s">
        <v>526</v>
      </c>
      <c r="B469" s="0" t="s">
        <v>301</v>
      </c>
      <c r="C469" s="16" t="n">
        <f aca="false">a25_nonop</f>
        <v>21.418</v>
      </c>
      <c r="D469" s="16" t="n">
        <f aca="false">a26_nonop</f>
        <v>18.823</v>
      </c>
      <c r="E469" s="16" t="n">
        <f aca="false">nonop_f</f>
        <v>18</v>
      </c>
      <c r="F469" s="16" t="n">
        <f aca="false">nonop_f</f>
        <v>18</v>
      </c>
      <c r="G469" s="16" t="n">
        <f aca="false">nonop_f</f>
        <v>18</v>
      </c>
    </row>
    <row r="470" customFormat="false" ht="15" hidden="false" customHeight="false" outlineLevel="0" collapsed="false">
      <c r="A470" s="4" t="s">
        <v>528</v>
      </c>
      <c r="B470" s="0" t="s">
        <v>301</v>
      </c>
      <c r="C470" s="16" t="n">
        <f aca="false">C467+C469</f>
        <v>124.888</v>
      </c>
      <c r="D470" s="16" t="n">
        <f aca="false">D467+D469</f>
        <v>133.89586821659</v>
      </c>
      <c r="E470" s="16" t="n">
        <f aca="false">E467+E469</f>
        <v>218.564555606568</v>
      </c>
      <c r="F470" s="16" t="n">
        <f aca="false">F467+F469</f>
        <v>285.237218841808</v>
      </c>
      <c r="G470" s="16" t="n">
        <f aca="false">G467+G469</f>
        <v>316.414013524668</v>
      </c>
    </row>
    <row r="471" customFormat="false" ht="15" hidden="false" customHeight="false" outlineLevel="0" collapsed="false">
      <c r="A471" s="4" t="s">
        <v>529</v>
      </c>
      <c r="B471" s="0" t="s">
        <v>301</v>
      </c>
      <c r="C471" s="16" t="n">
        <f aca="false">a25_tax</f>
        <v>18.77</v>
      </c>
      <c r="D471" s="16" t="n">
        <f aca="false">a26_tax</f>
        <v>16.2589328681567</v>
      </c>
      <c r="E471" s="16" t="n">
        <f aca="false">E470*tax</f>
        <v>30.5990377849195</v>
      </c>
      <c r="F471" s="16" t="n">
        <f aca="false">F470*tax</f>
        <v>39.9332106378531</v>
      </c>
      <c r="G471" s="16" t="n">
        <f aca="false">G470*tax</f>
        <v>44.2979618934536</v>
      </c>
    </row>
    <row r="472" customFormat="false" ht="15" hidden="false" customHeight="false" outlineLevel="0" collapsed="false">
      <c r="A472" s="4" t="s">
        <v>530</v>
      </c>
      <c r="B472" s="0" t="s">
        <v>301</v>
      </c>
      <c r="C472" s="16" t="n">
        <f aca="false">a25_nci</f>
        <v>0.798</v>
      </c>
      <c r="D472" s="16" t="n">
        <f aca="false">a26_nci</f>
        <v>0.992</v>
      </c>
      <c r="E472" s="16" t="n">
        <f aca="false">nci</f>
        <v>1</v>
      </c>
      <c r="F472" s="16" t="n">
        <f aca="false">nci</f>
        <v>1</v>
      </c>
      <c r="G472" s="16" t="n">
        <f aca="false">nci</f>
        <v>1</v>
      </c>
    </row>
    <row r="473" customFormat="false" ht="15" hidden="false" customHeight="false" outlineLevel="0" collapsed="false">
      <c r="A473" s="4" t="s">
        <v>532</v>
      </c>
      <c r="B473" s="0" t="s">
        <v>301</v>
      </c>
      <c r="C473" s="16" t="n">
        <f aca="false">C470-C471-C472</f>
        <v>105.32</v>
      </c>
      <c r="D473" s="16" t="n">
        <f aca="false">D470-D471-D472</f>
        <v>116.644935348433</v>
      </c>
      <c r="E473" s="16" t="n">
        <f aca="false">E470-E471-E472</f>
        <v>186.965517821648</v>
      </c>
      <c r="F473" s="16" t="n">
        <f aca="false">F470-F471-F472</f>
        <v>244.304008203955</v>
      </c>
      <c r="G473" s="16" t="n">
        <f aca="false">G470-G471-G472</f>
        <v>271.116051631215</v>
      </c>
      <c r="H473" s="26" t="n">
        <f aca="false">H457*H477</f>
        <v>285.349899165466</v>
      </c>
      <c r="I473" s="26" t="n">
        <f aca="false">I457*I477</f>
        <v>297.256120248898</v>
      </c>
      <c r="J473" s="26" t="n">
        <f aca="false">J457*J477</f>
        <v>306.448160400362</v>
      </c>
    </row>
    <row r="474" customFormat="false" ht="15" hidden="false" customHeight="false" outlineLevel="0" collapsed="false">
      <c r="A474" s="4" t="s">
        <v>648</v>
      </c>
      <c r="B474" s="4" t="s">
        <v>346</v>
      </c>
      <c r="C474" s="18" t="n">
        <f aca="false">a25_sh</f>
        <v>1.59188331318017</v>
      </c>
      <c r="D474" s="18" t="n">
        <f aca="false">a26_sh</f>
        <v>1.59250890647703</v>
      </c>
      <c r="E474" s="18" t="n">
        <f aca="false">D474*(1+sh_g)</f>
        <v>1.59250890647703</v>
      </c>
      <c r="F474" s="18" t="n">
        <f aca="false">E474*(1+sh_g)</f>
        <v>1.59250890647703</v>
      </c>
      <c r="G474" s="18" t="n">
        <f aca="false">F474*(1+sh_g)</f>
        <v>1.59250890647703</v>
      </c>
      <c r="H474" s="28" t="n">
        <f aca="false">G474*(1+sh_g)</f>
        <v>1.59250890647703</v>
      </c>
      <c r="I474" s="28" t="n">
        <f aca="false">H474*(1+sh_g)</f>
        <v>1.59250890647703</v>
      </c>
      <c r="J474" s="28" t="n">
        <f aca="false">I474*(1+sh_g)</f>
        <v>1.59250890647703</v>
      </c>
    </row>
    <row r="475" customFormat="false" ht="17.15" hidden="false" customHeight="false" outlineLevel="0" collapsed="false">
      <c r="A475" s="0" t="s">
        <v>537</v>
      </c>
      <c r="B475" s="0" t="s">
        <v>403</v>
      </c>
      <c r="C475" s="16" t="n">
        <f aca="false">C473/C474</f>
        <v>66.1606281867469</v>
      </c>
      <c r="D475" s="16" t="n">
        <f aca="false">D473/D474</f>
        <v>73.2460175726595</v>
      </c>
      <c r="E475" s="16" t="n">
        <f aca="false">E473/E474</f>
        <v>117.403122243916</v>
      </c>
      <c r="F475" s="16" t="n">
        <f aca="false">F473/F474</f>
        <v>153.408252355968</v>
      </c>
      <c r="G475" s="16" t="n">
        <f aca="false">G473/G474</f>
        <v>170.244606186211</v>
      </c>
      <c r="H475" s="26" t="n">
        <f aca="false">H473/H474</f>
        <v>179.182608024919</v>
      </c>
      <c r="I475" s="26" t="n">
        <f aca="false">I473/I474</f>
        <v>186.659000172559</v>
      </c>
      <c r="J475" s="26" t="n">
        <f aca="false">J473/J474</f>
        <v>192.431049618611</v>
      </c>
    </row>
    <row r="476" customFormat="false" ht="17.15" hidden="false" customHeight="false" outlineLevel="0" collapsed="false">
      <c r="A476" s="0" t="s">
        <v>649</v>
      </c>
      <c r="B476" s="0" t="s">
        <v>46</v>
      </c>
      <c r="D476" s="19" t="n">
        <f aca="false">D475/C475-1</f>
        <v>0.107093744120947</v>
      </c>
      <c r="E476" s="19" t="n">
        <f aca="false">E475/D475-1</f>
        <v>0.602860143590106</v>
      </c>
      <c r="F476" s="19" t="n">
        <f aca="false">F475/E475-1</f>
        <v>0.306679493900063</v>
      </c>
      <c r="G476" s="19" t="n">
        <f aca="false">G475/F475-1</f>
        <v>0.10974868412669</v>
      </c>
      <c r="H476" s="24" t="n">
        <f aca="false">H475/G475-1</f>
        <v>0.0525009399060314</v>
      </c>
      <c r="I476" s="24" t="n">
        <f aca="false">I475/H475-1</f>
        <v>0.0417249878771739</v>
      </c>
      <c r="J476" s="24" t="n">
        <f aca="false">J475/I475-1</f>
        <v>0.0309229634826949</v>
      </c>
    </row>
    <row r="477" customFormat="false" ht="17.15" hidden="false" customHeight="false" outlineLevel="0" collapsed="false">
      <c r="A477" s="4" t="s">
        <v>650</v>
      </c>
      <c r="B477" s="0" t="s">
        <v>46</v>
      </c>
      <c r="C477" s="17" t="n">
        <f aca="false">C473/C457</f>
        <v>0.176721490823302</v>
      </c>
      <c r="D477" s="17" t="n">
        <f aca="false">D473/D457</f>
        <v>0.172929787405541</v>
      </c>
      <c r="E477" s="17" t="n">
        <f aca="false">E473/E457</f>
        <v>0.194587798688282</v>
      </c>
      <c r="F477" s="17" t="n">
        <f aca="false">F473/F457</f>
        <v>0.205883919787013</v>
      </c>
      <c r="G477" s="17" t="n">
        <f aca="false">G473/G457</f>
        <v>0.209440789249713</v>
      </c>
      <c r="H477" s="25" t="n">
        <f aca="false">$G477+(fade_mA-$G477)*1/3</f>
        <v>0.203994386447012</v>
      </c>
      <c r="I477" s="25" t="n">
        <f aca="false">$G477+(fade_mA-$G477)*2/3</f>
        <v>0.198547983644311</v>
      </c>
      <c r="J477" s="25" t="n">
        <f aca="false">$G477+(fade_mA-$G477)*3/3</f>
        <v>0.19310158084161</v>
      </c>
    </row>
    <row r="480" customFormat="false" ht="17.15" hidden="false" customHeight="false" outlineLevel="0" collapsed="false">
      <c r="A480" s="1" t="s">
        <v>943</v>
      </c>
    </row>
    <row r="481" customFormat="false" ht="17.15" hidden="false" customHeight="false" outlineLevel="0" collapsed="false">
      <c r="A481" s="5" t="s">
        <v>22</v>
      </c>
      <c r="B481" s="5" t="s">
        <v>23</v>
      </c>
      <c r="C481" s="14" t="s">
        <v>494</v>
      </c>
      <c r="D481" s="14" t="s">
        <v>587</v>
      </c>
      <c r="E481" s="14" t="s">
        <v>588</v>
      </c>
      <c r="F481" s="14" t="s">
        <v>589</v>
      </c>
      <c r="G481" s="14" t="s">
        <v>590</v>
      </c>
      <c r="H481" s="14" t="s">
        <v>591</v>
      </c>
      <c r="I481" s="14" t="s">
        <v>592</v>
      </c>
      <c r="J481" s="14" t="s">
        <v>593</v>
      </c>
      <c r="K481" s="5" t="s">
        <v>557</v>
      </c>
    </row>
    <row r="482" customFormat="false" ht="17.15" hidden="false" customHeight="false" outlineLevel="0" collapsed="false">
      <c r="A482" s="6" t="s">
        <v>609</v>
      </c>
    </row>
    <row r="483" customFormat="false" ht="17.15" hidden="false" customHeight="false" outlineLevel="0" collapsed="false">
      <c r="A483" s="0" t="s">
        <v>610</v>
      </c>
      <c r="B483" s="4" t="s">
        <v>33</v>
      </c>
      <c r="D483" s="20" t="n">
        <f aca="false">u_tpu_26</f>
        <v>3.85</v>
      </c>
      <c r="E483" s="20" t="n">
        <f aca="false">u_tpu_27</f>
        <v>5.5</v>
      </c>
      <c r="F483" s="20" t="n">
        <f aca="false">u_tpu_28*um28_A</f>
        <v>7</v>
      </c>
      <c r="G483" s="20" t="n">
        <f aca="false">u_tpu_28*(1+g29_tpu)*um29_A</f>
        <v>8.05</v>
      </c>
    </row>
    <row r="484" customFormat="false" ht="17.15" hidden="false" customHeight="false" outlineLevel="0" collapsed="false">
      <c r="A484" s="4" t="s">
        <v>611</v>
      </c>
      <c r="B484" s="4" t="s">
        <v>33</v>
      </c>
      <c r="D484" s="20" t="n">
        <f aca="false">u_oth_26</f>
        <v>1</v>
      </c>
      <c r="E484" s="20" t="n">
        <f aca="false">u_oth_27</f>
        <v>4.5</v>
      </c>
      <c r="F484" s="20" t="n">
        <f aca="false">u_oth_28*um28_A</f>
        <v>5</v>
      </c>
      <c r="G484" s="20" t="n">
        <f aca="false">u_oth_28*(1+g29_oth)*um29_A</f>
        <v>5.75</v>
      </c>
    </row>
    <row r="485" customFormat="false" ht="17.15" hidden="false" customHeight="false" outlineLevel="0" collapsed="false">
      <c r="A485" s="4" t="s">
        <v>561</v>
      </c>
      <c r="B485" s="0" t="s">
        <v>46</v>
      </c>
      <c r="D485" s="19" t="n">
        <f aca="false">mtk_tpu_26</f>
        <v>0.05</v>
      </c>
      <c r="E485" s="19" t="n">
        <f aca="false">MIN(1,MAX(0,mtk_tpu_27+0))</f>
        <v>0.15</v>
      </c>
      <c r="F485" s="19" t="n">
        <f aca="false">MIN(1,MAX(0,mtk_tpu_28+0))</f>
        <v>0.18</v>
      </c>
      <c r="G485" s="19" t="n">
        <f aca="false">MIN(1,MAX(0,mtk_tpu_28+0))</f>
        <v>0.18</v>
      </c>
    </row>
    <row r="486" customFormat="false" ht="17.15" hidden="false" customHeight="false" outlineLevel="0" collapsed="false">
      <c r="A486" s="4" t="s">
        <v>612</v>
      </c>
      <c r="B486" s="0" t="s">
        <v>46</v>
      </c>
      <c r="D486" s="19" t="n">
        <f aca="false">mtk_oth_26</f>
        <v>0</v>
      </c>
      <c r="E486" s="19" t="n">
        <f aca="false">MIN(1,MAX(0,mtk_oth_27+0))</f>
        <v>0</v>
      </c>
      <c r="F486" s="19" t="n">
        <f aca="false">MIN(1,MAX(0,mtk_oth_28+0))</f>
        <v>0</v>
      </c>
      <c r="G486" s="19" t="n">
        <f aca="false">MIN(1,MAX(0,mtk_oth_28+0))</f>
        <v>0</v>
      </c>
    </row>
    <row r="487" customFormat="false" ht="17.15" hidden="false" customHeight="false" outlineLevel="0" collapsed="false">
      <c r="A487" s="4" t="s">
        <v>563</v>
      </c>
      <c r="B487" s="4" t="s">
        <v>33</v>
      </c>
      <c r="D487" s="20" t="n">
        <f aca="false">D483*D485</f>
        <v>0.1925</v>
      </c>
      <c r="E487" s="20" t="n">
        <f aca="false">E483*E485*1</f>
        <v>0.825</v>
      </c>
      <c r="F487" s="20" t="n">
        <f aca="false">F483*F485*1</f>
        <v>1.26</v>
      </c>
      <c r="G487" s="20" t="n">
        <f aca="false">G483*G485*1</f>
        <v>1.449</v>
      </c>
    </row>
    <row r="488" customFormat="false" ht="17.15" hidden="false" customHeight="false" outlineLevel="0" collapsed="false">
      <c r="A488" s="4" t="s">
        <v>613</v>
      </c>
      <c r="B488" s="4" t="s">
        <v>33</v>
      </c>
      <c r="D488" s="20" t="n">
        <f aca="false">D484*D486</f>
        <v>0</v>
      </c>
      <c r="E488" s="20" t="n">
        <f aca="false">E484*E486*1</f>
        <v>0</v>
      </c>
      <c r="F488" s="20" t="n">
        <f aca="false">F484*F486*1</f>
        <v>0</v>
      </c>
      <c r="G488" s="20" t="n">
        <f aca="false">G484*G486*1</f>
        <v>0</v>
      </c>
    </row>
    <row r="489" customFormat="false" ht="17.15" hidden="false" customHeight="false" outlineLevel="0" collapsed="false">
      <c r="A489" s="4" t="s">
        <v>614</v>
      </c>
      <c r="B489" s="0" t="s">
        <v>102</v>
      </c>
      <c r="D489" s="27" t="n">
        <f aca="false">gb_tpu_26</f>
        <v>192</v>
      </c>
      <c r="E489" s="27" t="n">
        <f aca="false">gb_tpu_27</f>
        <v>250</v>
      </c>
      <c r="F489" s="27" t="n">
        <f aca="false">gb_tpu_28</f>
        <v>288</v>
      </c>
      <c r="G489" s="27" t="n">
        <f aca="false">gb_tpu_28</f>
        <v>288</v>
      </c>
    </row>
    <row r="490" customFormat="false" ht="17.15" hidden="false" customHeight="false" outlineLevel="0" collapsed="false">
      <c r="A490" s="4" t="s">
        <v>615</v>
      </c>
      <c r="B490" s="0" t="s">
        <v>102</v>
      </c>
      <c r="D490" s="27" t="n">
        <f aca="false">gb_oth_26</f>
        <v>150</v>
      </c>
      <c r="E490" s="27" t="n">
        <f aca="false">gb_oth_27</f>
        <v>200</v>
      </c>
      <c r="F490" s="27" t="n">
        <f aca="false">gb_oth_28</f>
        <v>250</v>
      </c>
      <c r="G490" s="27" t="n">
        <f aca="false">gb_oth_28</f>
        <v>250</v>
      </c>
    </row>
    <row r="491" customFormat="false" ht="17.15" hidden="false" customHeight="false" outlineLevel="0" collapsed="false">
      <c r="A491" s="0" t="s">
        <v>616</v>
      </c>
      <c r="B491" s="0" t="s">
        <v>194</v>
      </c>
      <c r="D491" s="16" t="n">
        <f aca="false">hbm_A_26</f>
        <v>14.6</v>
      </c>
      <c r="E491" s="16" t="n">
        <f aca="false">hbm_A_27</f>
        <v>26.28</v>
      </c>
      <c r="F491" s="16" t="n">
        <f aca="false">hbm_A_28</f>
        <v>28.908</v>
      </c>
      <c r="G491" s="16" t="n">
        <f aca="false">hbm_A_29</f>
        <v>27.4626</v>
      </c>
    </row>
    <row r="492" customFormat="false" ht="17.15" hidden="false" customHeight="false" outlineLevel="0" collapsed="false">
      <c r="A492" s="4" t="s">
        <v>617</v>
      </c>
      <c r="B492" s="0" t="s">
        <v>86</v>
      </c>
      <c r="D492" s="16" t="n">
        <f aca="false">core_tpu</f>
        <v>8</v>
      </c>
      <c r="E492" s="16" t="n">
        <f aca="false">core_tpu</f>
        <v>8</v>
      </c>
      <c r="F492" s="16" t="n">
        <f aca="false">core_tpu*1</f>
        <v>8</v>
      </c>
      <c r="G492" s="16" t="n">
        <f aca="false">core_tpu*1</f>
        <v>8</v>
      </c>
    </row>
    <row r="493" customFormat="false" ht="17.15" hidden="false" customHeight="false" outlineLevel="0" collapsed="false">
      <c r="A493" s="4" t="s">
        <v>618</v>
      </c>
      <c r="B493" s="0" t="s">
        <v>86</v>
      </c>
      <c r="D493" s="16" t="n">
        <f aca="false">core_oth</f>
        <v>6</v>
      </c>
      <c r="E493" s="16" t="n">
        <f aca="false">core_oth</f>
        <v>6</v>
      </c>
      <c r="F493" s="16" t="n">
        <f aca="false">core_oth*1</f>
        <v>6</v>
      </c>
      <c r="G493" s="16" t="n">
        <f aca="false">core_oth*1</f>
        <v>6</v>
      </c>
    </row>
    <row r="494" customFormat="false" ht="17.15" hidden="false" customHeight="false" outlineLevel="0" collapsed="false">
      <c r="A494" s="4" t="s">
        <v>619</v>
      </c>
      <c r="B494" s="0" t="s">
        <v>86</v>
      </c>
      <c r="D494" s="16" t="n">
        <f aca="false">D489*D491/1000</f>
        <v>2.8032</v>
      </c>
      <c r="E494" s="16" t="n">
        <f aca="false">E489*E491/1000</f>
        <v>6.57</v>
      </c>
      <c r="F494" s="16" t="n">
        <f aca="false">F489*F491/1000</f>
        <v>8.325504</v>
      </c>
      <c r="G494" s="16" t="n">
        <f aca="false">G489*G491/1000</f>
        <v>7.9092288</v>
      </c>
    </row>
    <row r="495" customFormat="false" ht="17.15" hidden="false" customHeight="false" outlineLevel="0" collapsed="false">
      <c r="A495" s="4" t="s">
        <v>620</v>
      </c>
      <c r="B495" s="0" t="s">
        <v>86</v>
      </c>
      <c r="D495" s="16" t="n">
        <f aca="false">D490*D491/1000</f>
        <v>2.19</v>
      </c>
      <c r="E495" s="16" t="n">
        <f aca="false">E490*E491/1000</f>
        <v>5.256</v>
      </c>
      <c r="F495" s="16" t="n">
        <f aca="false">F490*F491/1000</f>
        <v>7.227</v>
      </c>
      <c r="G495" s="16" t="n">
        <f aca="false">G490*G491/1000</f>
        <v>6.86565</v>
      </c>
    </row>
    <row r="496" customFormat="false" ht="17.15" hidden="false" customHeight="false" outlineLevel="0" collapsed="false">
      <c r="A496" s="4" t="s">
        <v>621</v>
      </c>
      <c r="B496" s="0" t="s">
        <v>86</v>
      </c>
      <c r="D496" s="16" t="n">
        <f aca="false">D492+f_hbm_hi*D494</f>
        <v>10.8032</v>
      </c>
      <c r="E496" s="16" t="n">
        <f aca="false">E492+f_hbm_hi*E494</f>
        <v>14.57</v>
      </c>
      <c r="F496" s="16" t="n">
        <f aca="false">F492+f_hbm_hi*F494</f>
        <v>16.325504</v>
      </c>
      <c r="G496" s="16" t="n">
        <f aca="false">G492+f_hbm_hi*G494</f>
        <v>15.9092288</v>
      </c>
      <c r="K496" s="4" t="s">
        <v>622</v>
      </c>
    </row>
    <row r="497" customFormat="false" ht="17.15" hidden="false" customHeight="false" outlineLevel="0" collapsed="false">
      <c r="A497" s="4" t="s">
        <v>623</v>
      </c>
      <c r="B497" s="0" t="s">
        <v>86</v>
      </c>
      <c r="D497" s="16" t="n">
        <f aca="false">D493+f_hbm_hi*D495</f>
        <v>8.19</v>
      </c>
      <c r="E497" s="16" t="n">
        <f aca="false">E493+f_hbm_hi*E495</f>
        <v>11.256</v>
      </c>
      <c r="F497" s="16" t="n">
        <f aca="false">F493+f_hbm_hi*F495</f>
        <v>13.227</v>
      </c>
      <c r="G497" s="16" t="n">
        <f aca="false">G493+f_hbm_hi*G495</f>
        <v>12.86565</v>
      </c>
    </row>
    <row r="498" customFormat="false" ht="17.15" hidden="false" customHeight="false" outlineLevel="0" collapsed="false">
      <c r="A498" s="0" t="s">
        <v>624</v>
      </c>
      <c r="B498" s="0" t="s">
        <v>279</v>
      </c>
      <c r="D498" s="16" t="n">
        <f aca="false">D487*D496+D488*D497</f>
        <v>2.079616</v>
      </c>
      <c r="E498" s="16" t="n">
        <f aca="false">E487*E496+E488*E497</f>
        <v>12.02025</v>
      </c>
      <c r="F498" s="16" t="n">
        <f aca="false">F487*F496+F488*F497</f>
        <v>20.57013504</v>
      </c>
      <c r="G498" s="16" t="n">
        <f aca="false">G487*G496+G488*G497</f>
        <v>23.0524725312</v>
      </c>
    </row>
    <row r="499" customFormat="false" ht="17.15" hidden="false" customHeight="false" outlineLevel="0" collapsed="false">
      <c r="A499" s="0" t="s">
        <v>625</v>
      </c>
      <c r="B499" s="0" t="s">
        <v>65</v>
      </c>
      <c r="D499" s="20" t="n">
        <f aca="false">dc26/D498</f>
        <v>0.961716009109374</v>
      </c>
      <c r="K499" s="8" t="s">
        <v>626</v>
      </c>
    </row>
    <row r="500" customFormat="false" ht="17.15" hidden="false" customHeight="false" outlineLevel="0" collapsed="false">
      <c r="A500" s="0" t="s">
        <v>627</v>
      </c>
      <c r="B500" s="0" t="s">
        <v>279</v>
      </c>
      <c r="D500" s="16" t="n">
        <f aca="false">D498*$D$499</f>
        <v>2</v>
      </c>
      <c r="E500" s="16" t="n">
        <f aca="false">E498*$D$499</f>
        <v>11.560066858497</v>
      </c>
      <c r="F500" s="16" t="n">
        <f aca="false">F498*$D$499</f>
        <v>19.7826281775097</v>
      </c>
      <c r="G500" s="16" t="n">
        <f aca="false">G498*$D$499</f>
        <v>22.1699318828091</v>
      </c>
    </row>
    <row r="501" customFormat="false" ht="15" hidden="false" customHeight="false" outlineLevel="0" collapsed="false">
      <c r="A501" s="4" t="s">
        <v>628</v>
      </c>
      <c r="B501" s="0" t="s">
        <v>288</v>
      </c>
      <c r="D501" s="16" t="n">
        <f aca="false">fx26</f>
        <v>32</v>
      </c>
      <c r="E501" s="16" t="n">
        <f aca="false">fx</f>
        <v>32</v>
      </c>
      <c r="F501" s="16" t="n">
        <f aca="false">fx</f>
        <v>32</v>
      </c>
      <c r="G501" s="16" t="n">
        <f aca="false">fx</f>
        <v>32</v>
      </c>
    </row>
    <row r="502" customFormat="false" ht="17.15" hidden="false" customHeight="false" outlineLevel="0" collapsed="false">
      <c r="A502" s="0" t="s">
        <v>629</v>
      </c>
      <c r="B502" s="0" t="s">
        <v>301</v>
      </c>
      <c r="C502" s="16" t="n">
        <f aca="false">a25_asic</f>
        <v>0</v>
      </c>
      <c r="D502" s="16" t="n">
        <f aca="false">D500*D501</f>
        <v>64</v>
      </c>
      <c r="E502" s="16" t="n">
        <f aca="false">E500*E501</f>
        <v>369.922139471902</v>
      </c>
      <c r="F502" s="16" t="n">
        <f aca="false">F500*F501</f>
        <v>633.04410168031</v>
      </c>
      <c r="G502" s="16" t="n">
        <f aca="false">G500*G501</f>
        <v>709.437820249892</v>
      </c>
    </row>
    <row r="503" customFormat="false" ht="17.15" hidden="false" customHeight="false" outlineLevel="0" collapsed="false">
      <c r="A503" s="4" t="s">
        <v>630</v>
      </c>
      <c r="B503" s="0" t="s">
        <v>301</v>
      </c>
      <c r="D503" s="16" t="n">
        <f aca="false">$D$499*f_hbm_hi*(D487*D494+D488*D495)*D501</f>
        <v>16.60663507109</v>
      </c>
      <c r="E503" s="16" t="n">
        <f aca="false">$D$499*f_hbm_hi*(E487*E494+E488*E495)*E501</f>
        <v>166.807718348003</v>
      </c>
      <c r="F503" s="16" t="n">
        <f aca="false">$D$499*f_hbm_hi*(F487*F494+F488*F495)*F501</f>
        <v>322.832985781991</v>
      </c>
      <c r="G503" s="16" t="n">
        <f aca="false">$D$499*f_hbm_hi*(G487*G494+G488*G495)*G501</f>
        <v>352.695036966825</v>
      </c>
    </row>
    <row r="504" customFormat="false" ht="15" hidden="false" customHeight="false" outlineLevel="0" collapsed="false">
      <c r="A504" s="4" t="s">
        <v>631</v>
      </c>
      <c r="B504" s="0" t="s">
        <v>301</v>
      </c>
      <c r="D504" s="16" t="n">
        <f aca="false">D502-D503</f>
        <v>47.39336492891</v>
      </c>
      <c r="E504" s="16" t="n">
        <f aca="false">E502-E503</f>
        <v>203.1144211239</v>
      </c>
      <c r="F504" s="16" t="n">
        <f aca="false">F502-F503</f>
        <v>310.21111589832</v>
      </c>
      <c r="G504" s="16" t="n">
        <f aca="false">G502-G503</f>
        <v>356.742783283068</v>
      </c>
    </row>
    <row r="505" customFormat="false" ht="17.15" hidden="false" customHeight="false" outlineLevel="0" collapsed="false">
      <c r="A505" s="4" t="s">
        <v>632</v>
      </c>
      <c r="B505" s="4" t="s">
        <v>33</v>
      </c>
      <c r="D505" s="20" t="n">
        <f aca="false">D487+D488</f>
        <v>0.1925</v>
      </c>
      <c r="E505" s="20" t="n">
        <f aca="false">E487+E488</f>
        <v>0.825</v>
      </c>
      <c r="F505" s="20" t="n">
        <f aca="false">F487+F488</f>
        <v>1.26</v>
      </c>
      <c r="G505" s="20" t="n">
        <f aca="false">G487+G488</f>
        <v>1.449</v>
      </c>
    </row>
    <row r="506" customFormat="false" ht="17.15" hidden="false" customHeight="false" outlineLevel="0" collapsed="false">
      <c r="A506" s="4" t="s">
        <v>633</v>
      </c>
      <c r="B506" s="0" t="s">
        <v>86</v>
      </c>
      <c r="D506" s="16" t="n">
        <f aca="false">IF(D505&gt;0,D500/D505,0)</f>
        <v>10.3896103896104</v>
      </c>
      <c r="E506" s="16" t="n">
        <f aca="false">IF(E505&gt;0,E500/E505,0)</f>
        <v>14.0122022527236</v>
      </c>
      <c r="F506" s="16" t="n">
        <f aca="false">IF(F505&gt;0,F500/F505,0)</f>
        <v>15.7004985535791</v>
      </c>
      <c r="G506" s="16" t="n">
        <f aca="false">IF(G505&gt;0,G500/G505,0)</f>
        <v>15.3001600295439</v>
      </c>
    </row>
    <row r="507" customFormat="false" ht="17.15" hidden="false" customHeight="false" outlineLevel="0" collapsed="false">
      <c r="A507" s="6" t="s">
        <v>634</v>
      </c>
    </row>
    <row r="508" customFormat="false" ht="15" hidden="false" customHeight="false" outlineLevel="0" collapsed="false">
      <c r="A508" s="4" t="s">
        <v>635</v>
      </c>
      <c r="B508" s="0" t="s">
        <v>301</v>
      </c>
      <c r="C508" s="16" t="n">
        <f aca="false">a25_mob</f>
        <v>315.86198</v>
      </c>
      <c r="D508" s="16" t="n">
        <f aca="false">a26_mob</f>
        <v>262.655761173888</v>
      </c>
      <c r="E508" s="16" t="n">
        <f aca="false">D508*(1+g_mob27_A)</f>
        <v>275.788549232582</v>
      </c>
      <c r="F508" s="16" t="n">
        <f aca="false">E508*(1+g_mobL_A)</f>
        <v>286.820091201885</v>
      </c>
      <c r="G508" s="16" t="n">
        <f aca="false">F508*(1+g_mobL_A)</f>
        <v>298.292894849961</v>
      </c>
    </row>
    <row r="509" customFormat="false" ht="17.15" hidden="false" customHeight="false" outlineLevel="0" collapsed="false">
      <c r="A509" s="4" t="s">
        <v>636</v>
      </c>
      <c r="B509" s="0" t="s">
        <v>301</v>
      </c>
      <c r="C509" s="16" t="n">
        <f aca="false">a25_sepx</f>
        <v>247.32589</v>
      </c>
      <c r="D509" s="16" t="n">
        <f aca="false">a26_sepx</f>
        <v>311.894023346019</v>
      </c>
      <c r="E509" s="16" t="n">
        <f aca="false">D509*(1+g_sep27_A)</f>
        <v>336.8455452137</v>
      </c>
      <c r="F509" s="16" t="n">
        <f aca="false">E509*(1+g_sepL_A)</f>
        <v>360.424733378659</v>
      </c>
      <c r="G509" s="16" t="n">
        <f aca="false">F509*(1+g_sepL_A)</f>
        <v>385.654464715166</v>
      </c>
    </row>
    <row r="510" customFormat="false" ht="17.15" hidden="false" customHeight="false" outlineLevel="0" collapsed="false">
      <c r="A510" s="4" t="s">
        <v>637</v>
      </c>
      <c r="B510" s="0" t="s">
        <v>301</v>
      </c>
      <c r="C510" s="16" t="n">
        <f aca="false">a25_pic</f>
        <v>32.77813</v>
      </c>
      <c r="D510" s="16" t="n">
        <f aca="false">a26_pic</f>
        <v>35.9721535362998</v>
      </c>
      <c r="E510" s="16" t="n">
        <f aca="false">D510*(1+g_pic27_A)</f>
        <v>38.8499258192038</v>
      </c>
      <c r="F510" s="16" t="n">
        <f aca="false">E510*(1+g_picL_A)</f>
        <v>41.9579198847401</v>
      </c>
      <c r="G510" s="16" t="n">
        <f aca="false">F510*(1+g_picL_A)</f>
        <v>45.3145534755193</v>
      </c>
    </row>
    <row r="511" customFormat="false" ht="17.15" hidden="false" customHeight="false" outlineLevel="0" collapsed="false">
      <c r="A511" s="4" t="s">
        <v>638</v>
      </c>
      <c r="B511" s="0" t="s">
        <v>301</v>
      </c>
      <c r="C511" s="16" t="n">
        <f aca="false">C508+C509+C510</f>
        <v>595.966</v>
      </c>
      <c r="D511" s="16" t="n">
        <f aca="false">D508+D509+D510</f>
        <v>610.521938056206</v>
      </c>
      <c r="E511" s="16" t="n">
        <f aca="false">E508+E509+E510</f>
        <v>651.484020265486</v>
      </c>
      <c r="F511" s="16" t="n">
        <f aca="false">F508+F509+F510</f>
        <v>689.202744465285</v>
      </c>
      <c r="G511" s="16" t="n">
        <f aca="false">G508+G509+G510</f>
        <v>729.261913040646</v>
      </c>
    </row>
    <row r="512" customFormat="false" ht="17.15" hidden="false" customHeight="false" outlineLevel="0" collapsed="false">
      <c r="A512" s="4" t="s">
        <v>501</v>
      </c>
      <c r="B512" s="0" t="s">
        <v>301</v>
      </c>
      <c r="C512" s="16" t="n">
        <f aca="false">C511+C502</f>
        <v>595.966</v>
      </c>
      <c r="D512" s="16" t="n">
        <f aca="false">D511+D502</f>
        <v>674.521938056206</v>
      </c>
      <c r="E512" s="16" t="n">
        <f aca="false">E511+E502</f>
        <v>1021.40615973739</v>
      </c>
      <c r="F512" s="16" t="n">
        <f aca="false">F511+F502</f>
        <v>1322.2468461456</v>
      </c>
      <c r="G512" s="16" t="n">
        <f aca="false">G511+G502</f>
        <v>1438.69973329054</v>
      </c>
      <c r="H512" s="26" t="n">
        <f aca="false">G512*(1+H513)</f>
        <v>1551.94647632641</v>
      </c>
      <c r="I512" s="26" t="n">
        <f aca="false">H512*(1+I513)</f>
        <v>1659.58533088986</v>
      </c>
      <c r="J512" s="26" t="n">
        <f aca="false">I512*(1+J513)</f>
        <v>1759.16045074325</v>
      </c>
      <c r="K512" s="8" t="s">
        <v>639</v>
      </c>
    </row>
    <row r="513" customFormat="false" ht="15" hidden="false" customHeight="false" outlineLevel="0" collapsed="false">
      <c r="A513" s="4" t="s">
        <v>640</v>
      </c>
      <c r="B513" s="0" t="s">
        <v>46</v>
      </c>
      <c r="D513" s="19" t="n">
        <f aca="false">D512/C512-1</f>
        <v>0.131812784716252</v>
      </c>
      <c r="E513" s="19" t="n">
        <f aca="false">E512/D512-1</f>
        <v>0.51426677489662</v>
      </c>
      <c r="F513" s="19" t="n">
        <f aca="false">F512/E512-1</f>
        <v>0.294535805898757</v>
      </c>
      <c r="G513" s="19" t="n">
        <f aca="false">G512/F512-1</f>
        <v>0.0880719719501752</v>
      </c>
      <c r="H513" s="24" t="n">
        <f aca="false">$G513+(fade_gA-$G513)*1/3</f>
        <v>0.0787146479667835</v>
      </c>
      <c r="I513" s="24" t="n">
        <f aca="false">$G513+(fade_gA-$G513)*2/3</f>
        <v>0.0693573239833917</v>
      </c>
      <c r="J513" s="24" t="n">
        <f aca="false">$G513+(fade_gA-$G513)*3/3</f>
        <v>0.06</v>
      </c>
    </row>
    <row r="514" customFormat="false" ht="17.15" hidden="false" customHeight="false" outlineLevel="0" collapsed="false">
      <c r="A514" s="0" t="s">
        <v>641</v>
      </c>
      <c r="B514" s="0" t="s">
        <v>46</v>
      </c>
      <c r="C514" s="19" t="n">
        <f aca="false">C502/C512</f>
        <v>0</v>
      </c>
      <c r="D514" s="19" t="n">
        <f aca="false">D502/D512</f>
        <v>0.0948820140445411</v>
      </c>
      <c r="E514" s="19" t="n">
        <f aca="false">E502/E512</f>
        <v>0.362169481694738</v>
      </c>
      <c r="F514" s="19" t="n">
        <f aca="false">F502/F512</f>
        <v>0.478763933924789</v>
      </c>
      <c r="G514" s="19" t="n">
        <f aca="false">G502/G512</f>
        <v>0.493110413405926</v>
      </c>
    </row>
    <row r="515" customFormat="false" ht="17.15" hidden="false" customHeight="false" outlineLevel="0" collapsed="false">
      <c r="A515" s="4" t="s">
        <v>642</v>
      </c>
      <c r="B515" s="0" t="s">
        <v>46</v>
      </c>
      <c r="C515" s="19" t="n">
        <f aca="false">C508/C512</f>
        <v>0.53</v>
      </c>
      <c r="D515" s="19" t="n">
        <f aca="false">D508/D512</f>
        <v>0.389395431571569</v>
      </c>
      <c r="E515" s="19" t="n">
        <f aca="false">E508/E512</f>
        <v>0.270008699872624</v>
      </c>
      <c r="F515" s="19" t="n">
        <f aca="false">F508/F512</f>
        <v>0.2169187183452</v>
      </c>
      <c r="G515" s="19" t="n">
        <f aca="false">G508/G512</f>
        <v>0.207335059531649</v>
      </c>
    </row>
    <row r="516" customFormat="false" ht="17.15" hidden="false" customHeight="false" outlineLevel="0" collapsed="false">
      <c r="A516" s="6" t="s">
        <v>643</v>
      </c>
    </row>
    <row r="517" customFormat="false" ht="17.15" hidden="false" customHeight="false" outlineLevel="0" collapsed="false">
      <c r="A517" s="0" t="s">
        <v>644</v>
      </c>
      <c r="B517" s="0" t="s">
        <v>301</v>
      </c>
      <c r="D517" s="16" t="n">
        <f aca="false">m_core*D504+m_hbm*D503</f>
        <v>22.9876777251185</v>
      </c>
      <c r="E517" s="16" t="n">
        <f aca="false">m_core*E504+m_hbm*E503</f>
        <v>108.082261340555</v>
      </c>
      <c r="F517" s="16" t="n">
        <f aca="false">m_core*F504+m_hbm*F503</f>
        <v>171.878300732443</v>
      </c>
      <c r="G517" s="16" t="n">
        <f aca="false">m_core*G504+m_hbm*G503</f>
        <v>195.803756174063</v>
      </c>
    </row>
    <row r="518" customFormat="false" ht="17.15" hidden="false" customHeight="false" outlineLevel="0" collapsed="false">
      <c r="A518" s="4" t="s">
        <v>645</v>
      </c>
      <c r="B518" s="0" t="s">
        <v>46</v>
      </c>
      <c r="C518" s="17" t="n">
        <f aca="false">a25_gp/C511</f>
        <v>0.474993539899927</v>
      </c>
      <c r="D518" s="17" t="n">
        <f aca="false">(a26_gp-D517)/D511</f>
        <v>0.465487270443193</v>
      </c>
      <c r="E518" s="17" t="n">
        <f aca="false">$D518+0</f>
        <v>0.465487270443193</v>
      </c>
      <c r="F518" s="17" t="n">
        <f aca="false">$D518+0</f>
        <v>0.465487270443193</v>
      </c>
      <c r="G518" s="17" t="n">
        <f aca="false">$D518+0</f>
        <v>0.465487270443193</v>
      </c>
      <c r="K518" s="8" t="s">
        <v>646</v>
      </c>
    </row>
    <row r="519" customFormat="false" ht="15" hidden="false" customHeight="false" outlineLevel="0" collapsed="false">
      <c r="A519" s="4" t="s">
        <v>517</v>
      </c>
      <c r="B519" s="0" t="s">
        <v>301</v>
      </c>
      <c r="C519" s="16" t="n">
        <f aca="false">a25_gp</f>
        <v>283.08</v>
      </c>
      <c r="D519" s="16" t="n">
        <f aca="false">a26_gp</f>
        <v>307.17786821659</v>
      </c>
      <c r="E519" s="16" t="n">
        <f aca="false">E518*E511+E517</f>
        <v>411.339779671294</v>
      </c>
      <c r="F519" s="16" t="n">
        <f aca="false">F518*F511+F517</f>
        <v>492.693405035546</v>
      </c>
      <c r="G519" s="16" t="n">
        <f aca="false">G518*G511+G517</f>
        <v>535.265893513534</v>
      </c>
    </row>
    <row r="520" customFormat="false" ht="15" hidden="false" customHeight="false" outlineLevel="0" collapsed="false">
      <c r="A520" s="4" t="s">
        <v>520</v>
      </c>
      <c r="B520" s="0" t="s">
        <v>46</v>
      </c>
      <c r="C520" s="17" t="n">
        <f aca="false">C519/C512</f>
        <v>0.474993539899927</v>
      </c>
      <c r="D520" s="17" t="n">
        <f aca="false">D519/D512</f>
        <v>0.455400856348417</v>
      </c>
      <c r="E520" s="17" t="n">
        <f aca="false">E519/E512</f>
        <v>0.402719110071798</v>
      </c>
      <c r="F520" s="17" t="n">
        <f aca="false">F519/F512</f>
        <v>0.372618324991107</v>
      </c>
      <c r="G520" s="17" t="n">
        <f aca="false">G519/G512</f>
        <v>0.372048371962435</v>
      </c>
    </row>
    <row r="521" customFormat="false" ht="15" hidden="false" customHeight="false" outlineLevel="0" collapsed="false">
      <c r="A521" s="4" t="s">
        <v>647</v>
      </c>
      <c r="B521" s="0" t="s">
        <v>301</v>
      </c>
      <c r="C521" s="16" t="n">
        <f aca="false">a25_opx</f>
        <v>179.61</v>
      </c>
      <c r="D521" s="16" t="n">
        <f aca="false">a26_opx</f>
        <v>192.105</v>
      </c>
      <c r="E521" s="16" t="n">
        <f aca="false">D521*(1+MAX(g_opx_min,phi*E513))+0*E512</f>
        <v>221.742965637455</v>
      </c>
      <c r="F521" s="16" t="n">
        <f aca="false">E521*(1+MAX(g_opx_min,phi*F513))+0*F512</f>
        <v>241.336338563377</v>
      </c>
      <c r="G521" s="16" t="n">
        <f aca="false">F521*(1+MAX(g_opx_min,phi*G513))+0*G512</f>
        <v>255.81651887718</v>
      </c>
    </row>
    <row r="522" customFormat="false" ht="15" hidden="false" customHeight="false" outlineLevel="0" collapsed="false">
      <c r="A522" s="4" t="s">
        <v>524</v>
      </c>
      <c r="B522" s="0" t="s">
        <v>301</v>
      </c>
      <c r="C522" s="16" t="n">
        <f aca="false">C519-C521</f>
        <v>103.47</v>
      </c>
      <c r="D522" s="16" t="n">
        <f aca="false">D519-D521</f>
        <v>115.07286821659</v>
      </c>
      <c r="E522" s="16" t="n">
        <f aca="false">E519-E521</f>
        <v>189.59681403384</v>
      </c>
      <c r="F522" s="16" t="n">
        <f aca="false">F519-F521</f>
        <v>251.357066472169</v>
      </c>
      <c r="G522" s="16" t="n">
        <f aca="false">G519-G521</f>
        <v>279.449374636354</v>
      </c>
    </row>
    <row r="523" customFormat="false" ht="15" hidden="false" customHeight="false" outlineLevel="0" collapsed="false">
      <c r="A523" s="4" t="s">
        <v>598</v>
      </c>
      <c r="B523" s="0" t="s">
        <v>46</v>
      </c>
      <c r="C523" s="17" t="n">
        <f aca="false">C522/C512</f>
        <v>0.173617286892205</v>
      </c>
      <c r="D523" s="17" t="n">
        <f aca="false">D522/D512</f>
        <v>0.170599148410502</v>
      </c>
      <c r="E523" s="17" t="n">
        <f aca="false">E522/E512</f>
        <v>0.185623331351934</v>
      </c>
      <c r="F523" s="17" t="n">
        <f aca="false">F522/F512</f>
        <v>0.190098442817153</v>
      </c>
      <c r="G523" s="17" t="n">
        <f aca="false">G522/G512</f>
        <v>0.194237454953306</v>
      </c>
    </row>
    <row r="524" customFormat="false" ht="15" hidden="false" customHeight="false" outlineLevel="0" collapsed="false">
      <c r="A524" s="4" t="s">
        <v>526</v>
      </c>
      <c r="B524" s="0" t="s">
        <v>301</v>
      </c>
      <c r="C524" s="16" t="n">
        <f aca="false">a25_nonop</f>
        <v>21.418</v>
      </c>
      <c r="D524" s="16" t="n">
        <f aca="false">a26_nonop</f>
        <v>18.823</v>
      </c>
      <c r="E524" s="16" t="n">
        <f aca="false">nonop_f</f>
        <v>18</v>
      </c>
      <c r="F524" s="16" t="n">
        <f aca="false">nonop_f</f>
        <v>18</v>
      </c>
      <c r="G524" s="16" t="n">
        <f aca="false">nonop_f</f>
        <v>18</v>
      </c>
    </row>
    <row r="525" customFormat="false" ht="15" hidden="false" customHeight="false" outlineLevel="0" collapsed="false">
      <c r="A525" s="4" t="s">
        <v>528</v>
      </c>
      <c r="B525" s="0" t="s">
        <v>301</v>
      </c>
      <c r="C525" s="16" t="n">
        <f aca="false">C522+C524</f>
        <v>124.888</v>
      </c>
      <c r="D525" s="16" t="n">
        <f aca="false">D522+D524</f>
        <v>133.89586821659</v>
      </c>
      <c r="E525" s="16" t="n">
        <f aca="false">E522+E524</f>
        <v>207.59681403384</v>
      </c>
      <c r="F525" s="16" t="n">
        <f aca="false">F522+F524</f>
        <v>269.357066472169</v>
      </c>
      <c r="G525" s="16" t="n">
        <f aca="false">G522+G524</f>
        <v>297.449374636354</v>
      </c>
    </row>
    <row r="526" customFormat="false" ht="15" hidden="false" customHeight="false" outlineLevel="0" collapsed="false">
      <c r="A526" s="4" t="s">
        <v>529</v>
      </c>
      <c r="B526" s="0" t="s">
        <v>301</v>
      </c>
      <c r="C526" s="16" t="n">
        <f aca="false">a25_tax</f>
        <v>18.77</v>
      </c>
      <c r="D526" s="16" t="n">
        <f aca="false">a26_tax</f>
        <v>16.2589328681567</v>
      </c>
      <c r="E526" s="16" t="n">
        <f aca="false">E525*tax</f>
        <v>29.0635539647375</v>
      </c>
      <c r="F526" s="16" t="n">
        <f aca="false">F525*tax</f>
        <v>37.7099893061036</v>
      </c>
      <c r="G526" s="16" t="n">
        <f aca="false">G525*tax</f>
        <v>41.6429124490896</v>
      </c>
    </row>
    <row r="527" customFormat="false" ht="15" hidden="false" customHeight="false" outlineLevel="0" collapsed="false">
      <c r="A527" s="4" t="s">
        <v>530</v>
      </c>
      <c r="B527" s="0" t="s">
        <v>301</v>
      </c>
      <c r="C527" s="16" t="n">
        <f aca="false">a25_nci</f>
        <v>0.798</v>
      </c>
      <c r="D527" s="16" t="n">
        <f aca="false">a26_nci</f>
        <v>0.992</v>
      </c>
      <c r="E527" s="16" t="n">
        <f aca="false">nci</f>
        <v>1</v>
      </c>
      <c r="F527" s="16" t="n">
        <f aca="false">nci</f>
        <v>1</v>
      </c>
      <c r="G527" s="16" t="n">
        <f aca="false">nci</f>
        <v>1</v>
      </c>
    </row>
    <row r="528" customFormat="false" ht="15" hidden="false" customHeight="false" outlineLevel="0" collapsed="false">
      <c r="A528" s="4" t="s">
        <v>532</v>
      </c>
      <c r="B528" s="0" t="s">
        <v>301</v>
      </c>
      <c r="C528" s="16" t="n">
        <f aca="false">C525-C526-C527</f>
        <v>105.32</v>
      </c>
      <c r="D528" s="16" t="n">
        <f aca="false">D525-D526-D527</f>
        <v>116.644935348433</v>
      </c>
      <c r="E528" s="16" t="n">
        <f aca="false">E525-E526-E527</f>
        <v>177.533260069102</v>
      </c>
      <c r="F528" s="16" t="n">
        <f aca="false">F525-F526-F527</f>
        <v>230.647077166065</v>
      </c>
      <c r="G528" s="16" t="n">
        <f aca="false">G525-G526-G527</f>
        <v>254.806462187265</v>
      </c>
      <c r="H528" s="26" t="n">
        <f aca="false">H512*H532</f>
        <v>283.136748092063</v>
      </c>
      <c r="I528" s="26" t="n">
        <f aca="false">I512*I532</f>
        <v>311.621453098733</v>
      </c>
      <c r="J528" s="26" t="n">
        <f aca="false">J512*J532</f>
        <v>339.696663992561</v>
      </c>
    </row>
    <row r="529" customFormat="false" ht="15" hidden="false" customHeight="false" outlineLevel="0" collapsed="false">
      <c r="A529" s="4" t="s">
        <v>648</v>
      </c>
      <c r="B529" s="4" t="s">
        <v>346</v>
      </c>
      <c r="C529" s="18" t="n">
        <f aca="false">a25_sh</f>
        <v>1.59188331318017</v>
      </c>
      <c r="D529" s="18" t="n">
        <f aca="false">a26_sh</f>
        <v>1.59250890647703</v>
      </c>
      <c r="E529" s="18" t="n">
        <f aca="false">D529*(1+sh_g)</f>
        <v>1.59250890647703</v>
      </c>
      <c r="F529" s="18" t="n">
        <f aca="false">E529*(1+sh_g)</f>
        <v>1.59250890647703</v>
      </c>
      <c r="G529" s="18" t="n">
        <f aca="false">F529*(1+sh_g)</f>
        <v>1.59250890647703</v>
      </c>
      <c r="H529" s="28" t="n">
        <f aca="false">G529*(1+sh_g)</f>
        <v>1.59250890647703</v>
      </c>
      <c r="I529" s="28" t="n">
        <f aca="false">H529*(1+sh_g)</f>
        <v>1.59250890647703</v>
      </c>
      <c r="J529" s="28" t="n">
        <f aca="false">I529*(1+sh_g)</f>
        <v>1.59250890647703</v>
      </c>
    </row>
    <row r="530" customFormat="false" ht="17.15" hidden="false" customHeight="false" outlineLevel="0" collapsed="false">
      <c r="A530" s="0" t="s">
        <v>537</v>
      </c>
      <c r="B530" s="0" t="s">
        <v>403</v>
      </c>
      <c r="C530" s="16" t="n">
        <f aca="false">C528/C529</f>
        <v>66.1606281867469</v>
      </c>
      <c r="D530" s="16" t="n">
        <f aca="false">D528/D529</f>
        <v>73.2460175726595</v>
      </c>
      <c r="E530" s="16" t="n">
        <f aca="false">E528/E529</f>
        <v>111.480230563886</v>
      </c>
      <c r="F530" s="16" t="n">
        <f aca="false">F528/F529</f>
        <v>144.832519446504</v>
      </c>
      <c r="G530" s="16" t="n">
        <f aca="false">G528/G529</f>
        <v>160.003163028426</v>
      </c>
      <c r="H530" s="26" t="n">
        <f aca="false">H528/H529</f>
        <v>177.792881999274</v>
      </c>
      <c r="I530" s="26" t="n">
        <f aca="false">I528/I529</f>
        <v>195.679566896807</v>
      </c>
      <c r="J530" s="26" t="n">
        <f aca="false">J528/J529</f>
        <v>213.309114072111</v>
      </c>
    </row>
    <row r="531" customFormat="false" ht="17.15" hidden="false" customHeight="false" outlineLevel="0" collapsed="false">
      <c r="A531" s="0" t="s">
        <v>649</v>
      </c>
      <c r="B531" s="0" t="s">
        <v>46</v>
      </c>
      <c r="D531" s="19" t="n">
        <f aca="false">D530/C530-1</f>
        <v>0.107093744120947</v>
      </c>
      <c r="E531" s="19" t="n">
        <f aca="false">E530/D530-1</f>
        <v>0.521997157774468</v>
      </c>
      <c r="F531" s="19" t="n">
        <f aca="false">F530/E530-1</f>
        <v>0.299176712444133</v>
      </c>
      <c r="G531" s="19" t="n">
        <f aca="false">G530/F530-1</f>
        <v>0.104746113924544</v>
      </c>
      <c r="H531" s="24" t="n">
        <f aca="false">H530/G530-1</f>
        <v>0.111183545588328</v>
      </c>
      <c r="I531" s="24" t="n">
        <f aca="false">I530/H530-1</f>
        <v>0.100604055102761</v>
      </c>
      <c r="J531" s="24" t="n">
        <f aca="false">J530/I530-1</f>
        <v>0.0900939605237403</v>
      </c>
    </row>
    <row r="532" customFormat="false" ht="17.15" hidden="false" customHeight="false" outlineLevel="0" collapsed="false">
      <c r="A532" s="4" t="s">
        <v>650</v>
      </c>
      <c r="B532" s="0" t="s">
        <v>46</v>
      </c>
      <c r="C532" s="17" t="n">
        <f aca="false">C528/C512</f>
        <v>0.176721490823302</v>
      </c>
      <c r="D532" s="17" t="n">
        <f aca="false">D528/D512</f>
        <v>0.172929787405541</v>
      </c>
      <c r="E532" s="17" t="n">
        <f aca="false">E528/E512</f>
        <v>0.17381259979355</v>
      </c>
      <c r="F532" s="17" t="n">
        <f aca="false">F528/F512</f>
        <v>0.174435717383945</v>
      </c>
      <c r="G532" s="17" t="n">
        <f aca="false">G528/G512</f>
        <v>0.177108854816065</v>
      </c>
      <c r="H532" s="25" t="n">
        <f aca="false">$G532+(fade_mA-$G532)*1/3</f>
        <v>0.182439763491246</v>
      </c>
      <c r="I532" s="25" t="n">
        <f aca="false">$G532+(fade_mA-$G532)*2/3</f>
        <v>0.187770672166428</v>
      </c>
      <c r="J532" s="25" t="n">
        <f aca="false">$G532+(fade_mA-$G532)*3/3</f>
        <v>0.19310158084161</v>
      </c>
    </row>
    <row r="535" customFormat="false" ht="17.15" hidden="false" customHeight="false" outlineLevel="0" collapsed="false">
      <c r="A535" s="1" t="s">
        <v>944</v>
      </c>
    </row>
    <row r="536" customFormat="false" ht="17.15" hidden="false" customHeight="false" outlineLevel="0" collapsed="false">
      <c r="A536" s="5" t="s">
        <v>22</v>
      </c>
      <c r="B536" s="5" t="s">
        <v>23</v>
      </c>
      <c r="C536" s="14" t="s">
        <v>494</v>
      </c>
      <c r="D536" s="14" t="s">
        <v>587</v>
      </c>
      <c r="E536" s="14" t="s">
        <v>588</v>
      </c>
      <c r="F536" s="14" t="s">
        <v>589</v>
      </c>
      <c r="G536" s="14" t="s">
        <v>590</v>
      </c>
      <c r="H536" s="14" t="s">
        <v>591</v>
      </c>
      <c r="I536" s="14" t="s">
        <v>592</v>
      </c>
      <c r="J536" s="14" t="s">
        <v>593</v>
      </c>
      <c r="K536" s="5" t="s">
        <v>557</v>
      </c>
    </row>
    <row r="537" customFormat="false" ht="17.15" hidden="false" customHeight="false" outlineLevel="0" collapsed="false">
      <c r="A537" s="6" t="s">
        <v>609</v>
      </c>
    </row>
    <row r="538" customFormat="false" ht="17.15" hidden="false" customHeight="false" outlineLevel="0" collapsed="false">
      <c r="A538" s="0" t="s">
        <v>610</v>
      </c>
      <c r="B538" s="4" t="s">
        <v>33</v>
      </c>
      <c r="D538" s="20" t="n">
        <f aca="false">u_tpu_26</f>
        <v>3.85</v>
      </c>
      <c r="E538" s="20" t="n">
        <f aca="false">u_tpu_27</f>
        <v>5.5</v>
      </c>
      <c r="F538" s="20" t="n">
        <f aca="false">u_tpu_28*um28_A</f>
        <v>7</v>
      </c>
      <c r="G538" s="20" t="n">
        <f aca="false">u_tpu_28*(1+g29_tpu)*um29_A</f>
        <v>8.05</v>
      </c>
    </row>
    <row r="539" customFormat="false" ht="17.15" hidden="false" customHeight="false" outlineLevel="0" collapsed="false">
      <c r="A539" s="4" t="s">
        <v>611</v>
      </c>
      <c r="B539" s="4" t="s">
        <v>33</v>
      </c>
      <c r="D539" s="20" t="n">
        <f aca="false">u_oth_26</f>
        <v>1</v>
      </c>
      <c r="E539" s="20" t="n">
        <f aca="false">u_oth_27</f>
        <v>4.5</v>
      </c>
      <c r="F539" s="20" t="n">
        <f aca="false">u_oth_28*um28_A</f>
        <v>5</v>
      </c>
      <c r="G539" s="20" t="n">
        <f aca="false">u_oth_28*(1+g29_oth)*um29_A</f>
        <v>5.75</v>
      </c>
    </row>
    <row r="540" customFormat="false" ht="17.15" hidden="false" customHeight="false" outlineLevel="0" collapsed="false">
      <c r="A540" s="4" t="s">
        <v>561</v>
      </c>
      <c r="B540" s="0" t="s">
        <v>46</v>
      </c>
      <c r="D540" s="19" t="n">
        <f aca="false">mtk_tpu_26</f>
        <v>0.05</v>
      </c>
      <c r="E540" s="19" t="n">
        <f aca="false">MIN(1,MAX(0,mtk_tpu_27+0))</f>
        <v>0.15</v>
      </c>
      <c r="F540" s="19" t="n">
        <f aca="false">MIN(1,MAX(0,mtk_tpu_28+0))</f>
        <v>0.18</v>
      </c>
      <c r="G540" s="19" t="n">
        <f aca="false">MIN(1,MAX(0,mtk_tpu_28+0))</f>
        <v>0.18</v>
      </c>
    </row>
    <row r="541" customFormat="false" ht="17.15" hidden="false" customHeight="false" outlineLevel="0" collapsed="false">
      <c r="A541" s="4" t="s">
        <v>612</v>
      </c>
      <c r="B541" s="0" t="s">
        <v>46</v>
      </c>
      <c r="D541" s="19" t="n">
        <f aca="false">mtk_oth_26</f>
        <v>0</v>
      </c>
      <c r="E541" s="19" t="n">
        <f aca="false">MIN(1,MAX(0,mtk_oth_27+0))</f>
        <v>0</v>
      </c>
      <c r="F541" s="19" t="n">
        <f aca="false">MIN(1,MAX(0,mtk_oth_28+0))</f>
        <v>0</v>
      </c>
      <c r="G541" s="19" t="n">
        <f aca="false">MIN(1,MAX(0,mtk_oth_28+0))</f>
        <v>0</v>
      </c>
    </row>
    <row r="542" customFormat="false" ht="17.15" hidden="false" customHeight="false" outlineLevel="0" collapsed="false">
      <c r="A542" s="4" t="s">
        <v>563</v>
      </c>
      <c r="B542" s="4" t="s">
        <v>33</v>
      </c>
      <c r="D542" s="20" t="n">
        <f aca="false">D538*D540</f>
        <v>0.1925</v>
      </c>
      <c r="E542" s="20" t="n">
        <f aca="false">E538*E540*1</f>
        <v>0.825</v>
      </c>
      <c r="F542" s="20" t="n">
        <f aca="false">F538*F540*1</f>
        <v>1.26</v>
      </c>
      <c r="G542" s="20" t="n">
        <f aca="false">G538*G540*1</f>
        <v>1.449</v>
      </c>
    </row>
    <row r="543" customFormat="false" ht="17.15" hidden="false" customHeight="false" outlineLevel="0" collapsed="false">
      <c r="A543" s="4" t="s">
        <v>613</v>
      </c>
      <c r="B543" s="4" t="s">
        <v>33</v>
      </c>
      <c r="D543" s="20" t="n">
        <f aca="false">D539*D541</f>
        <v>0</v>
      </c>
      <c r="E543" s="20" t="n">
        <f aca="false">E539*E541*1</f>
        <v>0</v>
      </c>
      <c r="F543" s="20" t="n">
        <f aca="false">F539*F541*1</f>
        <v>0</v>
      </c>
      <c r="G543" s="20" t="n">
        <f aca="false">G539*G541*1</f>
        <v>0</v>
      </c>
    </row>
    <row r="544" customFormat="false" ht="17.15" hidden="false" customHeight="false" outlineLevel="0" collapsed="false">
      <c r="A544" s="4" t="s">
        <v>614</v>
      </c>
      <c r="B544" s="0" t="s">
        <v>102</v>
      </c>
      <c r="D544" s="27" t="n">
        <f aca="false">gb_tpu_26</f>
        <v>192</v>
      </c>
      <c r="E544" s="27" t="n">
        <f aca="false">gb_tpu_27</f>
        <v>250</v>
      </c>
      <c r="F544" s="27" t="n">
        <f aca="false">gb_tpu_28</f>
        <v>288</v>
      </c>
      <c r="G544" s="27" t="n">
        <f aca="false">gb_tpu_28</f>
        <v>288</v>
      </c>
    </row>
    <row r="545" customFormat="false" ht="17.15" hidden="false" customHeight="false" outlineLevel="0" collapsed="false">
      <c r="A545" s="4" t="s">
        <v>615</v>
      </c>
      <c r="B545" s="0" t="s">
        <v>102</v>
      </c>
      <c r="D545" s="27" t="n">
        <f aca="false">gb_oth_26</f>
        <v>150</v>
      </c>
      <c r="E545" s="27" t="n">
        <f aca="false">gb_oth_27</f>
        <v>200</v>
      </c>
      <c r="F545" s="27" t="n">
        <f aca="false">gb_oth_28</f>
        <v>250</v>
      </c>
      <c r="G545" s="27" t="n">
        <f aca="false">gb_oth_28</f>
        <v>250</v>
      </c>
    </row>
    <row r="546" customFormat="false" ht="17.15" hidden="false" customHeight="false" outlineLevel="0" collapsed="false">
      <c r="A546" s="0" t="s">
        <v>616</v>
      </c>
      <c r="B546" s="0" t="s">
        <v>194</v>
      </c>
      <c r="D546" s="16" t="n">
        <f aca="false">hbm_A_26</f>
        <v>14.6</v>
      </c>
      <c r="E546" s="16" t="n">
        <f aca="false">hbm_A_27</f>
        <v>26.28</v>
      </c>
      <c r="F546" s="16" t="n">
        <f aca="false">hbm_A_28</f>
        <v>28.908</v>
      </c>
      <c r="G546" s="16" t="n">
        <f aca="false">hbm_A_29</f>
        <v>27.4626</v>
      </c>
    </row>
    <row r="547" customFormat="false" ht="17.15" hidden="false" customHeight="false" outlineLevel="0" collapsed="false">
      <c r="A547" s="4" t="s">
        <v>617</v>
      </c>
      <c r="B547" s="0" t="s">
        <v>86</v>
      </c>
      <c r="D547" s="16" t="n">
        <f aca="false">core_tpu</f>
        <v>8</v>
      </c>
      <c r="E547" s="16" t="n">
        <f aca="false">core_tpu</f>
        <v>8</v>
      </c>
      <c r="F547" s="16" t="n">
        <f aca="false">core_tpu*1</f>
        <v>8</v>
      </c>
      <c r="G547" s="16" t="n">
        <f aca="false">core_tpu*1</f>
        <v>8</v>
      </c>
    </row>
    <row r="548" customFormat="false" ht="17.15" hidden="false" customHeight="false" outlineLevel="0" collapsed="false">
      <c r="A548" s="4" t="s">
        <v>618</v>
      </c>
      <c r="B548" s="0" t="s">
        <v>86</v>
      </c>
      <c r="D548" s="16" t="n">
        <f aca="false">core_oth</f>
        <v>6</v>
      </c>
      <c r="E548" s="16" t="n">
        <f aca="false">core_oth</f>
        <v>6</v>
      </c>
      <c r="F548" s="16" t="n">
        <f aca="false">core_oth*1</f>
        <v>6</v>
      </c>
      <c r="G548" s="16" t="n">
        <f aca="false">core_oth*1</f>
        <v>6</v>
      </c>
    </row>
    <row r="549" customFormat="false" ht="17.15" hidden="false" customHeight="false" outlineLevel="0" collapsed="false">
      <c r="A549" s="4" t="s">
        <v>619</v>
      </c>
      <c r="B549" s="0" t="s">
        <v>86</v>
      </c>
      <c r="D549" s="16" t="n">
        <f aca="false">D544*D546/1000</f>
        <v>2.8032</v>
      </c>
      <c r="E549" s="16" t="n">
        <f aca="false">E544*E546/1000</f>
        <v>6.57</v>
      </c>
      <c r="F549" s="16" t="n">
        <f aca="false">F544*F546/1000</f>
        <v>8.325504</v>
      </c>
      <c r="G549" s="16" t="n">
        <f aca="false">G544*G546/1000</f>
        <v>7.9092288</v>
      </c>
    </row>
    <row r="550" customFormat="false" ht="17.15" hidden="false" customHeight="false" outlineLevel="0" collapsed="false">
      <c r="A550" s="4" t="s">
        <v>620</v>
      </c>
      <c r="B550" s="0" t="s">
        <v>86</v>
      </c>
      <c r="D550" s="16" t="n">
        <f aca="false">D545*D546/1000</f>
        <v>2.19</v>
      </c>
      <c r="E550" s="16" t="n">
        <f aca="false">E545*E546/1000</f>
        <v>5.256</v>
      </c>
      <c r="F550" s="16" t="n">
        <f aca="false">F545*F546/1000</f>
        <v>7.227</v>
      </c>
      <c r="G550" s="16" t="n">
        <f aca="false">G545*G546/1000</f>
        <v>6.86565</v>
      </c>
    </row>
    <row r="551" customFormat="false" ht="17.15" hidden="false" customHeight="false" outlineLevel="0" collapsed="false">
      <c r="A551" s="4" t="s">
        <v>621</v>
      </c>
      <c r="B551" s="0" t="s">
        <v>86</v>
      </c>
      <c r="D551" s="16" t="n">
        <f aca="false">D547+f_hbm*D549</f>
        <v>9.68192</v>
      </c>
      <c r="E551" s="16" t="n">
        <f aca="false">E547+f_hbm*E549</f>
        <v>11.942</v>
      </c>
      <c r="F551" s="16" t="n">
        <f aca="false">F547+f_hbm*F549</f>
        <v>12.9953024</v>
      </c>
      <c r="G551" s="16" t="n">
        <f aca="false">G547+f_hbm*G549</f>
        <v>12.74553728</v>
      </c>
      <c r="K551" s="4" t="s">
        <v>622</v>
      </c>
    </row>
    <row r="552" customFormat="false" ht="17.15" hidden="false" customHeight="false" outlineLevel="0" collapsed="false">
      <c r="A552" s="4" t="s">
        <v>623</v>
      </c>
      <c r="B552" s="0" t="s">
        <v>86</v>
      </c>
      <c r="D552" s="16" t="n">
        <f aca="false">D548+f_hbm*D550</f>
        <v>7.314</v>
      </c>
      <c r="E552" s="16" t="n">
        <f aca="false">E548+f_hbm*E550</f>
        <v>9.1536</v>
      </c>
      <c r="F552" s="16" t="n">
        <f aca="false">F548+f_hbm*F550</f>
        <v>10.3362</v>
      </c>
      <c r="G552" s="16" t="n">
        <f aca="false">G548+f_hbm*G550</f>
        <v>10.11939</v>
      </c>
    </row>
    <row r="553" customFormat="false" ht="17.15" hidden="false" customHeight="false" outlineLevel="0" collapsed="false">
      <c r="A553" s="0" t="s">
        <v>624</v>
      </c>
      <c r="B553" s="0" t="s">
        <v>279</v>
      </c>
      <c r="D553" s="16" t="n">
        <f aca="false">D542*D551+D543*D552</f>
        <v>1.8637696</v>
      </c>
      <c r="E553" s="16" t="n">
        <f aca="false">E542*E551+E543*E552</f>
        <v>9.85215</v>
      </c>
      <c r="F553" s="16" t="n">
        <f aca="false">F542*F551+F543*F552</f>
        <v>16.374081024</v>
      </c>
      <c r="G553" s="16" t="n">
        <f aca="false">G542*G551+G543*G552</f>
        <v>18.46828351872</v>
      </c>
    </row>
    <row r="554" customFormat="false" ht="17.15" hidden="false" customHeight="false" outlineLevel="0" collapsed="false">
      <c r="A554" s="0" t="s">
        <v>625</v>
      </c>
      <c r="B554" s="0" t="s">
        <v>65</v>
      </c>
      <c r="D554" s="20" t="n">
        <f aca="false">dc26/D553</f>
        <v>1.07309401333727</v>
      </c>
      <c r="K554" s="8" t="s">
        <v>626</v>
      </c>
    </row>
    <row r="555" customFormat="false" ht="17.15" hidden="false" customHeight="false" outlineLevel="0" collapsed="false">
      <c r="A555" s="0" t="s">
        <v>627</v>
      </c>
      <c r="B555" s="0" t="s">
        <v>279</v>
      </c>
      <c r="D555" s="16" t="n">
        <f aca="false">D553*$D$554</f>
        <v>2</v>
      </c>
      <c r="E555" s="16" t="n">
        <f aca="false">E553*$D$554</f>
        <v>10.5722831835008</v>
      </c>
      <c r="F555" s="16" t="n">
        <f aca="false">F553*$D$554</f>
        <v>17.5709283207538</v>
      </c>
      <c r="G555" s="16" t="n">
        <f aca="false">G553*$D$554</f>
        <v>19.8182044805538</v>
      </c>
    </row>
    <row r="556" customFormat="false" ht="15" hidden="false" customHeight="false" outlineLevel="0" collapsed="false">
      <c r="A556" s="4" t="s">
        <v>628</v>
      </c>
      <c r="B556" s="0" t="s">
        <v>288</v>
      </c>
      <c r="D556" s="16" t="n">
        <f aca="false">fx26</f>
        <v>32</v>
      </c>
      <c r="E556" s="16" t="n">
        <f aca="false">fx</f>
        <v>32</v>
      </c>
      <c r="F556" s="16" t="n">
        <f aca="false">fx</f>
        <v>32</v>
      </c>
      <c r="G556" s="16" t="n">
        <f aca="false">fx</f>
        <v>32</v>
      </c>
    </row>
    <row r="557" customFormat="false" ht="17.15" hidden="false" customHeight="false" outlineLevel="0" collapsed="false">
      <c r="A557" s="0" t="s">
        <v>629</v>
      </c>
      <c r="B557" s="0" t="s">
        <v>301</v>
      </c>
      <c r="C557" s="16" t="n">
        <f aca="false">a25_asic</f>
        <v>0</v>
      </c>
      <c r="D557" s="16" t="n">
        <f aca="false">D555*D556</f>
        <v>64</v>
      </c>
      <c r="E557" s="16" t="n">
        <f aca="false">E555*E556</f>
        <v>338.313061872025</v>
      </c>
      <c r="F557" s="16" t="n">
        <f aca="false">F555*F556</f>
        <v>562.269706264122</v>
      </c>
      <c r="G557" s="16" t="n">
        <f aca="false">G555*G556</f>
        <v>634.182543377722</v>
      </c>
    </row>
    <row r="558" customFormat="false" ht="17.15" hidden="false" customHeight="false" outlineLevel="0" collapsed="false">
      <c r="A558" s="4" t="s">
        <v>630</v>
      </c>
      <c r="B558" s="0" t="s">
        <v>301</v>
      </c>
      <c r="D558" s="16" t="n">
        <f aca="false">$D$554*f_hbm*(D542*D549+D543*D550)*D556</f>
        <v>11.1179270227393</v>
      </c>
      <c r="E558" s="16" t="n">
        <f aca="false">$D$554*f_hbm*(E542*E549+E543*E550)*E556</f>
        <v>111.675606255194</v>
      </c>
      <c r="F558" s="16" t="n">
        <f aca="false">$D$554*f_hbm*(F542*F549+F543*F550)*F556</f>
        <v>216.132501322052</v>
      </c>
      <c r="G558" s="16" t="n">
        <f aca="false">$D$554*f_hbm*(G542*G549+G543*G550)*G556</f>
        <v>236.124757694342</v>
      </c>
    </row>
    <row r="559" customFormat="false" ht="15" hidden="false" customHeight="false" outlineLevel="0" collapsed="false">
      <c r="A559" s="4" t="s">
        <v>631</v>
      </c>
      <c r="B559" s="0" t="s">
        <v>301</v>
      </c>
      <c r="D559" s="16" t="n">
        <f aca="false">D557-D558</f>
        <v>52.8820729772607</v>
      </c>
      <c r="E559" s="16" t="n">
        <f aca="false">E557-E558</f>
        <v>226.637455616832</v>
      </c>
      <c r="F559" s="16" t="n">
        <f aca="false">F557-F558</f>
        <v>346.13720494207</v>
      </c>
      <c r="G559" s="16" t="n">
        <f aca="false">G557-G558</f>
        <v>398.057785683381</v>
      </c>
    </row>
    <row r="560" customFormat="false" ht="17.15" hidden="false" customHeight="false" outlineLevel="0" collapsed="false">
      <c r="A560" s="4" t="s">
        <v>632</v>
      </c>
      <c r="B560" s="4" t="s">
        <v>33</v>
      </c>
      <c r="D560" s="20" t="n">
        <f aca="false">D542+D543</f>
        <v>0.1925</v>
      </c>
      <c r="E560" s="20" t="n">
        <f aca="false">E542+E543</f>
        <v>0.825</v>
      </c>
      <c r="F560" s="20" t="n">
        <f aca="false">F542+F543</f>
        <v>1.26</v>
      </c>
      <c r="G560" s="20" t="n">
        <f aca="false">G542+G543</f>
        <v>1.449</v>
      </c>
    </row>
    <row r="561" customFormat="false" ht="17.15" hidden="false" customHeight="false" outlineLevel="0" collapsed="false">
      <c r="A561" s="4" t="s">
        <v>633</v>
      </c>
      <c r="B561" s="0" t="s">
        <v>86</v>
      </c>
      <c r="D561" s="16" t="n">
        <f aca="false">IF(D560&gt;0,D555/D560,0)</f>
        <v>10.3896103896104</v>
      </c>
      <c r="E561" s="16" t="n">
        <f aca="false">IF(E560&gt;0,E555/E560,0)</f>
        <v>12.8148887072737</v>
      </c>
      <c r="F561" s="16" t="n">
        <f aca="false">IF(F560&gt;0,F555/F560,0)</f>
        <v>13.9451812069475</v>
      </c>
      <c r="G561" s="16" t="n">
        <f aca="false">IF(G560&gt;0,G555/G560,0)</f>
        <v>13.677159751935</v>
      </c>
    </row>
    <row r="562" customFormat="false" ht="17.15" hidden="false" customHeight="false" outlineLevel="0" collapsed="false">
      <c r="A562" s="6" t="s">
        <v>634</v>
      </c>
    </row>
    <row r="563" customFormat="false" ht="15" hidden="false" customHeight="false" outlineLevel="0" collapsed="false">
      <c r="A563" s="4" t="s">
        <v>635</v>
      </c>
      <c r="B563" s="0" t="s">
        <v>301</v>
      </c>
      <c r="C563" s="16" t="n">
        <f aca="false">a25_mob</f>
        <v>315.86198</v>
      </c>
      <c r="D563" s="16" t="n">
        <f aca="false">a26_mob</f>
        <v>262.655761173888</v>
      </c>
      <c r="E563" s="16" t="n">
        <f aca="false">D563*(1+g_mob27_A)</f>
        <v>275.788549232582</v>
      </c>
      <c r="F563" s="16" t="n">
        <f aca="false">E563*(1+g_mobL_A)</f>
        <v>286.820091201885</v>
      </c>
      <c r="G563" s="16" t="n">
        <f aca="false">F563*(1+g_mobL_A)</f>
        <v>298.292894849961</v>
      </c>
    </row>
    <row r="564" customFormat="false" ht="17.15" hidden="false" customHeight="false" outlineLevel="0" collapsed="false">
      <c r="A564" s="4" t="s">
        <v>636</v>
      </c>
      <c r="B564" s="0" t="s">
        <v>301</v>
      </c>
      <c r="C564" s="16" t="n">
        <f aca="false">a25_sepx</f>
        <v>247.32589</v>
      </c>
      <c r="D564" s="16" t="n">
        <f aca="false">a26_sepx</f>
        <v>311.894023346019</v>
      </c>
      <c r="E564" s="16" t="n">
        <f aca="false">D564*(1+g_sep27_A)</f>
        <v>336.8455452137</v>
      </c>
      <c r="F564" s="16" t="n">
        <f aca="false">E564*(1+g_sepL_A)</f>
        <v>360.424733378659</v>
      </c>
      <c r="G564" s="16" t="n">
        <f aca="false">F564*(1+g_sepL_A)</f>
        <v>385.654464715166</v>
      </c>
    </row>
    <row r="565" customFormat="false" ht="17.15" hidden="false" customHeight="false" outlineLevel="0" collapsed="false">
      <c r="A565" s="4" t="s">
        <v>637</v>
      </c>
      <c r="B565" s="0" t="s">
        <v>301</v>
      </c>
      <c r="C565" s="16" t="n">
        <f aca="false">a25_pic</f>
        <v>32.77813</v>
      </c>
      <c r="D565" s="16" t="n">
        <f aca="false">a26_pic</f>
        <v>35.9721535362998</v>
      </c>
      <c r="E565" s="16" t="n">
        <f aca="false">D565*(1+g_pic27_A)</f>
        <v>38.8499258192038</v>
      </c>
      <c r="F565" s="16" t="n">
        <f aca="false">E565*(1+g_picL_A)</f>
        <v>41.9579198847401</v>
      </c>
      <c r="G565" s="16" t="n">
        <f aca="false">F565*(1+g_picL_A)</f>
        <v>45.3145534755193</v>
      </c>
    </row>
    <row r="566" customFormat="false" ht="17.15" hidden="false" customHeight="false" outlineLevel="0" collapsed="false">
      <c r="A566" s="4" t="s">
        <v>638</v>
      </c>
      <c r="B566" s="0" t="s">
        <v>301</v>
      </c>
      <c r="C566" s="16" t="n">
        <f aca="false">C563+C564+C565</f>
        <v>595.966</v>
      </c>
      <c r="D566" s="16" t="n">
        <f aca="false">D563+D564+D565</f>
        <v>610.521938056206</v>
      </c>
      <c r="E566" s="16" t="n">
        <f aca="false">E563+E564+E565</f>
        <v>651.484020265486</v>
      </c>
      <c r="F566" s="16" t="n">
        <f aca="false">F563+F564+F565</f>
        <v>689.202744465285</v>
      </c>
      <c r="G566" s="16" t="n">
        <f aca="false">G563+G564+G565</f>
        <v>729.261913040646</v>
      </c>
    </row>
    <row r="567" customFormat="false" ht="17.15" hidden="false" customHeight="false" outlineLevel="0" collapsed="false">
      <c r="A567" s="4" t="s">
        <v>501</v>
      </c>
      <c r="B567" s="0" t="s">
        <v>301</v>
      </c>
      <c r="C567" s="16" t="n">
        <f aca="false">C566+C557</f>
        <v>595.966</v>
      </c>
      <c r="D567" s="16" t="n">
        <f aca="false">D566+D557</f>
        <v>674.521938056206</v>
      </c>
      <c r="E567" s="16" t="n">
        <f aca="false">E566+E557</f>
        <v>989.797082137512</v>
      </c>
      <c r="F567" s="16" t="n">
        <f aca="false">F566+F557</f>
        <v>1251.47245072941</v>
      </c>
      <c r="G567" s="16" t="n">
        <f aca="false">G566+G557</f>
        <v>1363.44445641837</v>
      </c>
      <c r="H567" s="26" t="n">
        <f aca="false">G567*(1+H568)</f>
        <v>1472.04027119696</v>
      </c>
      <c r="I567" s="26" t="n">
        <f aca="false">H567*(1+I568)</f>
        <v>1574.8241140449</v>
      </c>
      <c r="J567" s="26" t="n">
        <f aca="false">I567*(1+J568)</f>
        <v>1669.3135608876</v>
      </c>
      <c r="K567" s="8" t="s">
        <v>639</v>
      </c>
    </row>
    <row r="568" customFormat="false" ht="15" hidden="false" customHeight="false" outlineLevel="0" collapsed="false">
      <c r="A568" s="4" t="s">
        <v>640</v>
      </c>
      <c r="B568" s="0" t="s">
        <v>46</v>
      </c>
      <c r="D568" s="19" t="n">
        <f aca="false">D567/C567-1</f>
        <v>0.131812784716252</v>
      </c>
      <c r="E568" s="19" t="n">
        <f aca="false">E567/D567-1</f>
        <v>0.467405322634643</v>
      </c>
      <c r="F568" s="19" t="n">
        <f aca="false">F567/E567-1</f>
        <v>0.264372741963227</v>
      </c>
      <c r="G568" s="19" t="n">
        <f aca="false">G567/F567-1</f>
        <v>0.0894722098146863</v>
      </c>
      <c r="H568" s="24" t="n">
        <f aca="false">$G568+(fade_gA-$G568)*1/3</f>
        <v>0.0796481398764575</v>
      </c>
      <c r="I568" s="24" t="n">
        <f aca="false">$G568+(fade_gA-$G568)*2/3</f>
        <v>0.0698240699382288</v>
      </c>
      <c r="J568" s="24" t="n">
        <f aca="false">$G568+(fade_gA-$G568)*3/3</f>
        <v>0.06</v>
      </c>
    </row>
    <row r="569" customFormat="false" ht="17.15" hidden="false" customHeight="false" outlineLevel="0" collapsed="false">
      <c r="A569" s="0" t="s">
        <v>641</v>
      </c>
      <c r="B569" s="0" t="s">
        <v>46</v>
      </c>
      <c r="C569" s="19" t="n">
        <f aca="false">C557/C567</f>
        <v>0</v>
      </c>
      <c r="D569" s="19" t="n">
        <f aca="false">D557/D567</f>
        <v>0.0948820140445411</v>
      </c>
      <c r="E569" s="19" t="n">
        <f aca="false">E557/E567</f>
        <v>0.341800423518549</v>
      </c>
      <c r="F569" s="19" t="n">
        <f aca="false">F557/F567</f>
        <v>0.449286523196263</v>
      </c>
      <c r="G569" s="19" t="n">
        <f aca="false">G557/G567</f>
        <v>0.465132657507484</v>
      </c>
    </row>
    <row r="570" customFormat="false" ht="17.15" hidden="false" customHeight="false" outlineLevel="0" collapsed="false">
      <c r="A570" s="4" t="s">
        <v>642</v>
      </c>
      <c r="B570" s="0" t="s">
        <v>46</v>
      </c>
      <c r="C570" s="19" t="n">
        <f aca="false">C563/C567</f>
        <v>0.53</v>
      </c>
      <c r="D570" s="19" t="n">
        <f aca="false">D563/D567</f>
        <v>0.389395431571569</v>
      </c>
      <c r="E570" s="19" t="n">
        <f aca="false">E563/E567</f>
        <v>0.278631402546676</v>
      </c>
      <c r="F570" s="19" t="n">
        <f aca="false">F563/F567</f>
        <v>0.229186100768511</v>
      </c>
      <c r="G570" s="19" t="n">
        <f aca="false">G563/G567</f>
        <v>0.218778912075044</v>
      </c>
    </row>
    <row r="571" customFormat="false" ht="17.15" hidden="false" customHeight="false" outlineLevel="0" collapsed="false">
      <c r="A571" s="6" t="s">
        <v>643</v>
      </c>
    </row>
    <row r="572" customFormat="false" ht="17.15" hidden="false" customHeight="false" outlineLevel="0" collapsed="false">
      <c r="A572" s="0" t="s">
        <v>644</v>
      </c>
      <c r="B572" s="0" t="s">
        <v>301</v>
      </c>
      <c r="D572" s="16" t="n">
        <f aca="false">m_core_lo*D559+m_hbm*D558</f>
        <v>19.6205182443152</v>
      </c>
      <c r="E572" s="16" t="n">
        <f aca="false">m_core_lo*E559+m_hbm*E558</f>
        <v>90.4906700914104</v>
      </c>
      <c r="F572" s="16" t="n">
        <f aca="false">m_core_lo*F559+m_hbm*F558</f>
        <v>142.76127186193</v>
      </c>
      <c r="G572" s="16" t="n">
        <f aca="false">m_core_lo*G559+m_hbm*G558</f>
        <v>162.932700758617</v>
      </c>
    </row>
    <row r="573" customFormat="false" ht="17.15" hidden="false" customHeight="false" outlineLevel="0" collapsed="false">
      <c r="A573" s="4" t="s">
        <v>645</v>
      </c>
      <c r="B573" s="0" t="s">
        <v>46</v>
      </c>
      <c r="C573" s="17" t="n">
        <f aca="false">a25_gp/C566</f>
        <v>0.474993539899927</v>
      </c>
      <c r="D573" s="17" t="n">
        <f aca="false">(a26_gp-D572)/D566</f>
        <v>0.471002485001287</v>
      </c>
      <c r="E573" s="17" t="n">
        <f aca="false">$D573+0</f>
        <v>0.471002485001287</v>
      </c>
      <c r="F573" s="17" t="n">
        <f aca="false">$D573+0</f>
        <v>0.471002485001287</v>
      </c>
      <c r="G573" s="17" t="n">
        <f aca="false">$D573+0</f>
        <v>0.471002485001287</v>
      </c>
      <c r="K573" s="8" t="s">
        <v>646</v>
      </c>
    </row>
    <row r="574" customFormat="false" ht="15" hidden="false" customHeight="false" outlineLevel="0" collapsed="false">
      <c r="A574" s="4" t="s">
        <v>517</v>
      </c>
      <c r="B574" s="0" t="s">
        <v>301</v>
      </c>
      <c r="C574" s="16" t="n">
        <f aca="false">a25_gp</f>
        <v>283.08</v>
      </c>
      <c r="D574" s="16" t="n">
        <f aca="false">a26_gp</f>
        <v>307.17786821659</v>
      </c>
      <c r="E574" s="16" t="n">
        <f aca="false">E573*E566+E572</f>
        <v>397.341262575083</v>
      </c>
      <c r="F574" s="16" t="n">
        <f aca="false">F573*F566+F572</f>
        <v>467.377477174786</v>
      </c>
      <c r="G574" s="16" t="n">
        <f aca="false">G573*G566+G572</f>
        <v>506.416874017554</v>
      </c>
    </row>
    <row r="575" customFormat="false" ht="15" hidden="false" customHeight="false" outlineLevel="0" collapsed="false">
      <c r="A575" s="4" t="s">
        <v>520</v>
      </c>
      <c r="B575" s="0" t="s">
        <v>46</v>
      </c>
      <c r="C575" s="17" t="n">
        <f aca="false">C574/C567</f>
        <v>0.474993539899927</v>
      </c>
      <c r="D575" s="17" t="n">
        <f aca="false">D574/D567</f>
        <v>0.455400856348417</v>
      </c>
      <c r="E575" s="17" t="n">
        <f aca="false">E574/E567</f>
        <v>0.40143709225431</v>
      </c>
      <c r="F575" s="17" t="n">
        <f aca="false">F574/F567</f>
        <v>0.373462058155879</v>
      </c>
      <c r="G575" s="17" t="n">
        <f aca="false">G574/G567</f>
        <v>0.371424645597856</v>
      </c>
    </row>
    <row r="576" customFormat="false" ht="15" hidden="false" customHeight="false" outlineLevel="0" collapsed="false">
      <c r="A576" s="4" t="s">
        <v>647</v>
      </c>
      <c r="B576" s="0" t="s">
        <v>301</v>
      </c>
      <c r="C576" s="16" t="n">
        <f aca="false">a25_opx</f>
        <v>179.61</v>
      </c>
      <c r="D576" s="16" t="n">
        <f aca="false">a26_opx</f>
        <v>192.105</v>
      </c>
      <c r="E576" s="16" t="n">
        <f aca="false">D576*(1+MAX(g_opx_min,phi*E568))+0*E567</f>
        <v>219.042269851418</v>
      </c>
      <c r="F576" s="16" t="n">
        <f aca="false">E576*(1+MAX(g_opx_min,phi*F568))+0*F567</f>
        <v>236.414911497359</v>
      </c>
      <c r="G576" s="16" t="n">
        <f aca="false">F576*(1+MAX(g_opx_min,phi*G568))+0*G567</f>
        <v>250.599806187201</v>
      </c>
    </row>
    <row r="577" customFormat="false" ht="15" hidden="false" customHeight="false" outlineLevel="0" collapsed="false">
      <c r="A577" s="4" t="s">
        <v>524</v>
      </c>
      <c r="B577" s="0" t="s">
        <v>301</v>
      </c>
      <c r="C577" s="16" t="n">
        <f aca="false">C574-C576</f>
        <v>103.47</v>
      </c>
      <c r="D577" s="16" t="n">
        <f aca="false">D574-D576</f>
        <v>115.07286821659</v>
      </c>
      <c r="E577" s="16" t="n">
        <f aca="false">E574-E576</f>
        <v>178.298992723665</v>
      </c>
      <c r="F577" s="16" t="n">
        <f aca="false">F574-F576</f>
        <v>230.962565677427</v>
      </c>
      <c r="G577" s="16" t="n">
        <f aca="false">G574-G576</f>
        <v>255.817067830353</v>
      </c>
    </row>
    <row r="578" customFormat="false" ht="15" hidden="false" customHeight="false" outlineLevel="0" collapsed="false">
      <c r="A578" s="4" t="s">
        <v>598</v>
      </c>
      <c r="B578" s="0" t="s">
        <v>46</v>
      </c>
      <c r="C578" s="17" t="n">
        <f aca="false">C577/C567</f>
        <v>0.173617286892205</v>
      </c>
      <c r="D578" s="17" t="n">
        <f aca="false">D577/D567</f>
        <v>0.170599148410502</v>
      </c>
      <c r="E578" s="17" t="n">
        <f aca="false">E577/E567</f>
        <v>0.180136914870086</v>
      </c>
      <c r="F578" s="17" t="n">
        <f aca="false">F577/F567</f>
        <v>0.184552656786662</v>
      </c>
      <c r="G578" s="17" t="n">
        <f aca="false">G577/G567</f>
        <v>0.187625587992311</v>
      </c>
    </row>
    <row r="579" customFormat="false" ht="15" hidden="false" customHeight="false" outlineLevel="0" collapsed="false">
      <c r="A579" s="4" t="s">
        <v>526</v>
      </c>
      <c r="B579" s="0" t="s">
        <v>301</v>
      </c>
      <c r="C579" s="16" t="n">
        <f aca="false">a25_nonop</f>
        <v>21.418</v>
      </c>
      <c r="D579" s="16" t="n">
        <f aca="false">a26_nonop</f>
        <v>18.823</v>
      </c>
      <c r="E579" s="16" t="n">
        <f aca="false">nonop_f</f>
        <v>18</v>
      </c>
      <c r="F579" s="16" t="n">
        <f aca="false">nonop_f</f>
        <v>18</v>
      </c>
      <c r="G579" s="16" t="n">
        <f aca="false">nonop_f</f>
        <v>18</v>
      </c>
    </row>
    <row r="580" customFormat="false" ht="15" hidden="false" customHeight="false" outlineLevel="0" collapsed="false">
      <c r="A580" s="4" t="s">
        <v>528</v>
      </c>
      <c r="B580" s="0" t="s">
        <v>301</v>
      </c>
      <c r="C580" s="16" t="n">
        <f aca="false">C577+C579</f>
        <v>124.888</v>
      </c>
      <c r="D580" s="16" t="n">
        <f aca="false">D577+D579</f>
        <v>133.89586821659</v>
      </c>
      <c r="E580" s="16" t="n">
        <f aca="false">E577+E579</f>
        <v>196.298992723665</v>
      </c>
      <c r="F580" s="16" t="n">
        <f aca="false">F577+F579</f>
        <v>248.962565677427</v>
      </c>
      <c r="G580" s="16" t="n">
        <f aca="false">G577+G579</f>
        <v>273.817067830353</v>
      </c>
    </row>
    <row r="581" customFormat="false" ht="15" hidden="false" customHeight="false" outlineLevel="0" collapsed="false">
      <c r="A581" s="4" t="s">
        <v>529</v>
      </c>
      <c r="B581" s="0" t="s">
        <v>301</v>
      </c>
      <c r="C581" s="16" t="n">
        <f aca="false">a25_tax</f>
        <v>18.77</v>
      </c>
      <c r="D581" s="16" t="n">
        <f aca="false">a26_tax</f>
        <v>16.2589328681567</v>
      </c>
      <c r="E581" s="16" t="n">
        <f aca="false">E580*tax</f>
        <v>27.4818589813131</v>
      </c>
      <c r="F581" s="16" t="n">
        <f aca="false">F580*tax</f>
        <v>34.8547591948397</v>
      </c>
      <c r="G581" s="16" t="n">
        <f aca="false">G580*tax</f>
        <v>38.3343894962495</v>
      </c>
    </row>
    <row r="582" customFormat="false" ht="15" hidden="false" customHeight="false" outlineLevel="0" collapsed="false">
      <c r="A582" s="4" t="s">
        <v>530</v>
      </c>
      <c r="B582" s="0" t="s">
        <v>301</v>
      </c>
      <c r="C582" s="16" t="n">
        <f aca="false">a25_nci</f>
        <v>0.798</v>
      </c>
      <c r="D582" s="16" t="n">
        <f aca="false">a26_nci</f>
        <v>0.992</v>
      </c>
      <c r="E582" s="16" t="n">
        <f aca="false">nci</f>
        <v>1</v>
      </c>
      <c r="F582" s="16" t="n">
        <f aca="false">nci</f>
        <v>1</v>
      </c>
      <c r="G582" s="16" t="n">
        <f aca="false">nci</f>
        <v>1</v>
      </c>
    </row>
    <row r="583" customFormat="false" ht="15" hidden="false" customHeight="false" outlineLevel="0" collapsed="false">
      <c r="A583" s="4" t="s">
        <v>532</v>
      </c>
      <c r="B583" s="0" t="s">
        <v>301</v>
      </c>
      <c r="C583" s="16" t="n">
        <f aca="false">C580-C581-C582</f>
        <v>105.32</v>
      </c>
      <c r="D583" s="16" t="n">
        <f aca="false">D580-D581-D582</f>
        <v>116.644935348433</v>
      </c>
      <c r="E583" s="16" t="n">
        <f aca="false">E580-E581-E582</f>
        <v>167.817133742352</v>
      </c>
      <c r="F583" s="16" t="n">
        <f aca="false">F580-F581-F582</f>
        <v>213.107806482587</v>
      </c>
      <c r="G583" s="16" t="n">
        <f aca="false">G580-G581-G582</f>
        <v>234.482678334104</v>
      </c>
      <c r="H583" s="26" t="n">
        <f aca="false">H567*H587</f>
        <v>263.523626141325</v>
      </c>
      <c r="I583" s="26" t="n">
        <f aca="false">I567*I587</f>
        <v>293.012472106476</v>
      </c>
      <c r="J583" s="26" t="n">
        <f aca="false">J567*J587</f>
        <v>322.347087527732</v>
      </c>
    </row>
    <row r="584" customFormat="false" ht="15" hidden="false" customHeight="false" outlineLevel="0" collapsed="false">
      <c r="A584" s="4" t="s">
        <v>648</v>
      </c>
      <c r="B584" s="4" t="s">
        <v>346</v>
      </c>
      <c r="C584" s="18" t="n">
        <f aca="false">a25_sh</f>
        <v>1.59188331318017</v>
      </c>
      <c r="D584" s="18" t="n">
        <f aca="false">a26_sh</f>
        <v>1.59250890647703</v>
      </c>
      <c r="E584" s="18" t="n">
        <f aca="false">D584*(1+sh_g)</f>
        <v>1.59250890647703</v>
      </c>
      <c r="F584" s="18" t="n">
        <f aca="false">E584*(1+sh_g)</f>
        <v>1.59250890647703</v>
      </c>
      <c r="G584" s="18" t="n">
        <f aca="false">F584*(1+sh_g)</f>
        <v>1.59250890647703</v>
      </c>
      <c r="H584" s="28" t="n">
        <f aca="false">G584*(1+sh_g)</f>
        <v>1.59250890647703</v>
      </c>
      <c r="I584" s="28" t="n">
        <f aca="false">H584*(1+sh_g)</f>
        <v>1.59250890647703</v>
      </c>
      <c r="J584" s="28" t="n">
        <f aca="false">I584*(1+sh_g)</f>
        <v>1.59250890647703</v>
      </c>
    </row>
    <row r="585" customFormat="false" ht="17.15" hidden="false" customHeight="false" outlineLevel="0" collapsed="false">
      <c r="A585" s="0" t="s">
        <v>537</v>
      </c>
      <c r="B585" s="0" t="s">
        <v>403</v>
      </c>
      <c r="C585" s="16" t="n">
        <f aca="false">C583/C584</f>
        <v>66.1606281867469</v>
      </c>
      <c r="D585" s="16" t="n">
        <f aca="false">D583/D584</f>
        <v>73.2460175726595</v>
      </c>
      <c r="E585" s="16" t="n">
        <f aca="false">E583/E584</f>
        <v>105.379086458988</v>
      </c>
      <c r="F585" s="16" t="n">
        <f aca="false">F583/F584</f>
        <v>133.818910284167</v>
      </c>
      <c r="G585" s="16" t="n">
        <f aca="false">G583/G584</f>
        <v>147.241046741038</v>
      </c>
      <c r="H585" s="26" t="n">
        <f aca="false">H583/H584</f>
        <v>165.477018727823</v>
      </c>
      <c r="I585" s="26" t="n">
        <f aca="false">I583/I584</f>
        <v>183.99424387188</v>
      </c>
      <c r="J585" s="26" t="n">
        <f aca="false">J583/J584</f>
        <v>202.414621492343</v>
      </c>
    </row>
    <row r="586" customFormat="false" ht="17.15" hidden="false" customHeight="false" outlineLevel="0" collapsed="false">
      <c r="A586" s="0" t="s">
        <v>649</v>
      </c>
      <c r="B586" s="0" t="s">
        <v>46</v>
      </c>
      <c r="D586" s="19" t="n">
        <f aca="false">D585/C585-1</f>
        <v>0.107093744120947</v>
      </c>
      <c r="E586" s="19" t="n">
        <f aca="false">E585/D585-1</f>
        <v>0.438700559446156</v>
      </c>
      <c r="F586" s="19" t="n">
        <f aca="false">F585/E585-1</f>
        <v>0.269881100518435</v>
      </c>
      <c r="G586" s="19" t="n">
        <f aca="false">G585/F585-1</f>
        <v>0.100300745450465</v>
      </c>
      <c r="H586" s="24" t="n">
        <f aca="false">H585/G585-1</f>
        <v>0.123851143349028</v>
      </c>
      <c r="I586" s="24" t="n">
        <f aca="false">I585/H585-1</f>
        <v>0.111902095447549</v>
      </c>
      <c r="J586" s="24" t="n">
        <f aca="false">J585/I585-1</f>
        <v>0.100113879830334</v>
      </c>
    </row>
    <row r="587" customFormat="false" ht="17.15" hidden="false" customHeight="false" outlineLevel="0" collapsed="false">
      <c r="A587" s="4" t="s">
        <v>650</v>
      </c>
      <c r="B587" s="0" t="s">
        <v>46</v>
      </c>
      <c r="C587" s="17" t="n">
        <f aca="false">C583/C567</f>
        <v>0.176721490823302</v>
      </c>
      <c r="D587" s="17" t="n">
        <f aca="false">D583/D567</f>
        <v>0.172929787405541</v>
      </c>
      <c r="E587" s="17" t="n">
        <f aca="false">E583/E567</f>
        <v>0.169547007938176</v>
      </c>
      <c r="F587" s="17" t="n">
        <f aca="false">F583/F567</f>
        <v>0.170285655396073</v>
      </c>
      <c r="G587" s="17" t="n">
        <f aca="false">G583/G567</f>
        <v>0.171978166936163</v>
      </c>
      <c r="H587" s="25" t="n">
        <f aca="false">$G587+(fade_mA-$G587)*1/3</f>
        <v>0.179019304904645</v>
      </c>
      <c r="I587" s="25" t="n">
        <f aca="false">$G587+(fade_mA-$G587)*2/3</f>
        <v>0.186060442873128</v>
      </c>
      <c r="J587" s="25" t="n">
        <f aca="false">$G587+(fade_mA-$G587)*3/3</f>
        <v>0.19310158084161</v>
      </c>
    </row>
    <row r="590" customFormat="false" ht="17.15" hidden="false" customHeight="false" outlineLevel="0" collapsed="false">
      <c r="A590" s="1" t="s">
        <v>945</v>
      </c>
    </row>
    <row r="591" customFormat="false" ht="17.15" hidden="false" customHeight="false" outlineLevel="0" collapsed="false">
      <c r="A591" s="5" t="s">
        <v>22</v>
      </c>
      <c r="B591" s="5" t="s">
        <v>23</v>
      </c>
      <c r="C591" s="14" t="s">
        <v>494</v>
      </c>
      <c r="D591" s="14" t="s">
        <v>587</v>
      </c>
      <c r="E591" s="14" t="s">
        <v>588</v>
      </c>
      <c r="F591" s="14" t="s">
        <v>589</v>
      </c>
      <c r="G591" s="14" t="s">
        <v>590</v>
      </c>
      <c r="H591" s="14" t="s">
        <v>591</v>
      </c>
      <c r="I591" s="14" t="s">
        <v>592</v>
      </c>
      <c r="J591" s="14" t="s">
        <v>593</v>
      </c>
      <c r="K591" s="5" t="s">
        <v>557</v>
      </c>
    </row>
    <row r="592" customFormat="false" ht="17.15" hidden="false" customHeight="false" outlineLevel="0" collapsed="false">
      <c r="A592" s="6" t="s">
        <v>609</v>
      </c>
    </row>
    <row r="593" customFormat="false" ht="17.15" hidden="false" customHeight="false" outlineLevel="0" collapsed="false">
      <c r="A593" s="0" t="s">
        <v>610</v>
      </c>
      <c r="B593" s="4" t="s">
        <v>33</v>
      </c>
      <c r="D593" s="20" t="n">
        <f aca="false">u_tpu_26</f>
        <v>3.85</v>
      </c>
      <c r="E593" s="20" t="n">
        <f aca="false">u_tpu_27</f>
        <v>5.5</v>
      </c>
      <c r="F593" s="20" t="n">
        <f aca="false">u_tpu_28*um28_A</f>
        <v>7</v>
      </c>
      <c r="G593" s="20" t="n">
        <f aca="false">u_tpu_28*(1+g29_tpu)*um29_A</f>
        <v>8.05</v>
      </c>
    </row>
    <row r="594" customFormat="false" ht="17.15" hidden="false" customHeight="false" outlineLevel="0" collapsed="false">
      <c r="A594" s="4" t="s">
        <v>611</v>
      </c>
      <c r="B594" s="4" t="s">
        <v>33</v>
      </c>
      <c r="D594" s="20" t="n">
        <f aca="false">u_oth_26</f>
        <v>1</v>
      </c>
      <c r="E594" s="20" t="n">
        <f aca="false">u_oth_27</f>
        <v>4.5</v>
      </c>
      <c r="F594" s="20" t="n">
        <f aca="false">u_oth_28*um28_A</f>
        <v>5</v>
      </c>
      <c r="G594" s="20" t="n">
        <f aca="false">u_oth_28*(1+g29_oth)*um29_A</f>
        <v>5.75</v>
      </c>
    </row>
    <row r="595" customFormat="false" ht="17.15" hidden="false" customHeight="false" outlineLevel="0" collapsed="false">
      <c r="A595" s="4" t="s">
        <v>561</v>
      </c>
      <c r="B595" s="0" t="s">
        <v>46</v>
      </c>
      <c r="D595" s="19" t="n">
        <f aca="false">mtk_tpu_26</f>
        <v>0.05</v>
      </c>
      <c r="E595" s="19" t="n">
        <f aca="false">MIN(1,MAX(0,mtk_tpu_27+0))</f>
        <v>0.15</v>
      </c>
      <c r="F595" s="19" t="n">
        <f aca="false">MIN(1,MAX(0,mtk_tpu_28+0))</f>
        <v>0.18</v>
      </c>
      <c r="G595" s="19" t="n">
        <f aca="false">MIN(1,MAX(0,mtk_tpu_28+0))</f>
        <v>0.18</v>
      </c>
    </row>
    <row r="596" customFormat="false" ht="17.15" hidden="false" customHeight="false" outlineLevel="0" collapsed="false">
      <c r="A596" s="4" t="s">
        <v>612</v>
      </c>
      <c r="B596" s="0" t="s">
        <v>46</v>
      </c>
      <c r="D596" s="19" t="n">
        <f aca="false">mtk_oth_26</f>
        <v>0</v>
      </c>
      <c r="E596" s="19" t="n">
        <f aca="false">MIN(1,MAX(0,mtk_oth_27+0))</f>
        <v>0</v>
      </c>
      <c r="F596" s="19" t="n">
        <f aca="false">MIN(1,MAX(0,mtk_oth_28+0))</f>
        <v>0</v>
      </c>
      <c r="G596" s="19" t="n">
        <f aca="false">MIN(1,MAX(0,mtk_oth_28+0))</f>
        <v>0</v>
      </c>
    </row>
    <row r="597" customFormat="false" ht="17.15" hidden="false" customHeight="false" outlineLevel="0" collapsed="false">
      <c r="A597" s="4" t="s">
        <v>563</v>
      </c>
      <c r="B597" s="4" t="s">
        <v>33</v>
      </c>
      <c r="D597" s="20" t="n">
        <f aca="false">D593*D595</f>
        <v>0.1925</v>
      </c>
      <c r="E597" s="20" t="n">
        <f aca="false">E593*E595*1</f>
        <v>0.825</v>
      </c>
      <c r="F597" s="20" t="n">
        <f aca="false">F593*F595*1</f>
        <v>1.26</v>
      </c>
      <c r="G597" s="20" t="n">
        <f aca="false">G593*G595*1</f>
        <v>1.449</v>
      </c>
    </row>
    <row r="598" customFormat="false" ht="17.15" hidden="false" customHeight="false" outlineLevel="0" collapsed="false">
      <c r="A598" s="4" t="s">
        <v>613</v>
      </c>
      <c r="B598" s="4" t="s">
        <v>33</v>
      </c>
      <c r="D598" s="20" t="n">
        <f aca="false">D594*D596</f>
        <v>0</v>
      </c>
      <c r="E598" s="20" t="n">
        <f aca="false">E594*E596*1</f>
        <v>0</v>
      </c>
      <c r="F598" s="20" t="n">
        <f aca="false">F594*F596*1</f>
        <v>0</v>
      </c>
      <c r="G598" s="20" t="n">
        <f aca="false">G594*G596*1</f>
        <v>0</v>
      </c>
    </row>
    <row r="599" customFormat="false" ht="17.15" hidden="false" customHeight="false" outlineLevel="0" collapsed="false">
      <c r="A599" s="4" t="s">
        <v>614</v>
      </c>
      <c r="B599" s="0" t="s">
        <v>102</v>
      </c>
      <c r="D599" s="27" t="n">
        <f aca="false">gb_tpu_26</f>
        <v>192</v>
      </c>
      <c r="E599" s="27" t="n">
        <f aca="false">gb_tpu_27</f>
        <v>250</v>
      </c>
      <c r="F599" s="27" t="n">
        <f aca="false">gb_tpu_28</f>
        <v>288</v>
      </c>
      <c r="G599" s="27" t="n">
        <f aca="false">gb_tpu_28</f>
        <v>288</v>
      </c>
    </row>
    <row r="600" customFormat="false" ht="17.15" hidden="false" customHeight="false" outlineLevel="0" collapsed="false">
      <c r="A600" s="4" t="s">
        <v>615</v>
      </c>
      <c r="B600" s="0" t="s">
        <v>102</v>
      </c>
      <c r="D600" s="27" t="n">
        <f aca="false">gb_oth_26</f>
        <v>150</v>
      </c>
      <c r="E600" s="27" t="n">
        <f aca="false">gb_oth_27</f>
        <v>200</v>
      </c>
      <c r="F600" s="27" t="n">
        <f aca="false">gb_oth_28</f>
        <v>250</v>
      </c>
      <c r="G600" s="27" t="n">
        <f aca="false">gb_oth_28</f>
        <v>250</v>
      </c>
    </row>
    <row r="601" customFormat="false" ht="17.15" hidden="false" customHeight="false" outlineLevel="0" collapsed="false">
      <c r="A601" s="0" t="s">
        <v>616</v>
      </c>
      <c r="B601" s="0" t="s">
        <v>194</v>
      </c>
      <c r="D601" s="16" t="n">
        <f aca="false">hbm_A_26</f>
        <v>14.6</v>
      </c>
      <c r="E601" s="16" t="n">
        <f aca="false">hbm_A_27</f>
        <v>26.28</v>
      </c>
      <c r="F601" s="16" t="n">
        <f aca="false">hbm_A_28</f>
        <v>28.908</v>
      </c>
      <c r="G601" s="16" t="n">
        <f aca="false">hbm_A_29</f>
        <v>27.4626</v>
      </c>
    </row>
    <row r="602" customFormat="false" ht="17.15" hidden="false" customHeight="false" outlineLevel="0" collapsed="false">
      <c r="A602" s="4" t="s">
        <v>617</v>
      </c>
      <c r="B602" s="0" t="s">
        <v>86</v>
      </c>
      <c r="D602" s="16" t="n">
        <f aca="false">core_tpu</f>
        <v>8</v>
      </c>
      <c r="E602" s="16" t="n">
        <f aca="false">core_tpu</f>
        <v>8</v>
      </c>
      <c r="F602" s="16" t="n">
        <f aca="false">core_tpu*1</f>
        <v>8</v>
      </c>
      <c r="G602" s="16" t="n">
        <f aca="false">core_tpu*1</f>
        <v>8</v>
      </c>
    </row>
    <row r="603" customFormat="false" ht="17.15" hidden="false" customHeight="false" outlineLevel="0" collapsed="false">
      <c r="A603" s="4" t="s">
        <v>618</v>
      </c>
      <c r="B603" s="0" t="s">
        <v>86</v>
      </c>
      <c r="D603" s="16" t="n">
        <f aca="false">core_oth</f>
        <v>6</v>
      </c>
      <c r="E603" s="16" t="n">
        <f aca="false">core_oth</f>
        <v>6</v>
      </c>
      <c r="F603" s="16" t="n">
        <f aca="false">core_oth*1</f>
        <v>6</v>
      </c>
      <c r="G603" s="16" t="n">
        <f aca="false">core_oth*1</f>
        <v>6</v>
      </c>
    </row>
    <row r="604" customFormat="false" ht="17.15" hidden="false" customHeight="false" outlineLevel="0" collapsed="false">
      <c r="A604" s="4" t="s">
        <v>619</v>
      </c>
      <c r="B604" s="0" t="s">
        <v>86</v>
      </c>
      <c r="D604" s="16" t="n">
        <f aca="false">D599*D601/1000</f>
        <v>2.8032</v>
      </c>
      <c r="E604" s="16" t="n">
        <f aca="false">E599*E601/1000</f>
        <v>6.57</v>
      </c>
      <c r="F604" s="16" t="n">
        <f aca="false">F599*F601/1000</f>
        <v>8.325504</v>
      </c>
      <c r="G604" s="16" t="n">
        <f aca="false">G599*G601/1000</f>
        <v>7.9092288</v>
      </c>
    </row>
    <row r="605" customFormat="false" ht="17.15" hidden="false" customHeight="false" outlineLevel="0" collapsed="false">
      <c r="A605" s="4" t="s">
        <v>620</v>
      </c>
      <c r="B605" s="0" t="s">
        <v>86</v>
      </c>
      <c r="D605" s="16" t="n">
        <f aca="false">D600*D601/1000</f>
        <v>2.19</v>
      </c>
      <c r="E605" s="16" t="n">
        <f aca="false">E600*E601/1000</f>
        <v>5.256</v>
      </c>
      <c r="F605" s="16" t="n">
        <f aca="false">F600*F601/1000</f>
        <v>7.227</v>
      </c>
      <c r="G605" s="16" t="n">
        <f aca="false">G600*G601/1000</f>
        <v>6.86565</v>
      </c>
    </row>
    <row r="606" customFormat="false" ht="17.15" hidden="false" customHeight="false" outlineLevel="0" collapsed="false">
      <c r="A606" s="4" t="s">
        <v>621</v>
      </c>
      <c r="B606" s="0" t="s">
        <v>86</v>
      </c>
      <c r="D606" s="16" t="n">
        <f aca="false">D602+f_hbm*D604</f>
        <v>9.68192</v>
      </c>
      <c r="E606" s="16" t="n">
        <f aca="false">E602+f_hbm*E604</f>
        <v>11.942</v>
      </c>
      <c r="F606" s="16" t="n">
        <f aca="false">F602+f_hbm*F604</f>
        <v>12.9953024</v>
      </c>
      <c r="G606" s="16" t="n">
        <f aca="false">G602+f_hbm*G604</f>
        <v>12.74553728</v>
      </c>
      <c r="K606" s="4" t="s">
        <v>622</v>
      </c>
    </row>
    <row r="607" customFormat="false" ht="17.15" hidden="false" customHeight="false" outlineLevel="0" collapsed="false">
      <c r="A607" s="4" t="s">
        <v>623</v>
      </c>
      <c r="B607" s="0" t="s">
        <v>86</v>
      </c>
      <c r="D607" s="16" t="n">
        <f aca="false">D603+f_hbm*D605</f>
        <v>7.314</v>
      </c>
      <c r="E607" s="16" t="n">
        <f aca="false">E603+f_hbm*E605</f>
        <v>9.1536</v>
      </c>
      <c r="F607" s="16" t="n">
        <f aca="false">F603+f_hbm*F605</f>
        <v>10.3362</v>
      </c>
      <c r="G607" s="16" t="n">
        <f aca="false">G603+f_hbm*G605</f>
        <v>10.11939</v>
      </c>
    </row>
    <row r="608" customFormat="false" ht="17.15" hidden="false" customHeight="false" outlineLevel="0" collapsed="false">
      <c r="A608" s="0" t="s">
        <v>624</v>
      </c>
      <c r="B608" s="0" t="s">
        <v>279</v>
      </c>
      <c r="D608" s="16" t="n">
        <f aca="false">D597*D606+D598*D607</f>
        <v>1.8637696</v>
      </c>
      <c r="E608" s="16" t="n">
        <f aca="false">E597*E606+E598*E607</f>
        <v>9.85215</v>
      </c>
      <c r="F608" s="16" t="n">
        <f aca="false">F597*F606+F598*F607</f>
        <v>16.374081024</v>
      </c>
      <c r="G608" s="16" t="n">
        <f aca="false">G597*G606+G598*G607</f>
        <v>18.46828351872</v>
      </c>
    </row>
    <row r="609" customFormat="false" ht="17.15" hidden="false" customHeight="false" outlineLevel="0" collapsed="false">
      <c r="A609" s="0" t="s">
        <v>625</v>
      </c>
      <c r="B609" s="0" t="s">
        <v>65</v>
      </c>
      <c r="D609" s="20" t="n">
        <f aca="false">dc26/D608</f>
        <v>1.07309401333727</v>
      </c>
      <c r="K609" s="8" t="s">
        <v>626</v>
      </c>
    </row>
    <row r="610" customFormat="false" ht="17.15" hidden="false" customHeight="false" outlineLevel="0" collapsed="false">
      <c r="A610" s="0" t="s">
        <v>627</v>
      </c>
      <c r="B610" s="0" t="s">
        <v>279</v>
      </c>
      <c r="D610" s="16" t="n">
        <f aca="false">D608*$D$609</f>
        <v>2</v>
      </c>
      <c r="E610" s="16" t="n">
        <f aca="false">E608*$D$609</f>
        <v>10.5722831835008</v>
      </c>
      <c r="F610" s="16" t="n">
        <f aca="false">F608*$D$609</f>
        <v>17.5709283207538</v>
      </c>
      <c r="G610" s="16" t="n">
        <f aca="false">G608*$D$609</f>
        <v>19.8182044805538</v>
      </c>
    </row>
    <row r="611" customFormat="false" ht="15" hidden="false" customHeight="false" outlineLevel="0" collapsed="false">
      <c r="A611" s="4" t="s">
        <v>628</v>
      </c>
      <c r="B611" s="0" t="s">
        <v>288</v>
      </c>
      <c r="D611" s="16" t="n">
        <f aca="false">fx26</f>
        <v>32</v>
      </c>
      <c r="E611" s="16" t="n">
        <f aca="false">fx</f>
        <v>32</v>
      </c>
      <c r="F611" s="16" t="n">
        <f aca="false">fx</f>
        <v>32</v>
      </c>
      <c r="G611" s="16" t="n">
        <f aca="false">fx</f>
        <v>32</v>
      </c>
    </row>
    <row r="612" customFormat="false" ht="17.15" hidden="false" customHeight="false" outlineLevel="0" collapsed="false">
      <c r="A612" s="0" t="s">
        <v>629</v>
      </c>
      <c r="B612" s="0" t="s">
        <v>301</v>
      </c>
      <c r="C612" s="16" t="n">
        <f aca="false">a25_asic</f>
        <v>0</v>
      </c>
      <c r="D612" s="16" t="n">
        <f aca="false">D610*D611</f>
        <v>64</v>
      </c>
      <c r="E612" s="16" t="n">
        <f aca="false">E610*E611</f>
        <v>338.313061872025</v>
      </c>
      <c r="F612" s="16" t="n">
        <f aca="false">F610*F611</f>
        <v>562.269706264122</v>
      </c>
      <c r="G612" s="16" t="n">
        <f aca="false">G610*G611</f>
        <v>634.182543377722</v>
      </c>
    </row>
    <row r="613" customFormat="false" ht="17.15" hidden="false" customHeight="false" outlineLevel="0" collapsed="false">
      <c r="A613" s="4" t="s">
        <v>630</v>
      </c>
      <c r="B613" s="0" t="s">
        <v>301</v>
      </c>
      <c r="D613" s="16" t="n">
        <f aca="false">$D$609*f_hbm*(D597*D604+D598*D605)*D611</f>
        <v>11.1179270227393</v>
      </c>
      <c r="E613" s="16" t="n">
        <f aca="false">$D$609*f_hbm*(E597*E604+E598*E605)*E611</f>
        <v>111.675606255194</v>
      </c>
      <c r="F613" s="16" t="n">
        <f aca="false">$D$609*f_hbm*(F597*F604+F598*F605)*F611</f>
        <v>216.132501322052</v>
      </c>
      <c r="G613" s="16" t="n">
        <f aca="false">$D$609*f_hbm*(G597*G604+G598*G605)*G611</f>
        <v>236.124757694342</v>
      </c>
    </row>
    <row r="614" customFormat="false" ht="15" hidden="false" customHeight="false" outlineLevel="0" collapsed="false">
      <c r="A614" s="4" t="s">
        <v>631</v>
      </c>
      <c r="B614" s="0" t="s">
        <v>301</v>
      </c>
      <c r="D614" s="16" t="n">
        <f aca="false">D612-D613</f>
        <v>52.8820729772607</v>
      </c>
      <c r="E614" s="16" t="n">
        <f aca="false">E612-E613</f>
        <v>226.637455616832</v>
      </c>
      <c r="F614" s="16" t="n">
        <f aca="false">F612-F613</f>
        <v>346.13720494207</v>
      </c>
      <c r="G614" s="16" t="n">
        <f aca="false">G612-G613</f>
        <v>398.057785683381</v>
      </c>
    </row>
    <row r="615" customFormat="false" ht="17.15" hidden="false" customHeight="false" outlineLevel="0" collapsed="false">
      <c r="A615" s="4" t="s">
        <v>632</v>
      </c>
      <c r="B615" s="4" t="s">
        <v>33</v>
      </c>
      <c r="D615" s="20" t="n">
        <f aca="false">D597+D598</f>
        <v>0.1925</v>
      </c>
      <c r="E615" s="20" t="n">
        <f aca="false">E597+E598</f>
        <v>0.825</v>
      </c>
      <c r="F615" s="20" t="n">
        <f aca="false">F597+F598</f>
        <v>1.26</v>
      </c>
      <c r="G615" s="20" t="n">
        <f aca="false">G597+G598</f>
        <v>1.449</v>
      </c>
    </row>
    <row r="616" customFormat="false" ht="17.15" hidden="false" customHeight="false" outlineLevel="0" collapsed="false">
      <c r="A616" s="4" t="s">
        <v>633</v>
      </c>
      <c r="B616" s="0" t="s">
        <v>86</v>
      </c>
      <c r="D616" s="16" t="n">
        <f aca="false">IF(D615&gt;0,D610/D615,0)</f>
        <v>10.3896103896104</v>
      </c>
      <c r="E616" s="16" t="n">
        <f aca="false">IF(E615&gt;0,E610/E615,0)</f>
        <v>12.8148887072737</v>
      </c>
      <c r="F616" s="16" t="n">
        <f aca="false">IF(F615&gt;0,F610/F615,0)</f>
        <v>13.9451812069475</v>
      </c>
      <c r="G616" s="16" t="n">
        <f aca="false">IF(G615&gt;0,G610/G615,0)</f>
        <v>13.677159751935</v>
      </c>
    </row>
    <row r="617" customFormat="false" ht="17.15" hidden="false" customHeight="false" outlineLevel="0" collapsed="false">
      <c r="A617" s="6" t="s">
        <v>634</v>
      </c>
    </row>
    <row r="618" customFormat="false" ht="15" hidden="false" customHeight="false" outlineLevel="0" collapsed="false">
      <c r="A618" s="4" t="s">
        <v>635</v>
      </c>
      <c r="B618" s="0" t="s">
        <v>301</v>
      </c>
      <c r="C618" s="16" t="n">
        <f aca="false">a25_mob</f>
        <v>315.86198</v>
      </c>
      <c r="D618" s="16" t="n">
        <f aca="false">a26_mob</f>
        <v>262.655761173888</v>
      </c>
      <c r="E618" s="16" t="n">
        <f aca="false">D618*(1+g_mob27_A)</f>
        <v>275.788549232582</v>
      </c>
      <c r="F618" s="16" t="n">
        <f aca="false">E618*(1+g_mobL_A)</f>
        <v>286.820091201885</v>
      </c>
      <c r="G618" s="16" t="n">
        <f aca="false">F618*(1+g_mobL_A)</f>
        <v>298.292894849961</v>
      </c>
    </row>
    <row r="619" customFormat="false" ht="17.15" hidden="false" customHeight="false" outlineLevel="0" collapsed="false">
      <c r="A619" s="4" t="s">
        <v>636</v>
      </c>
      <c r="B619" s="0" t="s">
        <v>301</v>
      </c>
      <c r="C619" s="16" t="n">
        <f aca="false">a25_sepx</f>
        <v>247.32589</v>
      </c>
      <c r="D619" s="16" t="n">
        <f aca="false">a26_sepx</f>
        <v>311.894023346019</v>
      </c>
      <c r="E619" s="16" t="n">
        <f aca="false">D619*(1+g_sep27_A)</f>
        <v>336.8455452137</v>
      </c>
      <c r="F619" s="16" t="n">
        <f aca="false">E619*(1+g_sepL_A)</f>
        <v>360.424733378659</v>
      </c>
      <c r="G619" s="16" t="n">
        <f aca="false">F619*(1+g_sepL_A)</f>
        <v>385.654464715166</v>
      </c>
    </row>
    <row r="620" customFormat="false" ht="17.15" hidden="false" customHeight="false" outlineLevel="0" collapsed="false">
      <c r="A620" s="4" t="s">
        <v>637</v>
      </c>
      <c r="B620" s="0" t="s">
        <v>301</v>
      </c>
      <c r="C620" s="16" t="n">
        <f aca="false">a25_pic</f>
        <v>32.77813</v>
      </c>
      <c r="D620" s="16" t="n">
        <f aca="false">a26_pic</f>
        <v>35.9721535362998</v>
      </c>
      <c r="E620" s="16" t="n">
        <f aca="false">D620*(1+g_pic27_A)</f>
        <v>38.8499258192038</v>
      </c>
      <c r="F620" s="16" t="n">
        <f aca="false">E620*(1+g_picL_A)</f>
        <v>41.9579198847401</v>
      </c>
      <c r="G620" s="16" t="n">
        <f aca="false">F620*(1+g_picL_A)</f>
        <v>45.3145534755193</v>
      </c>
    </row>
    <row r="621" customFormat="false" ht="17.15" hidden="false" customHeight="false" outlineLevel="0" collapsed="false">
      <c r="A621" s="4" t="s">
        <v>638</v>
      </c>
      <c r="B621" s="0" t="s">
        <v>301</v>
      </c>
      <c r="C621" s="16" t="n">
        <f aca="false">C618+C619+C620</f>
        <v>595.966</v>
      </c>
      <c r="D621" s="16" t="n">
        <f aca="false">D618+D619+D620</f>
        <v>610.521938056206</v>
      </c>
      <c r="E621" s="16" t="n">
        <f aca="false">E618+E619+E620</f>
        <v>651.484020265486</v>
      </c>
      <c r="F621" s="16" t="n">
        <f aca="false">F618+F619+F620</f>
        <v>689.202744465285</v>
      </c>
      <c r="G621" s="16" t="n">
        <f aca="false">G618+G619+G620</f>
        <v>729.261913040646</v>
      </c>
    </row>
    <row r="622" customFormat="false" ht="17.15" hidden="false" customHeight="false" outlineLevel="0" collapsed="false">
      <c r="A622" s="4" t="s">
        <v>501</v>
      </c>
      <c r="B622" s="0" t="s">
        <v>301</v>
      </c>
      <c r="C622" s="16" t="n">
        <f aca="false">C621+C612</f>
        <v>595.966</v>
      </c>
      <c r="D622" s="16" t="n">
        <f aca="false">D621+D612</f>
        <v>674.521938056206</v>
      </c>
      <c r="E622" s="16" t="n">
        <f aca="false">E621+E612</f>
        <v>989.797082137512</v>
      </c>
      <c r="F622" s="16" t="n">
        <f aca="false">F621+F612</f>
        <v>1251.47245072941</v>
      </c>
      <c r="G622" s="16" t="n">
        <f aca="false">G621+G612</f>
        <v>1363.44445641837</v>
      </c>
      <c r="H622" s="26" t="n">
        <f aca="false">G622*(1+H623)</f>
        <v>1472.04027119696</v>
      </c>
      <c r="I622" s="26" t="n">
        <f aca="false">H622*(1+I623)</f>
        <v>1574.8241140449</v>
      </c>
      <c r="J622" s="26" t="n">
        <f aca="false">I622*(1+J623)</f>
        <v>1669.3135608876</v>
      </c>
      <c r="K622" s="8" t="s">
        <v>639</v>
      </c>
    </row>
    <row r="623" customFormat="false" ht="15" hidden="false" customHeight="false" outlineLevel="0" collapsed="false">
      <c r="A623" s="4" t="s">
        <v>640</v>
      </c>
      <c r="B623" s="0" t="s">
        <v>46</v>
      </c>
      <c r="D623" s="19" t="n">
        <f aca="false">D622/C622-1</f>
        <v>0.131812784716252</v>
      </c>
      <c r="E623" s="19" t="n">
        <f aca="false">E622/D622-1</f>
        <v>0.467405322634643</v>
      </c>
      <c r="F623" s="19" t="n">
        <f aca="false">F622/E622-1</f>
        <v>0.264372741963227</v>
      </c>
      <c r="G623" s="19" t="n">
        <f aca="false">G622/F622-1</f>
        <v>0.0894722098146863</v>
      </c>
      <c r="H623" s="24" t="n">
        <f aca="false">$G623+(fade_gA-$G623)*1/3</f>
        <v>0.0796481398764575</v>
      </c>
      <c r="I623" s="24" t="n">
        <f aca="false">$G623+(fade_gA-$G623)*2/3</f>
        <v>0.0698240699382288</v>
      </c>
      <c r="J623" s="24" t="n">
        <f aca="false">$G623+(fade_gA-$G623)*3/3</f>
        <v>0.06</v>
      </c>
    </row>
    <row r="624" customFormat="false" ht="17.15" hidden="false" customHeight="false" outlineLevel="0" collapsed="false">
      <c r="A624" s="0" t="s">
        <v>641</v>
      </c>
      <c r="B624" s="0" t="s">
        <v>46</v>
      </c>
      <c r="C624" s="19" t="n">
        <f aca="false">C612/C622</f>
        <v>0</v>
      </c>
      <c r="D624" s="19" t="n">
        <f aca="false">D612/D622</f>
        <v>0.0948820140445411</v>
      </c>
      <c r="E624" s="19" t="n">
        <f aca="false">E612/E622</f>
        <v>0.341800423518549</v>
      </c>
      <c r="F624" s="19" t="n">
        <f aca="false">F612/F622</f>
        <v>0.449286523196263</v>
      </c>
      <c r="G624" s="19" t="n">
        <f aca="false">G612/G622</f>
        <v>0.465132657507484</v>
      </c>
    </row>
    <row r="625" customFormat="false" ht="17.15" hidden="false" customHeight="false" outlineLevel="0" collapsed="false">
      <c r="A625" s="4" t="s">
        <v>642</v>
      </c>
      <c r="B625" s="0" t="s">
        <v>46</v>
      </c>
      <c r="C625" s="19" t="n">
        <f aca="false">C618/C622</f>
        <v>0.53</v>
      </c>
      <c r="D625" s="19" t="n">
        <f aca="false">D618/D622</f>
        <v>0.389395431571569</v>
      </c>
      <c r="E625" s="19" t="n">
        <f aca="false">E618/E622</f>
        <v>0.278631402546676</v>
      </c>
      <c r="F625" s="19" t="n">
        <f aca="false">F618/F622</f>
        <v>0.229186100768511</v>
      </c>
      <c r="G625" s="19" t="n">
        <f aca="false">G618/G622</f>
        <v>0.218778912075044</v>
      </c>
    </row>
    <row r="626" customFormat="false" ht="17.15" hidden="false" customHeight="false" outlineLevel="0" collapsed="false">
      <c r="A626" s="6" t="s">
        <v>643</v>
      </c>
    </row>
    <row r="627" customFormat="false" ht="17.15" hidden="false" customHeight="false" outlineLevel="0" collapsed="false">
      <c r="A627" s="0" t="s">
        <v>644</v>
      </c>
      <c r="B627" s="0" t="s">
        <v>301</v>
      </c>
      <c r="D627" s="16" t="n">
        <f aca="false">m_core_hi*D614+m_hbm*D613</f>
        <v>30.1969328397673</v>
      </c>
      <c r="E627" s="16" t="n">
        <f aca="false">m_core_hi*E614+m_hbm*E613</f>
        <v>135.818161214777</v>
      </c>
      <c r="F627" s="16" t="n">
        <f aca="false">m_core_hi*F614+m_hbm*F613</f>
        <v>211.988712850344</v>
      </c>
      <c r="G627" s="16" t="n">
        <f aca="false">m_core_hi*G614+m_hbm*G613</f>
        <v>242.544257895294</v>
      </c>
    </row>
    <row r="628" customFormat="false" ht="17.15" hidden="false" customHeight="false" outlineLevel="0" collapsed="false">
      <c r="A628" s="4" t="s">
        <v>645</v>
      </c>
      <c r="B628" s="0" t="s">
        <v>46</v>
      </c>
      <c r="C628" s="17" t="n">
        <f aca="false">a25_gp/C621</f>
        <v>0.474993539899927</v>
      </c>
      <c r="D628" s="17" t="n">
        <f aca="false">(a26_gp-D627)/D621</f>
        <v>0.453678923084535</v>
      </c>
      <c r="E628" s="17" t="n">
        <f aca="false">$D628+0</f>
        <v>0.453678923084535</v>
      </c>
      <c r="F628" s="17" t="n">
        <f aca="false">$D628+0</f>
        <v>0.453678923084535</v>
      </c>
      <c r="G628" s="17" t="n">
        <f aca="false">$D628+0</f>
        <v>0.453678923084535</v>
      </c>
      <c r="K628" s="8" t="s">
        <v>646</v>
      </c>
    </row>
    <row r="629" customFormat="false" ht="15" hidden="false" customHeight="false" outlineLevel="0" collapsed="false">
      <c r="A629" s="4" t="s">
        <v>517</v>
      </c>
      <c r="B629" s="0" t="s">
        <v>301</v>
      </c>
      <c r="C629" s="16" t="n">
        <f aca="false">a25_gp</f>
        <v>283.08</v>
      </c>
      <c r="D629" s="16" t="n">
        <f aca="false">a26_gp</f>
        <v>307.17786821659</v>
      </c>
      <c r="E629" s="16" t="n">
        <f aca="false">E628*E621+E627</f>
        <v>431.382729935606</v>
      </c>
      <c r="F629" s="16" t="n">
        <f aca="false">F628*F621+F627</f>
        <v>524.66547174626</v>
      </c>
      <c r="G629" s="16" t="n">
        <f aca="false">G628*G621+G627</f>
        <v>573.395017250141</v>
      </c>
    </row>
    <row r="630" customFormat="false" ht="15" hidden="false" customHeight="false" outlineLevel="0" collapsed="false">
      <c r="A630" s="4" t="s">
        <v>520</v>
      </c>
      <c r="B630" s="0" t="s">
        <v>46</v>
      </c>
      <c r="C630" s="17" t="n">
        <f aca="false">C629/C622</f>
        <v>0.474993539899927</v>
      </c>
      <c r="D630" s="17" t="n">
        <f aca="false">D629/D622</f>
        <v>0.455400856348417</v>
      </c>
      <c r="E630" s="17" t="n">
        <f aca="false">E629/E622</f>
        <v>0.435829462139871</v>
      </c>
      <c r="F630" s="17" t="n">
        <f aca="false">F629/F622</f>
        <v>0.419238530932474</v>
      </c>
      <c r="G630" s="17" t="n">
        <f aca="false">G629/G622</f>
        <v>0.420548863982617</v>
      </c>
    </row>
    <row r="631" customFormat="false" ht="15" hidden="false" customHeight="false" outlineLevel="0" collapsed="false">
      <c r="A631" s="4" t="s">
        <v>647</v>
      </c>
      <c r="B631" s="0" t="s">
        <v>301</v>
      </c>
      <c r="C631" s="16" t="n">
        <f aca="false">a25_opx</f>
        <v>179.61</v>
      </c>
      <c r="D631" s="16" t="n">
        <f aca="false">a26_opx</f>
        <v>192.105</v>
      </c>
      <c r="E631" s="16" t="n">
        <f aca="false">D631*(1+MAX(g_opx_min,phi*E623))+0*E622</f>
        <v>219.042269851418</v>
      </c>
      <c r="F631" s="16" t="n">
        <f aca="false">E631*(1+MAX(g_opx_min,phi*F623))+0*F622</f>
        <v>236.414911497359</v>
      </c>
      <c r="G631" s="16" t="n">
        <f aca="false">F631*(1+MAX(g_opx_min,phi*G623))+0*G622</f>
        <v>250.599806187201</v>
      </c>
    </row>
    <row r="632" customFormat="false" ht="15" hidden="false" customHeight="false" outlineLevel="0" collapsed="false">
      <c r="A632" s="4" t="s">
        <v>524</v>
      </c>
      <c r="B632" s="0" t="s">
        <v>301</v>
      </c>
      <c r="C632" s="16" t="n">
        <f aca="false">C629-C631</f>
        <v>103.47</v>
      </c>
      <c r="D632" s="16" t="n">
        <f aca="false">D629-D631</f>
        <v>115.07286821659</v>
      </c>
      <c r="E632" s="16" t="n">
        <f aca="false">E629-E631</f>
        <v>212.340460084187</v>
      </c>
      <c r="F632" s="16" t="n">
        <f aca="false">F629-F631</f>
        <v>288.250560248901</v>
      </c>
      <c r="G632" s="16" t="n">
        <f aca="false">G629-G631</f>
        <v>322.795211062941</v>
      </c>
    </row>
    <row r="633" customFormat="false" ht="15" hidden="false" customHeight="false" outlineLevel="0" collapsed="false">
      <c r="A633" s="4" t="s">
        <v>598</v>
      </c>
      <c r="B633" s="0" t="s">
        <v>46</v>
      </c>
      <c r="C633" s="17" t="n">
        <f aca="false">C632/C622</f>
        <v>0.173617286892205</v>
      </c>
      <c r="D633" s="17" t="n">
        <f aca="false">D632/D622</f>
        <v>0.170599148410502</v>
      </c>
      <c r="E633" s="17" t="n">
        <f aca="false">E632/E622</f>
        <v>0.214529284755648</v>
      </c>
      <c r="F633" s="17" t="n">
        <f aca="false">F632/F622</f>
        <v>0.230329129563258</v>
      </c>
      <c r="G633" s="17" t="n">
        <f aca="false">G632/G622</f>
        <v>0.236749806377072</v>
      </c>
    </row>
    <row r="634" customFormat="false" ht="15" hidden="false" customHeight="false" outlineLevel="0" collapsed="false">
      <c r="A634" s="4" t="s">
        <v>526</v>
      </c>
      <c r="B634" s="0" t="s">
        <v>301</v>
      </c>
      <c r="C634" s="16" t="n">
        <f aca="false">a25_nonop</f>
        <v>21.418</v>
      </c>
      <c r="D634" s="16" t="n">
        <f aca="false">a26_nonop</f>
        <v>18.823</v>
      </c>
      <c r="E634" s="16" t="n">
        <f aca="false">nonop_f</f>
        <v>18</v>
      </c>
      <c r="F634" s="16" t="n">
        <f aca="false">nonop_f</f>
        <v>18</v>
      </c>
      <c r="G634" s="16" t="n">
        <f aca="false">nonop_f</f>
        <v>18</v>
      </c>
    </row>
    <row r="635" customFormat="false" ht="15" hidden="false" customHeight="false" outlineLevel="0" collapsed="false">
      <c r="A635" s="4" t="s">
        <v>528</v>
      </c>
      <c r="B635" s="0" t="s">
        <v>301</v>
      </c>
      <c r="C635" s="16" t="n">
        <f aca="false">C632+C634</f>
        <v>124.888</v>
      </c>
      <c r="D635" s="16" t="n">
        <f aca="false">D632+D634</f>
        <v>133.89586821659</v>
      </c>
      <c r="E635" s="16" t="n">
        <f aca="false">E632+E634</f>
        <v>230.340460084187</v>
      </c>
      <c r="F635" s="16" t="n">
        <f aca="false">F632+F634</f>
        <v>306.250560248901</v>
      </c>
      <c r="G635" s="16" t="n">
        <f aca="false">G632+G634</f>
        <v>340.795211062941</v>
      </c>
    </row>
    <row r="636" customFormat="false" ht="15" hidden="false" customHeight="false" outlineLevel="0" collapsed="false">
      <c r="A636" s="4" t="s">
        <v>529</v>
      </c>
      <c r="B636" s="0" t="s">
        <v>301</v>
      </c>
      <c r="C636" s="16" t="n">
        <f aca="false">a25_tax</f>
        <v>18.77</v>
      </c>
      <c r="D636" s="16" t="n">
        <f aca="false">a26_tax</f>
        <v>16.2589328681567</v>
      </c>
      <c r="E636" s="16" t="n">
        <f aca="false">E635*tax</f>
        <v>32.2476644117862</v>
      </c>
      <c r="F636" s="16" t="n">
        <f aca="false">F635*tax</f>
        <v>42.8750784348461</v>
      </c>
      <c r="G636" s="16" t="n">
        <f aca="false">G635*tax</f>
        <v>47.7113295488117</v>
      </c>
    </row>
    <row r="637" customFormat="false" ht="15" hidden="false" customHeight="false" outlineLevel="0" collapsed="false">
      <c r="A637" s="4" t="s">
        <v>530</v>
      </c>
      <c r="B637" s="0" t="s">
        <v>301</v>
      </c>
      <c r="C637" s="16" t="n">
        <f aca="false">a25_nci</f>
        <v>0.798</v>
      </c>
      <c r="D637" s="16" t="n">
        <f aca="false">a26_nci</f>
        <v>0.992</v>
      </c>
      <c r="E637" s="16" t="n">
        <f aca="false">nci</f>
        <v>1</v>
      </c>
      <c r="F637" s="16" t="n">
        <f aca="false">nci</f>
        <v>1</v>
      </c>
      <c r="G637" s="16" t="n">
        <f aca="false">nci</f>
        <v>1</v>
      </c>
    </row>
    <row r="638" customFormat="false" ht="15" hidden="false" customHeight="false" outlineLevel="0" collapsed="false">
      <c r="A638" s="4" t="s">
        <v>532</v>
      </c>
      <c r="B638" s="0" t="s">
        <v>301</v>
      </c>
      <c r="C638" s="16" t="n">
        <f aca="false">C635-C636-C637</f>
        <v>105.32</v>
      </c>
      <c r="D638" s="16" t="n">
        <f aca="false">D635-D636-D637</f>
        <v>116.644935348433</v>
      </c>
      <c r="E638" s="16" t="n">
        <f aca="false">E635-E636-E637</f>
        <v>197.092795672401</v>
      </c>
      <c r="F638" s="16" t="n">
        <f aca="false">F635-F636-F637</f>
        <v>262.375481814055</v>
      </c>
      <c r="G638" s="16" t="n">
        <f aca="false">G635-G636-G637</f>
        <v>292.083881514129</v>
      </c>
      <c r="H638" s="26" t="n">
        <f aca="false">H622*H642</f>
        <v>304.982980719965</v>
      </c>
      <c r="I638" s="26" t="n">
        <f aca="false">I622*I642</f>
        <v>315.189579832642</v>
      </c>
      <c r="J638" s="26" t="n">
        <f aca="false">J622*J642</f>
        <v>322.347087527732</v>
      </c>
    </row>
    <row r="639" customFormat="false" ht="15" hidden="false" customHeight="false" outlineLevel="0" collapsed="false">
      <c r="A639" s="4" t="s">
        <v>648</v>
      </c>
      <c r="B639" s="4" t="s">
        <v>346</v>
      </c>
      <c r="C639" s="18" t="n">
        <f aca="false">a25_sh</f>
        <v>1.59188331318017</v>
      </c>
      <c r="D639" s="18" t="n">
        <f aca="false">a26_sh</f>
        <v>1.59250890647703</v>
      </c>
      <c r="E639" s="18" t="n">
        <f aca="false">D639*(1+sh_g)</f>
        <v>1.59250890647703</v>
      </c>
      <c r="F639" s="18" t="n">
        <f aca="false">E639*(1+sh_g)</f>
        <v>1.59250890647703</v>
      </c>
      <c r="G639" s="18" t="n">
        <f aca="false">F639*(1+sh_g)</f>
        <v>1.59250890647703</v>
      </c>
      <c r="H639" s="28" t="n">
        <f aca="false">G639*(1+sh_g)</f>
        <v>1.59250890647703</v>
      </c>
      <c r="I639" s="28" t="n">
        <f aca="false">H639*(1+sh_g)</f>
        <v>1.59250890647703</v>
      </c>
      <c r="J639" s="28" t="n">
        <f aca="false">I639*(1+sh_g)</f>
        <v>1.59250890647703</v>
      </c>
    </row>
    <row r="640" customFormat="false" ht="17.15" hidden="false" customHeight="false" outlineLevel="0" collapsed="false">
      <c r="A640" s="0" t="s">
        <v>537</v>
      </c>
      <c r="B640" s="0" t="s">
        <v>403</v>
      </c>
      <c r="C640" s="16" t="n">
        <f aca="false">C638/C639</f>
        <v>66.1606281867469</v>
      </c>
      <c r="D640" s="16" t="n">
        <f aca="false">D638/D639</f>
        <v>73.2460175726595</v>
      </c>
      <c r="E640" s="16" t="n">
        <f aca="false">E638/E639</f>
        <v>123.762444825764</v>
      </c>
      <c r="F640" s="16" t="n">
        <f aca="false">F638/F639</f>
        <v>164.756053009766</v>
      </c>
      <c r="G640" s="16" t="n">
        <f aca="false">G638/G639</f>
        <v>183.41114472024</v>
      </c>
      <c r="H640" s="26" t="n">
        <f aca="false">H638/H639</f>
        <v>191.511004729419</v>
      </c>
      <c r="I640" s="26" t="n">
        <f aca="false">I638/I639</f>
        <v>197.920136302351</v>
      </c>
      <c r="J640" s="26" t="n">
        <f aca="false">J638/J639</f>
        <v>202.414621492343</v>
      </c>
    </row>
    <row r="641" customFormat="false" ht="17.15" hidden="false" customHeight="false" outlineLevel="0" collapsed="false">
      <c r="A641" s="0" t="s">
        <v>649</v>
      </c>
      <c r="B641" s="0" t="s">
        <v>46</v>
      </c>
      <c r="D641" s="19" t="n">
        <f aca="false">D640/C640-1</f>
        <v>0.107093744120947</v>
      </c>
      <c r="E641" s="19" t="n">
        <f aca="false">E640/D640-1</f>
        <v>0.689681554399767</v>
      </c>
      <c r="F641" s="19" t="n">
        <f aca="false">F640/E640-1</f>
        <v>0.331228170562681</v>
      </c>
      <c r="G641" s="19" t="n">
        <f aca="false">G640/F640-1</f>
        <v>0.113228566536292</v>
      </c>
      <c r="H641" s="24" t="n">
        <f aca="false">H640/G640-1</f>
        <v>0.0441623109737126</v>
      </c>
      <c r="I641" s="24" t="n">
        <f aca="false">I640/H640-1</f>
        <v>0.0334661268264302</v>
      </c>
      <c r="J641" s="24" t="n">
        <f aca="false">J640/I640-1</f>
        <v>0.0227085797027009</v>
      </c>
    </row>
    <row r="642" customFormat="false" ht="17.15" hidden="false" customHeight="false" outlineLevel="0" collapsed="false">
      <c r="A642" s="4" t="s">
        <v>650</v>
      </c>
      <c r="B642" s="0" t="s">
        <v>46</v>
      </c>
      <c r="C642" s="17" t="n">
        <f aca="false">C638/C622</f>
        <v>0.176721490823302</v>
      </c>
      <c r="D642" s="17" t="n">
        <f aca="false">D638/D622</f>
        <v>0.172929787405541</v>
      </c>
      <c r="E642" s="17" t="n">
        <f aca="false">E638/E622</f>
        <v>0.199124446039758</v>
      </c>
      <c r="F642" s="17" t="n">
        <f aca="false">F638/F622</f>
        <v>0.209653421983946</v>
      </c>
      <c r="G642" s="17" t="n">
        <f aca="false">G638/G622</f>
        <v>0.214224994747057</v>
      </c>
      <c r="H642" s="25" t="n">
        <f aca="false">$G642+(fade_mA-$G642)*1/3</f>
        <v>0.207183856778575</v>
      </c>
      <c r="I642" s="25" t="n">
        <f aca="false">$G642+(fade_mA-$G642)*2/3</f>
        <v>0.200142718810092</v>
      </c>
      <c r="J642" s="25" t="n">
        <f aca="false">$G642+(fade_mA-$G642)*3/3</f>
        <v>0.19310158084161</v>
      </c>
    </row>
    <row r="645" customFormat="false" ht="17.15" hidden="false" customHeight="false" outlineLevel="0" collapsed="false">
      <c r="A645" s="1" t="s">
        <v>946</v>
      </c>
    </row>
    <row r="646" customFormat="false" ht="17.15" hidden="false" customHeight="false" outlineLevel="0" collapsed="false">
      <c r="A646" s="5" t="s">
        <v>22</v>
      </c>
      <c r="B646" s="5" t="s">
        <v>23</v>
      </c>
      <c r="C646" s="14" t="s">
        <v>494</v>
      </c>
      <c r="D646" s="14" t="s">
        <v>587</v>
      </c>
      <c r="E646" s="14" t="s">
        <v>588</v>
      </c>
      <c r="F646" s="14" t="s">
        <v>589</v>
      </c>
      <c r="G646" s="14" t="s">
        <v>590</v>
      </c>
      <c r="H646" s="14" t="s">
        <v>591</v>
      </c>
      <c r="I646" s="14" t="s">
        <v>592</v>
      </c>
      <c r="J646" s="14" t="s">
        <v>593</v>
      </c>
      <c r="K646" s="5" t="s">
        <v>557</v>
      </c>
    </row>
    <row r="647" customFormat="false" ht="17.15" hidden="false" customHeight="false" outlineLevel="0" collapsed="false">
      <c r="A647" s="6" t="s">
        <v>609</v>
      </c>
    </row>
    <row r="648" customFormat="false" ht="17.15" hidden="false" customHeight="false" outlineLevel="0" collapsed="false">
      <c r="A648" s="0" t="s">
        <v>610</v>
      </c>
      <c r="B648" s="4" t="s">
        <v>33</v>
      </c>
      <c r="D648" s="20" t="n">
        <f aca="false">u_tpu_26</f>
        <v>3.85</v>
      </c>
      <c r="E648" s="20" t="n">
        <f aca="false">u_tpu_27</f>
        <v>5.5</v>
      </c>
      <c r="F648" s="20" t="n">
        <f aca="false">u_tpu_28*um28_A</f>
        <v>7</v>
      </c>
      <c r="G648" s="20" t="n">
        <f aca="false">u_tpu_28*(1+g29_tpu)*um29_A</f>
        <v>8.05</v>
      </c>
    </row>
    <row r="649" customFormat="false" ht="17.15" hidden="false" customHeight="false" outlineLevel="0" collapsed="false">
      <c r="A649" s="4" t="s">
        <v>611</v>
      </c>
      <c r="B649" s="4" t="s">
        <v>33</v>
      </c>
      <c r="D649" s="20" t="n">
        <f aca="false">u_oth_26</f>
        <v>1</v>
      </c>
      <c r="E649" s="20" t="n">
        <f aca="false">u_oth_27</f>
        <v>4.5</v>
      </c>
      <c r="F649" s="20" t="n">
        <f aca="false">u_oth_28*um28_A</f>
        <v>5</v>
      </c>
      <c r="G649" s="20" t="n">
        <f aca="false">u_oth_28*(1+g29_oth)*um29_A</f>
        <v>5.75</v>
      </c>
    </row>
    <row r="650" customFormat="false" ht="17.15" hidden="false" customHeight="false" outlineLevel="0" collapsed="false">
      <c r="A650" s="4" t="s">
        <v>561</v>
      </c>
      <c r="B650" s="0" t="s">
        <v>46</v>
      </c>
      <c r="D650" s="19" t="n">
        <f aca="false">mtk_tpu_26</f>
        <v>0.05</v>
      </c>
      <c r="E650" s="19" t="n">
        <f aca="false">MIN(1,MAX(0,mtk_tpu_27+0))</f>
        <v>0.15</v>
      </c>
      <c r="F650" s="19" t="n">
        <f aca="false">MIN(1,MAX(0,mtk_tpu_28+0))</f>
        <v>0.18</v>
      </c>
      <c r="G650" s="19" t="n">
        <f aca="false">MIN(1,MAX(0,mtk_tpu_28+0))</f>
        <v>0.18</v>
      </c>
    </row>
    <row r="651" customFormat="false" ht="17.15" hidden="false" customHeight="false" outlineLevel="0" collapsed="false">
      <c r="A651" s="4" t="s">
        <v>612</v>
      </c>
      <c r="B651" s="0" t="s">
        <v>46</v>
      </c>
      <c r="D651" s="19" t="n">
        <f aca="false">mtk_oth_26</f>
        <v>0</v>
      </c>
      <c r="E651" s="19" t="n">
        <f aca="false">MIN(1,MAX(0,mtk_oth_27+0))</f>
        <v>0</v>
      </c>
      <c r="F651" s="19" t="n">
        <f aca="false">MIN(1,MAX(0,mtk_oth_28+0))</f>
        <v>0</v>
      </c>
      <c r="G651" s="19" t="n">
        <f aca="false">MIN(1,MAX(0,mtk_oth_28+0))</f>
        <v>0</v>
      </c>
    </row>
    <row r="652" customFormat="false" ht="17.15" hidden="false" customHeight="false" outlineLevel="0" collapsed="false">
      <c r="A652" s="4" t="s">
        <v>563</v>
      </c>
      <c r="B652" s="4" t="s">
        <v>33</v>
      </c>
      <c r="D652" s="20" t="n">
        <f aca="false">D648*D650</f>
        <v>0.1925</v>
      </c>
      <c r="E652" s="20" t="n">
        <f aca="false">E648*E650*1</f>
        <v>0.825</v>
      </c>
      <c r="F652" s="20" t="n">
        <f aca="false">F648*F650*1</f>
        <v>1.26</v>
      </c>
      <c r="G652" s="20" t="n">
        <f aca="false">G648*G650*1</f>
        <v>1.449</v>
      </c>
    </row>
    <row r="653" customFormat="false" ht="17.15" hidden="false" customHeight="false" outlineLevel="0" collapsed="false">
      <c r="A653" s="4" t="s">
        <v>613</v>
      </c>
      <c r="B653" s="4" t="s">
        <v>33</v>
      </c>
      <c r="D653" s="20" t="n">
        <f aca="false">D649*D651</f>
        <v>0</v>
      </c>
      <c r="E653" s="20" t="n">
        <f aca="false">E649*E651*1</f>
        <v>0</v>
      </c>
      <c r="F653" s="20" t="n">
        <f aca="false">F649*F651*1</f>
        <v>0</v>
      </c>
      <c r="G653" s="20" t="n">
        <f aca="false">G649*G651*1</f>
        <v>0</v>
      </c>
    </row>
    <row r="654" customFormat="false" ht="17.15" hidden="false" customHeight="false" outlineLevel="0" collapsed="false">
      <c r="A654" s="4" t="s">
        <v>614</v>
      </c>
      <c r="B654" s="0" t="s">
        <v>102</v>
      </c>
      <c r="D654" s="27" t="n">
        <f aca="false">gb_tpu_26</f>
        <v>192</v>
      </c>
      <c r="E654" s="27" t="n">
        <f aca="false">gb_tpu_27</f>
        <v>250</v>
      </c>
      <c r="F654" s="27" t="n">
        <f aca="false">gb_tpu_28</f>
        <v>288</v>
      </c>
      <c r="G654" s="27" t="n">
        <f aca="false">gb_tpu_28</f>
        <v>288</v>
      </c>
    </row>
    <row r="655" customFormat="false" ht="17.15" hidden="false" customHeight="false" outlineLevel="0" collapsed="false">
      <c r="A655" s="4" t="s">
        <v>615</v>
      </c>
      <c r="B655" s="0" t="s">
        <v>102</v>
      </c>
      <c r="D655" s="27" t="n">
        <f aca="false">gb_oth_26</f>
        <v>150</v>
      </c>
      <c r="E655" s="27" t="n">
        <f aca="false">gb_oth_27</f>
        <v>200</v>
      </c>
      <c r="F655" s="27" t="n">
        <f aca="false">gb_oth_28</f>
        <v>250</v>
      </c>
      <c r="G655" s="27" t="n">
        <f aca="false">gb_oth_28</f>
        <v>250</v>
      </c>
    </row>
    <row r="656" customFormat="false" ht="17.15" hidden="false" customHeight="false" outlineLevel="0" collapsed="false">
      <c r="A656" s="0" t="s">
        <v>616</v>
      </c>
      <c r="B656" s="0" t="s">
        <v>194</v>
      </c>
      <c r="D656" s="16" t="n">
        <f aca="false">hbm_A_26</f>
        <v>14.6</v>
      </c>
      <c r="E656" s="16" t="n">
        <f aca="false">hbm_A_27</f>
        <v>26.28</v>
      </c>
      <c r="F656" s="16" t="n">
        <f aca="false">hbm_A_28</f>
        <v>28.908</v>
      </c>
      <c r="G656" s="16" t="n">
        <f aca="false">hbm_A_29</f>
        <v>27.4626</v>
      </c>
    </row>
    <row r="657" customFormat="false" ht="17.15" hidden="false" customHeight="false" outlineLevel="0" collapsed="false">
      <c r="A657" s="4" t="s">
        <v>617</v>
      </c>
      <c r="B657" s="0" t="s">
        <v>86</v>
      </c>
      <c r="D657" s="16" t="n">
        <f aca="false">core_tpu</f>
        <v>8</v>
      </c>
      <c r="E657" s="16" t="n">
        <f aca="false">core_tpu</f>
        <v>8</v>
      </c>
      <c r="F657" s="16" t="n">
        <f aca="false">core_tpu*1</f>
        <v>8</v>
      </c>
      <c r="G657" s="16" t="n">
        <f aca="false">core_tpu*1</f>
        <v>8</v>
      </c>
    </row>
    <row r="658" customFormat="false" ht="17.15" hidden="false" customHeight="false" outlineLevel="0" collapsed="false">
      <c r="A658" s="4" t="s">
        <v>618</v>
      </c>
      <c r="B658" s="0" t="s">
        <v>86</v>
      </c>
      <c r="D658" s="16" t="n">
        <f aca="false">core_oth</f>
        <v>6</v>
      </c>
      <c r="E658" s="16" t="n">
        <f aca="false">core_oth</f>
        <v>6</v>
      </c>
      <c r="F658" s="16" t="n">
        <f aca="false">core_oth*1</f>
        <v>6</v>
      </c>
      <c r="G658" s="16" t="n">
        <f aca="false">core_oth*1</f>
        <v>6</v>
      </c>
    </row>
    <row r="659" customFormat="false" ht="17.15" hidden="false" customHeight="false" outlineLevel="0" collapsed="false">
      <c r="A659" s="4" t="s">
        <v>619</v>
      </c>
      <c r="B659" s="0" t="s">
        <v>86</v>
      </c>
      <c r="D659" s="16" t="n">
        <f aca="false">D654*D656/1000</f>
        <v>2.8032</v>
      </c>
      <c r="E659" s="16" t="n">
        <f aca="false">E654*E656/1000</f>
        <v>6.57</v>
      </c>
      <c r="F659" s="16" t="n">
        <f aca="false">F654*F656/1000</f>
        <v>8.325504</v>
      </c>
      <c r="G659" s="16" t="n">
        <f aca="false">G654*G656/1000</f>
        <v>7.9092288</v>
      </c>
    </row>
    <row r="660" customFormat="false" ht="17.15" hidden="false" customHeight="false" outlineLevel="0" collapsed="false">
      <c r="A660" s="4" t="s">
        <v>620</v>
      </c>
      <c r="B660" s="0" t="s">
        <v>86</v>
      </c>
      <c r="D660" s="16" t="n">
        <f aca="false">D655*D656/1000</f>
        <v>2.19</v>
      </c>
      <c r="E660" s="16" t="n">
        <f aca="false">E655*E656/1000</f>
        <v>5.256</v>
      </c>
      <c r="F660" s="16" t="n">
        <f aca="false">F655*F656/1000</f>
        <v>7.227</v>
      </c>
      <c r="G660" s="16" t="n">
        <f aca="false">G655*G656/1000</f>
        <v>6.86565</v>
      </c>
    </row>
    <row r="661" customFormat="false" ht="17.15" hidden="false" customHeight="false" outlineLevel="0" collapsed="false">
      <c r="A661" s="4" t="s">
        <v>621</v>
      </c>
      <c r="B661" s="0" t="s">
        <v>86</v>
      </c>
      <c r="D661" s="16" t="n">
        <f aca="false">D657+f_hbm*D659</f>
        <v>9.68192</v>
      </c>
      <c r="E661" s="16" t="n">
        <f aca="false">E657+f_hbm*E659</f>
        <v>11.942</v>
      </c>
      <c r="F661" s="16" t="n">
        <f aca="false">F657+f_hbm*F659</f>
        <v>12.9953024</v>
      </c>
      <c r="G661" s="16" t="n">
        <f aca="false">G657+f_hbm*G659</f>
        <v>12.74553728</v>
      </c>
      <c r="K661" s="4" t="s">
        <v>622</v>
      </c>
    </row>
    <row r="662" customFormat="false" ht="17.15" hidden="false" customHeight="false" outlineLevel="0" collapsed="false">
      <c r="A662" s="4" t="s">
        <v>623</v>
      </c>
      <c r="B662" s="0" t="s">
        <v>86</v>
      </c>
      <c r="D662" s="16" t="n">
        <f aca="false">D658+f_hbm*D660</f>
        <v>7.314</v>
      </c>
      <c r="E662" s="16" t="n">
        <f aca="false">E658+f_hbm*E660</f>
        <v>9.1536</v>
      </c>
      <c r="F662" s="16" t="n">
        <f aca="false">F658+f_hbm*F660</f>
        <v>10.3362</v>
      </c>
      <c r="G662" s="16" t="n">
        <f aca="false">G658+f_hbm*G660</f>
        <v>10.11939</v>
      </c>
    </row>
    <row r="663" customFormat="false" ht="17.15" hidden="false" customHeight="false" outlineLevel="0" collapsed="false">
      <c r="A663" s="0" t="s">
        <v>624</v>
      </c>
      <c r="B663" s="0" t="s">
        <v>279</v>
      </c>
      <c r="D663" s="16" t="n">
        <f aca="false">D652*D661+D653*D662</f>
        <v>1.8637696</v>
      </c>
      <c r="E663" s="16" t="n">
        <f aca="false">E652*E661+E653*E662</f>
        <v>9.85215</v>
      </c>
      <c r="F663" s="16" t="n">
        <f aca="false">F652*F661+F653*F662</f>
        <v>16.374081024</v>
      </c>
      <c r="G663" s="16" t="n">
        <f aca="false">G652*G661+G653*G662</f>
        <v>18.46828351872</v>
      </c>
    </row>
    <row r="664" customFormat="false" ht="17.15" hidden="false" customHeight="false" outlineLevel="0" collapsed="false">
      <c r="A664" s="0" t="s">
        <v>625</v>
      </c>
      <c r="B664" s="0" t="s">
        <v>65</v>
      </c>
      <c r="D664" s="20" t="n">
        <f aca="false">dc26/D663</f>
        <v>1.07309401333727</v>
      </c>
      <c r="K664" s="8" t="s">
        <v>626</v>
      </c>
    </row>
    <row r="665" customFormat="false" ht="17.15" hidden="false" customHeight="false" outlineLevel="0" collapsed="false">
      <c r="A665" s="0" t="s">
        <v>627</v>
      </c>
      <c r="B665" s="0" t="s">
        <v>279</v>
      </c>
      <c r="D665" s="16" t="n">
        <f aca="false">D663*$D$664</f>
        <v>2</v>
      </c>
      <c r="E665" s="16" t="n">
        <f aca="false">E663*$D$664</f>
        <v>10.5722831835008</v>
      </c>
      <c r="F665" s="16" t="n">
        <f aca="false">F663*$D$664</f>
        <v>17.5709283207538</v>
      </c>
      <c r="G665" s="16" t="n">
        <f aca="false">G663*$D$664</f>
        <v>19.8182044805538</v>
      </c>
    </row>
    <row r="666" customFormat="false" ht="15" hidden="false" customHeight="false" outlineLevel="0" collapsed="false">
      <c r="A666" s="4" t="s">
        <v>628</v>
      </c>
      <c r="B666" s="0" t="s">
        <v>288</v>
      </c>
      <c r="D666" s="16" t="n">
        <f aca="false">fx26</f>
        <v>32</v>
      </c>
      <c r="E666" s="16" t="n">
        <f aca="false">fx</f>
        <v>32</v>
      </c>
      <c r="F666" s="16" t="n">
        <f aca="false">fx</f>
        <v>32</v>
      </c>
      <c r="G666" s="16" t="n">
        <f aca="false">fx</f>
        <v>32</v>
      </c>
    </row>
    <row r="667" customFormat="false" ht="17.15" hidden="false" customHeight="false" outlineLevel="0" collapsed="false">
      <c r="A667" s="0" t="s">
        <v>629</v>
      </c>
      <c r="B667" s="0" t="s">
        <v>301</v>
      </c>
      <c r="C667" s="16" t="n">
        <f aca="false">a25_asic</f>
        <v>0</v>
      </c>
      <c r="D667" s="16" t="n">
        <f aca="false">D665*D666</f>
        <v>64</v>
      </c>
      <c r="E667" s="16" t="n">
        <f aca="false">E665*E666</f>
        <v>338.313061872025</v>
      </c>
      <c r="F667" s="16" t="n">
        <f aca="false">F665*F666</f>
        <v>562.269706264122</v>
      </c>
      <c r="G667" s="16" t="n">
        <f aca="false">G665*G666</f>
        <v>634.182543377722</v>
      </c>
    </row>
    <row r="668" customFormat="false" ht="17.15" hidden="false" customHeight="false" outlineLevel="0" collapsed="false">
      <c r="A668" s="4" t="s">
        <v>630</v>
      </c>
      <c r="B668" s="0" t="s">
        <v>301</v>
      </c>
      <c r="D668" s="16" t="n">
        <f aca="false">$D$664*f_hbm*(D652*D659+D653*D660)*D666</f>
        <v>11.1179270227393</v>
      </c>
      <c r="E668" s="16" t="n">
        <f aca="false">$D$664*f_hbm*(E652*E659+E653*E660)*E666</f>
        <v>111.675606255194</v>
      </c>
      <c r="F668" s="16" t="n">
        <f aca="false">$D$664*f_hbm*(F652*F659+F653*F660)*F666</f>
        <v>216.132501322052</v>
      </c>
      <c r="G668" s="16" t="n">
        <f aca="false">$D$664*f_hbm*(G652*G659+G653*G660)*G666</f>
        <v>236.124757694342</v>
      </c>
    </row>
    <row r="669" customFormat="false" ht="15" hidden="false" customHeight="false" outlineLevel="0" collapsed="false">
      <c r="A669" s="4" t="s">
        <v>631</v>
      </c>
      <c r="B669" s="0" t="s">
        <v>301</v>
      </c>
      <c r="D669" s="16" t="n">
        <f aca="false">D667-D668</f>
        <v>52.8820729772607</v>
      </c>
      <c r="E669" s="16" t="n">
        <f aca="false">E667-E668</f>
        <v>226.637455616832</v>
      </c>
      <c r="F669" s="16" t="n">
        <f aca="false">F667-F668</f>
        <v>346.13720494207</v>
      </c>
      <c r="G669" s="16" t="n">
        <f aca="false">G667-G668</f>
        <v>398.057785683381</v>
      </c>
    </row>
    <row r="670" customFormat="false" ht="17.15" hidden="false" customHeight="false" outlineLevel="0" collapsed="false">
      <c r="A670" s="4" t="s">
        <v>632</v>
      </c>
      <c r="B670" s="4" t="s">
        <v>33</v>
      </c>
      <c r="D670" s="20" t="n">
        <f aca="false">D652+D653</f>
        <v>0.1925</v>
      </c>
      <c r="E670" s="20" t="n">
        <f aca="false">E652+E653</f>
        <v>0.825</v>
      </c>
      <c r="F670" s="20" t="n">
        <f aca="false">F652+F653</f>
        <v>1.26</v>
      </c>
      <c r="G670" s="20" t="n">
        <f aca="false">G652+G653</f>
        <v>1.449</v>
      </c>
    </row>
    <row r="671" customFormat="false" ht="17.15" hidden="false" customHeight="false" outlineLevel="0" collapsed="false">
      <c r="A671" s="4" t="s">
        <v>633</v>
      </c>
      <c r="B671" s="0" t="s">
        <v>86</v>
      </c>
      <c r="D671" s="16" t="n">
        <f aca="false">IF(D670&gt;0,D665/D670,0)</f>
        <v>10.3896103896104</v>
      </c>
      <c r="E671" s="16" t="n">
        <f aca="false">IF(E670&gt;0,E665/E670,0)</f>
        <v>12.8148887072737</v>
      </c>
      <c r="F671" s="16" t="n">
        <f aca="false">IF(F670&gt;0,F665/F670,0)</f>
        <v>13.9451812069475</v>
      </c>
      <c r="G671" s="16" t="n">
        <f aca="false">IF(G670&gt;0,G665/G670,0)</f>
        <v>13.677159751935</v>
      </c>
    </row>
    <row r="672" customFormat="false" ht="17.15" hidden="false" customHeight="false" outlineLevel="0" collapsed="false">
      <c r="A672" s="6" t="s">
        <v>634</v>
      </c>
    </row>
    <row r="673" customFormat="false" ht="15" hidden="false" customHeight="false" outlineLevel="0" collapsed="false">
      <c r="A673" s="4" t="s">
        <v>635</v>
      </c>
      <c r="B673" s="0" t="s">
        <v>301</v>
      </c>
      <c r="C673" s="16" t="n">
        <f aca="false">a25_mob</f>
        <v>315.86198</v>
      </c>
      <c r="D673" s="16" t="n">
        <f aca="false">a26_mob</f>
        <v>262.655761173888</v>
      </c>
      <c r="E673" s="16" t="n">
        <f aca="false">D673*(1+g_mob27_C)</f>
        <v>241.643300279977</v>
      </c>
      <c r="F673" s="16" t="n">
        <f aca="false">E673*(1+g_mobL_C)</f>
        <v>234.394001271577</v>
      </c>
      <c r="G673" s="16" t="n">
        <f aca="false">F673*(1+g_mobL_C)</f>
        <v>227.36218123343</v>
      </c>
    </row>
    <row r="674" customFormat="false" ht="17.15" hidden="false" customHeight="false" outlineLevel="0" collapsed="false">
      <c r="A674" s="4" t="s">
        <v>636</v>
      </c>
      <c r="B674" s="0" t="s">
        <v>301</v>
      </c>
      <c r="C674" s="16" t="n">
        <f aca="false">a25_sepx</f>
        <v>247.32589</v>
      </c>
      <c r="D674" s="16" t="n">
        <f aca="false">a26_sepx</f>
        <v>311.894023346019</v>
      </c>
      <c r="E674" s="16" t="n">
        <f aca="false">D674*(1+g_sep27_A)</f>
        <v>336.8455452137</v>
      </c>
      <c r="F674" s="16" t="n">
        <f aca="false">E674*(1+g_sepL_A)</f>
        <v>360.424733378659</v>
      </c>
      <c r="G674" s="16" t="n">
        <f aca="false">F674*(1+g_sepL_A)</f>
        <v>385.654464715166</v>
      </c>
    </row>
    <row r="675" customFormat="false" ht="17.15" hidden="false" customHeight="false" outlineLevel="0" collapsed="false">
      <c r="A675" s="4" t="s">
        <v>637</v>
      </c>
      <c r="B675" s="0" t="s">
        <v>301</v>
      </c>
      <c r="C675" s="16" t="n">
        <f aca="false">a25_pic</f>
        <v>32.77813</v>
      </c>
      <c r="D675" s="16" t="n">
        <f aca="false">a26_pic</f>
        <v>35.9721535362998</v>
      </c>
      <c r="E675" s="16" t="n">
        <f aca="false">D675*(1+g_pic27_A)</f>
        <v>38.8499258192038</v>
      </c>
      <c r="F675" s="16" t="n">
        <f aca="false">E675*(1+g_picL_A)</f>
        <v>41.9579198847401</v>
      </c>
      <c r="G675" s="16" t="n">
        <f aca="false">F675*(1+g_picL_A)</f>
        <v>45.3145534755193</v>
      </c>
    </row>
    <row r="676" customFormat="false" ht="17.15" hidden="false" customHeight="false" outlineLevel="0" collapsed="false">
      <c r="A676" s="4" t="s">
        <v>638</v>
      </c>
      <c r="B676" s="0" t="s">
        <v>301</v>
      </c>
      <c r="C676" s="16" t="n">
        <f aca="false">C673+C674+C675</f>
        <v>595.966</v>
      </c>
      <c r="D676" s="16" t="n">
        <f aca="false">D673+D674+D675</f>
        <v>610.521938056206</v>
      </c>
      <c r="E676" s="16" t="n">
        <f aca="false">E673+E674+E675</f>
        <v>617.338771312881</v>
      </c>
      <c r="F676" s="16" t="n">
        <f aca="false">F673+F674+F675</f>
        <v>636.776654534977</v>
      </c>
      <c r="G676" s="16" t="n">
        <f aca="false">G673+G674+G675</f>
        <v>658.331199424115</v>
      </c>
    </row>
    <row r="677" customFormat="false" ht="17.15" hidden="false" customHeight="false" outlineLevel="0" collapsed="false">
      <c r="A677" s="4" t="s">
        <v>501</v>
      </c>
      <c r="B677" s="0" t="s">
        <v>301</v>
      </c>
      <c r="C677" s="16" t="n">
        <f aca="false">C676+C667</f>
        <v>595.966</v>
      </c>
      <c r="D677" s="16" t="n">
        <f aca="false">D676+D667</f>
        <v>674.521938056206</v>
      </c>
      <c r="E677" s="16" t="n">
        <f aca="false">E676+E667</f>
        <v>955.651833184906</v>
      </c>
      <c r="F677" s="16" t="n">
        <f aca="false">F676+F667</f>
        <v>1199.0463607991</v>
      </c>
      <c r="G677" s="16" t="n">
        <f aca="false">G676+G667</f>
        <v>1292.51374280184</v>
      </c>
      <c r="H677" s="26" t="n">
        <f aca="false">G677*(1+H678)</f>
        <v>1385.53288323409</v>
      </c>
      <c r="I677" s="26" t="n">
        <f aca="false">H677*(1+I678)</f>
        <v>1476.95562311451</v>
      </c>
      <c r="J677" s="26" t="n">
        <f aca="false">I677*(1+J678)</f>
        <v>1565.57296050138</v>
      </c>
      <c r="K677" s="8" t="s">
        <v>639</v>
      </c>
    </row>
    <row r="678" customFormat="false" ht="15" hidden="false" customHeight="false" outlineLevel="0" collapsed="false">
      <c r="A678" s="4" t="s">
        <v>640</v>
      </c>
      <c r="B678" s="0" t="s">
        <v>46</v>
      </c>
      <c r="D678" s="19" t="n">
        <f aca="false">D677/C677-1</f>
        <v>0.131812784716252</v>
      </c>
      <c r="E678" s="19" t="n">
        <f aca="false">E677/D677-1</f>
        <v>0.416783916530339</v>
      </c>
      <c r="F678" s="19" t="n">
        <f aca="false">F677/E677-1</f>
        <v>0.254689541904639</v>
      </c>
      <c r="G678" s="19" t="n">
        <f aca="false">G677/F677-1</f>
        <v>0.0779514329541418</v>
      </c>
      <c r="H678" s="24" t="n">
        <f aca="false">$G678+(fade_gA-$G678)*1/3</f>
        <v>0.0719676219694278</v>
      </c>
      <c r="I678" s="24" t="n">
        <f aca="false">$G678+(fade_gA-$G678)*2/3</f>
        <v>0.0659838109847139</v>
      </c>
      <c r="J678" s="24" t="n">
        <f aca="false">$G678+(fade_gA-$G678)*3/3</f>
        <v>0.06</v>
      </c>
    </row>
    <row r="679" customFormat="false" ht="17.15" hidden="false" customHeight="false" outlineLevel="0" collapsed="false">
      <c r="A679" s="0" t="s">
        <v>641</v>
      </c>
      <c r="B679" s="0" t="s">
        <v>46</v>
      </c>
      <c r="C679" s="19" t="n">
        <f aca="false">C667/C677</f>
        <v>0</v>
      </c>
      <c r="D679" s="19" t="n">
        <f aca="false">D667/D677</f>
        <v>0.0948820140445411</v>
      </c>
      <c r="E679" s="19" t="n">
        <f aca="false">E667/E677</f>
        <v>0.354012884320566</v>
      </c>
      <c r="F679" s="19" t="n">
        <f aca="false">F667/F677</f>
        <v>0.46893074750621</v>
      </c>
      <c r="G679" s="19" t="n">
        <f aca="false">G667/G677</f>
        <v>0.490658259464985</v>
      </c>
    </row>
    <row r="680" customFormat="false" ht="17.15" hidden="false" customHeight="false" outlineLevel="0" collapsed="false">
      <c r="A680" s="4" t="s">
        <v>642</v>
      </c>
      <c r="B680" s="0" t="s">
        <v>46</v>
      </c>
      <c r="C680" s="19" t="n">
        <f aca="false">C673/C677</f>
        <v>0.53</v>
      </c>
      <c r="D680" s="19" t="n">
        <f aca="false">D673/D677</f>
        <v>0.389395431571569</v>
      </c>
      <c r="E680" s="19" t="n">
        <f aca="false">E673/E677</f>
        <v>0.252857046770528</v>
      </c>
      <c r="F680" s="19" t="n">
        <f aca="false">F673/F677</f>
        <v>0.195483685147392</v>
      </c>
      <c r="G680" s="19" t="n">
        <f aca="false">G673/G677</f>
        <v>0.175906973910055</v>
      </c>
    </row>
    <row r="681" customFormat="false" ht="17.15" hidden="false" customHeight="false" outlineLevel="0" collapsed="false">
      <c r="A681" s="6" t="s">
        <v>643</v>
      </c>
    </row>
    <row r="682" customFormat="false" ht="17.15" hidden="false" customHeight="false" outlineLevel="0" collapsed="false">
      <c r="A682" s="0" t="s">
        <v>644</v>
      </c>
      <c r="B682" s="0" t="s">
        <v>301</v>
      </c>
      <c r="D682" s="16" t="n">
        <f aca="false">m_core*D669+m_hbm*D668</f>
        <v>24.9087255420412</v>
      </c>
      <c r="E682" s="16" t="n">
        <f aca="false">m_core*E669+m_hbm*E668</f>
        <v>113.154415653094</v>
      </c>
      <c r="F682" s="16" t="n">
        <f aca="false">m_core*F669+m_hbm*F668</f>
        <v>177.374992356137</v>
      </c>
      <c r="G682" s="16" t="n">
        <f aca="false">m_core*G669+m_hbm*G668</f>
        <v>202.738479326955</v>
      </c>
    </row>
    <row r="683" customFormat="false" ht="17.15" hidden="false" customHeight="false" outlineLevel="0" collapsed="false">
      <c r="A683" s="4" t="s">
        <v>645</v>
      </c>
      <c r="B683" s="0" t="s">
        <v>46</v>
      </c>
      <c r="C683" s="17" t="n">
        <f aca="false">a25_gp/C676</f>
        <v>0.474993539899927</v>
      </c>
      <c r="D683" s="17" t="n">
        <f aca="false">(a26_gp-D682)/D676</f>
        <v>0.462340704042911</v>
      </c>
      <c r="E683" s="17" t="n">
        <f aca="false">$D683+0</f>
        <v>0.462340704042911</v>
      </c>
      <c r="F683" s="17" t="n">
        <f aca="false">$D683+0</f>
        <v>0.462340704042911</v>
      </c>
      <c r="G683" s="17" t="n">
        <f aca="false">$D683+0</f>
        <v>0.462340704042911</v>
      </c>
      <c r="K683" s="8" t="s">
        <v>646</v>
      </c>
    </row>
    <row r="684" customFormat="false" ht="15" hidden="false" customHeight="false" outlineLevel="0" collapsed="false">
      <c r="A684" s="4" t="s">
        <v>517</v>
      </c>
      <c r="B684" s="0" t="s">
        <v>301</v>
      </c>
      <c r="C684" s="16" t="n">
        <f aca="false">a25_gp</f>
        <v>283.08</v>
      </c>
      <c r="D684" s="16" t="n">
        <f aca="false">a26_gp</f>
        <v>307.17786821659</v>
      </c>
      <c r="E684" s="16" t="n">
        <f aca="false">E683*E676+E682</f>
        <v>398.575257814876</v>
      </c>
      <c r="F684" s="16" t="n">
        <f aca="false">F683*F676+F682</f>
        <v>471.782759131927</v>
      </c>
      <c r="G684" s="16" t="n">
        <f aca="false">G683*G676+G682</f>
        <v>507.111789562115</v>
      </c>
    </row>
    <row r="685" customFormat="false" ht="15" hidden="false" customHeight="false" outlineLevel="0" collapsed="false">
      <c r="A685" s="4" t="s">
        <v>520</v>
      </c>
      <c r="B685" s="0" t="s">
        <v>46</v>
      </c>
      <c r="C685" s="17" t="n">
        <f aca="false">C684/C677</f>
        <v>0.474993539899927</v>
      </c>
      <c r="D685" s="17" t="n">
        <f aca="false">D684/D677</f>
        <v>0.455400856348417</v>
      </c>
      <c r="E685" s="17" t="n">
        <f aca="false">E684/E677</f>
        <v>0.417071619573566</v>
      </c>
      <c r="F685" s="17" t="n">
        <f aca="false">F684/F677</f>
        <v>0.393464985638679</v>
      </c>
      <c r="G685" s="17" t="n">
        <f aca="false">G684/G677</f>
        <v>0.392345375348062</v>
      </c>
    </row>
    <row r="686" customFormat="false" ht="15" hidden="false" customHeight="false" outlineLevel="0" collapsed="false">
      <c r="A686" s="4" t="s">
        <v>647</v>
      </c>
      <c r="B686" s="0" t="s">
        <v>301</v>
      </c>
      <c r="C686" s="16" t="n">
        <f aca="false">a25_opx</f>
        <v>179.61</v>
      </c>
      <c r="D686" s="16" t="n">
        <f aca="false">a26_opx</f>
        <v>192.105</v>
      </c>
      <c r="E686" s="16" t="n">
        <f aca="false">D686*(1+MAX(g_opx_min,phi*E678))+0*E677</f>
        <v>216.124882285518</v>
      </c>
      <c r="F686" s="16" t="n">
        <f aca="false">E686*(1+MAX(g_opx_min,phi*F678))+0*F677</f>
        <v>232.638306464566</v>
      </c>
      <c r="G686" s="16" t="n">
        <f aca="false">F686*(1+MAX(g_opx_min,phi*G678))+0*G677</f>
        <v>246.59660485244</v>
      </c>
    </row>
    <row r="687" customFormat="false" ht="15" hidden="false" customHeight="false" outlineLevel="0" collapsed="false">
      <c r="A687" s="4" t="s">
        <v>524</v>
      </c>
      <c r="B687" s="0" t="s">
        <v>301</v>
      </c>
      <c r="C687" s="16" t="n">
        <f aca="false">C684-C686</f>
        <v>103.47</v>
      </c>
      <c r="D687" s="16" t="n">
        <f aca="false">D684-D686</f>
        <v>115.07286821659</v>
      </c>
      <c r="E687" s="16" t="n">
        <f aca="false">E684-E686</f>
        <v>182.450375529358</v>
      </c>
      <c r="F687" s="16" t="n">
        <f aca="false">F684-F686</f>
        <v>239.144452667361</v>
      </c>
      <c r="G687" s="16" t="n">
        <f aca="false">G684-G686</f>
        <v>260.515184709675</v>
      </c>
    </row>
    <row r="688" customFormat="false" ht="15" hidden="false" customHeight="false" outlineLevel="0" collapsed="false">
      <c r="A688" s="4" t="s">
        <v>598</v>
      </c>
      <c r="B688" s="0" t="s">
        <v>46</v>
      </c>
      <c r="C688" s="17" t="n">
        <f aca="false">C687/C677</f>
        <v>0.173617286892205</v>
      </c>
      <c r="D688" s="17" t="n">
        <f aca="false">D687/D677</f>
        <v>0.170599148410502</v>
      </c>
      <c r="E688" s="17" t="n">
        <f aca="false">E687/E677</f>
        <v>0.190917203518885</v>
      </c>
      <c r="F688" s="17" t="n">
        <f aca="false">F687/F677</f>
        <v>0.199445543129779</v>
      </c>
      <c r="G688" s="17" t="n">
        <f aca="false">G687/G677</f>
        <v>0.201556994005298</v>
      </c>
    </row>
    <row r="689" customFormat="false" ht="15" hidden="false" customHeight="false" outlineLevel="0" collapsed="false">
      <c r="A689" s="4" t="s">
        <v>526</v>
      </c>
      <c r="B689" s="0" t="s">
        <v>301</v>
      </c>
      <c r="C689" s="16" t="n">
        <f aca="false">a25_nonop</f>
        <v>21.418</v>
      </c>
      <c r="D689" s="16" t="n">
        <f aca="false">a26_nonop</f>
        <v>18.823</v>
      </c>
      <c r="E689" s="16" t="n">
        <f aca="false">nonop_f</f>
        <v>18</v>
      </c>
      <c r="F689" s="16" t="n">
        <f aca="false">nonop_f</f>
        <v>18</v>
      </c>
      <c r="G689" s="16" t="n">
        <f aca="false">nonop_f</f>
        <v>18</v>
      </c>
    </row>
    <row r="690" customFormat="false" ht="15" hidden="false" customHeight="false" outlineLevel="0" collapsed="false">
      <c r="A690" s="4" t="s">
        <v>528</v>
      </c>
      <c r="B690" s="0" t="s">
        <v>301</v>
      </c>
      <c r="C690" s="16" t="n">
        <f aca="false">C687+C689</f>
        <v>124.888</v>
      </c>
      <c r="D690" s="16" t="n">
        <f aca="false">D687+D689</f>
        <v>133.89586821659</v>
      </c>
      <c r="E690" s="16" t="n">
        <f aca="false">E687+E689</f>
        <v>200.450375529358</v>
      </c>
      <c r="F690" s="16" t="n">
        <f aca="false">F687+F689</f>
        <v>257.144452667361</v>
      </c>
      <c r="G690" s="16" t="n">
        <f aca="false">G687+G689</f>
        <v>278.515184709675</v>
      </c>
    </row>
    <row r="691" customFormat="false" ht="15" hidden="false" customHeight="false" outlineLevel="0" collapsed="false">
      <c r="A691" s="4" t="s">
        <v>529</v>
      </c>
      <c r="B691" s="0" t="s">
        <v>301</v>
      </c>
      <c r="C691" s="16" t="n">
        <f aca="false">a25_tax</f>
        <v>18.77</v>
      </c>
      <c r="D691" s="16" t="n">
        <f aca="false">a26_tax</f>
        <v>16.2589328681567</v>
      </c>
      <c r="E691" s="16" t="n">
        <f aca="false">E690*tax</f>
        <v>28.0630525741101</v>
      </c>
      <c r="F691" s="16" t="n">
        <f aca="false">F690*tax</f>
        <v>36.0002233734306</v>
      </c>
      <c r="G691" s="16" t="n">
        <f aca="false">G690*tax</f>
        <v>38.9921258593544</v>
      </c>
    </row>
    <row r="692" customFormat="false" ht="15" hidden="false" customHeight="false" outlineLevel="0" collapsed="false">
      <c r="A692" s="4" t="s">
        <v>530</v>
      </c>
      <c r="B692" s="0" t="s">
        <v>301</v>
      </c>
      <c r="C692" s="16" t="n">
        <f aca="false">a25_nci</f>
        <v>0.798</v>
      </c>
      <c r="D692" s="16" t="n">
        <f aca="false">a26_nci</f>
        <v>0.992</v>
      </c>
      <c r="E692" s="16" t="n">
        <f aca="false">nci</f>
        <v>1</v>
      </c>
      <c r="F692" s="16" t="n">
        <f aca="false">nci</f>
        <v>1</v>
      </c>
      <c r="G692" s="16" t="n">
        <f aca="false">nci</f>
        <v>1</v>
      </c>
    </row>
    <row r="693" customFormat="false" ht="15" hidden="false" customHeight="false" outlineLevel="0" collapsed="false">
      <c r="A693" s="4" t="s">
        <v>532</v>
      </c>
      <c r="B693" s="0" t="s">
        <v>301</v>
      </c>
      <c r="C693" s="16" t="n">
        <f aca="false">C690-C691-C692</f>
        <v>105.32</v>
      </c>
      <c r="D693" s="16" t="n">
        <f aca="false">D690-D691-D692</f>
        <v>116.644935348433</v>
      </c>
      <c r="E693" s="16" t="n">
        <f aca="false">E690-E691-E692</f>
        <v>171.387322955248</v>
      </c>
      <c r="F693" s="16" t="n">
        <f aca="false">F690-F691-F692</f>
        <v>220.144229293931</v>
      </c>
      <c r="G693" s="16" t="n">
        <f aca="false">G690-G691-G692</f>
        <v>238.52305885032</v>
      </c>
      <c r="H693" s="26" t="n">
        <f aca="false">H677*H697</f>
        <v>259.642194140613</v>
      </c>
      <c r="I693" s="26" t="n">
        <f aca="false">I677*I697</f>
        <v>280.988420629381</v>
      </c>
      <c r="J693" s="26" t="n">
        <f aca="false">J677*J697</f>
        <v>302.314613595697</v>
      </c>
    </row>
    <row r="694" customFormat="false" ht="15" hidden="false" customHeight="false" outlineLevel="0" collapsed="false">
      <c r="A694" s="4" t="s">
        <v>648</v>
      </c>
      <c r="B694" s="4" t="s">
        <v>346</v>
      </c>
      <c r="C694" s="18" t="n">
        <f aca="false">a25_sh</f>
        <v>1.59188331318017</v>
      </c>
      <c r="D694" s="18" t="n">
        <f aca="false">a26_sh</f>
        <v>1.59250890647703</v>
      </c>
      <c r="E694" s="18" t="n">
        <f aca="false">D694*(1+sh_g)</f>
        <v>1.59250890647703</v>
      </c>
      <c r="F694" s="18" t="n">
        <f aca="false">E694*(1+sh_g)</f>
        <v>1.59250890647703</v>
      </c>
      <c r="G694" s="18" t="n">
        <f aca="false">F694*(1+sh_g)</f>
        <v>1.59250890647703</v>
      </c>
      <c r="H694" s="28" t="n">
        <f aca="false">G694*(1+sh_g)</f>
        <v>1.59250890647703</v>
      </c>
      <c r="I694" s="28" t="n">
        <f aca="false">H694*(1+sh_g)</f>
        <v>1.59250890647703</v>
      </c>
      <c r="J694" s="28" t="n">
        <f aca="false">I694*(1+sh_g)</f>
        <v>1.59250890647703</v>
      </c>
    </row>
    <row r="695" customFormat="false" ht="17.15" hidden="false" customHeight="false" outlineLevel="0" collapsed="false">
      <c r="A695" s="0" t="s">
        <v>537</v>
      </c>
      <c r="B695" s="0" t="s">
        <v>403</v>
      </c>
      <c r="C695" s="16" t="n">
        <f aca="false">C693/C694</f>
        <v>66.1606281867469</v>
      </c>
      <c r="D695" s="16" t="n">
        <f aca="false">D693/D694</f>
        <v>73.2460175726595</v>
      </c>
      <c r="E695" s="16" t="n">
        <f aca="false">E693/E694</f>
        <v>107.620950977532</v>
      </c>
      <c r="F695" s="16" t="n">
        <f aca="false">F693/F694</f>
        <v>138.237361435508</v>
      </c>
      <c r="G695" s="16" t="n">
        <f aca="false">G693/G694</f>
        <v>149.778163173972</v>
      </c>
      <c r="H695" s="26" t="n">
        <f aca="false">H693/H694</f>
        <v>163.03971242145</v>
      </c>
      <c r="I695" s="26" t="n">
        <f aca="false">I693/I694</f>
        <v>176.443861310005</v>
      </c>
      <c r="J695" s="26" t="n">
        <f aca="false">J693/J694</f>
        <v>189.835430349009</v>
      </c>
    </row>
    <row r="696" customFormat="false" ht="17.15" hidden="false" customHeight="false" outlineLevel="0" collapsed="false">
      <c r="A696" s="0" t="s">
        <v>649</v>
      </c>
      <c r="B696" s="0" t="s">
        <v>46</v>
      </c>
      <c r="D696" s="19" t="n">
        <f aca="false">D695/C695-1</f>
        <v>0.107093744120947</v>
      </c>
      <c r="E696" s="19" t="n">
        <f aca="false">E695/D695-1</f>
        <v>0.469307882449351</v>
      </c>
      <c r="F696" s="19" t="n">
        <f aca="false">F695/E695-1</f>
        <v>0.284483738341685</v>
      </c>
      <c r="G696" s="19" t="n">
        <f aca="false">G695/F695-1</f>
        <v>0.083485402344345</v>
      </c>
      <c r="H696" s="24" t="n">
        <f aca="false">H695/G695-1</f>
        <v>0.0885412730831443</v>
      </c>
      <c r="I696" s="24" t="n">
        <f aca="false">I695/H695-1</f>
        <v>0.0822140120923767</v>
      </c>
      <c r="J696" s="24" t="n">
        <f aca="false">J695/I695-1</f>
        <v>0.075897052691879</v>
      </c>
    </row>
    <row r="697" customFormat="false" ht="17.15" hidden="false" customHeight="false" outlineLevel="0" collapsed="false">
      <c r="A697" s="4" t="s">
        <v>650</v>
      </c>
      <c r="B697" s="0" t="s">
        <v>46</v>
      </c>
      <c r="C697" s="17" t="n">
        <f aca="false">C693/C677</f>
        <v>0.176721490823302</v>
      </c>
      <c r="D697" s="17" t="n">
        <f aca="false">D693/D677</f>
        <v>0.172929787405541</v>
      </c>
      <c r="E697" s="17" t="n">
        <f aca="false">E693/E677</f>
        <v>0.179340756752451</v>
      </c>
      <c r="F697" s="17" t="n">
        <f aca="false">F693/F677</f>
        <v>0.18359943075697</v>
      </c>
      <c r="G697" s="17" t="n">
        <f aca="false">G693/G677</f>
        <v>0.184541990503918</v>
      </c>
      <c r="H697" s="25" t="n">
        <f aca="false">$G697+(fade_mA-$G697)*1/3</f>
        <v>0.187395187283149</v>
      </c>
      <c r="I697" s="25" t="n">
        <f aca="false">$G697+(fade_mA-$G697)*2/3</f>
        <v>0.190248384062379</v>
      </c>
      <c r="J697" s="25" t="n">
        <f aca="false">$G697+(fade_mA-$G697)*3/3</f>
        <v>0.19310158084161</v>
      </c>
    </row>
    <row r="700" customFormat="false" ht="17.15" hidden="false" customHeight="false" outlineLevel="0" collapsed="false">
      <c r="A700" s="1" t="s">
        <v>947</v>
      </c>
    </row>
    <row r="701" customFormat="false" ht="17.15" hidden="false" customHeight="false" outlineLevel="0" collapsed="false">
      <c r="A701" s="5" t="s">
        <v>22</v>
      </c>
      <c r="B701" s="5" t="s">
        <v>23</v>
      </c>
      <c r="C701" s="14" t="s">
        <v>494</v>
      </c>
      <c r="D701" s="14" t="s">
        <v>587</v>
      </c>
      <c r="E701" s="14" t="s">
        <v>588</v>
      </c>
      <c r="F701" s="14" t="s">
        <v>589</v>
      </c>
      <c r="G701" s="14" t="s">
        <v>590</v>
      </c>
      <c r="H701" s="14" t="s">
        <v>591</v>
      </c>
      <c r="I701" s="14" t="s">
        <v>592</v>
      </c>
      <c r="J701" s="14" t="s">
        <v>593</v>
      </c>
      <c r="K701" s="5" t="s">
        <v>557</v>
      </c>
    </row>
    <row r="702" customFormat="false" ht="17.15" hidden="false" customHeight="false" outlineLevel="0" collapsed="false">
      <c r="A702" s="6" t="s">
        <v>609</v>
      </c>
    </row>
    <row r="703" customFormat="false" ht="17.15" hidden="false" customHeight="false" outlineLevel="0" collapsed="false">
      <c r="A703" s="0" t="s">
        <v>610</v>
      </c>
      <c r="B703" s="4" t="s">
        <v>33</v>
      </c>
      <c r="D703" s="20" t="n">
        <f aca="false">u_tpu_26</f>
        <v>3.85</v>
      </c>
      <c r="E703" s="20" t="n">
        <f aca="false">u_tpu_27</f>
        <v>5.5</v>
      </c>
      <c r="F703" s="20" t="n">
        <f aca="false">u_tpu_28*um28_A</f>
        <v>7</v>
      </c>
      <c r="G703" s="20" t="n">
        <f aca="false">u_tpu_28*(1+g29_tpu)*um29_A</f>
        <v>8.05</v>
      </c>
    </row>
    <row r="704" customFormat="false" ht="17.15" hidden="false" customHeight="false" outlineLevel="0" collapsed="false">
      <c r="A704" s="4" t="s">
        <v>611</v>
      </c>
      <c r="B704" s="4" t="s">
        <v>33</v>
      </c>
      <c r="D704" s="20" t="n">
        <f aca="false">u_oth_26</f>
        <v>1</v>
      </c>
      <c r="E704" s="20" t="n">
        <f aca="false">u_oth_27</f>
        <v>4.5</v>
      </c>
      <c r="F704" s="20" t="n">
        <f aca="false">u_oth_28*um28_A</f>
        <v>5</v>
      </c>
      <c r="G704" s="20" t="n">
        <f aca="false">u_oth_28*(1+g29_oth)*um29_A</f>
        <v>5.75</v>
      </c>
    </row>
    <row r="705" customFormat="false" ht="17.15" hidden="false" customHeight="false" outlineLevel="0" collapsed="false">
      <c r="A705" s="4" t="s">
        <v>561</v>
      </c>
      <c r="B705" s="0" t="s">
        <v>46</v>
      </c>
      <c r="D705" s="19" t="n">
        <f aca="false">mtk_tpu_26</f>
        <v>0.05</v>
      </c>
      <c r="E705" s="19" t="n">
        <f aca="false">MIN(1,MAX(0,mtk_tpu_27+0))</f>
        <v>0.15</v>
      </c>
      <c r="F705" s="19" t="n">
        <f aca="false">MIN(1,MAX(0,mtk_tpu_28+0))</f>
        <v>0.18</v>
      </c>
      <c r="G705" s="19" t="n">
        <f aca="false">MIN(1,MAX(0,mtk_tpu_28+0))</f>
        <v>0.18</v>
      </c>
    </row>
    <row r="706" customFormat="false" ht="17.15" hidden="false" customHeight="false" outlineLevel="0" collapsed="false">
      <c r="A706" s="4" t="s">
        <v>612</v>
      </c>
      <c r="B706" s="0" t="s">
        <v>46</v>
      </c>
      <c r="D706" s="19" t="n">
        <f aca="false">mtk_oth_26</f>
        <v>0</v>
      </c>
      <c r="E706" s="19" t="n">
        <f aca="false">MIN(1,MAX(0,mtk_oth_27+0))</f>
        <v>0</v>
      </c>
      <c r="F706" s="19" t="n">
        <f aca="false">MIN(1,MAX(0,mtk_oth_28+0))</f>
        <v>0</v>
      </c>
      <c r="G706" s="19" t="n">
        <f aca="false">MIN(1,MAX(0,mtk_oth_28+0))</f>
        <v>0</v>
      </c>
    </row>
    <row r="707" customFormat="false" ht="17.15" hidden="false" customHeight="false" outlineLevel="0" collapsed="false">
      <c r="A707" s="4" t="s">
        <v>563</v>
      </c>
      <c r="B707" s="4" t="s">
        <v>33</v>
      </c>
      <c r="D707" s="20" t="n">
        <f aca="false">D703*D705</f>
        <v>0.1925</v>
      </c>
      <c r="E707" s="20" t="n">
        <f aca="false">E703*E705*1</f>
        <v>0.825</v>
      </c>
      <c r="F707" s="20" t="n">
        <f aca="false">F703*F705*1</f>
        <v>1.26</v>
      </c>
      <c r="G707" s="20" t="n">
        <f aca="false">G703*G705*1</f>
        <v>1.449</v>
      </c>
    </row>
    <row r="708" customFormat="false" ht="17.15" hidden="false" customHeight="false" outlineLevel="0" collapsed="false">
      <c r="A708" s="4" t="s">
        <v>613</v>
      </c>
      <c r="B708" s="4" t="s">
        <v>33</v>
      </c>
      <c r="D708" s="20" t="n">
        <f aca="false">D704*D706</f>
        <v>0</v>
      </c>
      <c r="E708" s="20" t="n">
        <f aca="false">E704*E706*1</f>
        <v>0</v>
      </c>
      <c r="F708" s="20" t="n">
        <f aca="false">F704*F706*1</f>
        <v>0</v>
      </c>
      <c r="G708" s="20" t="n">
        <f aca="false">G704*G706*1</f>
        <v>0</v>
      </c>
    </row>
    <row r="709" customFormat="false" ht="17.15" hidden="false" customHeight="false" outlineLevel="0" collapsed="false">
      <c r="A709" s="4" t="s">
        <v>614</v>
      </c>
      <c r="B709" s="0" t="s">
        <v>102</v>
      </c>
      <c r="D709" s="27" t="n">
        <f aca="false">gb_tpu_26</f>
        <v>192</v>
      </c>
      <c r="E709" s="27" t="n">
        <f aca="false">gb_tpu_27</f>
        <v>250</v>
      </c>
      <c r="F709" s="27" t="n">
        <f aca="false">gb_tpu_28</f>
        <v>288</v>
      </c>
      <c r="G709" s="27" t="n">
        <f aca="false">gb_tpu_28</f>
        <v>288</v>
      </c>
    </row>
    <row r="710" customFormat="false" ht="17.15" hidden="false" customHeight="false" outlineLevel="0" collapsed="false">
      <c r="A710" s="4" t="s">
        <v>615</v>
      </c>
      <c r="B710" s="0" t="s">
        <v>102</v>
      </c>
      <c r="D710" s="27" t="n">
        <f aca="false">gb_oth_26</f>
        <v>150</v>
      </c>
      <c r="E710" s="27" t="n">
        <f aca="false">gb_oth_27</f>
        <v>200</v>
      </c>
      <c r="F710" s="27" t="n">
        <f aca="false">gb_oth_28</f>
        <v>250</v>
      </c>
      <c r="G710" s="27" t="n">
        <f aca="false">gb_oth_28</f>
        <v>250</v>
      </c>
    </row>
    <row r="711" customFormat="false" ht="17.15" hidden="false" customHeight="false" outlineLevel="0" collapsed="false">
      <c r="A711" s="0" t="s">
        <v>616</v>
      </c>
      <c r="B711" s="0" t="s">
        <v>194</v>
      </c>
      <c r="D711" s="16" t="n">
        <f aca="false">hbm_A_26</f>
        <v>14.6</v>
      </c>
      <c r="E711" s="16" t="n">
        <f aca="false">hbm_A_27</f>
        <v>26.28</v>
      </c>
      <c r="F711" s="16" t="n">
        <f aca="false">hbm_A_28</f>
        <v>28.908</v>
      </c>
      <c r="G711" s="16" t="n">
        <f aca="false">hbm_A_29</f>
        <v>27.4626</v>
      </c>
    </row>
    <row r="712" customFormat="false" ht="17.15" hidden="false" customHeight="false" outlineLevel="0" collapsed="false">
      <c r="A712" s="4" t="s">
        <v>617</v>
      </c>
      <c r="B712" s="0" t="s">
        <v>86</v>
      </c>
      <c r="D712" s="16" t="n">
        <f aca="false">core_tpu</f>
        <v>8</v>
      </c>
      <c r="E712" s="16" t="n">
        <f aca="false">core_tpu</f>
        <v>8</v>
      </c>
      <c r="F712" s="16" t="n">
        <f aca="false">core_tpu*1</f>
        <v>8</v>
      </c>
      <c r="G712" s="16" t="n">
        <f aca="false">core_tpu*1</f>
        <v>8</v>
      </c>
    </row>
    <row r="713" customFormat="false" ht="17.15" hidden="false" customHeight="false" outlineLevel="0" collapsed="false">
      <c r="A713" s="4" t="s">
        <v>618</v>
      </c>
      <c r="B713" s="0" t="s">
        <v>86</v>
      </c>
      <c r="D713" s="16" t="n">
        <f aca="false">core_oth</f>
        <v>6</v>
      </c>
      <c r="E713" s="16" t="n">
        <f aca="false">core_oth</f>
        <v>6</v>
      </c>
      <c r="F713" s="16" t="n">
        <f aca="false">core_oth*1</f>
        <v>6</v>
      </c>
      <c r="G713" s="16" t="n">
        <f aca="false">core_oth*1</f>
        <v>6</v>
      </c>
    </row>
    <row r="714" customFormat="false" ht="17.15" hidden="false" customHeight="false" outlineLevel="0" collapsed="false">
      <c r="A714" s="4" t="s">
        <v>619</v>
      </c>
      <c r="B714" s="0" t="s">
        <v>86</v>
      </c>
      <c r="D714" s="16" t="n">
        <f aca="false">D709*D711/1000</f>
        <v>2.8032</v>
      </c>
      <c r="E714" s="16" t="n">
        <f aca="false">E709*E711/1000</f>
        <v>6.57</v>
      </c>
      <c r="F714" s="16" t="n">
        <f aca="false">F709*F711/1000</f>
        <v>8.325504</v>
      </c>
      <c r="G714" s="16" t="n">
        <f aca="false">G709*G711/1000</f>
        <v>7.9092288</v>
      </c>
    </row>
    <row r="715" customFormat="false" ht="17.15" hidden="false" customHeight="false" outlineLevel="0" collapsed="false">
      <c r="A715" s="4" t="s">
        <v>620</v>
      </c>
      <c r="B715" s="0" t="s">
        <v>86</v>
      </c>
      <c r="D715" s="16" t="n">
        <f aca="false">D710*D711/1000</f>
        <v>2.19</v>
      </c>
      <c r="E715" s="16" t="n">
        <f aca="false">E710*E711/1000</f>
        <v>5.256</v>
      </c>
      <c r="F715" s="16" t="n">
        <f aca="false">F710*F711/1000</f>
        <v>7.227</v>
      </c>
      <c r="G715" s="16" t="n">
        <f aca="false">G710*G711/1000</f>
        <v>6.86565</v>
      </c>
    </row>
    <row r="716" customFormat="false" ht="17.15" hidden="false" customHeight="false" outlineLevel="0" collapsed="false">
      <c r="A716" s="4" t="s">
        <v>621</v>
      </c>
      <c r="B716" s="0" t="s">
        <v>86</v>
      </c>
      <c r="D716" s="16" t="n">
        <f aca="false">D712+f_hbm*D714</f>
        <v>9.68192</v>
      </c>
      <c r="E716" s="16" t="n">
        <f aca="false">E712+f_hbm*E714</f>
        <v>11.942</v>
      </c>
      <c r="F716" s="16" t="n">
        <f aca="false">F712+f_hbm*F714</f>
        <v>12.9953024</v>
      </c>
      <c r="G716" s="16" t="n">
        <f aca="false">G712+f_hbm*G714</f>
        <v>12.74553728</v>
      </c>
      <c r="K716" s="4" t="s">
        <v>622</v>
      </c>
    </row>
    <row r="717" customFormat="false" ht="17.15" hidden="false" customHeight="false" outlineLevel="0" collapsed="false">
      <c r="A717" s="4" t="s">
        <v>623</v>
      </c>
      <c r="B717" s="0" t="s">
        <v>86</v>
      </c>
      <c r="D717" s="16" t="n">
        <f aca="false">D713+f_hbm*D715</f>
        <v>7.314</v>
      </c>
      <c r="E717" s="16" t="n">
        <f aca="false">E713+f_hbm*E715</f>
        <v>9.1536</v>
      </c>
      <c r="F717" s="16" t="n">
        <f aca="false">F713+f_hbm*F715</f>
        <v>10.3362</v>
      </c>
      <c r="G717" s="16" t="n">
        <f aca="false">G713+f_hbm*G715</f>
        <v>10.11939</v>
      </c>
    </row>
    <row r="718" customFormat="false" ht="17.15" hidden="false" customHeight="false" outlineLevel="0" collapsed="false">
      <c r="A718" s="0" t="s">
        <v>624</v>
      </c>
      <c r="B718" s="0" t="s">
        <v>279</v>
      </c>
      <c r="D718" s="16" t="n">
        <f aca="false">D707*D716+D708*D717</f>
        <v>1.8637696</v>
      </c>
      <c r="E718" s="16" t="n">
        <f aca="false">E707*E716+E708*E717</f>
        <v>9.85215</v>
      </c>
      <c r="F718" s="16" t="n">
        <f aca="false">F707*F716+F708*F717</f>
        <v>16.374081024</v>
      </c>
      <c r="G718" s="16" t="n">
        <f aca="false">G707*G716+G708*G717</f>
        <v>18.46828351872</v>
      </c>
    </row>
    <row r="719" customFormat="false" ht="17.15" hidden="false" customHeight="false" outlineLevel="0" collapsed="false">
      <c r="A719" s="0" t="s">
        <v>625</v>
      </c>
      <c r="B719" s="0" t="s">
        <v>65</v>
      </c>
      <c r="D719" s="20" t="n">
        <f aca="false">dc26/D718</f>
        <v>1.07309401333727</v>
      </c>
      <c r="K719" s="8" t="s">
        <v>626</v>
      </c>
    </row>
    <row r="720" customFormat="false" ht="17.15" hidden="false" customHeight="false" outlineLevel="0" collapsed="false">
      <c r="A720" s="0" t="s">
        <v>627</v>
      </c>
      <c r="B720" s="0" t="s">
        <v>279</v>
      </c>
      <c r="D720" s="16" t="n">
        <f aca="false">D718*$D$719</f>
        <v>2</v>
      </c>
      <c r="E720" s="16" t="n">
        <f aca="false">E718*$D$719</f>
        <v>10.5722831835008</v>
      </c>
      <c r="F720" s="16" t="n">
        <f aca="false">F718*$D$719</f>
        <v>17.5709283207538</v>
      </c>
      <c r="G720" s="16" t="n">
        <f aca="false">G718*$D$719</f>
        <v>19.8182044805538</v>
      </c>
    </row>
    <row r="721" customFormat="false" ht="15" hidden="false" customHeight="false" outlineLevel="0" collapsed="false">
      <c r="A721" s="4" t="s">
        <v>628</v>
      </c>
      <c r="B721" s="0" t="s">
        <v>288</v>
      </c>
      <c r="D721" s="16" t="n">
        <f aca="false">fx26</f>
        <v>32</v>
      </c>
      <c r="E721" s="16" t="n">
        <f aca="false">fx</f>
        <v>32</v>
      </c>
      <c r="F721" s="16" t="n">
        <f aca="false">fx</f>
        <v>32</v>
      </c>
      <c r="G721" s="16" t="n">
        <f aca="false">fx</f>
        <v>32</v>
      </c>
    </row>
    <row r="722" customFormat="false" ht="17.15" hidden="false" customHeight="false" outlineLevel="0" collapsed="false">
      <c r="A722" s="0" t="s">
        <v>629</v>
      </c>
      <c r="B722" s="0" t="s">
        <v>301</v>
      </c>
      <c r="C722" s="16" t="n">
        <f aca="false">a25_asic</f>
        <v>0</v>
      </c>
      <c r="D722" s="16" t="n">
        <f aca="false">D720*D721</f>
        <v>64</v>
      </c>
      <c r="E722" s="16" t="n">
        <f aca="false">E720*E721</f>
        <v>338.313061872025</v>
      </c>
      <c r="F722" s="16" t="n">
        <f aca="false">F720*F721</f>
        <v>562.269706264122</v>
      </c>
      <c r="G722" s="16" t="n">
        <f aca="false">G720*G721</f>
        <v>634.182543377722</v>
      </c>
    </row>
    <row r="723" customFormat="false" ht="17.15" hidden="false" customHeight="false" outlineLevel="0" collapsed="false">
      <c r="A723" s="4" t="s">
        <v>630</v>
      </c>
      <c r="B723" s="0" t="s">
        <v>301</v>
      </c>
      <c r="D723" s="16" t="n">
        <f aca="false">$D$719*f_hbm*(D707*D714+D708*D715)*D721</f>
        <v>11.1179270227393</v>
      </c>
      <c r="E723" s="16" t="n">
        <f aca="false">$D$719*f_hbm*(E707*E714+E708*E715)*E721</f>
        <v>111.675606255194</v>
      </c>
      <c r="F723" s="16" t="n">
        <f aca="false">$D$719*f_hbm*(F707*F714+F708*F715)*F721</f>
        <v>216.132501322052</v>
      </c>
      <c r="G723" s="16" t="n">
        <f aca="false">$D$719*f_hbm*(G707*G714+G708*G715)*G721</f>
        <v>236.124757694342</v>
      </c>
    </row>
    <row r="724" customFormat="false" ht="15" hidden="false" customHeight="false" outlineLevel="0" collapsed="false">
      <c r="A724" s="4" t="s">
        <v>631</v>
      </c>
      <c r="B724" s="0" t="s">
        <v>301</v>
      </c>
      <c r="D724" s="16" t="n">
        <f aca="false">D722-D723</f>
        <v>52.8820729772607</v>
      </c>
      <c r="E724" s="16" t="n">
        <f aca="false">E722-E723</f>
        <v>226.637455616832</v>
      </c>
      <c r="F724" s="16" t="n">
        <f aca="false">F722-F723</f>
        <v>346.13720494207</v>
      </c>
      <c r="G724" s="16" t="n">
        <f aca="false">G722-G723</f>
        <v>398.057785683381</v>
      </c>
    </row>
    <row r="725" customFormat="false" ht="17.15" hidden="false" customHeight="false" outlineLevel="0" collapsed="false">
      <c r="A725" s="4" t="s">
        <v>632</v>
      </c>
      <c r="B725" s="4" t="s">
        <v>33</v>
      </c>
      <c r="D725" s="20" t="n">
        <f aca="false">D707+D708</f>
        <v>0.1925</v>
      </c>
      <c r="E725" s="20" t="n">
        <f aca="false">E707+E708</f>
        <v>0.825</v>
      </c>
      <c r="F725" s="20" t="n">
        <f aca="false">F707+F708</f>
        <v>1.26</v>
      </c>
      <c r="G725" s="20" t="n">
        <f aca="false">G707+G708</f>
        <v>1.449</v>
      </c>
    </row>
    <row r="726" customFormat="false" ht="17.15" hidden="false" customHeight="false" outlineLevel="0" collapsed="false">
      <c r="A726" s="4" t="s">
        <v>633</v>
      </c>
      <c r="B726" s="0" t="s">
        <v>86</v>
      </c>
      <c r="D726" s="16" t="n">
        <f aca="false">IF(D725&gt;0,D720/D725,0)</f>
        <v>10.3896103896104</v>
      </c>
      <c r="E726" s="16" t="n">
        <f aca="false">IF(E725&gt;0,E720/E725,0)</f>
        <v>12.8148887072737</v>
      </c>
      <c r="F726" s="16" t="n">
        <f aca="false">IF(F725&gt;0,F720/F725,0)</f>
        <v>13.9451812069475</v>
      </c>
      <c r="G726" s="16" t="n">
        <f aca="false">IF(G725&gt;0,G720/G725,0)</f>
        <v>13.677159751935</v>
      </c>
    </row>
    <row r="727" customFormat="false" ht="17.15" hidden="false" customHeight="false" outlineLevel="0" collapsed="false">
      <c r="A727" s="6" t="s">
        <v>634</v>
      </c>
    </row>
    <row r="728" customFormat="false" ht="15" hidden="false" customHeight="false" outlineLevel="0" collapsed="false">
      <c r="A728" s="4" t="s">
        <v>635</v>
      </c>
      <c r="B728" s="0" t="s">
        <v>301</v>
      </c>
      <c r="C728" s="16" t="n">
        <f aca="false">a25_mob</f>
        <v>315.86198</v>
      </c>
      <c r="D728" s="16" t="n">
        <f aca="false">a26_mob</f>
        <v>262.655761173888</v>
      </c>
      <c r="E728" s="16" t="n">
        <f aca="false">D728*(1+g_mob27_A)</f>
        <v>275.788549232582</v>
      </c>
      <c r="F728" s="16" t="n">
        <f aca="false">E728*(1+g_mobL_A)</f>
        <v>286.820091201885</v>
      </c>
      <c r="G728" s="16" t="n">
        <f aca="false">F728*(1+g_mobL_A)</f>
        <v>298.292894849961</v>
      </c>
    </row>
    <row r="729" customFormat="false" ht="17.15" hidden="false" customHeight="false" outlineLevel="0" collapsed="false">
      <c r="A729" s="4" t="s">
        <v>636</v>
      </c>
      <c r="B729" s="0" t="s">
        <v>301</v>
      </c>
      <c r="C729" s="16" t="n">
        <f aca="false">a25_sepx</f>
        <v>247.32589</v>
      </c>
      <c r="D729" s="16" t="n">
        <f aca="false">a26_sepx</f>
        <v>311.894023346019</v>
      </c>
      <c r="E729" s="16" t="n">
        <f aca="false">D729*(1+g_sep27_C)</f>
        <v>302.537202645638</v>
      </c>
      <c r="F729" s="16" t="n">
        <f aca="false">E729*(1+g_sepL_C)</f>
        <v>305.562574672095</v>
      </c>
      <c r="G729" s="16" t="n">
        <f aca="false">F729*(1+g_sepL_C)</f>
        <v>308.618200418816</v>
      </c>
    </row>
    <row r="730" customFormat="false" ht="17.15" hidden="false" customHeight="false" outlineLevel="0" collapsed="false">
      <c r="A730" s="4" t="s">
        <v>637</v>
      </c>
      <c r="B730" s="0" t="s">
        <v>301</v>
      </c>
      <c r="C730" s="16" t="n">
        <f aca="false">a25_pic</f>
        <v>32.77813</v>
      </c>
      <c r="D730" s="16" t="n">
        <f aca="false">a26_pic</f>
        <v>35.9721535362998</v>
      </c>
      <c r="E730" s="16" t="n">
        <f aca="false">D730*(1+g_pic27_A)</f>
        <v>38.8499258192038</v>
      </c>
      <c r="F730" s="16" t="n">
        <f aca="false">E730*(1+g_picL_A)</f>
        <v>41.9579198847401</v>
      </c>
      <c r="G730" s="16" t="n">
        <f aca="false">F730*(1+g_picL_A)</f>
        <v>45.3145534755193</v>
      </c>
    </row>
    <row r="731" customFormat="false" ht="17.15" hidden="false" customHeight="false" outlineLevel="0" collapsed="false">
      <c r="A731" s="4" t="s">
        <v>638</v>
      </c>
      <c r="B731" s="0" t="s">
        <v>301</v>
      </c>
      <c r="C731" s="16" t="n">
        <f aca="false">C728+C729+C730</f>
        <v>595.966</v>
      </c>
      <c r="D731" s="16" t="n">
        <f aca="false">D728+D729+D730</f>
        <v>610.521938056206</v>
      </c>
      <c r="E731" s="16" t="n">
        <f aca="false">E728+E729+E730</f>
        <v>617.175677697424</v>
      </c>
      <c r="F731" s="16" t="n">
        <f aca="false">F728+F729+F730</f>
        <v>634.34058575872</v>
      </c>
      <c r="G731" s="16" t="n">
        <f aca="false">G728+G729+G730</f>
        <v>652.225648744296</v>
      </c>
    </row>
    <row r="732" customFormat="false" ht="17.15" hidden="false" customHeight="false" outlineLevel="0" collapsed="false">
      <c r="A732" s="4" t="s">
        <v>501</v>
      </c>
      <c r="B732" s="0" t="s">
        <v>301</v>
      </c>
      <c r="C732" s="16" t="n">
        <f aca="false">C731+C722</f>
        <v>595.966</v>
      </c>
      <c r="D732" s="16" t="n">
        <f aca="false">D731+D722</f>
        <v>674.521938056206</v>
      </c>
      <c r="E732" s="16" t="n">
        <f aca="false">E731+E722</f>
        <v>955.488739569449</v>
      </c>
      <c r="F732" s="16" t="n">
        <f aca="false">F731+F722</f>
        <v>1196.61029202284</v>
      </c>
      <c r="G732" s="16" t="n">
        <f aca="false">G731+G722</f>
        <v>1286.40819212202</v>
      </c>
      <c r="H732" s="26" t="n">
        <f aca="false">G732*(1+H733)</f>
        <v>1376.49412562599</v>
      </c>
      <c r="I732" s="26" t="n">
        <f aca="false">H732*(1+I733)</f>
        <v>1465.98623196384</v>
      </c>
      <c r="J732" s="26" t="n">
        <f aca="false">I732*(1+J733)</f>
        <v>1553.94540588167</v>
      </c>
      <c r="K732" s="8" t="s">
        <v>639</v>
      </c>
    </row>
    <row r="733" customFormat="false" ht="15" hidden="false" customHeight="false" outlineLevel="0" collapsed="false">
      <c r="A733" s="4" t="s">
        <v>640</v>
      </c>
      <c r="B733" s="0" t="s">
        <v>46</v>
      </c>
      <c r="D733" s="19" t="n">
        <f aca="false">D732/C732-1</f>
        <v>0.131812784716252</v>
      </c>
      <c r="E733" s="19" t="n">
        <f aca="false">E732/D732-1</f>
        <v>0.416542125112958</v>
      </c>
      <c r="F733" s="19" t="n">
        <f aca="false">F732/E732-1</f>
        <v>0.252354153919222</v>
      </c>
      <c r="G733" s="19" t="n">
        <f aca="false">G732/F732-1</f>
        <v>0.0750435632200477</v>
      </c>
      <c r="H733" s="24" t="n">
        <f aca="false">$G733+(fade_gA-$G733)*1/3</f>
        <v>0.0700290421466985</v>
      </c>
      <c r="I733" s="24" t="n">
        <f aca="false">$G733+(fade_gA-$G733)*2/3</f>
        <v>0.0650145210733492</v>
      </c>
      <c r="J733" s="24" t="n">
        <f aca="false">$G733+(fade_gA-$G733)*3/3</f>
        <v>0.06</v>
      </c>
    </row>
    <row r="734" customFormat="false" ht="17.15" hidden="false" customHeight="false" outlineLevel="0" collapsed="false">
      <c r="A734" s="0" t="s">
        <v>641</v>
      </c>
      <c r="B734" s="0" t="s">
        <v>46</v>
      </c>
      <c r="C734" s="19" t="n">
        <f aca="false">C722/C732</f>
        <v>0</v>
      </c>
      <c r="D734" s="19" t="n">
        <f aca="false">D722/D732</f>
        <v>0.0948820140445411</v>
      </c>
      <c r="E734" s="19" t="n">
        <f aca="false">E722/E732</f>
        <v>0.354073311240143</v>
      </c>
      <c r="F734" s="19" t="n">
        <f aca="false">F722/F732</f>
        <v>0.469885400462015</v>
      </c>
      <c r="G734" s="19" t="n">
        <f aca="false">G722/G732</f>
        <v>0.492987021741206</v>
      </c>
    </row>
    <row r="735" customFormat="false" ht="17.15" hidden="false" customHeight="false" outlineLevel="0" collapsed="false">
      <c r="A735" s="4" t="s">
        <v>642</v>
      </c>
      <c r="B735" s="0" t="s">
        <v>46</v>
      </c>
      <c r="C735" s="19" t="n">
        <f aca="false">C728/C732</f>
        <v>0.53</v>
      </c>
      <c r="D735" s="19" t="n">
        <f aca="false">D728/D732</f>
        <v>0.389395431571569</v>
      </c>
      <c r="E735" s="19" t="n">
        <f aca="false">E728/E732</f>
        <v>0.288636106121831</v>
      </c>
      <c r="F735" s="19" t="n">
        <f aca="false">F728/F732</f>
        <v>0.239693819377922</v>
      </c>
      <c r="G735" s="19" t="n">
        <f aca="false">G728/G732</f>
        <v>0.231880437855348</v>
      </c>
    </row>
    <row r="736" customFormat="false" ht="17.15" hidden="false" customHeight="false" outlineLevel="0" collapsed="false">
      <c r="A736" s="6" t="s">
        <v>643</v>
      </c>
    </row>
    <row r="737" customFormat="false" ht="17.15" hidden="false" customHeight="false" outlineLevel="0" collapsed="false">
      <c r="A737" s="0" t="s">
        <v>644</v>
      </c>
      <c r="B737" s="0" t="s">
        <v>301</v>
      </c>
      <c r="D737" s="16" t="n">
        <f aca="false">m_core*D724+m_hbm*D723</f>
        <v>24.9087255420412</v>
      </c>
      <c r="E737" s="16" t="n">
        <f aca="false">m_core*E724+m_hbm*E723</f>
        <v>113.154415653094</v>
      </c>
      <c r="F737" s="16" t="n">
        <f aca="false">m_core*F724+m_hbm*F723</f>
        <v>177.374992356137</v>
      </c>
      <c r="G737" s="16" t="n">
        <f aca="false">m_core*G724+m_hbm*G723</f>
        <v>202.738479326955</v>
      </c>
    </row>
    <row r="738" customFormat="false" ht="17.15" hidden="false" customHeight="false" outlineLevel="0" collapsed="false">
      <c r="A738" s="4" t="s">
        <v>645</v>
      </c>
      <c r="B738" s="0" t="s">
        <v>46</v>
      </c>
      <c r="C738" s="17" t="n">
        <f aca="false">a25_gp/C731</f>
        <v>0.474993539899927</v>
      </c>
      <c r="D738" s="17" t="n">
        <f aca="false">(a26_gp-D737)/D731</f>
        <v>0.462340704042911</v>
      </c>
      <c r="E738" s="17" t="n">
        <f aca="false">$D738+0</f>
        <v>0.462340704042911</v>
      </c>
      <c r="F738" s="17" t="n">
        <f aca="false">$D738+0</f>
        <v>0.462340704042911</v>
      </c>
      <c r="G738" s="17" t="n">
        <f aca="false">$D738+0</f>
        <v>0.462340704042911</v>
      </c>
      <c r="K738" s="8" t="s">
        <v>646</v>
      </c>
    </row>
    <row r="739" customFormat="false" ht="15" hidden="false" customHeight="false" outlineLevel="0" collapsed="false">
      <c r="A739" s="4" t="s">
        <v>517</v>
      </c>
      <c r="B739" s="0" t="s">
        <v>301</v>
      </c>
      <c r="C739" s="16" t="n">
        <f aca="false">a25_gp</f>
        <v>283.08</v>
      </c>
      <c r="D739" s="16" t="n">
        <f aca="false">a26_gp</f>
        <v>307.17786821659</v>
      </c>
      <c r="E739" s="16" t="n">
        <f aca="false">E738*E731+E737</f>
        <v>398.499852997881</v>
      </c>
      <c r="F739" s="16" t="n">
        <f aca="false">F738*F731+F737</f>
        <v>470.656465378816</v>
      </c>
      <c r="G739" s="16" t="n">
        <f aca="false">G738*G731+G737</f>
        <v>504.288944962237</v>
      </c>
    </row>
    <row r="740" customFormat="false" ht="15" hidden="false" customHeight="false" outlineLevel="0" collapsed="false">
      <c r="A740" s="4" t="s">
        <v>520</v>
      </c>
      <c r="B740" s="0" t="s">
        <v>46</v>
      </c>
      <c r="C740" s="17" t="n">
        <f aca="false">C739/C732</f>
        <v>0.474993539899927</v>
      </c>
      <c r="D740" s="17" t="n">
        <f aca="false">D739/D732</f>
        <v>0.455400856348417</v>
      </c>
      <c r="E740" s="17" t="n">
        <f aca="false">E739/E732</f>
        <v>0.417063892534671</v>
      </c>
      <c r="F740" s="17" t="n">
        <f aca="false">F739/F732</f>
        <v>0.393324767901822</v>
      </c>
      <c r="G740" s="17" t="n">
        <f aca="false">G739/G732</f>
        <v>0.392013163512569</v>
      </c>
    </row>
    <row r="741" customFormat="false" ht="15" hidden="false" customHeight="false" outlineLevel="0" collapsed="false">
      <c r="A741" s="4" t="s">
        <v>647</v>
      </c>
      <c r="B741" s="0" t="s">
        <v>301</v>
      </c>
      <c r="C741" s="16" t="n">
        <f aca="false">a25_opx</f>
        <v>179.61</v>
      </c>
      <c r="D741" s="16" t="n">
        <f aca="false">a26_opx</f>
        <v>192.105</v>
      </c>
      <c r="E741" s="16" t="n">
        <f aca="false">D741*(1+MAX(g_opx_min,phi*E733))+0*E732</f>
        <v>216.110947483447</v>
      </c>
      <c r="F741" s="16" t="n">
        <f aca="false">E741*(1+MAX(g_opx_min,phi*F733))+0*F732</f>
        <v>232.471896074908</v>
      </c>
      <c r="G741" s="16" t="n">
        <f aca="false">F741*(1+MAX(g_opx_min,phi*G733))+0*G732</f>
        <v>246.420209839402</v>
      </c>
    </row>
    <row r="742" customFormat="false" ht="15" hidden="false" customHeight="false" outlineLevel="0" collapsed="false">
      <c r="A742" s="4" t="s">
        <v>524</v>
      </c>
      <c r="B742" s="0" t="s">
        <v>301</v>
      </c>
      <c r="C742" s="16" t="n">
        <f aca="false">C739-C741</f>
        <v>103.47</v>
      </c>
      <c r="D742" s="16" t="n">
        <f aca="false">D739-D741</f>
        <v>115.07286821659</v>
      </c>
      <c r="E742" s="16" t="n">
        <f aca="false">E739-E741</f>
        <v>182.388905514434</v>
      </c>
      <c r="F742" s="16" t="n">
        <f aca="false">F739-F741</f>
        <v>238.184569303908</v>
      </c>
      <c r="G742" s="16" t="n">
        <f aca="false">G739-G741</f>
        <v>257.868735122835</v>
      </c>
    </row>
    <row r="743" customFormat="false" ht="15" hidden="false" customHeight="false" outlineLevel="0" collapsed="false">
      <c r="A743" s="4" t="s">
        <v>598</v>
      </c>
      <c r="B743" s="0" t="s">
        <v>46</v>
      </c>
      <c r="C743" s="17" t="n">
        <f aca="false">C742/C732</f>
        <v>0.173617286892205</v>
      </c>
      <c r="D743" s="17" t="n">
        <f aca="false">D742/D732</f>
        <v>0.170599148410502</v>
      </c>
      <c r="E743" s="17" t="n">
        <f aca="false">E742/E732</f>
        <v>0.19088545784079</v>
      </c>
      <c r="F743" s="17" t="n">
        <f aca="false">F742/F732</f>
        <v>0.19904940722285</v>
      </c>
      <c r="G743" s="17" t="n">
        <f aca="false">G742/G732</f>
        <v>0.200456384452483</v>
      </c>
    </row>
    <row r="744" customFormat="false" ht="15" hidden="false" customHeight="false" outlineLevel="0" collapsed="false">
      <c r="A744" s="4" t="s">
        <v>526</v>
      </c>
      <c r="B744" s="0" t="s">
        <v>301</v>
      </c>
      <c r="C744" s="16" t="n">
        <f aca="false">a25_nonop</f>
        <v>21.418</v>
      </c>
      <c r="D744" s="16" t="n">
        <f aca="false">a26_nonop</f>
        <v>18.823</v>
      </c>
      <c r="E744" s="16" t="n">
        <f aca="false">nonop_f</f>
        <v>18</v>
      </c>
      <c r="F744" s="16" t="n">
        <f aca="false">nonop_f</f>
        <v>18</v>
      </c>
      <c r="G744" s="16" t="n">
        <f aca="false">nonop_f</f>
        <v>18</v>
      </c>
    </row>
    <row r="745" customFormat="false" ht="15" hidden="false" customHeight="false" outlineLevel="0" collapsed="false">
      <c r="A745" s="4" t="s">
        <v>528</v>
      </c>
      <c r="B745" s="0" t="s">
        <v>301</v>
      </c>
      <c r="C745" s="16" t="n">
        <f aca="false">C742+C744</f>
        <v>124.888</v>
      </c>
      <c r="D745" s="16" t="n">
        <f aca="false">D742+D744</f>
        <v>133.89586821659</v>
      </c>
      <c r="E745" s="16" t="n">
        <f aca="false">E742+E744</f>
        <v>200.388905514434</v>
      </c>
      <c r="F745" s="16" t="n">
        <f aca="false">F742+F744</f>
        <v>256.184569303908</v>
      </c>
      <c r="G745" s="16" t="n">
        <f aca="false">G742+G744</f>
        <v>275.868735122835</v>
      </c>
    </row>
    <row r="746" customFormat="false" ht="15" hidden="false" customHeight="false" outlineLevel="0" collapsed="false">
      <c r="A746" s="4" t="s">
        <v>529</v>
      </c>
      <c r="B746" s="0" t="s">
        <v>301</v>
      </c>
      <c r="C746" s="16" t="n">
        <f aca="false">a25_tax</f>
        <v>18.77</v>
      </c>
      <c r="D746" s="16" t="n">
        <f aca="false">a26_tax</f>
        <v>16.2589328681567</v>
      </c>
      <c r="E746" s="16" t="n">
        <f aca="false">E745*tax</f>
        <v>28.0544467720207</v>
      </c>
      <c r="F746" s="16" t="n">
        <f aca="false">F745*tax</f>
        <v>35.8658397025472</v>
      </c>
      <c r="G746" s="16" t="n">
        <f aca="false">G745*tax</f>
        <v>38.621622917197</v>
      </c>
    </row>
    <row r="747" customFormat="false" ht="15" hidden="false" customHeight="false" outlineLevel="0" collapsed="false">
      <c r="A747" s="4" t="s">
        <v>530</v>
      </c>
      <c r="B747" s="0" t="s">
        <v>301</v>
      </c>
      <c r="C747" s="16" t="n">
        <f aca="false">a25_nci</f>
        <v>0.798</v>
      </c>
      <c r="D747" s="16" t="n">
        <f aca="false">a26_nci</f>
        <v>0.992</v>
      </c>
      <c r="E747" s="16" t="n">
        <f aca="false">nci</f>
        <v>1</v>
      </c>
      <c r="F747" s="16" t="n">
        <f aca="false">nci</f>
        <v>1</v>
      </c>
      <c r="G747" s="16" t="n">
        <f aca="false">nci</f>
        <v>1</v>
      </c>
    </row>
    <row r="748" customFormat="false" ht="15" hidden="false" customHeight="false" outlineLevel="0" collapsed="false">
      <c r="A748" s="4" t="s">
        <v>532</v>
      </c>
      <c r="B748" s="0" t="s">
        <v>301</v>
      </c>
      <c r="C748" s="16" t="n">
        <f aca="false">C745-C746-C747</f>
        <v>105.32</v>
      </c>
      <c r="D748" s="16" t="n">
        <f aca="false">D745-D746-D747</f>
        <v>116.644935348433</v>
      </c>
      <c r="E748" s="16" t="n">
        <f aca="false">E745-E746-E747</f>
        <v>171.334458742413</v>
      </c>
      <c r="F748" s="16" t="n">
        <f aca="false">F745-F746-F747</f>
        <v>219.318729601361</v>
      </c>
      <c r="G748" s="16" t="n">
        <f aca="false">G745-G746-G747</f>
        <v>236.247112205638</v>
      </c>
      <c r="H748" s="26" t="n">
        <f aca="false">H732*H752</f>
        <v>257.128578014738</v>
      </c>
      <c r="I748" s="26" t="n">
        <f aca="false">I732*I752</f>
        <v>278.464964126445</v>
      </c>
      <c r="J748" s="26" t="n">
        <f aca="false">J732*J752</f>
        <v>300.069314417308</v>
      </c>
    </row>
    <row r="749" customFormat="false" ht="15" hidden="false" customHeight="false" outlineLevel="0" collapsed="false">
      <c r="A749" s="4" t="s">
        <v>648</v>
      </c>
      <c r="B749" s="4" t="s">
        <v>346</v>
      </c>
      <c r="C749" s="18" t="n">
        <f aca="false">a25_sh</f>
        <v>1.59188331318017</v>
      </c>
      <c r="D749" s="18" t="n">
        <f aca="false">a26_sh</f>
        <v>1.59250890647703</v>
      </c>
      <c r="E749" s="18" t="n">
        <f aca="false">D749*(1+sh_g)</f>
        <v>1.59250890647703</v>
      </c>
      <c r="F749" s="18" t="n">
        <f aca="false">E749*(1+sh_g)</f>
        <v>1.59250890647703</v>
      </c>
      <c r="G749" s="18" t="n">
        <f aca="false">F749*(1+sh_g)</f>
        <v>1.59250890647703</v>
      </c>
      <c r="H749" s="28" t="n">
        <f aca="false">G749*(1+sh_g)</f>
        <v>1.59250890647703</v>
      </c>
      <c r="I749" s="28" t="n">
        <f aca="false">H749*(1+sh_g)</f>
        <v>1.59250890647703</v>
      </c>
      <c r="J749" s="28" t="n">
        <f aca="false">I749*(1+sh_g)</f>
        <v>1.59250890647703</v>
      </c>
    </row>
    <row r="750" customFormat="false" ht="17.15" hidden="false" customHeight="false" outlineLevel="0" collapsed="false">
      <c r="A750" s="0" t="s">
        <v>537</v>
      </c>
      <c r="B750" s="0" t="s">
        <v>403</v>
      </c>
      <c r="C750" s="16" t="n">
        <f aca="false">C748/C749</f>
        <v>66.1606281867469</v>
      </c>
      <c r="D750" s="16" t="n">
        <f aca="false">D748/D749</f>
        <v>73.2460175726595</v>
      </c>
      <c r="E750" s="16" t="n">
        <f aca="false">E748/E749</f>
        <v>107.587755425143</v>
      </c>
      <c r="F750" s="16" t="n">
        <f aca="false">F748/F749</f>
        <v>137.718997180707</v>
      </c>
      <c r="G750" s="16" t="n">
        <f aca="false">G748/G749</f>
        <v>148.349005298983</v>
      </c>
      <c r="H750" s="26" t="n">
        <f aca="false">H748/H749</f>
        <v>161.461312378818</v>
      </c>
      <c r="I750" s="26" t="n">
        <f aca="false">I748/I749</f>
        <v>174.859282101266</v>
      </c>
      <c r="J750" s="26" t="n">
        <f aca="false">J748/J749</f>
        <v>188.425517243182</v>
      </c>
    </row>
    <row r="751" customFormat="false" ht="17.15" hidden="false" customHeight="false" outlineLevel="0" collapsed="false">
      <c r="A751" s="0" t="s">
        <v>649</v>
      </c>
      <c r="B751" s="0" t="s">
        <v>46</v>
      </c>
      <c r="D751" s="19" t="n">
        <f aca="false">D750/C750-1</f>
        <v>0.107093744120947</v>
      </c>
      <c r="E751" s="19" t="n">
        <f aca="false">E750/D750-1</f>
        <v>0.468854676207031</v>
      </c>
      <c r="F751" s="19" t="n">
        <f aca="false">F750/E750-1</f>
        <v>0.280061998100968</v>
      </c>
      <c r="G751" s="19" t="n">
        <f aca="false">G750/F750-1</f>
        <v>0.0771862149440987</v>
      </c>
      <c r="H751" s="24" t="n">
        <f aca="false">H750/G750-1</f>
        <v>0.0883882372747205</v>
      </c>
      <c r="I751" s="24" t="n">
        <f aca="false">I750/H750-1</f>
        <v>0.0829794427225599</v>
      </c>
      <c r="J751" s="24" t="n">
        <f aca="false">J750/I750-1</f>
        <v>0.0775837289212902</v>
      </c>
    </row>
    <row r="752" customFormat="false" ht="17.15" hidden="false" customHeight="false" outlineLevel="0" collapsed="false">
      <c r="A752" s="4" t="s">
        <v>650</v>
      </c>
      <c r="B752" s="0" t="s">
        <v>46</v>
      </c>
      <c r="C752" s="17" t="n">
        <f aca="false">C748/C732</f>
        <v>0.176721490823302</v>
      </c>
      <c r="D752" s="17" t="n">
        <f aca="false">D748/D732</f>
        <v>0.172929787405541</v>
      </c>
      <c r="E752" s="17" t="n">
        <f aca="false">E748/E732</f>
        <v>0.17931604177734</v>
      </c>
      <c r="F752" s="17" t="n">
        <f aca="false">F748/F732</f>
        <v>0.183283338830897</v>
      </c>
      <c r="G752" s="17" t="n">
        <f aca="false">G748/G732</f>
        <v>0.183648637852603</v>
      </c>
      <c r="H752" s="25" t="n">
        <f aca="false">$G752+(fade_mA-$G752)*1/3</f>
        <v>0.186799618848939</v>
      </c>
      <c r="I752" s="25" t="n">
        <f aca="false">$G752+(fade_mA-$G752)*2/3</f>
        <v>0.189950599845274</v>
      </c>
      <c r="J752" s="25" t="n">
        <f aca="false">$G752+(fade_mA-$G752)*3/3</f>
        <v>0.19310158084161</v>
      </c>
    </row>
    <row r="755" customFormat="false" ht="17.15" hidden="false" customHeight="false" outlineLevel="0" collapsed="false">
      <c r="A755" s="1" t="s">
        <v>948</v>
      </c>
    </row>
    <row r="756" customFormat="false" ht="17.15" hidden="false" customHeight="false" outlineLevel="0" collapsed="false">
      <c r="A756" s="5" t="s">
        <v>22</v>
      </c>
      <c r="B756" s="5" t="s">
        <v>23</v>
      </c>
      <c r="C756" s="14" t="s">
        <v>494</v>
      </c>
      <c r="D756" s="14" t="s">
        <v>587</v>
      </c>
      <c r="E756" s="14" t="s">
        <v>588</v>
      </c>
      <c r="F756" s="14" t="s">
        <v>589</v>
      </c>
      <c r="G756" s="14" t="s">
        <v>590</v>
      </c>
      <c r="H756" s="14" t="s">
        <v>591</v>
      </c>
      <c r="I756" s="14" t="s">
        <v>592</v>
      </c>
      <c r="J756" s="14" t="s">
        <v>593</v>
      </c>
      <c r="K756" s="5" t="s">
        <v>557</v>
      </c>
    </row>
    <row r="757" customFormat="false" ht="17.15" hidden="false" customHeight="false" outlineLevel="0" collapsed="false">
      <c r="A757" s="6" t="s">
        <v>609</v>
      </c>
    </row>
    <row r="758" customFormat="false" ht="17.15" hidden="false" customHeight="false" outlineLevel="0" collapsed="false">
      <c r="A758" s="0" t="s">
        <v>610</v>
      </c>
      <c r="B758" s="4" t="s">
        <v>33</v>
      </c>
      <c r="D758" s="20" t="n">
        <f aca="false">u_tpu_26</f>
        <v>3.85</v>
      </c>
      <c r="E758" s="20" t="n">
        <f aca="false">u_tpu_27</f>
        <v>5.5</v>
      </c>
      <c r="F758" s="20" t="n">
        <f aca="false">u_tpu_28*um28_A</f>
        <v>7</v>
      </c>
      <c r="G758" s="20" t="n">
        <f aca="false">u_tpu_28*(1+g29_tpu)*um29_A</f>
        <v>8.05</v>
      </c>
    </row>
    <row r="759" customFormat="false" ht="17.15" hidden="false" customHeight="false" outlineLevel="0" collapsed="false">
      <c r="A759" s="4" t="s">
        <v>611</v>
      </c>
      <c r="B759" s="4" t="s">
        <v>33</v>
      </c>
      <c r="D759" s="20" t="n">
        <f aca="false">u_oth_26</f>
        <v>1</v>
      </c>
      <c r="E759" s="20" t="n">
        <f aca="false">u_oth_27</f>
        <v>4.5</v>
      </c>
      <c r="F759" s="20" t="n">
        <f aca="false">u_oth_28*um28_A</f>
        <v>5</v>
      </c>
      <c r="G759" s="20" t="n">
        <f aca="false">u_oth_28*(1+g29_oth)*um29_A</f>
        <v>5.75</v>
      </c>
    </row>
    <row r="760" customFormat="false" ht="17.15" hidden="false" customHeight="false" outlineLevel="0" collapsed="false">
      <c r="A760" s="4" t="s">
        <v>561</v>
      </c>
      <c r="B760" s="0" t="s">
        <v>46</v>
      </c>
      <c r="D760" s="19" t="n">
        <f aca="false">mtk_tpu_26</f>
        <v>0.05</v>
      </c>
      <c r="E760" s="19" t="n">
        <f aca="false">MIN(1,MAX(0,mtk_tpu_27+0))</f>
        <v>0.15</v>
      </c>
      <c r="F760" s="19" t="n">
        <f aca="false">MIN(1,MAX(0,mtk_tpu_28+0))</f>
        <v>0.18</v>
      </c>
      <c r="G760" s="19" t="n">
        <f aca="false">MIN(1,MAX(0,mtk_tpu_28+0))</f>
        <v>0.18</v>
      </c>
    </row>
    <row r="761" customFormat="false" ht="17.15" hidden="false" customHeight="false" outlineLevel="0" collapsed="false">
      <c r="A761" s="4" t="s">
        <v>612</v>
      </c>
      <c r="B761" s="0" t="s">
        <v>46</v>
      </c>
      <c r="D761" s="19" t="n">
        <f aca="false">mtk_oth_26</f>
        <v>0</v>
      </c>
      <c r="E761" s="19" t="n">
        <f aca="false">MIN(1,MAX(0,mtk_oth_27+0))</f>
        <v>0</v>
      </c>
      <c r="F761" s="19" t="n">
        <f aca="false">MIN(1,MAX(0,mtk_oth_28+0))</f>
        <v>0</v>
      </c>
      <c r="G761" s="19" t="n">
        <f aca="false">MIN(1,MAX(0,mtk_oth_28+0))</f>
        <v>0</v>
      </c>
    </row>
    <row r="762" customFormat="false" ht="17.15" hidden="false" customHeight="false" outlineLevel="0" collapsed="false">
      <c r="A762" s="4" t="s">
        <v>563</v>
      </c>
      <c r="B762" s="4" t="s">
        <v>33</v>
      </c>
      <c r="D762" s="20" t="n">
        <f aca="false">D758*D760</f>
        <v>0.1925</v>
      </c>
      <c r="E762" s="20" t="n">
        <f aca="false">E758*E760*1</f>
        <v>0.825</v>
      </c>
      <c r="F762" s="20" t="n">
        <f aca="false">F758*F760*1</f>
        <v>1.26</v>
      </c>
      <c r="G762" s="20" t="n">
        <f aca="false">G758*G760*1</f>
        <v>1.449</v>
      </c>
    </row>
    <row r="763" customFormat="false" ht="17.15" hidden="false" customHeight="false" outlineLevel="0" collapsed="false">
      <c r="A763" s="4" t="s">
        <v>613</v>
      </c>
      <c r="B763" s="4" t="s">
        <v>33</v>
      </c>
      <c r="D763" s="20" t="n">
        <f aca="false">D759*D761</f>
        <v>0</v>
      </c>
      <c r="E763" s="20" t="n">
        <f aca="false">E759*E761*1</f>
        <v>0</v>
      </c>
      <c r="F763" s="20" t="n">
        <f aca="false">F759*F761*1</f>
        <v>0</v>
      </c>
      <c r="G763" s="20" t="n">
        <f aca="false">G759*G761*1</f>
        <v>0</v>
      </c>
    </row>
    <row r="764" customFormat="false" ht="17.15" hidden="false" customHeight="false" outlineLevel="0" collapsed="false">
      <c r="A764" s="4" t="s">
        <v>614</v>
      </c>
      <c r="B764" s="0" t="s">
        <v>102</v>
      </c>
      <c r="D764" s="27" t="n">
        <f aca="false">gb_tpu_26</f>
        <v>192</v>
      </c>
      <c r="E764" s="27" t="n">
        <f aca="false">gb_tpu_27</f>
        <v>250</v>
      </c>
      <c r="F764" s="27" t="n">
        <f aca="false">gb_tpu_28</f>
        <v>288</v>
      </c>
      <c r="G764" s="27" t="n">
        <f aca="false">gb_tpu_28</f>
        <v>288</v>
      </c>
    </row>
    <row r="765" customFormat="false" ht="17.15" hidden="false" customHeight="false" outlineLevel="0" collapsed="false">
      <c r="A765" s="4" t="s">
        <v>615</v>
      </c>
      <c r="B765" s="0" t="s">
        <v>102</v>
      </c>
      <c r="D765" s="27" t="n">
        <f aca="false">gb_oth_26</f>
        <v>150</v>
      </c>
      <c r="E765" s="27" t="n">
        <f aca="false">gb_oth_27</f>
        <v>200</v>
      </c>
      <c r="F765" s="27" t="n">
        <f aca="false">gb_oth_28</f>
        <v>250</v>
      </c>
      <c r="G765" s="27" t="n">
        <f aca="false">gb_oth_28</f>
        <v>250</v>
      </c>
    </row>
    <row r="766" customFormat="false" ht="17.15" hidden="false" customHeight="false" outlineLevel="0" collapsed="false">
      <c r="A766" s="0" t="s">
        <v>616</v>
      </c>
      <c r="B766" s="0" t="s">
        <v>194</v>
      </c>
      <c r="D766" s="16" t="n">
        <f aca="false">hbm_A_26</f>
        <v>14.6</v>
      </c>
      <c r="E766" s="16" t="n">
        <f aca="false">hbm_A_27</f>
        <v>26.28</v>
      </c>
      <c r="F766" s="16" t="n">
        <f aca="false">hbm_A_28</f>
        <v>28.908</v>
      </c>
      <c r="G766" s="16" t="n">
        <f aca="false">hbm_A_29</f>
        <v>27.4626</v>
      </c>
    </row>
    <row r="767" customFormat="false" ht="17.15" hidden="false" customHeight="false" outlineLevel="0" collapsed="false">
      <c r="A767" s="4" t="s">
        <v>617</v>
      </c>
      <c r="B767" s="0" t="s">
        <v>86</v>
      </c>
      <c r="D767" s="16" t="n">
        <f aca="false">core_tpu</f>
        <v>8</v>
      </c>
      <c r="E767" s="16" t="n">
        <f aca="false">core_tpu</f>
        <v>8</v>
      </c>
      <c r="F767" s="16" t="n">
        <f aca="false">core_tpu*1</f>
        <v>8</v>
      </c>
      <c r="G767" s="16" t="n">
        <f aca="false">core_tpu*1</f>
        <v>8</v>
      </c>
    </row>
    <row r="768" customFormat="false" ht="17.15" hidden="false" customHeight="false" outlineLevel="0" collapsed="false">
      <c r="A768" s="4" t="s">
        <v>618</v>
      </c>
      <c r="B768" s="0" t="s">
        <v>86</v>
      </c>
      <c r="D768" s="16" t="n">
        <f aca="false">core_oth</f>
        <v>6</v>
      </c>
      <c r="E768" s="16" t="n">
        <f aca="false">core_oth</f>
        <v>6</v>
      </c>
      <c r="F768" s="16" t="n">
        <f aca="false">core_oth*1</f>
        <v>6</v>
      </c>
      <c r="G768" s="16" t="n">
        <f aca="false">core_oth*1</f>
        <v>6</v>
      </c>
    </row>
    <row r="769" customFormat="false" ht="17.15" hidden="false" customHeight="false" outlineLevel="0" collapsed="false">
      <c r="A769" s="4" t="s">
        <v>619</v>
      </c>
      <c r="B769" s="0" t="s">
        <v>86</v>
      </c>
      <c r="D769" s="16" t="n">
        <f aca="false">D764*D766/1000</f>
        <v>2.8032</v>
      </c>
      <c r="E769" s="16" t="n">
        <f aca="false">E764*E766/1000</f>
        <v>6.57</v>
      </c>
      <c r="F769" s="16" t="n">
        <f aca="false">F764*F766/1000</f>
        <v>8.325504</v>
      </c>
      <c r="G769" s="16" t="n">
        <f aca="false">G764*G766/1000</f>
        <v>7.9092288</v>
      </c>
    </row>
    <row r="770" customFormat="false" ht="17.15" hidden="false" customHeight="false" outlineLevel="0" collapsed="false">
      <c r="A770" s="4" t="s">
        <v>620</v>
      </c>
      <c r="B770" s="0" t="s">
        <v>86</v>
      </c>
      <c r="D770" s="16" t="n">
        <f aca="false">D765*D766/1000</f>
        <v>2.19</v>
      </c>
      <c r="E770" s="16" t="n">
        <f aca="false">E765*E766/1000</f>
        <v>5.256</v>
      </c>
      <c r="F770" s="16" t="n">
        <f aca="false">F765*F766/1000</f>
        <v>7.227</v>
      </c>
      <c r="G770" s="16" t="n">
        <f aca="false">G765*G766/1000</f>
        <v>6.86565</v>
      </c>
    </row>
    <row r="771" customFormat="false" ht="17.15" hidden="false" customHeight="false" outlineLevel="0" collapsed="false">
      <c r="A771" s="4" t="s">
        <v>621</v>
      </c>
      <c r="B771" s="0" t="s">
        <v>86</v>
      </c>
      <c r="D771" s="16" t="n">
        <f aca="false">D767+f_hbm*D769</f>
        <v>9.68192</v>
      </c>
      <c r="E771" s="16" t="n">
        <f aca="false">E767+f_hbm*E769</f>
        <v>11.942</v>
      </c>
      <c r="F771" s="16" t="n">
        <f aca="false">F767+f_hbm*F769</f>
        <v>12.9953024</v>
      </c>
      <c r="G771" s="16" t="n">
        <f aca="false">G767+f_hbm*G769</f>
        <v>12.74553728</v>
      </c>
      <c r="K771" s="4" t="s">
        <v>622</v>
      </c>
    </row>
    <row r="772" customFormat="false" ht="17.15" hidden="false" customHeight="false" outlineLevel="0" collapsed="false">
      <c r="A772" s="4" t="s">
        <v>623</v>
      </c>
      <c r="B772" s="0" t="s">
        <v>86</v>
      </c>
      <c r="D772" s="16" t="n">
        <f aca="false">D768+f_hbm*D770</f>
        <v>7.314</v>
      </c>
      <c r="E772" s="16" t="n">
        <f aca="false">E768+f_hbm*E770</f>
        <v>9.1536</v>
      </c>
      <c r="F772" s="16" t="n">
        <f aca="false">F768+f_hbm*F770</f>
        <v>10.3362</v>
      </c>
      <c r="G772" s="16" t="n">
        <f aca="false">G768+f_hbm*G770</f>
        <v>10.11939</v>
      </c>
    </row>
    <row r="773" customFormat="false" ht="17.15" hidden="false" customHeight="false" outlineLevel="0" collapsed="false">
      <c r="A773" s="0" t="s">
        <v>624</v>
      </c>
      <c r="B773" s="0" t="s">
        <v>279</v>
      </c>
      <c r="D773" s="16" t="n">
        <f aca="false">D762*D771+D763*D772</f>
        <v>1.8637696</v>
      </c>
      <c r="E773" s="16" t="n">
        <f aca="false">E762*E771+E763*E772</f>
        <v>9.85215</v>
      </c>
      <c r="F773" s="16" t="n">
        <f aca="false">F762*F771+F763*F772</f>
        <v>16.374081024</v>
      </c>
      <c r="G773" s="16" t="n">
        <f aca="false">G762*G771+G763*G772</f>
        <v>18.46828351872</v>
      </c>
    </row>
    <row r="774" customFormat="false" ht="17.15" hidden="false" customHeight="false" outlineLevel="0" collapsed="false">
      <c r="A774" s="0" t="s">
        <v>625</v>
      </c>
      <c r="B774" s="0" t="s">
        <v>65</v>
      </c>
      <c r="D774" s="20" t="n">
        <f aca="false">dc26/D773</f>
        <v>1.07309401333727</v>
      </c>
      <c r="K774" s="8" t="s">
        <v>626</v>
      </c>
    </row>
    <row r="775" customFormat="false" ht="17.15" hidden="false" customHeight="false" outlineLevel="0" collapsed="false">
      <c r="A775" s="0" t="s">
        <v>627</v>
      </c>
      <c r="B775" s="0" t="s">
        <v>279</v>
      </c>
      <c r="D775" s="16" t="n">
        <f aca="false">D773*$D$774</f>
        <v>2</v>
      </c>
      <c r="E775" s="16" t="n">
        <f aca="false">E773*$D$774</f>
        <v>10.5722831835008</v>
      </c>
      <c r="F775" s="16" t="n">
        <f aca="false">F773*$D$774</f>
        <v>17.5709283207538</v>
      </c>
      <c r="G775" s="16" t="n">
        <f aca="false">G773*$D$774</f>
        <v>19.8182044805538</v>
      </c>
    </row>
    <row r="776" customFormat="false" ht="15" hidden="false" customHeight="false" outlineLevel="0" collapsed="false">
      <c r="A776" s="4" t="s">
        <v>628</v>
      </c>
      <c r="B776" s="0" t="s">
        <v>288</v>
      </c>
      <c r="D776" s="16" t="n">
        <f aca="false">fx26</f>
        <v>32</v>
      </c>
      <c r="E776" s="16" t="n">
        <f aca="false">fx</f>
        <v>32</v>
      </c>
      <c r="F776" s="16" t="n">
        <f aca="false">fx</f>
        <v>32</v>
      </c>
      <c r="G776" s="16" t="n">
        <f aca="false">fx</f>
        <v>32</v>
      </c>
    </row>
    <row r="777" customFormat="false" ht="17.15" hidden="false" customHeight="false" outlineLevel="0" collapsed="false">
      <c r="A777" s="0" t="s">
        <v>629</v>
      </c>
      <c r="B777" s="0" t="s">
        <v>301</v>
      </c>
      <c r="C777" s="16" t="n">
        <f aca="false">a25_asic</f>
        <v>0</v>
      </c>
      <c r="D777" s="16" t="n">
        <f aca="false">D775*D776</f>
        <v>64</v>
      </c>
      <c r="E777" s="16" t="n">
        <f aca="false">E775*E776</f>
        <v>338.313061872025</v>
      </c>
      <c r="F777" s="16" t="n">
        <f aca="false">F775*F776</f>
        <v>562.269706264122</v>
      </c>
      <c r="G777" s="16" t="n">
        <f aca="false">G775*G776</f>
        <v>634.182543377722</v>
      </c>
    </row>
    <row r="778" customFormat="false" ht="17.15" hidden="false" customHeight="false" outlineLevel="0" collapsed="false">
      <c r="A778" s="4" t="s">
        <v>630</v>
      </c>
      <c r="B778" s="0" t="s">
        <v>301</v>
      </c>
      <c r="D778" s="16" t="n">
        <f aca="false">$D$774*f_hbm*(D762*D769+D763*D770)*D776</f>
        <v>11.1179270227393</v>
      </c>
      <c r="E778" s="16" t="n">
        <f aca="false">$D$774*f_hbm*(E762*E769+E763*E770)*E776</f>
        <v>111.675606255194</v>
      </c>
      <c r="F778" s="16" t="n">
        <f aca="false">$D$774*f_hbm*(F762*F769+F763*F770)*F776</f>
        <v>216.132501322052</v>
      </c>
      <c r="G778" s="16" t="n">
        <f aca="false">$D$774*f_hbm*(G762*G769+G763*G770)*G776</f>
        <v>236.124757694342</v>
      </c>
    </row>
    <row r="779" customFormat="false" ht="15" hidden="false" customHeight="false" outlineLevel="0" collapsed="false">
      <c r="A779" s="4" t="s">
        <v>631</v>
      </c>
      <c r="B779" s="0" t="s">
        <v>301</v>
      </c>
      <c r="D779" s="16" t="n">
        <f aca="false">D777-D778</f>
        <v>52.8820729772607</v>
      </c>
      <c r="E779" s="16" t="n">
        <f aca="false">E777-E778</f>
        <v>226.637455616832</v>
      </c>
      <c r="F779" s="16" t="n">
        <f aca="false">F777-F778</f>
        <v>346.13720494207</v>
      </c>
      <c r="G779" s="16" t="n">
        <f aca="false">G777-G778</f>
        <v>398.057785683381</v>
      </c>
    </row>
    <row r="780" customFormat="false" ht="17.15" hidden="false" customHeight="false" outlineLevel="0" collapsed="false">
      <c r="A780" s="4" t="s">
        <v>632</v>
      </c>
      <c r="B780" s="4" t="s">
        <v>33</v>
      </c>
      <c r="D780" s="20" t="n">
        <f aca="false">D762+D763</f>
        <v>0.1925</v>
      </c>
      <c r="E780" s="20" t="n">
        <f aca="false">E762+E763</f>
        <v>0.825</v>
      </c>
      <c r="F780" s="20" t="n">
        <f aca="false">F762+F763</f>
        <v>1.26</v>
      </c>
      <c r="G780" s="20" t="n">
        <f aca="false">G762+G763</f>
        <v>1.449</v>
      </c>
    </row>
    <row r="781" customFormat="false" ht="17.15" hidden="false" customHeight="false" outlineLevel="0" collapsed="false">
      <c r="A781" s="4" t="s">
        <v>633</v>
      </c>
      <c r="B781" s="0" t="s">
        <v>86</v>
      </c>
      <c r="D781" s="16" t="n">
        <f aca="false">IF(D780&gt;0,D775/D780,0)</f>
        <v>10.3896103896104</v>
      </c>
      <c r="E781" s="16" t="n">
        <f aca="false">IF(E780&gt;0,E775/E780,0)</f>
        <v>12.8148887072737</v>
      </c>
      <c r="F781" s="16" t="n">
        <f aca="false">IF(F780&gt;0,F775/F780,0)</f>
        <v>13.9451812069475</v>
      </c>
      <c r="G781" s="16" t="n">
        <f aca="false">IF(G780&gt;0,G775/G780,0)</f>
        <v>13.677159751935</v>
      </c>
    </row>
    <row r="782" customFormat="false" ht="17.15" hidden="false" customHeight="false" outlineLevel="0" collapsed="false">
      <c r="A782" s="6" t="s">
        <v>634</v>
      </c>
    </row>
    <row r="783" customFormat="false" ht="15" hidden="false" customHeight="false" outlineLevel="0" collapsed="false">
      <c r="A783" s="4" t="s">
        <v>635</v>
      </c>
      <c r="B783" s="0" t="s">
        <v>301</v>
      </c>
      <c r="C783" s="16" t="n">
        <f aca="false">a25_mob</f>
        <v>315.86198</v>
      </c>
      <c r="D783" s="16" t="n">
        <f aca="false">a26_mob</f>
        <v>262.655761173888</v>
      </c>
      <c r="E783" s="16" t="n">
        <f aca="false">D783*(1+g_mob27_A)</f>
        <v>275.788549232582</v>
      </c>
      <c r="F783" s="16" t="n">
        <f aca="false">E783*(1+g_mobL_A)</f>
        <v>286.820091201885</v>
      </c>
      <c r="G783" s="16" t="n">
        <f aca="false">F783*(1+g_mobL_A)</f>
        <v>298.292894849961</v>
      </c>
    </row>
    <row r="784" customFormat="false" ht="17.15" hidden="false" customHeight="false" outlineLevel="0" collapsed="false">
      <c r="A784" s="4" t="s">
        <v>636</v>
      </c>
      <c r="B784" s="0" t="s">
        <v>301</v>
      </c>
      <c r="C784" s="16" t="n">
        <f aca="false">a25_sepx</f>
        <v>247.32589</v>
      </c>
      <c r="D784" s="16" t="n">
        <f aca="false">a26_sepx</f>
        <v>311.894023346019</v>
      </c>
      <c r="E784" s="16" t="n">
        <f aca="false">D784*(1+g_sep27_A)</f>
        <v>336.8455452137</v>
      </c>
      <c r="F784" s="16" t="n">
        <f aca="false">E784*(1+g_sepL_A)</f>
        <v>360.424733378659</v>
      </c>
      <c r="G784" s="16" t="n">
        <f aca="false">F784*(1+g_sepL_A)</f>
        <v>385.654464715166</v>
      </c>
    </row>
    <row r="785" customFormat="false" ht="17.15" hidden="false" customHeight="false" outlineLevel="0" collapsed="false">
      <c r="A785" s="4" t="s">
        <v>637</v>
      </c>
      <c r="B785" s="0" t="s">
        <v>301</v>
      </c>
      <c r="C785" s="16" t="n">
        <f aca="false">a25_pic</f>
        <v>32.77813</v>
      </c>
      <c r="D785" s="16" t="n">
        <f aca="false">a26_pic</f>
        <v>35.9721535362998</v>
      </c>
      <c r="E785" s="16" t="n">
        <f aca="false">D785*(1+g_pic27_A)</f>
        <v>38.8499258192038</v>
      </c>
      <c r="F785" s="16" t="n">
        <f aca="false">E785*(1+g_picL_A)</f>
        <v>41.9579198847401</v>
      </c>
      <c r="G785" s="16" t="n">
        <f aca="false">F785*(1+g_picL_A)</f>
        <v>45.3145534755193</v>
      </c>
    </row>
    <row r="786" customFormat="false" ht="17.15" hidden="false" customHeight="false" outlineLevel="0" collapsed="false">
      <c r="A786" s="4" t="s">
        <v>638</v>
      </c>
      <c r="B786" s="0" t="s">
        <v>301</v>
      </c>
      <c r="C786" s="16" t="n">
        <f aca="false">C783+C784+C785</f>
        <v>595.966</v>
      </c>
      <c r="D786" s="16" t="n">
        <f aca="false">D783+D784+D785</f>
        <v>610.521938056206</v>
      </c>
      <c r="E786" s="16" t="n">
        <f aca="false">E783+E784+E785</f>
        <v>651.484020265486</v>
      </c>
      <c r="F786" s="16" t="n">
        <f aca="false">F783+F784+F785</f>
        <v>689.202744465285</v>
      </c>
      <c r="G786" s="16" t="n">
        <f aca="false">G783+G784+G785</f>
        <v>729.261913040646</v>
      </c>
    </row>
    <row r="787" customFormat="false" ht="17.15" hidden="false" customHeight="false" outlineLevel="0" collapsed="false">
      <c r="A787" s="4" t="s">
        <v>501</v>
      </c>
      <c r="B787" s="0" t="s">
        <v>301</v>
      </c>
      <c r="C787" s="16" t="n">
        <f aca="false">C786+C777</f>
        <v>595.966</v>
      </c>
      <c r="D787" s="16" t="n">
        <f aca="false">D786+D777</f>
        <v>674.521938056206</v>
      </c>
      <c r="E787" s="16" t="n">
        <f aca="false">E786+E777</f>
        <v>989.797082137512</v>
      </c>
      <c r="F787" s="16" t="n">
        <f aca="false">F786+F777</f>
        <v>1251.47245072941</v>
      </c>
      <c r="G787" s="16" t="n">
        <f aca="false">G786+G777</f>
        <v>1363.44445641837</v>
      </c>
      <c r="H787" s="26" t="n">
        <f aca="false">G787*(1+H788)</f>
        <v>1472.04027119696</v>
      </c>
      <c r="I787" s="26" t="n">
        <f aca="false">H787*(1+I788)</f>
        <v>1574.8241140449</v>
      </c>
      <c r="J787" s="26" t="n">
        <f aca="false">I787*(1+J788)</f>
        <v>1669.3135608876</v>
      </c>
      <c r="K787" s="8" t="s">
        <v>639</v>
      </c>
    </row>
    <row r="788" customFormat="false" ht="15" hidden="false" customHeight="false" outlineLevel="0" collapsed="false">
      <c r="A788" s="4" t="s">
        <v>640</v>
      </c>
      <c r="B788" s="0" t="s">
        <v>46</v>
      </c>
      <c r="D788" s="19" t="n">
        <f aca="false">D787/C787-1</f>
        <v>0.131812784716252</v>
      </c>
      <c r="E788" s="19" t="n">
        <f aca="false">E787/D787-1</f>
        <v>0.467405322634643</v>
      </c>
      <c r="F788" s="19" t="n">
        <f aca="false">F787/E787-1</f>
        <v>0.264372741963227</v>
      </c>
      <c r="G788" s="19" t="n">
        <f aca="false">G787/F787-1</f>
        <v>0.0894722098146863</v>
      </c>
      <c r="H788" s="24" t="n">
        <f aca="false">$G788+(fade_gA-$G788)*1/3</f>
        <v>0.0796481398764575</v>
      </c>
      <c r="I788" s="24" t="n">
        <f aca="false">$G788+(fade_gA-$G788)*2/3</f>
        <v>0.0698240699382288</v>
      </c>
      <c r="J788" s="24" t="n">
        <f aca="false">$G788+(fade_gA-$G788)*3/3</f>
        <v>0.06</v>
      </c>
    </row>
    <row r="789" customFormat="false" ht="17.15" hidden="false" customHeight="false" outlineLevel="0" collapsed="false">
      <c r="A789" s="0" t="s">
        <v>641</v>
      </c>
      <c r="B789" s="0" t="s">
        <v>46</v>
      </c>
      <c r="C789" s="19" t="n">
        <f aca="false">C777/C787</f>
        <v>0</v>
      </c>
      <c r="D789" s="19" t="n">
        <f aca="false">D777/D787</f>
        <v>0.0948820140445411</v>
      </c>
      <c r="E789" s="19" t="n">
        <f aca="false">E777/E787</f>
        <v>0.341800423518549</v>
      </c>
      <c r="F789" s="19" t="n">
        <f aca="false">F777/F787</f>
        <v>0.449286523196263</v>
      </c>
      <c r="G789" s="19" t="n">
        <f aca="false">G777/G787</f>
        <v>0.465132657507484</v>
      </c>
    </row>
    <row r="790" customFormat="false" ht="17.15" hidden="false" customHeight="false" outlineLevel="0" collapsed="false">
      <c r="A790" s="4" t="s">
        <v>642</v>
      </c>
      <c r="B790" s="0" t="s">
        <v>46</v>
      </c>
      <c r="C790" s="19" t="n">
        <f aca="false">C783/C787</f>
        <v>0.53</v>
      </c>
      <c r="D790" s="19" t="n">
        <f aca="false">D783/D787</f>
        <v>0.389395431571569</v>
      </c>
      <c r="E790" s="19" t="n">
        <f aca="false">E783/E787</f>
        <v>0.278631402546676</v>
      </c>
      <c r="F790" s="19" t="n">
        <f aca="false">F783/F787</f>
        <v>0.229186100768511</v>
      </c>
      <c r="G790" s="19" t="n">
        <f aca="false">G783/G787</f>
        <v>0.218778912075044</v>
      </c>
    </row>
    <row r="791" customFormat="false" ht="17.15" hidden="false" customHeight="false" outlineLevel="0" collapsed="false">
      <c r="A791" s="6" t="s">
        <v>643</v>
      </c>
    </row>
    <row r="792" customFormat="false" ht="17.15" hidden="false" customHeight="false" outlineLevel="0" collapsed="false">
      <c r="A792" s="0" t="s">
        <v>644</v>
      </c>
      <c r="B792" s="0" t="s">
        <v>301</v>
      </c>
      <c r="D792" s="16" t="n">
        <f aca="false">m_core*D779+m_hbm*D778</f>
        <v>24.9087255420412</v>
      </c>
      <c r="E792" s="16" t="n">
        <f aca="false">m_core*E779+m_hbm*E778</f>
        <v>113.154415653094</v>
      </c>
      <c r="F792" s="16" t="n">
        <f aca="false">m_core*F779+m_hbm*F778</f>
        <v>177.374992356137</v>
      </c>
      <c r="G792" s="16" t="n">
        <f aca="false">m_core*G779+m_hbm*G778</f>
        <v>202.738479326955</v>
      </c>
    </row>
    <row r="793" customFormat="false" ht="17.15" hidden="false" customHeight="false" outlineLevel="0" collapsed="false">
      <c r="A793" s="4" t="s">
        <v>645</v>
      </c>
      <c r="B793" s="0" t="s">
        <v>46</v>
      </c>
      <c r="C793" s="17" t="n">
        <f aca="false">a25_gp/C786</f>
        <v>0.474993539899927</v>
      </c>
      <c r="D793" s="17" t="n">
        <f aca="false">(a26_gp-D792)/D786</f>
        <v>0.462340704042911</v>
      </c>
      <c r="E793" s="17" t="n">
        <f aca="false">$D793+gmadj_lo</f>
        <v>0.442340704042911</v>
      </c>
      <c r="F793" s="17" t="n">
        <f aca="false">$D793+gmadj_lo</f>
        <v>0.442340704042911</v>
      </c>
      <c r="G793" s="17" t="n">
        <f aca="false">$D793+gmadj_lo</f>
        <v>0.442340704042911</v>
      </c>
      <c r="K793" s="8" t="s">
        <v>646</v>
      </c>
    </row>
    <row r="794" customFormat="false" ht="15" hidden="false" customHeight="false" outlineLevel="0" collapsed="false">
      <c r="A794" s="4" t="s">
        <v>517</v>
      </c>
      <c r="B794" s="0" t="s">
        <v>301</v>
      </c>
      <c r="C794" s="16" t="n">
        <f aca="false">a25_gp</f>
        <v>283.08</v>
      </c>
      <c r="D794" s="16" t="n">
        <f aca="false">a26_gp</f>
        <v>307.17786821659</v>
      </c>
      <c r="E794" s="16" t="n">
        <f aca="false">E793*E786+E792</f>
        <v>401.332315850035</v>
      </c>
      <c r="F794" s="16" t="n">
        <f aca="false">F793*F786+F792</f>
        <v>482.237419571217</v>
      </c>
      <c r="G794" s="16" t="n">
        <f aca="false">G793*G786+G792</f>
        <v>525.320707373035</v>
      </c>
    </row>
    <row r="795" customFormat="false" ht="15" hidden="false" customHeight="false" outlineLevel="0" collapsed="false">
      <c r="A795" s="4" t="s">
        <v>520</v>
      </c>
      <c r="B795" s="0" t="s">
        <v>46</v>
      </c>
      <c r="C795" s="17" t="n">
        <f aca="false">C794/C787</f>
        <v>0.474993539899927</v>
      </c>
      <c r="D795" s="17" t="n">
        <f aca="false">D794/D787</f>
        <v>0.455400856348417</v>
      </c>
      <c r="E795" s="17" t="n">
        <f aca="false">E794/E787</f>
        <v>0.405469285667462</v>
      </c>
      <c r="F795" s="17" t="n">
        <f aca="false">F794/F787</f>
        <v>0.385336025008102</v>
      </c>
      <c r="G795" s="17" t="n">
        <f aca="false">G794/G787</f>
        <v>0.385289407940386</v>
      </c>
    </row>
    <row r="796" customFormat="false" ht="15" hidden="false" customHeight="false" outlineLevel="0" collapsed="false">
      <c r="A796" s="4" t="s">
        <v>647</v>
      </c>
      <c r="B796" s="0" t="s">
        <v>301</v>
      </c>
      <c r="C796" s="16" t="n">
        <f aca="false">a25_opx</f>
        <v>179.61</v>
      </c>
      <c r="D796" s="16" t="n">
        <f aca="false">a26_opx</f>
        <v>192.105</v>
      </c>
      <c r="E796" s="16" t="n">
        <f aca="false">D796*(1+MAX(g_opx_min,phi*E788))+0*E787</f>
        <v>219.042269851418</v>
      </c>
      <c r="F796" s="16" t="n">
        <f aca="false">E796*(1+MAX(g_opx_min,phi*F788))+0*F787</f>
        <v>236.414911497359</v>
      </c>
      <c r="G796" s="16" t="n">
        <f aca="false">F796*(1+MAX(g_opx_min,phi*G788))+0*G787</f>
        <v>250.599806187201</v>
      </c>
    </row>
    <row r="797" customFormat="false" ht="15" hidden="false" customHeight="false" outlineLevel="0" collapsed="false">
      <c r="A797" s="4" t="s">
        <v>524</v>
      </c>
      <c r="B797" s="0" t="s">
        <v>301</v>
      </c>
      <c r="C797" s="16" t="n">
        <f aca="false">C794-C796</f>
        <v>103.47</v>
      </c>
      <c r="D797" s="16" t="n">
        <f aca="false">D794-D796</f>
        <v>115.07286821659</v>
      </c>
      <c r="E797" s="16" t="n">
        <f aca="false">E794-E796</f>
        <v>182.290045998616</v>
      </c>
      <c r="F797" s="16" t="n">
        <f aca="false">F794-F796</f>
        <v>245.822508073858</v>
      </c>
      <c r="G797" s="16" t="n">
        <f aca="false">G794-G796</f>
        <v>274.720901185834</v>
      </c>
    </row>
    <row r="798" customFormat="false" ht="15" hidden="false" customHeight="false" outlineLevel="0" collapsed="false">
      <c r="A798" s="4" t="s">
        <v>598</v>
      </c>
      <c r="B798" s="0" t="s">
        <v>46</v>
      </c>
      <c r="C798" s="17" t="n">
        <f aca="false">C797/C787</f>
        <v>0.173617286892205</v>
      </c>
      <c r="D798" s="17" t="n">
        <f aca="false">D797/D787</f>
        <v>0.170599148410502</v>
      </c>
      <c r="E798" s="17" t="n">
        <f aca="false">E797/E787</f>
        <v>0.184169108283238</v>
      </c>
      <c r="F798" s="17" t="n">
        <f aca="false">F797/F787</f>
        <v>0.196426623638885</v>
      </c>
      <c r="G798" s="17" t="n">
        <f aca="false">G797/G787</f>
        <v>0.201490350334841</v>
      </c>
    </row>
    <row r="799" customFormat="false" ht="15" hidden="false" customHeight="false" outlineLevel="0" collapsed="false">
      <c r="A799" s="4" t="s">
        <v>526</v>
      </c>
      <c r="B799" s="0" t="s">
        <v>301</v>
      </c>
      <c r="C799" s="16" t="n">
        <f aca="false">a25_nonop</f>
        <v>21.418</v>
      </c>
      <c r="D799" s="16" t="n">
        <f aca="false">a26_nonop</f>
        <v>18.823</v>
      </c>
      <c r="E799" s="16" t="n">
        <f aca="false">nonop_f</f>
        <v>18</v>
      </c>
      <c r="F799" s="16" t="n">
        <f aca="false">nonop_f</f>
        <v>18</v>
      </c>
      <c r="G799" s="16" t="n">
        <f aca="false">nonop_f</f>
        <v>18</v>
      </c>
    </row>
    <row r="800" customFormat="false" ht="15" hidden="false" customHeight="false" outlineLevel="0" collapsed="false">
      <c r="A800" s="4" t="s">
        <v>528</v>
      </c>
      <c r="B800" s="0" t="s">
        <v>301</v>
      </c>
      <c r="C800" s="16" t="n">
        <f aca="false">C797+C799</f>
        <v>124.888</v>
      </c>
      <c r="D800" s="16" t="n">
        <f aca="false">D797+D799</f>
        <v>133.89586821659</v>
      </c>
      <c r="E800" s="16" t="n">
        <f aca="false">E797+E799</f>
        <v>200.290045998616</v>
      </c>
      <c r="F800" s="16" t="n">
        <f aca="false">F797+F799</f>
        <v>263.822508073858</v>
      </c>
      <c r="G800" s="16" t="n">
        <f aca="false">G797+G799</f>
        <v>292.720901185834</v>
      </c>
    </row>
    <row r="801" customFormat="false" ht="15" hidden="false" customHeight="false" outlineLevel="0" collapsed="false">
      <c r="A801" s="4" t="s">
        <v>529</v>
      </c>
      <c r="B801" s="0" t="s">
        <v>301</v>
      </c>
      <c r="C801" s="16" t="n">
        <f aca="false">a25_tax</f>
        <v>18.77</v>
      </c>
      <c r="D801" s="16" t="n">
        <f aca="false">a26_tax</f>
        <v>16.2589328681567</v>
      </c>
      <c r="E801" s="16" t="n">
        <f aca="false">E800*tax</f>
        <v>28.0406064398063</v>
      </c>
      <c r="F801" s="16" t="n">
        <f aca="false">F800*tax</f>
        <v>36.9351511303401</v>
      </c>
      <c r="G801" s="16" t="n">
        <f aca="false">G800*tax</f>
        <v>40.9809261660168</v>
      </c>
    </row>
    <row r="802" customFormat="false" ht="15" hidden="false" customHeight="false" outlineLevel="0" collapsed="false">
      <c r="A802" s="4" t="s">
        <v>530</v>
      </c>
      <c r="B802" s="0" t="s">
        <v>301</v>
      </c>
      <c r="C802" s="16" t="n">
        <f aca="false">a25_nci</f>
        <v>0.798</v>
      </c>
      <c r="D802" s="16" t="n">
        <f aca="false">a26_nci</f>
        <v>0.992</v>
      </c>
      <c r="E802" s="16" t="n">
        <f aca="false">nci</f>
        <v>1</v>
      </c>
      <c r="F802" s="16" t="n">
        <f aca="false">nci</f>
        <v>1</v>
      </c>
      <c r="G802" s="16" t="n">
        <f aca="false">nci</f>
        <v>1</v>
      </c>
    </row>
    <row r="803" customFormat="false" ht="15" hidden="false" customHeight="false" outlineLevel="0" collapsed="false">
      <c r="A803" s="4" t="s">
        <v>532</v>
      </c>
      <c r="B803" s="0" t="s">
        <v>301</v>
      </c>
      <c r="C803" s="16" t="n">
        <f aca="false">C800-C801-C802</f>
        <v>105.32</v>
      </c>
      <c r="D803" s="16" t="n">
        <f aca="false">D800-D801-D802</f>
        <v>116.644935348433</v>
      </c>
      <c r="E803" s="16" t="n">
        <f aca="false">E800-E801-E802</f>
        <v>171.24943955881</v>
      </c>
      <c r="F803" s="16" t="n">
        <f aca="false">F800-F801-F802</f>
        <v>225.887356943518</v>
      </c>
      <c r="G803" s="16" t="n">
        <f aca="false">G800-G801-G802</f>
        <v>250.739975019817</v>
      </c>
      <c r="H803" s="26" t="n">
        <f aca="false">H787*H807</f>
        <v>275.225066225425</v>
      </c>
      <c r="I803" s="26" t="n">
        <f aca="false">I787*I807</f>
        <v>299.271713233931</v>
      </c>
      <c r="J803" s="26" t="n">
        <f aca="false">J787*J807</f>
        <v>322.347087527732</v>
      </c>
    </row>
    <row r="804" customFormat="false" ht="15" hidden="false" customHeight="false" outlineLevel="0" collapsed="false">
      <c r="A804" s="4" t="s">
        <v>648</v>
      </c>
      <c r="B804" s="4" t="s">
        <v>346</v>
      </c>
      <c r="C804" s="18" t="n">
        <f aca="false">a25_sh</f>
        <v>1.59188331318017</v>
      </c>
      <c r="D804" s="18" t="n">
        <f aca="false">a26_sh</f>
        <v>1.59250890647703</v>
      </c>
      <c r="E804" s="18" t="n">
        <f aca="false">D804*(1+sh_g)</f>
        <v>1.59250890647703</v>
      </c>
      <c r="F804" s="18" t="n">
        <f aca="false">E804*(1+sh_g)</f>
        <v>1.59250890647703</v>
      </c>
      <c r="G804" s="18" t="n">
        <f aca="false">F804*(1+sh_g)</f>
        <v>1.59250890647703</v>
      </c>
      <c r="H804" s="28" t="n">
        <f aca="false">G804*(1+sh_g)</f>
        <v>1.59250890647703</v>
      </c>
      <c r="I804" s="28" t="n">
        <f aca="false">H804*(1+sh_g)</f>
        <v>1.59250890647703</v>
      </c>
      <c r="J804" s="28" t="n">
        <f aca="false">I804*(1+sh_g)</f>
        <v>1.59250890647703</v>
      </c>
    </row>
    <row r="805" customFormat="false" ht="17.15" hidden="false" customHeight="false" outlineLevel="0" collapsed="false">
      <c r="A805" s="0" t="s">
        <v>537</v>
      </c>
      <c r="B805" s="0" t="s">
        <v>403</v>
      </c>
      <c r="C805" s="16" t="n">
        <f aca="false">C803/C804</f>
        <v>66.1606281867469</v>
      </c>
      <c r="D805" s="16" t="n">
        <f aca="false">D803/D804</f>
        <v>73.2460175726595</v>
      </c>
      <c r="E805" s="16" t="n">
        <f aca="false">E803/E804</f>
        <v>107.534368481273</v>
      </c>
      <c r="F805" s="16" t="n">
        <f aca="false">F803/F804</f>
        <v>141.843700857679</v>
      </c>
      <c r="G805" s="16" t="n">
        <f aca="false">G803/G804</f>
        <v>157.449653185619</v>
      </c>
      <c r="H805" s="26" t="n">
        <f aca="false">H803/H804</f>
        <v>172.824820700238</v>
      </c>
      <c r="I805" s="26" t="n">
        <f aca="false">I803/I804</f>
        <v>187.924671577495</v>
      </c>
      <c r="J805" s="26" t="n">
        <f aca="false">J803/J804</f>
        <v>202.414621492343</v>
      </c>
    </row>
    <row r="806" customFormat="false" ht="17.15" hidden="false" customHeight="false" outlineLevel="0" collapsed="false">
      <c r="A806" s="0" t="s">
        <v>649</v>
      </c>
      <c r="B806" s="0" t="s">
        <v>46</v>
      </c>
      <c r="D806" s="19" t="n">
        <f aca="false">D805/C805-1</f>
        <v>0.107093744120947</v>
      </c>
      <c r="E806" s="19" t="n">
        <f aca="false">E805/D805-1</f>
        <v>0.468125804581795</v>
      </c>
      <c r="F806" s="19" t="n">
        <f aca="false">F805/E805-1</f>
        <v>0.319054576327208</v>
      </c>
      <c r="G806" s="19" t="n">
        <f aca="false">G805/F805-1</f>
        <v>0.110022173939171</v>
      </c>
      <c r="H806" s="24" t="n">
        <f aca="false">H805/G805-1</f>
        <v>0.0976513266529304</v>
      </c>
      <c r="I806" s="24" t="n">
        <f aca="false">I805/H805-1</f>
        <v>0.0873708464795506</v>
      </c>
      <c r="J806" s="24" t="n">
        <f aca="false">J805/I805-1</f>
        <v>0.0771050963836477</v>
      </c>
    </row>
    <row r="807" customFormat="false" ht="17.15" hidden="false" customHeight="false" outlineLevel="0" collapsed="false">
      <c r="A807" s="4" t="s">
        <v>650</v>
      </c>
      <c r="B807" s="0" t="s">
        <v>46</v>
      </c>
      <c r="C807" s="17" t="n">
        <f aca="false">C803/C787</f>
        <v>0.176721490823302</v>
      </c>
      <c r="D807" s="17" t="n">
        <f aca="false">D803/D787</f>
        <v>0.172929787405541</v>
      </c>
      <c r="E807" s="17" t="n">
        <f aca="false">E803/E787</f>
        <v>0.173014694273486</v>
      </c>
      <c r="F807" s="17" t="n">
        <f aca="false">F803/F787</f>
        <v>0.180497266888985</v>
      </c>
      <c r="G807" s="17" t="n">
        <f aca="false">G803/G787</f>
        <v>0.183901862550739</v>
      </c>
      <c r="H807" s="25" t="n">
        <f aca="false">$G807+(fade_mA-$G807)*1/3</f>
        <v>0.186968435314362</v>
      </c>
      <c r="I807" s="25" t="n">
        <f aca="false">$G807+(fade_mA-$G807)*2/3</f>
        <v>0.190035008077986</v>
      </c>
      <c r="J807" s="25" t="n">
        <f aca="false">$G807+(fade_mA-$G807)*3/3</f>
        <v>0.19310158084161</v>
      </c>
    </row>
    <row r="810" customFormat="false" ht="17.15" hidden="false" customHeight="false" outlineLevel="0" collapsed="false">
      <c r="A810" s="1" t="s">
        <v>949</v>
      </c>
    </row>
    <row r="811" customFormat="false" ht="17.15" hidden="false" customHeight="false" outlineLevel="0" collapsed="false">
      <c r="A811" s="5" t="s">
        <v>22</v>
      </c>
      <c r="B811" s="5" t="s">
        <v>23</v>
      </c>
      <c r="C811" s="14" t="s">
        <v>494</v>
      </c>
      <c r="D811" s="14" t="s">
        <v>587</v>
      </c>
      <c r="E811" s="14" t="s">
        <v>588</v>
      </c>
      <c r="F811" s="14" t="s">
        <v>589</v>
      </c>
      <c r="G811" s="14" t="s">
        <v>590</v>
      </c>
      <c r="H811" s="14" t="s">
        <v>591</v>
      </c>
      <c r="I811" s="14" t="s">
        <v>592</v>
      </c>
      <c r="J811" s="14" t="s">
        <v>593</v>
      </c>
      <c r="K811" s="5" t="s">
        <v>557</v>
      </c>
    </row>
    <row r="812" customFormat="false" ht="17.15" hidden="false" customHeight="false" outlineLevel="0" collapsed="false">
      <c r="A812" s="6" t="s">
        <v>609</v>
      </c>
    </row>
    <row r="813" customFormat="false" ht="17.15" hidden="false" customHeight="false" outlineLevel="0" collapsed="false">
      <c r="A813" s="0" t="s">
        <v>610</v>
      </c>
      <c r="B813" s="4" t="s">
        <v>33</v>
      </c>
      <c r="D813" s="20" t="n">
        <f aca="false">u_tpu_26</f>
        <v>3.85</v>
      </c>
      <c r="E813" s="20" t="n">
        <f aca="false">u_tpu_27</f>
        <v>5.5</v>
      </c>
      <c r="F813" s="20" t="n">
        <f aca="false">u_tpu_28*um28_A</f>
        <v>7</v>
      </c>
      <c r="G813" s="20" t="n">
        <f aca="false">u_tpu_28*(1+g29_tpu)*um29_A</f>
        <v>8.05</v>
      </c>
    </row>
    <row r="814" customFormat="false" ht="17.15" hidden="false" customHeight="false" outlineLevel="0" collapsed="false">
      <c r="A814" s="4" t="s">
        <v>611</v>
      </c>
      <c r="B814" s="4" t="s">
        <v>33</v>
      </c>
      <c r="D814" s="20" t="n">
        <f aca="false">u_oth_26</f>
        <v>1</v>
      </c>
      <c r="E814" s="20" t="n">
        <f aca="false">u_oth_27</f>
        <v>4.5</v>
      </c>
      <c r="F814" s="20" t="n">
        <f aca="false">u_oth_28*um28_A</f>
        <v>5</v>
      </c>
      <c r="G814" s="20" t="n">
        <f aca="false">u_oth_28*(1+g29_oth)*um29_A</f>
        <v>5.75</v>
      </c>
    </row>
    <row r="815" customFormat="false" ht="17.15" hidden="false" customHeight="false" outlineLevel="0" collapsed="false">
      <c r="A815" s="4" t="s">
        <v>561</v>
      </c>
      <c r="B815" s="0" t="s">
        <v>46</v>
      </c>
      <c r="D815" s="19" t="n">
        <f aca="false">mtk_tpu_26</f>
        <v>0.05</v>
      </c>
      <c r="E815" s="19" t="n">
        <f aca="false">MIN(1,MAX(0,mtk_tpu_27+0))</f>
        <v>0.15</v>
      </c>
      <c r="F815" s="19" t="n">
        <f aca="false">MIN(1,MAX(0,mtk_tpu_28+0))</f>
        <v>0.18</v>
      </c>
      <c r="G815" s="19" t="n">
        <f aca="false">MIN(1,MAX(0,mtk_tpu_28+0))</f>
        <v>0.18</v>
      </c>
    </row>
    <row r="816" customFormat="false" ht="17.15" hidden="false" customHeight="false" outlineLevel="0" collapsed="false">
      <c r="A816" s="4" t="s">
        <v>612</v>
      </c>
      <c r="B816" s="0" t="s">
        <v>46</v>
      </c>
      <c r="D816" s="19" t="n">
        <f aca="false">mtk_oth_26</f>
        <v>0</v>
      </c>
      <c r="E816" s="19" t="n">
        <f aca="false">MIN(1,MAX(0,mtk_oth_27+0))</f>
        <v>0</v>
      </c>
      <c r="F816" s="19" t="n">
        <f aca="false">MIN(1,MAX(0,mtk_oth_28+0))</f>
        <v>0</v>
      </c>
      <c r="G816" s="19" t="n">
        <f aca="false">MIN(1,MAX(0,mtk_oth_28+0))</f>
        <v>0</v>
      </c>
    </row>
    <row r="817" customFormat="false" ht="17.15" hidden="false" customHeight="false" outlineLevel="0" collapsed="false">
      <c r="A817" s="4" t="s">
        <v>563</v>
      </c>
      <c r="B817" s="4" t="s">
        <v>33</v>
      </c>
      <c r="D817" s="20" t="n">
        <f aca="false">D813*D815</f>
        <v>0.1925</v>
      </c>
      <c r="E817" s="20" t="n">
        <f aca="false">E813*E815*1</f>
        <v>0.825</v>
      </c>
      <c r="F817" s="20" t="n">
        <f aca="false">F813*F815*1</f>
        <v>1.26</v>
      </c>
      <c r="G817" s="20" t="n">
        <f aca="false">G813*G815*1</f>
        <v>1.449</v>
      </c>
    </row>
    <row r="818" customFormat="false" ht="17.15" hidden="false" customHeight="false" outlineLevel="0" collapsed="false">
      <c r="A818" s="4" t="s">
        <v>613</v>
      </c>
      <c r="B818" s="4" t="s">
        <v>33</v>
      </c>
      <c r="D818" s="20" t="n">
        <f aca="false">D814*D816</f>
        <v>0</v>
      </c>
      <c r="E818" s="20" t="n">
        <f aca="false">E814*E816*1</f>
        <v>0</v>
      </c>
      <c r="F818" s="20" t="n">
        <f aca="false">F814*F816*1</f>
        <v>0</v>
      </c>
      <c r="G818" s="20" t="n">
        <f aca="false">G814*G816*1</f>
        <v>0</v>
      </c>
    </row>
    <row r="819" customFormat="false" ht="17.15" hidden="false" customHeight="false" outlineLevel="0" collapsed="false">
      <c r="A819" s="4" t="s">
        <v>614</v>
      </c>
      <c r="B819" s="0" t="s">
        <v>102</v>
      </c>
      <c r="D819" s="27" t="n">
        <f aca="false">gb_tpu_26</f>
        <v>192</v>
      </c>
      <c r="E819" s="27" t="n">
        <f aca="false">gb_tpu_27</f>
        <v>250</v>
      </c>
      <c r="F819" s="27" t="n">
        <f aca="false">gb_tpu_28</f>
        <v>288</v>
      </c>
      <c r="G819" s="27" t="n">
        <f aca="false">gb_tpu_28</f>
        <v>288</v>
      </c>
    </row>
    <row r="820" customFormat="false" ht="17.15" hidden="false" customHeight="false" outlineLevel="0" collapsed="false">
      <c r="A820" s="4" t="s">
        <v>615</v>
      </c>
      <c r="B820" s="0" t="s">
        <v>102</v>
      </c>
      <c r="D820" s="27" t="n">
        <f aca="false">gb_oth_26</f>
        <v>150</v>
      </c>
      <c r="E820" s="27" t="n">
        <f aca="false">gb_oth_27</f>
        <v>200</v>
      </c>
      <c r="F820" s="27" t="n">
        <f aca="false">gb_oth_28</f>
        <v>250</v>
      </c>
      <c r="G820" s="27" t="n">
        <f aca="false">gb_oth_28</f>
        <v>250</v>
      </c>
    </row>
    <row r="821" customFormat="false" ht="17.15" hidden="false" customHeight="false" outlineLevel="0" collapsed="false">
      <c r="A821" s="0" t="s">
        <v>616</v>
      </c>
      <c r="B821" s="0" t="s">
        <v>194</v>
      </c>
      <c r="D821" s="16" t="n">
        <f aca="false">hbm_A_26</f>
        <v>14.6</v>
      </c>
      <c r="E821" s="16" t="n">
        <f aca="false">hbm_A_27</f>
        <v>26.28</v>
      </c>
      <c r="F821" s="16" t="n">
        <f aca="false">hbm_A_28</f>
        <v>28.908</v>
      </c>
      <c r="G821" s="16" t="n">
        <f aca="false">hbm_A_29</f>
        <v>27.4626</v>
      </c>
    </row>
    <row r="822" customFormat="false" ht="17.15" hidden="false" customHeight="false" outlineLevel="0" collapsed="false">
      <c r="A822" s="4" t="s">
        <v>617</v>
      </c>
      <c r="B822" s="0" t="s">
        <v>86</v>
      </c>
      <c r="D822" s="16" t="n">
        <f aca="false">core_tpu</f>
        <v>8</v>
      </c>
      <c r="E822" s="16" t="n">
        <f aca="false">core_tpu</f>
        <v>8</v>
      </c>
      <c r="F822" s="16" t="n">
        <f aca="false">core_tpu*1</f>
        <v>8</v>
      </c>
      <c r="G822" s="16" t="n">
        <f aca="false">core_tpu*1</f>
        <v>8</v>
      </c>
    </row>
    <row r="823" customFormat="false" ht="17.15" hidden="false" customHeight="false" outlineLevel="0" collapsed="false">
      <c r="A823" s="4" t="s">
        <v>618</v>
      </c>
      <c r="B823" s="0" t="s">
        <v>86</v>
      </c>
      <c r="D823" s="16" t="n">
        <f aca="false">core_oth</f>
        <v>6</v>
      </c>
      <c r="E823" s="16" t="n">
        <f aca="false">core_oth</f>
        <v>6</v>
      </c>
      <c r="F823" s="16" t="n">
        <f aca="false">core_oth*1</f>
        <v>6</v>
      </c>
      <c r="G823" s="16" t="n">
        <f aca="false">core_oth*1</f>
        <v>6</v>
      </c>
    </row>
    <row r="824" customFormat="false" ht="17.15" hidden="false" customHeight="false" outlineLevel="0" collapsed="false">
      <c r="A824" s="4" t="s">
        <v>619</v>
      </c>
      <c r="B824" s="0" t="s">
        <v>86</v>
      </c>
      <c r="D824" s="16" t="n">
        <f aca="false">D819*D821/1000</f>
        <v>2.8032</v>
      </c>
      <c r="E824" s="16" t="n">
        <f aca="false">E819*E821/1000</f>
        <v>6.57</v>
      </c>
      <c r="F824" s="16" t="n">
        <f aca="false">F819*F821/1000</f>
        <v>8.325504</v>
      </c>
      <c r="G824" s="16" t="n">
        <f aca="false">G819*G821/1000</f>
        <v>7.9092288</v>
      </c>
    </row>
    <row r="825" customFormat="false" ht="17.15" hidden="false" customHeight="false" outlineLevel="0" collapsed="false">
      <c r="A825" s="4" t="s">
        <v>620</v>
      </c>
      <c r="B825" s="0" t="s">
        <v>86</v>
      </c>
      <c r="D825" s="16" t="n">
        <f aca="false">D820*D821/1000</f>
        <v>2.19</v>
      </c>
      <c r="E825" s="16" t="n">
        <f aca="false">E820*E821/1000</f>
        <v>5.256</v>
      </c>
      <c r="F825" s="16" t="n">
        <f aca="false">F820*F821/1000</f>
        <v>7.227</v>
      </c>
      <c r="G825" s="16" t="n">
        <f aca="false">G820*G821/1000</f>
        <v>6.86565</v>
      </c>
    </row>
    <row r="826" customFormat="false" ht="17.15" hidden="false" customHeight="false" outlineLevel="0" collapsed="false">
      <c r="A826" s="4" t="s">
        <v>621</v>
      </c>
      <c r="B826" s="0" t="s">
        <v>86</v>
      </c>
      <c r="D826" s="16" t="n">
        <f aca="false">D822+f_hbm*D824</f>
        <v>9.68192</v>
      </c>
      <c r="E826" s="16" t="n">
        <f aca="false">E822+f_hbm*E824</f>
        <v>11.942</v>
      </c>
      <c r="F826" s="16" t="n">
        <f aca="false">F822+f_hbm*F824</f>
        <v>12.9953024</v>
      </c>
      <c r="G826" s="16" t="n">
        <f aca="false">G822+f_hbm*G824</f>
        <v>12.74553728</v>
      </c>
      <c r="K826" s="4" t="s">
        <v>622</v>
      </c>
    </row>
    <row r="827" customFormat="false" ht="17.15" hidden="false" customHeight="false" outlineLevel="0" collapsed="false">
      <c r="A827" s="4" t="s">
        <v>623</v>
      </c>
      <c r="B827" s="0" t="s">
        <v>86</v>
      </c>
      <c r="D827" s="16" t="n">
        <f aca="false">D823+f_hbm*D825</f>
        <v>7.314</v>
      </c>
      <c r="E827" s="16" t="n">
        <f aca="false">E823+f_hbm*E825</f>
        <v>9.1536</v>
      </c>
      <c r="F827" s="16" t="n">
        <f aca="false">F823+f_hbm*F825</f>
        <v>10.3362</v>
      </c>
      <c r="G827" s="16" t="n">
        <f aca="false">G823+f_hbm*G825</f>
        <v>10.11939</v>
      </c>
    </row>
    <row r="828" customFormat="false" ht="17.15" hidden="false" customHeight="false" outlineLevel="0" collapsed="false">
      <c r="A828" s="0" t="s">
        <v>624</v>
      </c>
      <c r="B828" s="0" t="s">
        <v>279</v>
      </c>
      <c r="D828" s="16" t="n">
        <f aca="false">D817*D826+D818*D827</f>
        <v>1.8637696</v>
      </c>
      <c r="E828" s="16" t="n">
        <f aca="false">E817*E826+E818*E827</f>
        <v>9.85215</v>
      </c>
      <c r="F828" s="16" t="n">
        <f aca="false">F817*F826+F818*F827</f>
        <v>16.374081024</v>
      </c>
      <c r="G828" s="16" t="n">
        <f aca="false">G817*G826+G818*G827</f>
        <v>18.46828351872</v>
      </c>
    </row>
    <row r="829" customFormat="false" ht="17.15" hidden="false" customHeight="false" outlineLevel="0" collapsed="false">
      <c r="A829" s="0" t="s">
        <v>625</v>
      </c>
      <c r="B829" s="0" t="s">
        <v>65</v>
      </c>
      <c r="D829" s="20" t="n">
        <f aca="false">dc26/D828</f>
        <v>1.07309401333727</v>
      </c>
      <c r="K829" s="8" t="s">
        <v>626</v>
      </c>
    </row>
    <row r="830" customFormat="false" ht="17.15" hidden="false" customHeight="false" outlineLevel="0" collapsed="false">
      <c r="A830" s="0" t="s">
        <v>627</v>
      </c>
      <c r="B830" s="0" t="s">
        <v>279</v>
      </c>
      <c r="D830" s="16" t="n">
        <f aca="false">D828*$D$829</f>
        <v>2</v>
      </c>
      <c r="E830" s="16" t="n">
        <f aca="false">E828*$D$829</f>
        <v>10.5722831835008</v>
      </c>
      <c r="F830" s="16" t="n">
        <f aca="false">F828*$D$829</f>
        <v>17.5709283207538</v>
      </c>
      <c r="G830" s="16" t="n">
        <f aca="false">G828*$D$829</f>
        <v>19.8182044805538</v>
      </c>
    </row>
    <row r="831" customFormat="false" ht="15" hidden="false" customHeight="false" outlineLevel="0" collapsed="false">
      <c r="A831" s="4" t="s">
        <v>628</v>
      </c>
      <c r="B831" s="0" t="s">
        <v>288</v>
      </c>
      <c r="D831" s="16" t="n">
        <f aca="false">fx26</f>
        <v>32</v>
      </c>
      <c r="E831" s="16" t="n">
        <f aca="false">fx</f>
        <v>32</v>
      </c>
      <c r="F831" s="16" t="n">
        <f aca="false">fx</f>
        <v>32</v>
      </c>
      <c r="G831" s="16" t="n">
        <f aca="false">fx</f>
        <v>32</v>
      </c>
    </row>
    <row r="832" customFormat="false" ht="17.15" hidden="false" customHeight="false" outlineLevel="0" collapsed="false">
      <c r="A832" s="0" t="s">
        <v>629</v>
      </c>
      <c r="B832" s="0" t="s">
        <v>301</v>
      </c>
      <c r="C832" s="16" t="n">
        <f aca="false">a25_asic</f>
        <v>0</v>
      </c>
      <c r="D832" s="16" t="n">
        <f aca="false">D830*D831</f>
        <v>64</v>
      </c>
      <c r="E832" s="16" t="n">
        <f aca="false">E830*E831</f>
        <v>338.313061872025</v>
      </c>
      <c r="F832" s="16" t="n">
        <f aca="false">F830*F831</f>
        <v>562.269706264122</v>
      </c>
      <c r="G832" s="16" t="n">
        <f aca="false">G830*G831</f>
        <v>634.182543377722</v>
      </c>
    </row>
    <row r="833" customFormat="false" ht="17.15" hidden="false" customHeight="false" outlineLevel="0" collapsed="false">
      <c r="A833" s="4" t="s">
        <v>630</v>
      </c>
      <c r="B833" s="0" t="s">
        <v>301</v>
      </c>
      <c r="D833" s="16" t="n">
        <f aca="false">$D$829*f_hbm*(D817*D824+D818*D825)*D831</f>
        <v>11.1179270227393</v>
      </c>
      <c r="E833" s="16" t="n">
        <f aca="false">$D$829*f_hbm*(E817*E824+E818*E825)*E831</f>
        <v>111.675606255194</v>
      </c>
      <c r="F833" s="16" t="n">
        <f aca="false">$D$829*f_hbm*(F817*F824+F818*F825)*F831</f>
        <v>216.132501322052</v>
      </c>
      <c r="G833" s="16" t="n">
        <f aca="false">$D$829*f_hbm*(G817*G824+G818*G825)*G831</f>
        <v>236.124757694342</v>
      </c>
    </row>
    <row r="834" customFormat="false" ht="15" hidden="false" customHeight="false" outlineLevel="0" collapsed="false">
      <c r="A834" s="4" t="s">
        <v>631</v>
      </c>
      <c r="B834" s="0" t="s">
        <v>301</v>
      </c>
      <c r="D834" s="16" t="n">
        <f aca="false">D832-D833</f>
        <v>52.8820729772607</v>
      </c>
      <c r="E834" s="16" t="n">
        <f aca="false">E832-E833</f>
        <v>226.637455616832</v>
      </c>
      <c r="F834" s="16" t="n">
        <f aca="false">F832-F833</f>
        <v>346.13720494207</v>
      </c>
      <c r="G834" s="16" t="n">
        <f aca="false">G832-G833</f>
        <v>398.057785683381</v>
      </c>
    </row>
    <row r="835" customFormat="false" ht="17.15" hidden="false" customHeight="false" outlineLevel="0" collapsed="false">
      <c r="A835" s="4" t="s">
        <v>632</v>
      </c>
      <c r="B835" s="4" t="s">
        <v>33</v>
      </c>
      <c r="D835" s="20" t="n">
        <f aca="false">D817+D818</f>
        <v>0.1925</v>
      </c>
      <c r="E835" s="20" t="n">
        <f aca="false">E817+E818</f>
        <v>0.825</v>
      </c>
      <c r="F835" s="20" t="n">
        <f aca="false">F817+F818</f>
        <v>1.26</v>
      </c>
      <c r="G835" s="20" t="n">
        <f aca="false">G817+G818</f>
        <v>1.449</v>
      </c>
    </row>
    <row r="836" customFormat="false" ht="17.15" hidden="false" customHeight="false" outlineLevel="0" collapsed="false">
      <c r="A836" s="4" t="s">
        <v>633</v>
      </c>
      <c r="B836" s="0" t="s">
        <v>86</v>
      </c>
      <c r="D836" s="16" t="n">
        <f aca="false">IF(D835&gt;0,D830/D835,0)</f>
        <v>10.3896103896104</v>
      </c>
      <c r="E836" s="16" t="n">
        <f aca="false">IF(E835&gt;0,E830/E835,0)</f>
        <v>12.8148887072737</v>
      </c>
      <c r="F836" s="16" t="n">
        <f aca="false">IF(F835&gt;0,F830/F835,0)</f>
        <v>13.9451812069475</v>
      </c>
      <c r="G836" s="16" t="n">
        <f aca="false">IF(G835&gt;0,G830/G835,0)</f>
        <v>13.677159751935</v>
      </c>
    </row>
    <row r="837" customFormat="false" ht="17.15" hidden="false" customHeight="false" outlineLevel="0" collapsed="false">
      <c r="A837" s="6" t="s">
        <v>634</v>
      </c>
    </row>
    <row r="838" customFormat="false" ht="15" hidden="false" customHeight="false" outlineLevel="0" collapsed="false">
      <c r="A838" s="4" t="s">
        <v>635</v>
      </c>
      <c r="B838" s="0" t="s">
        <v>301</v>
      </c>
      <c r="C838" s="16" t="n">
        <f aca="false">a25_mob</f>
        <v>315.86198</v>
      </c>
      <c r="D838" s="16" t="n">
        <f aca="false">a26_mob</f>
        <v>262.655761173888</v>
      </c>
      <c r="E838" s="16" t="n">
        <f aca="false">D838*(1+g_mob27_A)</f>
        <v>275.788549232582</v>
      </c>
      <c r="F838" s="16" t="n">
        <f aca="false">E838*(1+g_mobL_A)</f>
        <v>286.820091201885</v>
      </c>
      <c r="G838" s="16" t="n">
        <f aca="false">F838*(1+g_mobL_A)</f>
        <v>298.292894849961</v>
      </c>
    </row>
    <row r="839" customFormat="false" ht="17.15" hidden="false" customHeight="false" outlineLevel="0" collapsed="false">
      <c r="A839" s="4" t="s">
        <v>636</v>
      </c>
      <c r="B839" s="0" t="s">
        <v>301</v>
      </c>
      <c r="C839" s="16" t="n">
        <f aca="false">a25_sepx</f>
        <v>247.32589</v>
      </c>
      <c r="D839" s="16" t="n">
        <f aca="false">a26_sepx</f>
        <v>311.894023346019</v>
      </c>
      <c r="E839" s="16" t="n">
        <f aca="false">D839*(1+g_sep27_A)</f>
        <v>336.8455452137</v>
      </c>
      <c r="F839" s="16" t="n">
        <f aca="false">E839*(1+g_sepL_A)</f>
        <v>360.424733378659</v>
      </c>
      <c r="G839" s="16" t="n">
        <f aca="false">F839*(1+g_sepL_A)</f>
        <v>385.654464715166</v>
      </c>
    </row>
    <row r="840" customFormat="false" ht="17.15" hidden="false" customHeight="false" outlineLevel="0" collapsed="false">
      <c r="A840" s="4" t="s">
        <v>637</v>
      </c>
      <c r="B840" s="0" t="s">
        <v>301</v>
      </c>
      <c r="C840" s="16" t="n">
        <f aca="false">a25_pic</f>
        <v>32.77813</v>
      </c>
      <c r="D840" s="16" t="n">
        <f aca="false">a26_pic</f>
        <v>35.9721535362998</v>
      </c>
      <c r="E840" s="16" t="n">
        <f aca="false">D840*(1+g_pic27_A)</f>
        <v>38.8499258192038</v>
      </c>
      <c r="F840" s="16" t="n">
        <f aca="false">E840*(1+g_picL_A)</f>
        <v>41.9579198847401</v>
      </c>
      <c r="G840" s="16" t="n">
        <f aca="false">F840*(1+g_picL_A)</f>
        <v>45.3145534755193</v>
      </c>
    </row>
    <row r="841" customFormat="false" ht="17.15" hidden="false" customHeight="false" outlineLevel="0" collapsed="false">
      <c r="A841" s="4" t="s">
        <v>638</v>
      </c>
      <c r="B841" s="0" t="s">
        <v>301</v>
      </c>
      <c r="C841" s="16" t="n">
        <f aca="false">C838+C839+C840</f>
        <v>595.966</v>
      </c>
      <c r="D841" s="16" t="n">
        <f aca="false">D838+D839+D840</f>
        <v>610.521938056206</v>
      </c>
      <c r="E841" s="16" t="n">
        <f aca="false">E838+E839+E840</f>
        <v>651.484020265486</v>
      </c>
      <c r="F841" s="16" t="n">
        <f aca="false">F838+F839+F840</f>
        <v>689.202744465285</v>
      </c>
      <c r="G841" s="16" t="n">
        <f aca="false">G838+G839+G840</f>
        <v>729.261913040646</v>
      </c>
    </row>
    <row r="842" customFormat="false" ht="17.15" hidden="false" customHeight="false" outlineLevel="0" collapsed="false">
      <c r="A842" s="4" t="s">
        <v>501</v>
      </c>
      <c r="B842" s="0" t="s">
        <v>301</v>
      </c>
      <c r="C842" s="16" t="n">
        <f aca="false">C841+C832</f>
        <v>595.966</v>
      </c>
      <c r="D842" s="16" t="n">
        <f aca="false">D841+D832</f>
        <v>674.521938056206</v>
      </c>
      <c r="E842" s="16" t="n">
        <f aca="false">E841+E832</f>
        <v>989.797082137512</v>
      </c>
      <c r="F842" s="16" t="n">
        <f aca="false">F841+F832</f>
        <v>1251.47245072941</v>
      </c>
      <c r="G842" s="16" t="n">
        <f aca="false">G841+G832</f>
        <v>1363.44445641837</v>
      </c>
      <c r="H842" s="26" t="n">
        <f aca="false">G842*(1+H843)</f>
        <v>1472.04027119696</v>
      </c>
      <c r="I842" s="26" t="n">
        <f aca="false">H842*(1+I843)</f>
        <v>1574.8241140449</v>
      </c>
      <c r="J842" s="26" t="n">
        <f aca="false">I842*(1+J843)</f>
        <v>1669.3135608876</v>
      </c>
      <c r="K842" s="8" t="s">
        <v>639</v>
      </c>
    </row>
    <row r="843" customFormat="false" ht="15" hidden="false" customHeight="false" outlineLevel="0" collapsed="false">
      <c r="A843" s="4" t="s">
        <v>640</v>
      </c>
      <c r="B843" s="0" t="s">
        <v>46</v>
      </c>
      <c r="D843" s="19" t="n">
        <f aca="false">D842/C842-1</f>
        <v>0.131812784716252</v>
      </c>
      <c r="E843" s="19" t="n">
        <f aca="false">E842/D842-1</f>
        <v>0.467405322634643</v>
      </c>
      <c r="F843" s="19" t="n">
        <f aca="false">F842/E842-1</f>
        <v>0.264372741963227</v>
      </c>
      <c r="G843" s="19" t="n">
        <f aca="false">G842/F842-1</f>
        <v>0.0894722098146863</v>
      </c>
      <c r="H843" s="24" t="n">
        <f aca="false">$G843+(fade_gA-$G843)*1/3</f>
        <v>0.0796481398764575</v>
      </c>
      <c r="I843" s="24" t="n">
        <f aca="false">$G843+(fade_gA-$G843)*2/3</f>
        <v>0.0698240699382288</v>
      </c>
      <c r="J843" s="24" t="n">
        <f aca="false">$G843+(fade_gA-$G843)*3/3</f>
        <v>0.06</v>
      </c>
    </row>
    <row r="844" customFormat="false" ht="17.15" hidden="false" customHeight="false" outlineLevel="0" collapsed="false">
      <c r="A844" s="0" t="s">
        <v>641</v>
      </c>
      <c r="B844" s="0" t="s">
        <v>46</v>
      </c>
      <c r="C844" s="19" t="n">
        <f aca="false">C832/C842</f>
        <v>0</v>
      </c>
      <c r="D844" s="19" t="n">
        <f aca="false">D832/D842</f>
        <v>0.0948820140445411</v>
      </c>
      <c r="E844" s="19" t="n">
        <f aca="false">E832/E842</f>
        <v>0.341800423518549</v>
      </c>
      <c r="F844" s="19" t="n">
        <f aca="false">F832/F842</f>
        <v>0.449286523196263</v>
      </c>
      <c r="G844" s="19" t="n">
        <f aca="false">G832/G842</f>
        <v>0.465132657507484</v>
      </c>
    </row>
    <row r="845" customFormat="false" ht="17.15" hidden="false" customHeight="false" outlineLevel="0" collapsed="false">
      <c r="A845" s="4" t="s">
        <v>642</v>
      </c>
      <c r="B845" s="0" t="s">
        <v>46</v>
      </c>
      <c r="C845" s="19" t="n">
        <f aca="false">C838/C842</f>
        <v>0.53</v>
      </c>
      <c r="D845" s="19" t="n">
        <f aca="false">D838/D842</f>
        <v>0.389395431571569</v>
      </c>
      <c r="E845" s="19" t="n">
        <f aca="false">E838/E842</f>
        <v>0.278631402546676</v>
      </c>
      <c r="F845" s="19" t="n">
        <f aca="false">F838/F842</f>
        <v>0.229186100768511</v>
      </c>
      <c r="G845" s="19" t="n">
        <f aca="false">G838/G842</f>
        <v>0.218778912075044</v>
      </c>
    </row>
    <row r="846" customFormat="false" ht="17.15" hidden="false" customHeight="false" outlineLevel="0" collapsed="false">
      <c r="A846" s="6" t="s">
        <v>643</v>
      </c>
    </row>
    <row r="847" customFormat="false" ht="17.15" hidden="false" customHeight="false" outlineLevel="0" collapsed="false">
      <c r="A847" s="0" t="s">
        <v>644</v>
      </c>
      <c r="B847" s="0" t="s">
        <v>301</v>
      </c>
      <c r="D847" s="16" t="n">
        <f aca="false">m_core*D834+m_hbm*D833</f>
        <v>24.9087255420412</v>
      </c>
      <c r="E847" s="16" t="n">
        <f aca="false">m_core*E834+m_hbm*E833</f>
        <v>113.154415653094</v>
      </c>
      <c r="F847" s="16" t="n">
        <f aca="false">m_core*F834+m_hbm*F833</f>
        <v>177.374992356137</v>
      </c>
      <c r="G847" s="16" t="n">
        <f aca="false">m_core*G834+m_hbm*G833</f>
        <v>202.738479326955</v>
      </c>
    </row>
    <row r="848" customFormat="false" ht="17.15" hidden="false" customHeight="false" outlineLevel="0" collapsed="false">
      <c r="A848" s="4" t="s">
        <v>645</v>
      </c>
      <c r="B848" s="0" t="s">
        <v>46</v>
      </c>
      <c r="C848" s="17" t="n">
        <f aca="false">a25_gp/C841</f>
        <v>0.474993539899927</v>
      </c>
      <c r="D848" s="17" t="n">
        <f aca="false">(a26_gp-D847)/D841</f>
        <v>0.462340704042911</v>
      </c>
      <c r="E848" s="17" t="n">
        <f aca="false">$D848+0</f>
        <v>0.462340704042911</v>
      </c>
      <c r="F848" s="17" t="n">
        <f aca="false">$D848+0</f>
        <v>0.462340704042911</v>
      </c>
      <c r="G848" s="17" t="n">
        <f aca="false">$D848+0</f>
        <v>0.462340704042911</v>
      </c>
      <c r="K848" s="8" t="s">
        <v>646</v>
      </c>
    </row>
    <row r="849" customFormat="false" ht="15" hidden="false" customHeight="false" outlineLevel="0" collapsed="false">
      <c r="A849" s="4" t="s">
        <v>517</v>
      </c>
      <c r="B849" s="0" t="s">
        <v>301</v>
      </c>
      <c r="C849" s="16" t="n">
        <f aca="false">a25_gp</f>
        <v>283.08</v>
      </c>
      <c r="D849" s="16" t="n">
        <f aca="false">a26_gp</f>
        <v>307.17786821659</v>
      </c>
      <c r="E849" s="16" t="n">
        <f aca="false">E848*E841+E847</f>
        <v>414.361996255344</v>
      </c>
      <c r="F849" s="16" t="n">
        <f aca="false">F848*F841+F847</f>
        <v>496.021474460523</v>
      </c>
      <c r="G849" s="16" t="n">
        <f aca="false">G848*G841+G847</f>
        <v>539.905945633848</v>
      </c>
    </row>
    <row r="850" customFormat="false" ht="15" hidden="false" customHeight="false" outlineLevel="0" collapsed="false">
      <c r="A850" s="4" t="s">
        <v>520</v>
      </c>
      <c r="B850" s="0" t="s">
        <v>46</v>
      </c>
      <c r="C850" s="17" t="n">
        <f aca="false">C849/C842</f>
        <v>0.474993539899927</v>
      </c>
      <c r="D850" s="17" t="n">
        <f aca="false">D849/D842</f>
        <v>0.455400856348417</v>
      </c>
      <c r="E850" s="17" t="n">
        <f aca="false">E849/E842</f>
        <v>0.418633277197091</v>
      </c>
      <c r="F850" s="17" t="n">
        <f aca="false">F849/F842</f>
        <v>0.396350294544177</v>
      </c>
      <c r="G850" s="17" t="n">
        <f aca="false">G849/G842</f>
        <v>0.395986754790237</v>
      </c>
    </row>
    <row r="851" customFormat="false" ht="15" hidden="false" customHeight="false" outlineLevel="0" collapsed="false">
      <c r="A851" s="4" t="s">
        <v>647</v>
      </c>
      <c r="B851" s="0" t="s">
        <v>301</v>
      </c>
      <c r="C851" s="16" t="n">
        <f aca="false">a25_opx</f>
        <v>179.61</v>
      </c>
      <c r="D851" s="16" t="n">
        <f aca="false">a26_opx</f>
        <v>192.105</v>
      </c>
      <c r="E851" s="16" t="n">
        <f aca="false">D851*(1+MAX(g_opx_min,phi_hi*E843))+0*E842</f>
        <v>245.979539702837</v>
      </c>
      <c r="F851" s="16" t="n">
        <f aca="false">E851*(1+MAX(g_opx_min,phi_hi*F843))+0*F842</f>
        <v>284.997710929692</v>
      </c>
      <c r="G851" s="16" t="n">
        <f aca="false">F851*(1+MAX(g_opx_min,phi_hi*G843))+0*G842</f>
        <v>302.097573585473</v>
      </c>
    </row>
    <row r="852" customFormat="false" ht="15" hidden="false" customHeight="false" outlineLevel="0" collapsed="false">
      <c r="A852" s="4" t="s">
        <v>524</v>
      </c>
      <c r="B852" s="0" t="s">
        <v>301</v>
      </c>
      <c r="C852" s="16" t="n">
        <f aca="false">C849-C851</f>
        <v>103.47</v>
      </c>
      <c r="D852" s="16" t="n">
        <f aca="false">D849-D851</f>
        <v>115.07286821659</v>
      </c>
      <c r="E852" s="16" t="n">
        <f aca="false">E849-E851</f>
        <v>168.382456552508</v>
      </c>
      <c r="F852" s="16" t="n">
        <f aca="false">F849-F851</f>
        <v>211.023763530831</v>
      </c>
      <c r="G852" s="16" t="n">
        <f aca="false">G849-G851</f>
        <v>237.808372048374</v>
      </c>
    </row>
    <row r="853" customFormat="false" ht="15" hidden="false" customHeight="false" outlineLevel="0" collapsed="false">
      <c r="A853" s="4" t="s">
        <v>598</v>
      </c>
      <c r="B853" s="0" t="s">
        <v>46</v>
      </c>
      <c r="C853" s="17" t="n">
        <f aca="false">C852/C842</f>
        <v>0.173617286892205</v>
      </c>
      <c r="D853" s="17" t="n">
        <f aca="false">D852/D842</f>
        <v>0.170599148410502</v>
      </c>
      <c r="E853" s="17" t="n">
        <f aca="false">E852/E842</f>
        <v>0.170118158146999</v>
      </c>
      <c r="F853" s="17" t="n">
        <f aca="false">F852/F842</f>
        <v>0.168620382660312</v>
      </c>
      <c r="G853" s="17" t="n">
        <f aca="false">G852/G842</f>
        <v>0.174417352264626</v>
      </c>
    </row>
    <row r="854" customFormat="false" ht="15" hidden="false" customHeight="false" outlineLevel="0" collapsed="false">
      <c r="A854" s="4" t="s">
        <v>526</v>
      </c>
      <c r="B854" s="0" t="s">
        <v>301</v>
      </c>
      <c r="C854" s="16" t="n">
        <f aca="false">a25_nonop</f>
        <v>21.418</v>
      </c>
      <c r="D854" s="16" t="n">
        <f aca="false">a26_nonop</f>
        <v>18.823</v>
      </c>
      <c r="E854" s="16" t="n">
        <f aca="false">nonop_f</f>
        <v>18</v>
      </c>
      <c r="F854" s="16" t="n">
        <f aca="false">nonop_f</f>
        <v>18</v>
      </c>
      <c r="G854" s="16" t="n">
        <f aca="false">nonop_f</f>
        <v>18</v>
      </c>
    </row>
    <row r="855" customFormat="false" ht="15" hidden="false" customHeight="false" outlineLevel="0" collapsed="false">
      <c r="A855" s="4" t="s">
        <v>528</v>
      </c>
      <c r="B855" s="0" t="s">
        <v>301</v>
      </c>
      <c r="C855" s="16" t="n">
        <f aca="false">C852+C854</f>
        <v>124.888</v>
      </c>
      <c r="D855" s="16" t="n">
        <f aca="false">D852+D854</f>
        <v>133.89586821659</v>
      </c>
      <c r="E855" s="16" t="n">
        <f aca="false">E852+E854</f>
        <v>186.382456552508</v>
      </c>
      <c r="F855" s="16" t="n">
        <f aca="false">F852+F854</f>
        <v>229.023763530831</v>
      </c>
      <c r="G855" s="16" t="n">
        <f aca="false">G852+G854</f>
        <v>255.808372048374</v>
      </c>
    </row>
    <row r="856" customFormat="false" ht="15" hidden="false" customHeight="false" outlineLevel="0" collapsed="false">
      <c r="A856" s="4" t="s">
        <v>529</v>
      </c>
      <c r="B856" s="0" t="s">
        <v>301</v>
      </c>
      <c r="C856" s="16" t="n">
        <f aca="false">a25_tax</f>
        <v>18.77</v>
      </c>
      <c r="D856" s="16" t="n">
        <f aca="false">a26_tax</f>
        <v>16.2589328681567</v>
      </c>
      <c r="E856" s="16" t="n">
        <f aca="false">E855*tax</f>
        <v>26.0935439173511</v>
      </c>
      <c r="F856" s="16" t="n">
        <f aca="false">F855*tax</f>
        <v>32.0633268943164</v>
      </c>
      <c r="G856" s="16" t="n">
        <f aca="false">G855*tax</f>
        <v>35.8131720867724</v>
      </c>
    </row>
    <row r="857" customFormat="false" ht="15" hidden="false" customHeight="false" outlineLevel="0" collapsed="false">
      <c r="A857" s="4" t="s">
        <v>530</v>
      </c>
      <c r="B857" s="0" t="s">
        <v>301</v>
      </c>
      <c r="C857" s="16" t="n">
        <f aca="false">a25_nci</f>
        <v>0.798</v>
      </c>
      <c r="D857" s="16" t="n">
        <f aca="false">a26_nci</f>
        <v>0.992</v>
      </c>
      <c r="E857" s="16" t="n">
        <f aca="false">nci</f>
        <v>1</v>
      </c>
      <c r="F857" s="16" t="n">
        <f aca="false">nci</f>
        <v>1</v>
      </c>
      <c r="G857" s="16" t="n">
        <f aca="false">nci</f>
        <v>1</v>
      </c>
    </row>
    <row r="858" customFormat="false" ht="15" hidden="false" customHeight="false" outlineLevel="0" collapsed="false">
      <c r="A858" s="4" t="s">
        <v>532</v>
      </c>
      <c r="B858" s="0" t="s">
        <v>301</v>
      </c>
      <c r="C858" s="16" t="n">
        <f aca="false">C855-C856-C857</f>
        <v>105.32</v>
      </c>
      <c r="D858" s="16" t="n">
        <f aca="false">D855-D856-D857</f>
        <v>116.644935348433</v>
      </c>
      <c r="E858" s="16" t="n">
        <f aca="false">E855-E856-E857</f>
        <v>159.288912635157</v>
      </c>
      <c r="F858" s="16" t="n">
        <f aca="false">F855-F856-F857</f>
        <v>195.960436636515</v>
      </c>
      <c r="G858" s="16" t="n">
        <f aca="false">G855-G856-G857</f>
        <v>218.995199961602</v>
      </c>
      <c r="H858" s="26" t="n">
        <f aca="false">H842*H862</f>
        <v>252.376274663826</v>
      </c>
      <c r="I858" s="26" t="n">
        <f aca="false">I842*I862</f>
        <v>287.049619643131</v>
      </c>
      <c r="J858" s="26" t="n">
        <f aca="false">J842*J862</f>
        <v>322.347087527732</v>
      </c>
    </row>
    <row r="859" customFormat="false" ht="15" hidden="false" customHeight="false" outlineLevel="0" collapsed="false">
      <c r="A859" s="4" t="s">
        <v>648</v>
      </c>
      <c r="B859" s="4" t="s">
        <v>346</v>
      </c>
      <c r="C859" s="18" t="n">
        <f aca="false">a25_sh</f>
        <v>1.59188331318017</v>
      </c>
      <c r="D859" s="18" t="n">
        <f aca="false">a26_sh</f>
        <v>1.59250890647703</v>
      </c>
      <c r="E859" s="18" t="n">
        <f aca="false">D859*(1+sh_g)</f>
        <v>1.59250890647703</v>
      </c>
      <c r="F859" s="18" t="n">
        <f aca="false">E859*(1+sh_g)</f>
        <v>1.59250890647703</v>
      </c>
      <c r="G859" s="18" t="n">
        <f aca="false">F859*(1+sh_g)</f>
        <v>1.59250890647703</v>
      </c>
      <c r="H859" s="28" t="n">
        <f aca="false">G859*(1+sh_g)</f>
        <v>1.59250890647703</v>
      </c>
      <c r="I859" s="28" t="n">
        <f aca="false">H859*(1+sh_g)</f>
        <v>1.59250890647703</v>
      </c>
      <c r="J859" s="28" t="n">
        <f aca="false">I859*(1+sh_g)</f>
        <v>1.59250890647703</v>
      </c>
    </row>
    <row r="860" customFormat="false" ht="17.15" hidden="false" customHeight="false" outlineLevel="0" collapsed="false">
      <c r="A860" s="0" t="s">
        <v>537</v>
      </c>
      <c r="B860" s="0" t="s">
        <v>403</v>
      </c>
      <c r="C860" s="16" t="n">
        <f aca="false">C858/C859</f>
        <v>66.1606281867469</v>
      </c>
      <c r="D860" s="16" t="n">
        <f aca="false">D858/D859</f>
        <v>73.2460175726595</v>
      </c>
      <c r="E860" s="16" t="n">
        <f aca="false">E858/E859</f>
        <v>100.023875525781</v>
      </c>
      <c r="F860" s="16" t="n">
        <f aca="false">F858/F859</f>
        <v>123.051391323155</v>
      </c>
      <c r="G860" s="16" t="n">
        <f aca="false">G858/G859</f>
        <v>137.515839987398</v>
      </c>
      <c r="H860" s="26" t="n">
        <f aca="false">H858/H859</f>
        <v>158.477151140169</v>
      </c>
      <c r="I860" s="26" t="n">
        <f aca="false">I858/I859</f>
        <v>180.249930456054</v>
      </c>
      <c r="J860" s="26" t="n">
        <f aca="false">J858/J859</f>
        <v>202.414621492343</v>
      </c>
    </row>
    <row r="861" customFormat="false" ht="17.15" hidden="false" customHeight="false" outlineLevel="0" collapsed="false">
      <c r="A861" s="0" t="s">
        <v>649</v>
      </c>
      <c r="B861" s="0" t="s">
        <v>46</v>
      </c>
      <c r="D861" s="19" t="n">
        <f aca="false">D860/C860-1</f>
        <v>0.107093744120947</v>
      </c>
      <c r="E861" s="19" t="n">
        <f aca="false">E860/D860-1</f>
        <v>0.36558790280384</v>
      </c>
      <c r="F861" s="19" t="n">
        <f aca="false">F860/E860-1</f>
        <v>0.230220191692517</v>
      </c>
      <c r="G861" s="19" t="n">
        <f aca="false">G860/F860-1</f>
        <v>0.117548030206802</v>
      </c>
      <c r="H861" s="24" t="n">
        <f aca="false">H860/G860-1</f>
        <v>0.152428339562132</v>
      </c>
      <c r="I861" s="24" t="n">
        <f aca="false">I860/H860-1</f>
        <v>0.13738749819289</v>
      </c>
      <c r="J861" s="24" t="n">
        <f aca="false">J860/I860-1</f>
        <v>0.12296643321975</v>
      </c>
    </row>
    <row r="862" customFormat="false" ht="17.15" hidden="false" customHeight="false" outlineLevel="0" collapsed="false">
      <c r="A862" s="4" t="s">
        <v>650</v>
      </c>
      <c r="B862" s="0" t="s">
        <v>46</v>
      </c>
      <c r="C862" s="17" t="n">
        <f aca="false">C858/C842</f>
        <v>0.176721490823302</v>
      </c>
      <c r="D862" s="17" t="n">
        <f aca="false">D858/D842</f>
        <v>0.172929787405541</v>
      </c>
      <c r="E862" s="17" t="n">
        <f aca="false">E858/E842</f>
        <v>0.160930877156321</v>
      </c>
      <c r="F862" s="17" t="n">
        <f aca="false">F858/F842</f>
        <v>0.156583899647413</v>
      </c>
      <c r="G862" s="17" t="n">
        <f aca="false">G858/G842</f>
        <v>0.160619084210354</v>
      </c>
      <c r="H862" s="25" t="n">
        <f aca="false">$G862+(fade_mA-$G862)*1/3</f>
        <v>0.171446583087439</v>
      </c>
      <c r="I862" s="25" t="n">
        <f aca="false">$G862+(fade_mA-$G862)*2/3</f>
        <v>0.182274081964525</v>
      </c>
      <c r="J862" s="25" t="n">
        <f aca="false">$G862+(fade_mA-$G862)*3/3</f>
        <v>0.19310158084161</v>
      </c>
    </row>
    <row r="865" customFormat="false" ht="17.15" hidden="false" customHeight="false" outlineLevel="0" collapsed="false">
      <c r="A865" s="1" t="s">
        <v>950</v>
      </c>
    </row>
    <row r="866" customFormat="false" ht="17.15" hidden="false" customHeight="false" outlineLevel="0" collapsed="false">
      <c r="A866" s="5" t="s">
        <v>22</v>
      </c>
      <c r="B866" s="5" t="s">
        <v>23</v>
      </c>
      <c r="C866" s="14" t="s">
        <v>494</v>
      </c>
      <c r="D866" s="14" t="s">
        <v>587</v>
      </c>
      <c r="E866" s="14" t="s">
        <v>588</v>
      </c>
      <c r="F866" s="14" t="s">
        <v>589</v>
      </c>
      <c r="G866" s="14" t="s">
        <v>590</v>
      </c>
      <c r="H866" s="14" t="s">
        <v>591</v>
      </c>
      <c r="I866" s="14" t="s">
        <v>592</v>
      </c>
      <c r="J866" s="14" t="s">
        <v>593</v>
      </c>
      <c r="K866" s="5" t="s">
        <v>557</v>
      </c>
    </row>
    <row r="867" customFormat="false" ht="17.15" hidden="false" customHeight="false" outlineLevel="0" collapsed="false">
      <c r="A867" s="6" t="s">
        <v>609</v>
      </c>
    </row>
    <row r="868" customFormat="false" ht="17.15" hidden="false" customHeight="false" outlineLevel="0" collapsed="false">
      <c r="A868" s="0" t="s">
        <v>610</v>
      </c>
      <c r="B868" s="4" t="s">
        <v>33</v>
      </c>
      <c r="D868" s="20" t="n">
        <f aca="false">u_tpu_26</f>
        <v>3.85</v>
      </c>
      <c r="E868" s="20" t="n">
        <f aca="false">u_tpu_27</f>
        <v>5.5</v>
      </c>
      <c r="F868" s="20" t="n">
        <f aca="false">u_tpu_28*um28_A</f>
        <v>7</v>
      </c>
      <c r="G868" s="20" t="n">
        <f aca="false">u_tpu_28*(1+g29_tpu)*um29_A</f>
        <v>8.05</v>
      </c>
    </row>
    <row r="869" customFormat="false" ht="17.15" hidden="false" customHeight="false" outlineLevel="0" collapsed="false">
      <c r="A869" s="4" t="s">
        <v>611</v>
      </c>
      <c r="B869" s="4" t="s">
        <v>33</v>
      </c>
      <c r="D869" s="20" t="n">
        <f aca="false">u_oth_26</f>
        <v>1</v>
      </c>
      <c r="E869" s="20" t="n">
        <f aca="false">u_oth_27</f>
        <v>4.5</v>
      </c>
      <c r="F869" s="20" t="n">
        <f aca="false">u_oth_28*um28_A</f>
        <v>5</v>
      </c>
      <c r="G869" s="20" t="n">
        <f aca="false">u_oth_28*(1+g29_oth)*um29_A</f>
        <v>5.75</v>
      </c>
    </row>
    <row r="870" customFormat="false" ht="17.15" hidden="false" customHeight="false" outlineLevel="0" collapsed="false">
      <c r="A870" s="4" t="s">
        <v>561</v>
      </c>
      <c r="B870" s="0" t="s">
        <v>46</v>
      </c>
      <c r="D870" s="19" t="n">
        <f aca="false">mtk_tpu_26</f>
        <v>0.05</v>
      </c>
      <c r="E870" s="19" t="n">
        <f aca="false">MIN(1,MAX(0,mtk_tpu_27+0))</f>
        <v>0.15</v>
      </c>
      <c r="F870" s="19" t="n">
        <f aca="false">MIN(1,MAX(0,mtk_tpu_28+0))</f>
        <v>0.18</v>
      </c>
      <c r="G870" s="19" t="n">
        <f aca="false">MIN(1,MAX(0,mtk_tpu_28+0))</f>
        <v>0.18</v>
      </c>
    </row>
    <row r="871" customFormat="false" ht="17.15" hidden="false" customHeight="false" outlineLevel="0" collapsed="false">
      <c r="A871" s="4" t="s">
        <v>612</v>
      </c>
      <c r="B871" s="0" t="s">
        <v>46</v>
      </c>
      <c r="D871" s="19" t="n">
        <f aca="false">mtk_oth_26</f>
        <v>0</v>
      </c>
      <c r="E871" s="19" t="n">
        <f aca="false">MIN(1,MAX(0,mtk_oth_27+0))</f>
        <v>0</v>
      </c>
      <c r="F871" s="19" t="n">
        <f aca="false">MIN(1,MAX(0,mtk_oth_28+0))</f>
        <v>0</v>
      </c>
      <c r="G871" s="19" t="n">
        <f aca="false">MIN(1,MAX(0,mtk_oth_28+0))</f>
        <v>0</v>
      </c>
    </row>
    <row r="872" customFormat="false" ht="17.15" hidden="false" customHeight="false" outlineLevel="0" collapsed="false">
      <c r="A872" s="4" t="s">
        <v>563</v>
      </c>
      <c r="B872" s="4" t="s">
        <v>33</v>
      </c>
      <c r="D872" s="20" t="n">
        <f aca="false">D868*D870</f>
        <v>0.1925</v>
      </c>
      <c r="E872" s="20" t="n">
        <f aca="false">E868*E870*1</f>
        <v>0.825</v>
      </c>
      <c r="F872" s="20" t="n">
        <f aca="false">F868*F870*1</f>
        <v>1.26</v>
      </c>
      <c r="G872" s="20" t="n">
        <f aca="false">G868*G870*1</f>
        <v>1.449</v>
      </c>
    </row>
    <row r="873" customFormat="false" ht="17.15" hidden="false" customHeight="false" outlineLevel="0" collapsed="false">
      <c r="A873" s="4" t="s">
        <v>613</v>
      </c>
      <c r="B873" s="4" t="s">
        <v>33</v>
      </c>
      <c r="D873" s="20" t="n">
        <f aca="false">D869*D871</f>
        <v>0</v>
      </c>
      <c r="E873" s="20" t="n">
        <f aca="false">E869*E871*1</f>
        <v>0</v>
      </c>
      <c r="F873" s="20" t="n">
        <f aca="false">F869*F871*1</f>
        <v>0</v>
      </c>
      <c r="G873" s="20" t="n">
        <f aca="false">G869*G871*1</f>
        <v>0</v>
      </c>
    </row>
    <row r="874" customFormat="false" ht="17.15" hidden="false" customHeight="false" outlineLevel="0" collapsed="false">
      <c r="A874" s="4" t="s">
        <v>614</v>
      </c>
      <c r="B874" s="0" t="s">
        <v>102</v>
      </c>
      <c r="D874" s="27" t="n">
        <f aca="false">gb_tpu_26</f>
        <v>192</v>
      </c>
      <c r="E874" s="27" t="n">
        <f aca="false">gb_tpu_27</f>
        <v>250</v>
      </c>
      <c r="F874" s="27" t="n">
        <f aca="false">gb_tpu_28</f>
        <v>288</v>
      </c>
      <c r="G874" s="27" t="n">
        <f aca="false">gb_tpu_28</f>
        <v>288</v>
      </c>
    </row>
    <row r="875" customFormat="false" ht="17.15" hidden="false" customHeight="false" outlineLevel="0" collapsed="false">
      <c r="A875" s="4" t="s">
        <v>615</v>
      </c>
      <c r="B875" s="0" t="s">
        <v>102</v>
      </c>
      <c r="D875" s="27" t="n">
        <f aca="false">gb_oth_26</f>
        <v>150</v>
      </c>
      <c r="E875" s="27" t="n">
        <f aca="false">gb_oth_27</f>
        <v>200</v>
      </c>
      <c r="F875" s="27" t="n">
        <f aca="false">gb_oth_28</f>
        <v>250</v>
      </c>
      <c r="G875" s="27" t="n">
        <f aca="false">gb_oth_28</f>
        <v>250</v>
      </c>
    </row>
    <row r="876" customFormat="false" ht="17.15" hidden="false" customHeight="false" outlineLevel="0" collapsed="false">
      <c r="A876" s="0" t="s">
        <v>616</v>
      </c>
      <c r="B876" s="0" t="s">
        <v>194</v>
      </c>
      <c r="D876" s="16" t="n">
        <f aca="false">hbm_A_26</f>
        <v>14.6</v>
      </c>
      <c r="E876" s="16" t="n">
        <f aca="false">hbm_A_27</f>
        <v>26.28</v>
      </c>
      <c r="F876" s="16" t="n">
        <f aca="false">hbm_A_28</f>
        <v>28.908</v>
      </c>
      <c r="G876" s="16" t="n">
        <f aca="false">hbm_A_29</f>
        <v>27.4626</v>
      </c>
    </row>
    <row r="877" customFormat="false" ht="17.15" hidden="false" customHeight="false" outlineLevel="0" collapsed="false">
      <c r="A877" s="4" t="s">
        <v>617</v>
      </c>
      <c r="B877" s="0" t="s">
        <v>86</v>
      </c>
      <c r="D877" s="16" t="n">
        <f aca="false">core_tpu</f>
        <v>8</v>
      </c>
      <c r="E877" s="16" t="n">
        <f aca="false">core_tpu</f>
        <v>8</v>
      </c>
      <c r="F877" s="16" t="n">
        <f aca="false">core_tpu*1</f>
        <v>8</v>
      </c>
      <c r="G877" s="16" t="n">
        <f aca="false">core_tpu*1</f>
        <v>8</v>
      </c>
    </row>
    <row r="878" customFormat="false" ht="17.15" hidden="false" customHeight="false" outlineLevel="0" collapsed="false">
      <c r="A878" s="4" t="s">
        <v>618</v>
      </c>
      <c r="B878" s="0" t="s">
        <v>86</v>
      </c>
      <c r="D878" s="16" t="n">
        <f aca="false">core_oth</f>
        <v>6</v>
      </c>
      <c r="E878" s="16" t="n">
        <f aca="false">core_oth</f>
        <v>6</v>
      </c>
      <c r="F878" s="16" t="n">
        <f aca="false">core_oth*1</f>
        <v>6</v>
      </c>
      <c r="G878" s="16" t="n">
        <f aca="false">core_oth*1</f>
        <v>6</v>
      </c>
    </row>
    <row r="879" customFormat="false" ht="17.15" hidden="false" customHeight="false" outlineLevel="0" collapsed="false">
      <c r="A879" s="4" t="s">
        <v>619</v>
      </c>
      <c r="B879" s="0" t="s">
        <v>86</v>
      </c>
      <c r="D879" s="16" t="n">
        <f aca="false">D874*D876/1000</f>
        <v>2.8032</v>
      </c>
      <c r="E879" s="16" t="n">
        <f aca="false">E874*E876/1000</f>
        <v>6.57</v>
      </c>
      <c r="F879" s="16" t="n">
        <f aca="false">F874*F876/1000</f>
        <v>8.325504</v>
      </c>
      <c r="G879" s="16" t="n">
        <f aca="false">G874*G876/1000</f>
        <v>7.9092288</v>
      </c>
    </row>
    <row r="880" customFormat="false" ht="17.15" hidden="false" customHeight="false" outlineLevel="0" collapsed="false">
      <c r="A880" s="4" t="s">
        <v>620</v>
      </c>
      <c r="B880" s="0" t="s">
        <v>86</v>
      </c>
      <c r="D880" s="16" t="n">
        <f aca="false">D875*D876/1000</f>
        <v>2.19</v>
      </c>
      <c r="E880" s="16" t="n">
        <f aca="false">E875*E876/1000</f>
        <v>5.256</v>
      </c>
      <c r="F880" s="16" t="n">
        <f aca="false">F875*F876/1000</f>
        <v>7.227</v>
      </c>
      <c r="G880" s="16" t="n">
        <f aca="false">G875*G876/1000</f>
        <v>6.86565</v>
      </c>
    </row>
    <row r="881" customFormat="false" ht="17.15" hidden="false" customHeight="false" outlineLevel="0" collapsed="false">
      <c r="A881" s="4" t="s">
        <v>621</v>
      </c>
      <c r="B881" s="0" t="s">
        <v>86</v>
      </c>
      <c r="D881" s="16" t="n">
        <f aca="false">D877+f_hbm*D879</f>
        <v>9.68192</v>
      </c>
      <c r="E881" s="16" t="n">
        <f aca="false">E877+f_hbm*E879</f>
        <v>11.942</v>
      </c>
      <c r="F881" s="16" t="n">
        <f aca="false">F877+f_hbm*F879</f>
        <v>12.9953024</v>
      </c>
      <c r="G881" s="16" t="n">
        <f aca="false">G877+f_hbm*G879</f>
        <v>12.74553728</v>
      </c>
      <c r="K881" s="4" t="s">
        <v>622</v>
      </c>
    </row>
    <row r="882" customFormat="false" ht="17.15" hidden="false" customHeight="false" outlineLevel="0" collapsed="false">
      <c r="A882" s="4" t="s">
        <v>623</v>
      </c>
      <c r="B882" s="0" t="s">
        <v>86</v>
      </c>
      <c r="D882" s="16" t="n">
        <f aca="false">D878+f_hbm*D880</f>
        <v>7.314</v>
      </c>
      <c r="E882" s="16" t="n">
        <f aca="false">E878+f_hbm*E880</f>
        <v>9.1536</v>
      </c>
      <c r="F882" s="16" t="n">
        <f aca="false">F878+f_hbm*F880</f>
        <v>10.3362</v>
      </c>
      <c r="G882" s="16" t="n">
        <f aca="false">G878+f_hbm*G880</f>
        <v>10.11939</v>
      </c>
    </row>
    <row r="883" customFormat="false" ht="17.15" hidden="false" customHeight="false" outlineLevel="0" collapsed="false">
      <c r="A883" s="0" t="s">
        <v>624</v>
      </c>
      <c r="B883" s="0" t="s">
        <v>279</v>
      </c>
      <c r="D883" s="16" t="n">
        <f aca="false">D872*D881+D873*D882</f>
        <v>1.8637696</v>
      </c>
      <c r="E883" s="16" t="n">
        <f aca="false">E872*E881+E873*E882</f>
        <v>9.85215</v>
      </c>
      <c r="F883" s="16" t="n">
        <f aca="false">F872*F881+F873*F882</f>
        <v>16.374081024</v>
      </c>
      <c r="G883" s="16" t="n">
        <f aca="false">G872*G881+G873*G882</f>
        <v>18.46828351872</v>
      </c>
    </row>
    <row r="884" customFormat="false" ht="17.15" hidden="false" customHeight="false" outlineLevel="0" collapsed="false">
      <c r="A884" s="0" t="s">
        <v>625</v>
      </c>
      <c r="B884" s="0" t="s">
        <v>65</v>
      </c>
      <c r="D884" s="20" t="n">
        <f aca="false">dc26/D883</f>
        <v>1.07309401333727</v>
      </c>
      <c r="K884" s="8" t="s">
        <v>626</v>
      </c>
    </row>
    <row r="885" customFormat="false" ht="17.15" hidden="false" customHeight="false" outlineLevel="0" collapsed="false">
      <c r="A885" s="0" t="s">
        <v>627</v>
      </c>
      <c r="B885" s="0" t="s">
        <v>279</v>
      </c>
      <c r="D885" s="16" t="n">
        <f aca="false">D883*$D$884</f>
        <v>2</v>
      </c>
      <c r="E885" s="16" t="n">
        <f aca="false">E883*$D$884</f>
        <v>10.5722831835008</v>
      </c>
      <c r="F885" s="16" t="n">
        <f aca="false">F883*$D$884</f>
        <v>17.5709283207538</v>
      </c>
      <c r="G885" s="16" t="n">
        <f aca="false">G883*$D$884</f>
        <v>19.8182044805538</v>
      </c>
    </row>
    <row r="886" customFormat="false" ht="15" hidden="false" customHeight="false" outlineLevel="0" collapsed="false">
      <c r="A886" s="4" t="s">
        <v>628</v>
      </c>
      <c r="B886" s="0" t="s">
        <v>288</v>
      </c>
      <c r="D886" s="16" t="n">
        <f aca="false">fx26</f>
        <v>32</v>
      </c>
      <c r="E886" s="16" t="n">
        <f aca="false">fx</f>
        <v>32</v>
      </c>
      <c r="F886" s="16" t="n">
        <f aca="false">fx</f>
        <v>32</v>
      </c>
      <c r="G886" s="16" t="n">
        <f aca="false">fx</f>
        <v>32</v>
      </c>
    </row>
    <row r="887" customFormat="false" ht="17.15" hidden="false" customHeight="false" outlineLevel="0" collapsed="false">
      <c r="A887" s="0" t="s">
        <v>629</v>
      </c>
      <c r="B887" s="0" t="s">
        <v>301</v>
      </c>
      <c r="C887" s="16" t="n">
        <f aca="false">a25_asic</f>
        <v>0</v>
      </c>
      <c r="D887" s="16" t="n">
        <f aca="false">D885*D886</f>
        <v>64</v>
      </c>
      <c r="E887" s="16" t="n">
        <f aca="false">E885*E886</f>
        <v>338.313061872025</v>
      </c>
      <c r="F887" s="16" t="n">
        <f aca="false">F885*F886</f>
        <v>562.269706264122</v>
      </c>
      <c r="G887" s="16" t="n">
        <f aca="false">G885*G886</f>
        <v>634.182543377722</v>
      </c>
    </row>
    <row r="888" customFormat="false" ht="17.15" hidden="false" customHeight="false" outlineLevel="0" collapsed="false">
      <c r="A888" s="4" t="s">
        <v>630</v>
      </c>
      <c r="B888" s="0" t="s">
        <v>301</v>
      </c>
      <c r="D888" s="16" t="n">
        <f aca="false">$D$884*f_hbm*(D872*D879+D873*D880)*D886</f>
        <v>11.1179270227393</v>
      </c>
      <c r="E888" s="16" t="n">
        <f aca="false">$D$884*f_hbm*(E872*E879+E873*E880)*E886</f>
        <v>111.675606255194</v>
      </c>
      <c r="F888" s="16" t="n">
        <f aca="false">$D$884*f_hbm*(F872*F879+F873*F880)*F886</f>
        <v>216.132501322052</v>
      </c>
      <c r="G888" s="16" t="n">
        <f aca="false">$D$884*f_hbm*(G872*G879+G873*G880)*G886</f>
        <v>236.124757694342</v>
      </c>
    </row>
    <row r="889" customFormat="false" ht="15" hidden="false" customHeight="false" outlineLevel="0" collapsed="false">
      <c r="A889" s="4" t="s">
        <v>631</v>
      </c>
      <c r="B889" s="0" t="s">
        <v>301</v>
      </c>
      <c r="D889" s="16" t="n">
        <f aca="false">D887-D888</f>
        <v>52.8820729772607</v>
      </c>
      <c r="E889" s="16" t="n">
        <f aca="false">E887-E888</f>
        <v>226.637455616832</v>
      </c>
      <c r="F889" s="16" t="n">
        <f aca="false">F887-F888</f>
        <v>346.13720494207</v>
      </c>
      <c r="G889" s="16" t="n">
        <f aca="false">G887-G888</f>
        <v>398.057785683381</v>
      </c>
    </row>
    <row r="890" customFormat="false" ht="17.15" hidden="false" customHeight="false" outlineLevel="0" collapsed="false">
      <c r="A890" s="4" t="s">
        <v>632</v>
      </c>
      <c r="B890" s="4" t="s">
        <v>33</v>
      </c>
      <c r="D890" s="20" t="n">
        <f aca="false">D872+D873</f>
        <v>0.1925</v>
      </c>
      <c r="E890" s="20" t="n">
        <f aca="false">E872+E873</f>
        <v>0.825</v>
      </c>
      <c r="F890" s="20" t="n">
        <f aca="false">F872+F873</f>
        <v>1.26</v>
      </c>
      <c r="G890" s="20" t="n">
        <f aca="false">G872+G873</f>
        <v>1.449</v>
      </c>
    </row>
    <row r="891" customFormat="false" ht="17.15" hidden="false" customHeight="false" outlineLevel="0" collapsed="false">
      <c r="A891" s="4" t="s">
        <v>633</v>
      </c>
      <c r="B891" s="0" t="s">
        <v>86</v>
      </c>
      <c r="D891" s="16" t="n">
        <f aca="false">IF(D890&gt;0,D885/D890,0)</f>
        <v>10.3896103896104</v>
      </c>
      <c r="E891" s="16" t="n">
        <f aca="false">IF(E890&gt;0,E885/E890,0)</f>
        <v>12.8148887072737</v>
      </c>
      <c r="F891" s="16" t="n">
        <f aca="false">IF(F890&gt;0,F885/F890,0)</f>
        <v>13.9451812069475</v>
      </c>
      <c r="G891" s="16" t="n">
        <f aca="false">IF(G890&gt;0,G885/G890,0)</f>
        <v>13.677159751935</v>
      </c>
    </row>
    <row r="892" customFormat="false" ht="17.15" hidden="false" customHeight="false" outlineLevel="0" collapsed="false">
      <c r="A892" s="6" t="s">
        <v>634</v>
      </c>
    </row>
    <row r="893" customFormat="false" ht="15" hidden="false" customHeight="false" outlineLevel="0" collapsed="false">
      <c r="A893" s="4" t="s">
        <v>635</v>
      </c>
      <c r="B893" s="0" t="s">
        <v>301</v>
      </c>
      <c r="C893" s="16" t="n">
        <f aca="false">a25_mob</f>
        <v>315.86198</v>
      </c>
      <c r="D893" s="16" t="n">
        <f aca="false">a26_mob</f>
        <v>262.655761173888</v>
      </c>
      <c r="E893" s="16" t="n">
        <f aca="false">D893*(1+g_mob27_A)</f>
        <v>275.788549232582</v>
      </c>
      <c r="F893" s="16" t="n">
        <f aca="false">E893*(1+g_mobL_A)</f>
        <v>286.820091201885</v>
      </c>
      <c r="G893" s="16" t="n">
        <f aca="false">F893*(1+g_mobL_A)</f>
        <v>298.292894849961</v>
      </c>
    </row>
    <row r="894" customFormat="false" ht="17.15" hidden="false" customHeight="false" outlineLevel="0" collapsed="false">
      <c r="A894" s="4" t="s">
        <v>636</v>
      </c>
      <c r="B894" s="0" t="s">
        <v>301</v>
      </c>
      <c r="C894" s="16" t="n">
        <f aca="false">a25_sepx</f>
        <v>247.32589</v>
      </c>
      <c r="D894" s="16" t="n">
        <f aca="false">a26_sepx</f>
        <v>311.894023346019</v>
      </c>
      <c r="E894" s="16" t="n">
        <f aca="false">D894*(1+g_sep27_A)</f>
        <v>336.8455452137</v>
      </c>
      <c r="F894" s="16" t="n">
        <f aca="false">E894*(1+g_sepL_A)</f>
        <v>360.424733378659</v>
      </c>
      <c r="G894" s="16" t="n">
        <f aca="false">F894*(1+g_sepL_A)</f>
        <v>385.654464715166</v>
      </c>
    </row>
    <row r="895" customFormat="false" ht="17.15" hidden="false" customHeight="false" outlineLevel="0" collapsed="false">
      <c r="A895" s="4" t="s">
        <v>637</v>
      </c>
      <c r="B895" s="0" t="s">
        <v>301</v>
      </c>
      <c r="C895" s="16" t="n">
        <f aca="false">a25_pic</f>
        <v>32.77813</v>
      </c>
      <c r="D895" s="16" t="n">
        <f aca="false">a26_pic</f>
        <v>35.9721535362998</v>
      </c>
      <c r="E895" s="16" t="n">
        <f aca="false">D895*(1+g_pic27_A)</f>
        <v>38.8499258192038</v>
      </c>
      <c r="F895" s="16" t="n">
        <f aca="false">E895*(1+g_picL_A)</f>
        <v>41.9579198847401</v>
      </c>
      <c r="G895" s="16" t="n">
        <f aca="false">F895*(1+g_picL_A)</f>
        <v>45.3145534755193</v>
      </c>
    </row>
    <row r="896" customFormat="false" ht="17.15" hidden="false" customHeight="false" outlineLevel="0" collapsed="false">
      <c r="A896" s="4" t="s">
        <v>638</v>
      </c>
      <c r="B896" s="0" t="s">
        <v>301</v>
      </c>
      <c r="C896" s="16" t="n">
        <f aca="false">C893+C894+C895</f>
        <v>595.966</v>
      </c>
      <c r="D896" s="16" t="n">
        <f aca="false">D893+D894+D895</f>
        <v>610.521938056206</v>
      </c>
      <c r="E896" s="16" t="n">
        <f aca="false">E893+E894+E895</f>
        <v>651.484020265486</v>
      </c>
      <c r="F896" s="16" t="n">
        <f aca="false">F893+F894+F895</f>
        <v>689.202744465285</v>
      </c>
      <c r="G896" s="16" t="n">
        <f aca="false">G893+G894+G895</f>
        <v>729.261913040646</v>
      </c>
    </row>
    <row r="897" customFormat="false" ht="17.15" hidden="false" customHeight="false" outlineLevel="0" collapsed="false">
      <c r="A897" s="4" t="s">
        <v>501</v>
      </c>
      <c r="B897" s="0" t="s">
        <v>301</v>
      </c>
      <c r="C897" s="16" t="n">
        <f aca="false">C896+C887</f>
        <v>595.966</v>
      </c>
      <c r="D897" s="16" t="n">
        <f aca="false">D896+D887</f>
        <v>674.521938056206</v>
      </c>
      <c r="E897" s="16" t="n">
        <f aca="false">E896+E887</f>
        <v>989.797082137512</v>
      </c>
      <c r="F897" s="16" t="n">
        <f aca="false">F896+F887</f>
        <v>1251.47245072941</v>
      </c>
      <c r="G897" s="16" t="n">
        <f aca="false">G896+G887</f>
        <v>1363.44445641837</v>
      </c>
      <c r="H897" s="26" t="n">
        <f aca="false">G897*(1+H898)</f>
        <v>1472.04027119696</v>
      </c>
      <c r="I897" s="26" t="n">
        <f aca="false">H897*(1+I898)</f>
        <v>1574.8241140449</v>
      </c>
      <c r="J897" s="26" t="n">
        <f aca="false">I897*(1+J898)</f>
        <v>1669.3135608876</v>
      </c>
      <c r="K897" s="8" t="s">
        <v>639</v>
      </c>
    </row>
    <row r="898" customFormat="false" ht="15" hidden="false" customHeight="false" outlineLevel="0" collapsed="false">
      <c r="A898" s="4" t="s">
        <v>640</v>
      </c>
      <c r="B898" s="0" t="s">
        <v>46</v>
      </c>
      <c r="D898" s="19" t="n">
        <f aca="false">D897/C897-1</f>
        <v>0.131812784716252</v>
      </c>
      <c r="E898" s="19" t="n">
        <f aca="false">E897/D897-1</f>
        <v>0.467405322634643</v>
      </c>
      <c r="F898" s="19" t="n">
        <f aca="false">F897/E897-1</f>
        <v>0.264372741963227</v>
      </c>
      <c r="G898" s="19" t="n">
        <f aca="false">G897/F897-1</f>
        <v>0.0894722098146863</v>
      </c>
      <c r="H898" s="24" t="n">
        <f aca="false">$G898+(fade_gA-$G898)*1/3</f>
        <v>0.0796481398764575</v>
      </c>
      <c r="I898" s="24" t="n">
        <f aca="false">$G898+(fade_gA-$G898)*2/3</f>
        <v>0.0698240699382288</v>
      </c>
      <c r="J898" s="24" t="n">
        <f aca="false">$G898+(fade_gA-$G898)*3/3</f>
        <v>0.06</v>
      </c>
    </row>
    <row r="899" customFormat="false" ht="17.15" hidden="false" customHeight="false" outlineLevel="0" collapsed="false">
      <c r="A899" s="0" t="s">
        <v>641</v>
      </c>
      <c r="B899" s="0" t="s">
        <v>46</v>
      </c>
      <c r="C899" s="19" t="n">
        <f aca="false">C887/C897</f>
        <v>0</v>
      </c>
      <c r="D899" s="19" t="n">
        <f aca="false">D887/D897</f>
        <v>0.0948820140445411</v>
      </c>
      <c r="E899" s="19" t="n">
        <f aca="false">E887/E897</f>
        <v>0.341800423518549</v>
      </c>
      <c r="F899" s="19" t="n">
        <f aca="false">F887/F897</f>
        <v>0.449286523196263</v>
      </c>
      <c r="G899" s="19" t="n">
        <f aca="false">G887/G897</f>
        <v>0.465132657507484</v>
      </c>
    </row>
    <row r="900" customFormat="false" ht="17.15" hidden="false" customHeight="false" outlineLevel="0" collapsed="false">
      <c r="A900" s="4" t="s">
        <v>642</v>
      </c>
      <c r="B900" s="0" t="s">
        <v>46</v>
      </c>
      <c r="C900" s="19" t="n">
        <f aca="false">C893/C897</f>
        <v>0.53</v>
      </c>
      <c r="D900" s="19" t="n">
        <f aca="false">D893/D897</f>
        <v>0.389395431571569</v>
      </c>
      <c r="E900" s="19" t="n">
        <f aca="false">E893/E897</f>
        <v>0.278631402546676</v>
      </c>
      <c r="F900" s="19" t="n">
        <f aca="false">F893/F897</f>
        <v>0.229186100768511</v>
      </c>
      <c r="G900" s="19" t="n">
        <f aca="false">G893/G897</f>
        <v>0.218778912075044</v>
      </c>
    </row>
    <row r="901" customFormat="false" ht="17.15" hidden="false" customHeight="false" outlineLevel="0" collapsed="false">
      <c r="A901" s="6" t="s">
        <v>643</v>
      </c>
    </row>
    <row r="902" customFormat="false" ht="17.15" hidden="false" customHeight="false" outlineLevel="0" collapsed="false">
      <c r="A902" s="0" t="s">
        <v>644</v>
      </c>
      <c r="B902" s="0" t="s">
        <v>301</v>
      </c>
      <c r="D902" s="16" t="n">
        <f aca="false">m_core*D889+m_hbm*D888</f>
        <v>24.9087255420412</v>
      </c>
      <c r="E902" s="16" t="n">
        <f aca="false">m_core*E889+m_hbm*E888</f>
        <v>113.154415653094</v>
      </c>
      <c r="F902" s="16" t="n">
        <f aca="false">m_core*F889+m_hbm*F888</f>
        <v>177.374992356137</v>
      </c>
      <c r="G902" s="16" t="n">
        <f aca="false">m_core*G889+m_hbm*G888</f>
        <v>202.738479326955</v>
      </c>
    </row>
    <row r="903" customFormat="false" ht="17.15" hidden="false" customHeight="false" outlineLevel="0" collapsed="false">
      <c r="A903" s="4" t="s">
        <v>645</v>
      </c>
      <c r="B903" s="0" t="s">
        <v>46</v>
      </c>
      <c r="C903" s="17" t="n">
        <f aca="false">a25_gp/C896</f>
        <v>0.474993539899927</v>
      </c>
      <c r="D903" s="17" t="n">
        <f aca="false">(a26_gp-D902)/D896</f>
        <v>0.462340704042911</v>
      </c>
      <c r="E903" s="17" t="n">
        <f aca="false">$D903+0</f>
        <v>0.462340704042911</v>
      </c>
      <c r="F903" s="17" t="n">
        <f aca="false">$D903+0</f>
        <v>0.462340704042911</v>
      </c>
      <c r="G903" s="17" t="n">
        <f aca="false">$D903+0</f>
        <v>0.462340704042911</v>
      </c>
      <c r="K903" s="8" t="s">
        <v>646</v>
      </c>
    </row>
    <row r="904" customFormat="false" ht="15" hidden="false" customHeight="false" outlineLevel="0" collapsed="false">
      <c r="A904" s="4" t="s">
        <v>517</v>
      </c>
      <c r="B904" s="0" t="s">
        <v>301</v>
      </c>
      <c r="C904" s="16" t="n">
        <f aca="false">a25_gp</f>
        <v>283.08</v>
      </c>
      <c r="D904" s="16" t="n">
        <f aca="false">a26_gp</f>
        <v>307.17786821659</v>
      </c>
      <c r="E904" s="16" t="n">
        <f aca="false">E903*E896+E902</f>
        <v>414.361996255344</v>
      </c>
      <c r="F904" s="16" t="n">
        <f aca="false">F903*F896+F902</f>
        <v>496.021474460523</v>
      </c>
      <c r="G904" s="16" t="n">
        <f aca="false">G903*G896+G902</f>
        <v>539.905945633848</v>
      </c>
    </row>
    <row r="905" customFormat="false" ht="15" hidden="false" customHeight="false" outlineLevel="0" collapsed="false">
      <c r="A905" s="4" t="s">
        <v>520</v>
      </c>
      <c r="B905" s="0" t="s">
        <v>46</v>
      </c>
      <c r="C905" s="17" t="n">
        <f aca="false">C904/C897</f>
        <v>0.474993539899927</v>
      </c>
      <c r="D905" s="17" t="n">
        <f aca="false">D904/D897</f>
        <v>0.455400856348417</v>
      </c>
      <c r="E905" s="17" t="n">
        <f aca="false">E904/E897</f>
        <v>0.418633277197091</v>
      </c>
      <c r="F905" s="17" t="n">
        <f aca="false">F904/F897</f>
        <v>0.396350294544177</v>
      </c>
      <c r="G905" s="17" t="n">
        <f aca="false">G904/G897</f>
        <v>0.395986754790237</v>
      </c>
    </row>
    <row r="906" customFormat="false" ht="15" hidden="false" customHeight="false" outlineLevel="0" collapsed="false">
      <c r="A906" s="4" t="s">
        <v>647</v>
      </c>
      <c r="B906" s="0" t="s">
        <v>301</v>
      </c>
      <c r="C906" s="16" t="n">
        <f aca="false">a25_opx</f>
        <v>179.61</v>
      </c>
      <c r="D906" s="16" t="n">
        <f aca="false">a26_opx</f>
        <v>192.105</v>
      </c>
      <c r="E906" s="16" t="n">
        <f aca="false">D906*(1+MAX(g_opx_min,phi*E898))+opx_adj_hi*E897</f>
        <v>238.838211494169</v>
      </c>
      <c r="F906" s="16" t="n">
        <f aca="false">E906*(1+MAX(g_opx_min,phi*F898))+opx_adj_hi*F897</f>
        <v>282.810354366249</v>
      </c>
      <c r="G906" s="16" t="n">
        <f aca="false">F906*(1+MAX(g_opx_min,phi*G898))+opx_adj_hi*G897</f>
        <v>327.047864756591</v>
      </c>
    </row>
    <row r="907" customFormat="false" ht="15" hidden="false" customHeight="false" outlineLevel="0" collapsed="false">
      <c r="A907" s="4" t="s">
        <v>524</v>
      </c>
      <c r="B907" s="0" t="s">
        <v>301</v>
      </c>
      <c r="C907" s="16" t="n">
        <f aca="false">C904-C906</f>
        <v>103.47</v>
      </c>
      <c r="D907" s="16" t="n">
        <f aca="false">D904-D906</f>
        <v>115.07286821659</v>
      </c>
      <c r="E907" s="16" t="n">
        <f aca="false">E904-E906</f>
        <v>175.523784761176</v>
      </c>
      <c r="F907" s="16" t="n">
        <f aca="false">F904-F906</f>
        <v>213.211120094274</v>
      </c>
      <c r="G907" s="16" t="n">
        <f aca="false">G904-G906</f>
        <v>212.858080877257</v>
      </c>
    </row>
    <row r="908" customFormat="false" ht="15" hidden="false" customHeight="false" outlineLevel="0" collapsed="false">
      <c r="A908" s="4" t="s">
        <v>598</v>
      </c>
      <c r="B908" s="0" t="s">
        <v>46</v>
      </c>
      <c r="C908" s="17" t="n">
        <f aca="false">C907/C897</f>
        <v>0.173617286892205</v>
      </c>
      <c r="D908" s="17" t="n">
        <f aca="false">D907/D897</f>
        <v>0.170599148410502</v>
      </c>
      <c r="E908" s="17" t="n">
        <f aca="false">E907/E897</f>
        <v>0.177333099812867</v>
      </c>
      <c r="F908" s="17" t="n">
        <f aca="false">F907/F897</f>
        <v>0.170368209040484</v>
      </c>
      <c r="G908" s="17" t="n">
        <f aca="false">G907/G897</f>
        <v>0.156117896754235</v>
      </c>
    </row>
    <row r="909" customFormat="false" ht="15" hidden="false" customHeight="false" outlineLevel="0" collapsed="false">
      <c r="A909" s="4" t="s">
        <v>526</v>
      </c>
      <c r="B909" s="0" t="s">
        <v>301</v>
      </c>
      <c r="C909" s="16" t="n">
        <f aca="false">a25_nonop</f>
        <v>21.418</v>
      </c>
      <c r="D909" s="16" t="n">
        <f aca="false">a26_nonop</f>
        <v>18.823</v>
      </c>
      <c r="E909" s="16" t="n">
        <f aca="false">nonop_f</f>
        <v>18</v>
      </c>
      <c r="F909" s="16" t="n">
        <f aca="false">nonop_f</f>
        <v>18</v>
      </c>
      <c r="G909" s="16" t="n">
        <f aca="false">nonop_f</f>
        <v>18</v>
      </c>
    </row>
    <row r="910" customFormat="false" ht="15" hidden="false" customHeight="false" outlineLevel="0" collapsed="false">
      <c r="A910" s="4" t="s">
        <v>528</v>
      </c>
      <c r="B910" s="0" t="s">
        <v>301</v>
      </c>
      <c r="C910" s="16" t="n">
        <f aca="false">C907+C909</f>
        <v>124.888</v>
      </c>
      <c r="D910" s="16" t="n">
        <f aca="false">D907+D909</f>
        <v>133.89586821659</v>
      </c>
      <c r="E910" s="16" t="n">
        <f aca="false">E907+E909</f>
        <v>193.523784761176</v>
      </c>
      <c r="F910" s="16" t="n">
        <f aca="false">F907+F909</f>
        <v>231.211120094274</v>
      </c>
      <c r="G910" s="16" t="n">
        <f aca="false">G907+G909</f>
        <v>230.858080877257</v>
      </c>
    </row>
    <row r="911" customFormat="false" ht="15" hidden="false" customHeight="false" outlineLevel="0" collapsed="false">
      <c r="A911" s="4" t="s">
        <v>529</v>
      </c>
      <c r="B911" s="0" t="s">
        <v>301</v>
      </c>
      <c r="C911" s="16" t="n">
        <f aca="false">a25_tax</f>
        <v>18.77</v>
      </c>
      <c r="D911" s="16" t="n">
        <f aca="false">a26_tax</f>
        <v>16.2589328681567</v>
      </c>
      <c r="E911" s="16" t="n">
        <f aca="false">E910*tax</f>
        <v>27.0933298665646</v>
      </c>
      <c r="F911" s="16" t="n">
        <f aca="false">F910*tax</f>
        <v>32.3695568131984</v>
      </c>
      <c r="G911" s="16" t="n">
        <f aca="false">G910*tax</f>
        <v>32.3201313228159</v>
      </c>
    </row>
    <row r="912" customFormat="false" ht="15" hidden="false" customHeight="false" outlineLevel="0" collapsed="false">
      <c r="A912" s="4" t="s">
        <v>530</v>
      </c>
      <c r="B912" s="0" t="s">
        <v>301</v>
      </c>
      <c r="C912" s="16" t="n">
        <f aca="false">a25_nci</f>
        <v>0.798</v>
      </c>
      <c r="D912" s="16" t="n">
        <f aca="false">a26_nci</f>
        <v>0.992</v>
      </c>
      <c r="E912" s="16" t="n">
        <f aca="false">nci</f>
        <v>1</v>
      </c>
      <c r="F912" s="16" t="n">
        <f aca="false">nci</f>
        <v>1</v>
      </c>
      <c r="G912" s="16" t="n">
        <f aca="false">nci</f>
        <v>1</v>
      </c>
    </row>
    <row r="913" customFormat="false" ht="15" hidden="false" customHeight="false" outlineLevel="0" collapsed="false">
      <c r="A913" s="4" t="s">
        <v>532</v>
      </c>
      <c r="B913" s="0" t="s">
        <v>301</v>
      </c>
      <c r="C913" s="16" t="n">
        <f aca="false">C910-C911-C912</f>
        <v>105.32</v>
      </c>
      <c r="D913" s="16" t="n">
        <f aca="false">D910-D911-D912</f>
        <v>116.644935348433</v>
      </c>
      <c r="E913" s="16" t="n">
        <f aca="false">E910-E911-E912</f>
        <v>165.430454894611</v>
      </c>
      <c r="F913" s="16" t="n">
        <f aca="false">F910-F911-F912</f>
        <v>197.841563281076</v>
      </c>
      <c r="G913" s="16" t="n">
        <f aca="false">G910-G911-G912</f>
        <v>197.537949554441</v>
      </c>
      <c r="H913" s="26" t="n">
        <f aca="false">H897*H917</f>
        <v>236.932087671189</v>
      </c>
      <c r="I913" s="26" t="n">
        <f aca="false">I897*I917</f>
        <v>278.788338150456</v>
      </c>
      <c r="J913" s="26" t="n">
        <f aca="false">J897*J917</f>
        <v>322.347087527732</v>
      </c>
    </row>
    <row r="914" customFormat="false" ht="15" hidden="false" customHeight="false" outlineLevel="0" collapsed="false">
      <c r="A914" s="4" t="s">
        <v>648</v>
      </c>
      <c r="B914" s="4" t="s">
        <v>346</v>
      </c>
      <c r="C914" s="18" t="n">
        <f aca="false">a25_sh</f>
        <v>1.59188331318017</v>
      </c>
      <c r="D914" s="18" t="n">
        <f aca="false">a26_sh</f>
        <v>1.59250890647703</v>
      </c>
      <c r="E914" s="18" t="n">
        <f aca="false">D914*(1+sh_g)</f>
        <v>1.59250890647703</v>
      </c>
      <c r="F914" s="18" t="n">
        <f aca="false">E914*(1+sh_g)</f>
        <v>1.59250890647703</v>
      </c>
      <c r="G914" s="18" t="n">
        <f aca="false">F914*(1+sh_g)</f>
        <v>1.59250890647703</v>
      </c>
      <c r="H914" s="28" t="n">
        <f aca="false">G914*(1+sh_g)</f>
        <v>1.59250890647703</v>
      </c>
      <c r="I914" s="28" t="n">
        <f aca="false">H914*(1+sh_g)</f>
        <v>1.59250890647703</v>
      </c>
      <c r="J914" s="28" t="n">
        <f aca="false">I914*(1+sh_g)</f>
        <v>1.59250890647703</v>
      </c>
    </row>
    <row r="915" customFormat="false" ht="17.15" hidden="false" customHeight="false" outlineLevel="0" collapsed="false">
      <c r="A915" s="0" t="s">
        <v>537</v>
      </c>
      <c r="B915" s="0" t="s">
        <v>403</v>
      </c>
      <c r="C915" s="16" t="n">
        <f aca="false">C913/C914</f>
        <v>66.1606281867469</v>
      </c>
      <c r="D915" s="16" t="n">
        <f aca="false">D913/D914</f>
        <v>73.2460175726595</v>
      </c>
      <c r="E915" s="16" t="n">
        <f aca="false">E913/E914</f>
        <v>103.880395407382</v>
      </c>
      <c r="F915" s="16" t="n">
        <f aca="false">F913/F914</f>
        <v>124.232625937863</v>
      </c>
      <c r="G915" s="16" t="n">
        <f aca="false">G913/G914</f>
        <v>124.041974742507</v>
      </c>
      <c r="H915" s="26" t="n">
        <f aca="false">H913/H914</f>
        <v>148.77912877444</v>
      </c>
      <c r="I915" s="26" t="n">
        <f aca="false">I913/I914</f>
        <v>175.062341577226</v>
      </c>
      <c r="J915" s="26" t="n">
        <f aca="false">J913/J914</f>
        <v>202.414621492343</v>
      </c>
    </row>
    <row r="916" customFormat="false" ht="17.15" hidden="false" customHeight="false" outlineLevel="0" collapsed="false">
      <c r="A916" s="0" t="s">
        <v>649</v>
      </c>
      <c r="B916" s="0" t="s">
        <v>46</v>
      </c>
      <c r="D916" s="19" t="n">
        <f aca="false">D915/C915-1</f>
        <v>0.107093744120947</v>
      </c>
      <c r="E916" s="19" t="n">
        <f aca="false">E915/D915-1</f>
        <v>0.418239500930318</v>
      </c>
      <c r="F916" s="19" t="n">
        <f aca="false">F915/E915-1</f>
        <v>0.195919840800247</v>
      </c>
      <c r="G916" s="19" t="n">
        <f aca="false">G915/F915-1</f>
        <v>-0.00153463064888804</v>
      </c>
      <c r="H916" s="24" t="n">
        <f aca="false">H915/G915-1</f>
        <v>0.199425670893135</v>
      </c>
      <c r="I916" s="24" t="n">
        <f aca="false">I915/H915-1</f>
        <v>0.176659273510281</v>
      </c>
      <c r="J916" s="24" t="n">
        <f aca="false">J915/I915-1</f>
        <v>0.156243082713772</v>
      </c>
    </row>
    <row r="917" customFormat="false" ht="17.15" hidden="false" customHeight="false" outlineLevel="0" collapsed="false">
      <c r="A917" s="4" t="s">
        <v>650</v>
      </c>
      <c r="B917" s="0" t="s">
        <v>46</v>
      </c>
      <c r="C917" s="17" t="n">
        <f aca="false">C913/C897</f>
        <v>0.176721490823302</v>
      </c>
      <c r="D917" s="17" t="n">
        <f aca="false">D913/D897</f>
        <v>0.172929787405541</v>
      </c>
      <c r="E917" s="17" t="n">
        <f aca="false">E913/E897</f>
        <v>0.167135726988967</v>
      </c>
      <c r="F917" s="17" t="n">
        <f aca="false">F913/F897</f>
        <v>0.15808703033436</v>
      </c>
      <c r="G917" s="17" t="n">
        <f aca="false">G913/G897</f>
        <v>0.144881552471417</v>
      </c>
      <c r="H917" s="25" t="n">
        <f aca="false">$G917+(fade_mA-$G917)*1/3</f>
        <v>0.160954895261481</v>
      </c>
      <c r="I917" s="25" t="n">
        <f aca="false">$G917+(fade_mA-$G917)*2/3</f>
        <v>0.177028238051546</v>
      </c>
      <c r="J917" s="25" t="n">
        <f aca="false">$G917+(fade_mA-$G917)*3/3</f>
        <v>0.19310158084161</v>
      </c>
    </row>
    <row r="920" customFormat="false" ht="17.15" hidden="false" customHeight="false" outlineLevel="0" collapsed="false">
      <c r="A920" s="1" t="s">
        <v>951</v>
      </c>
    </row>
    <row r="921" customFormat="false" ht="17.15" hidden="false" customHeight="false" outlineLevel="0" collapsed="false">
      <c r="A921" s="5" t="s">
        <v>22</v>
      </c>
      <c r="B921" s="5" t="s">
        <v>23</v>
      </c>
      <c r="C921" s="14" t="s">
        <v>494</v>
      </c>
      <c r="D921" s="14" t="s">
        <v>587</v>
      </c>
      <c r="E921" s="14" t="s">
        <v>588</v>
      </c>
      <c r="F921" s="14" t="s">
        <v>589</v>
      </c>
      <c r="G921" s="14" t="s">
        <v>590</v>
      </c>
      <c r="H921" s="14" t="s">
        <v>591</v>
      </c>
      <c r="I921" s="14" t="s">
        <v>592</v>
      </c>
      <c r="J921" s="14" t="s">
        <v>593</v>
      </c>
      <c r="K921" s="5" t="s">
        <v>557</v>
      </c>
    </row>
    <row r="922" customFormat="false" ht="17.15" hidden="false" customHeight="false" outlineLevel="0" collapsed="false">
      <c r="A922" s="6" t="s">
        <v>609</v>
      </c>
    </row>
    <row r="923" customFormat="false" ht="17.15" hidden="false" customHeight="false" outlineLevel="0" collapsed="false">
      <c r="A923" s="0" t="s">
        <v>610</v>
      </c>
      <c r="B923" s="4" t="s">
        <v>33</v>
      </c>
      <c r="D923" s="20" t="n">
        <f aca="false">u_tpu_26</f>
        <v>3.85</v>
      </c>
      <c r="E923" s="20" t="n">
        <f aca="false">u_tpu_27</f>
        <v>5.5</v>
      </c>
      <c r="F923" s="20" t="n">
        <f aca="false">u_tpu_28*um28_A</f>
        <v>7</v>
      </c>
      <c r="G923" s="20" t="n">
        <f aca="false">u_tpu_28*(1+g29_tpu)*um29_A</f>
        <v>8.05</v>
      </c>
    </row>
    <row r="924" customFormat="false" ht="17.15" hidden="false" customHeight="false" outlineLevel="0" collapsed="false">
      <c r="A924" s="4" t="s">
        <v>611</v>
      </c>
      <c r="B924" s="4" t="s">
        <v>33</v>
      </c>
      <c r="D924" s="20" t="n">
        <f aca="false">u_oth_26</f>
        <v>1</v>
      </c>
      <c r="E924" s="20" t="n">
        <f aca="false">u_oth_27</f>
        <v>4.5</v>
      </c>
      <c r="F924" s="20" t="n">
        <f aca="false">u_oth_28*um28_A</f>
        <v>5</v>
      </c>
      <c r="G924" s="20" t="n">
        <f aca="false">u_oth_28*(1+g29_oth)*um29_A</f>
        <v>5.75</v>
      </c>
    </row>
    <row r="925" customFormat="false" ht="17.15" hidden="false" customHeight="false" outlineLevel="0" collapsed="false">
      <c r="A925" s="4" t="s">
        <v>561</v>
      </c>
      <c r="B925" s="0" t="s">
        <v>46</v>
      </c>
      <c r="D925" s="19" t="n">
        <f aca="false">mtk_tpu_26</f>
        <v>0.05</v>
      </c>
      <c r="E925" s="19" t="n">
        <f aca="false">MIN(1,MAX(0,mtk_tpu_27+0))</f>
        <v>0.15</v>
      </c>
      <c r="F925" s="19" t="n">
        <f aca="false">MIN(1,MAX(0,mtk_tpu_28+0))</f>
        <v>0.18</v>
      </c>
      <c r="G925" s="19" t="n">
        <f aca="false">MIN(1,MAX(0,mtk_tpu_28+0))</f>
        <v>0.18</v>
      </c>
    </row>
    <row r="926" customFormat="false" ht="17.15" hidden="false" customHeight="false" outlineLevel="0" collapsed="false">
      <c r="A926" s="4" t="s">
        <v>612</v>
      </c>
      <c r="B926" s="0" t="s">
        <v>46</v>
      </c>
      <c r="D926" s="19" t="n">
        <f aca="false">mtk_oth_26</f>
        <v>0</v>
      </c>
      <c r="E926" s="19" t="n">
        <f aca="false">MIN(1,MAX(0,mtk_oth_27+0))</f>
        <v>0</v>
      </c>
      <c r="F926" s="19" t="n">
        <f aca="false">MIN(1,MAX(0,mtk_oth_28+0))</f>
        <v>0</v>
      </c>
      <c r="G926" s="19" t="n">
        <f aca="false">MIN(1,MAX(0,mtk_oth_28+0))</f>
        <v>0</v>
      </c>
    </row>
    <row r="927" customFormat="false" ht="17.15" hidden="false" customHeight="false" outlineLevel="0" collapsed="false">
      <c r="A927" s="4" t="s">
        <v>563</v>
      </c>
      <c r="B927" s="4" t="s">
        <v>33</v>
      </c>
      <c r="D927" s="20" t="n">
        <f aca="false">D923*D925</f>
        <v>0.1925</v>
      </c>
      <c r="E927" s="20" t="n">
        <f aca="false">E923*E925*1</f>
        <v>0.825</v>
      </c>
      <c r="F927" s="20" t="n">
        <f aca="false">F923*F925*1</f>
        <v>1.26</v>
      </c>
      <c r="G927" s="20" t="n">
        <f aca="false">G923*G925*1</f>
        <v>1.449</v>
      </c>
    </row>
    <row r="928" customFormat="false" ht="17.15" hidden="false" customHeight="false" outlineLevel="0" collapsed="false">
      <c r="A928" s="4" t="s">
        <v>613</v>
      </c>
      <c r="B928" s="4" t="s">
        <v>33</v>
      </c>
      <c r="D928" s="20" t="n">
        <f aca="false">D924*D926</f>
        <v>0</v>
      </c>
      <c r="E928" s="20" t="n">
        <f aca="false">E924*E926*1</f>
        <v>0</v>
      </c>
      <c r="F928" s="20" t="n">
        <f aca="false">F924*F926*1</f>
        <v>0</v>
      </c>
      <c r="G928" s="20" t="n">
        <f aca="false">G924*G926*1</f>
        <v>0</v>
      </c>
    </row>
    <row r="929" customFormat="false" ht="17.15" hidden="false" customHeight="false" outlineLevel="0" collapsed="false">
      <c r="A929" s="4" t="s">
        <v>614</v>
      </c>
      <c r="B929" s="0" t="s">
        <v>102</v>
      </c>
      <c r="D929" s="27" t="n">
        <f aca="false">gb_tpu_26</f>
        <v>192</v>
      </c>
      <c r="E929" s="27" t="n">
        <f aca="false">gb_tpu_27</f>
        <v>250</v>
      </c>
      <c r="F929" s="27" t="n">
        <f aca="false">gb_tpu_28</f>
        <v>288</v>
      </c>
      <c r="G929" s="27" t="n">
        <f aca="false">gb_tpu_28</f>
        <v>288</v>
      </c>
    </row>
    <row r="930" customFormat="false" ht="17.15" hidden="false" customHeight="false" outlineLevel="0" collapsed="false">
      <c r="A930" s="4" t="s">
        <v>615</v>
      </c>
      <c r="B930" s="0" t="s">
        <v>102</v>
      </c>
      <c r="D930" s="27" t="n">
        <f aca="false">gb_oth_26</f>
        <v>150</v>
      </c>
      <c r="E930" s="27" t="n">
        <f aca="false">gb_oth_27</f>
        <v>200</v>
      </c>
      <c r="F930" s="27" t="n">
        <f aca="false">gb_oth_28</f>
        <v>250</v>
      </c>
      <c r="G930" s="27" t="n">
        <f aca="false">gb_oth_28</f>
        <v>250</v>
      </c>
    </row>
    <row r="931" customFormat="false" ht="17.15" hidden="false" customHeight="false" outlineLevel="0" collapsed="false">
      <c r="A931" s="0" t="s">
        <v>616</v>
      </c>
      <c r="B931" s="0" t="s">
        <v>194</v>
      </c>
      <c r="D931" s="16" t="n">
        <f aca="false">hbm_A_26</f>
        <v>14.6</v>
      </c>
      <c r="E931" s="16" t="n">
        <f aca="false">hbm_A_27</f>
        <v>26.28</v>
      </c>
      <c r="F931" s="16" t="n">
        <f aca="false">hbm_A_28</f>
        <v>28.908</v>
      </c>
      <c r="G931" s="16" t="n">
        <f aca="false">hbm_A_29</f>
        <v>27.4626</v>
      </c>
    </row>
    <row r="932" customFormat="false" ht="17.15" hidden="false" customHeight="false" outlineLevel="0" collapsed="false">
      <c r="A932" s="4" t="s">
        <v>617</v>
      </c>
      <c r="B932" s="0" t="s">
        <v>86</v>
      </c>
      <c r="D932" s="16" t="n">
        <f aca="false">core_tpu</f>
        <v>8</v>
      </c>
      <c r="E932" s="16" t="n">
        <f aca="false">core_tpu</f>
        <v>8</v>
      </c>
      <c r="F932" s="16" t="n">
        <f aca="false">core_tpu*1</f>
        <v>8</v>
      </c>
      <c r="G932" s="16" t="n">
        <f aca="false">core_tpu*1</f>
        <v>8</v>
      </c>
    </row>
    <row r="933" customFormat="false" ht="17.15" hidden="false" customHeight="false" outlineLevel="0" collapsed="false">
      <c r="A933" s="4" t="s">
        <v>618</v>
      </c>
      <c r="B933" s="0" t="s">
        <v>86</v>
      </c>
      <c r="D933" s="16" t="n">
        <f aca="false">core_oth</f>
        <v>6</v>
      </c>
      <c r="E933" s="16" t="n">
        <f aca="false">core_oth</f>
        <v>6</v>
      </c>
      <c r="F933" s="16" t="n">
        <f aca="false">core_oth*1</f>
        <v>6</v>
      </c>
      <c r="G933" s="16" t="n">
        <f aca="false">core_oth*1</f>
        <v>6</v>
      </c>
    </row>
    <row r="934" customFormat="false" ht="17.15" hidden="false" customHeight="false" outlineLevel="0" collapsed="false">
      <c r="A934" s="4" t="s">
        <v>619</v>
      </c>
      <c r="B934" s="0" t="s">
        <v>86</v>
      </c>
      <c r="D934" s="16" t="n">
        <f aca="false">D929*D931/1000</f>
        <v>2.8032</v>
      </c>
      <c r="E934" s="16" t="n">
        <f aca="false">E929*E931/1000</f>
        <v>6.57</v>
      </c>
      <c r="F934" s="16" t="n">
        <f aca="false">F929*F931/1000</f>
        <v>8.325504</v>
      </c>
      <c r="G934" s="16" t="n">
        <f aca="false">G929*G931/1000</f>
        <v>7.9092288</v>
      </c>
    </row>
    <row r="935" customFormat="false" ht="17.15" hidden="false" customHeight="false" outlineLevel="0" collapsed="false">
      <c r="A935" s="4" t="s">
        <v>620</v>
      </c>
      <c r="B935" s="0" t="s">
        <v>86</v>
      </c>
      <c r="D935" s="16" t="n">
        <f aca="false">D930*D931/1000</f>
        <v>2.19</v>
      </c>
      <c r="E935" s="16" t="n">
        <f aca="false">E930*E931/1000</f>
        <v>5.256</v>
      </c>
      <c r="F935" s="16" t="n">
        <f aca="false">F930*F931/1000</f>
        <v>7.227</v>
      </c>
      <c r="G935" s="16" t="n">
        <f aca="false">G930*G931/1000</f>
        <v>6.86565</v>
      </c>
    </row>
    <row r="936" customFormat="false" ht="17.15" hidden="false" customHeight="false" outlineLevel="0" collapsed="false">
      <c r="A936" s="4" t="s">
        <v>621</v>
      </c>
      <c r="B936" s="0" t="s">
        <v>86</v>
      </c>
      <c r="D936" s="16" t="n">
        <f aca="false">D932+f_hbm*D934</f>
        <v>9.68192</v>
      </c>
      <c r="E936" s="16" t="n">
        <f aca="false">E932+f_hbm*E934</f>
        <v>11.942</v>
      </c>
      <c r="F936" s="16" t="n">
        <f aca="false">F932+f_hbm*F934</f>
        <v>12.9953024</v>
      </c>
      <c r="G936" s="16" t="n">
        <f aca="false">G932+f_hbm*G934</f>
        <v>12.74553728</v>
      </c>
      <c r="K936" s="4" t="s">
        <v>622</v>
      </c>
    </row>
    <row r="937" customFormat="false" ht="17.15" hidden="false" customHeight="false" outlineLevel="0" collapsed="false">
      <c r="A937" s="4" t="s">
        <v>623</v>
      </c>
      <c r="B937" s="0" t="s">
        <v>86</v>
      </c>
      <c r="D937" s="16" t="n">
        <f aca="false">D933+f_hbm*D935</f>
        <v>7.314</v>
      </c>
      <c r="E937" s="16" t="n">
        <f aca="false">E933+f_hbm*E935</f>
        <v>9.1536</v>
      </c>
      <c r="F937" s="16" t="n">
        <f aca="false">F933+f_hbm*F935</f>
        <v>10.3362</v>
      </c>
      <c r="G937" s="16" t="n">
        <f aca="false">G933+f_hbm*G935</f>
        <v>10.11939</v>
      </c>
    </row>
    <row r="938" customFormat="false" ht="17.15" hidden="false" customHeight="false" outlineLevel="0" collapsed="false">
      <c r="A938" s="0" t="s">
        <v>624</v>
      </c>
      <c r="B938" s="0" t="s">
        <v>279</v>
      </c>
      <c r="D938" s="16" t="n">
        <f aca="false">D927*D936+D928*D937</f>
        <v>1.8637696</v>
      </c>
      <c r="E938" s="16" t="n">
        <f aca="false">E927*E936+E928*E937</f>
        <v>9.85215</v>
      </c>
      <c r="F938" s="16" t="n">
        <f aca="false">F927*F936+F928*F937</f>
        <v>16.374081024</v>
      </c>
      <c r="G938" s="16" t="n">
        <f aca="false">G927*G936+G928*G937</f>
        <v>18.46828351872</v>
      </c>
    </row>
    <row r="939" customFormat="false" ht="17.15" hidden="false" customHeight="false" outlineLevel="0" collapsed="false">
      <c r="A939" s="0" t="s">
        <v>625</v>
      </c>
      <c r="B939" s="0" t="s">
        <v>65</v>
      </c>
      <c r="D939" s="20" t="n">
        <f aca="false">dc26/D938</f>
        <v>1.07309401333727</v>
      </c>
      <c r="K939" s="8" t="s">
        <v>626</v>
      </c>
    </row>
    <row r="940" customFormat="false" ht="17.15" hidden="false" customHeight="false" outlineLevel="0" collapsed="false">
      <c r="A940" s="0" t="s">
        <v>627</v>
      </c>
      <c r="B940" s="0" t="s">
        <v>279</v>
      </c>
      <c r="D940" s="16" t="n">
        <f aca="false">D938*$D$939</f>
        <v>2</v>
      </c>
      <c r="E940" s="16" t="n">
        <f aca="false">E938*$D$939</f>
        <v>10.5722831835008</v>
      </c>
      <c r="F940" s="16" t="n">
        <f aca="false">F938*$D$939</f>
        <v>17.5709283207538</v>
      </c>
      <c r="G940" s="16" t="n">
        <f aca="false">G938*$D$939</f>
        <v>19.8182044805538</v>
      </c>
    </row>
    <row r="941" customFormat="false" ht="15" hidden="false" customHeight="false" outlineLevel="0" collapsed="false">
      <c r="A941" s="4" t="s">
        <v>628</v>
      </c>
      <c r="B941" s="0" t="s">
        <v>288</v>
      </c>
      <c r="D941" s="16" t="n">
        <f aca="false">fx26</f>
        <v>32</v>
      </c>
      <c r="E941" s="16" t="n">
        <f aca="false">fx_lo</f>
        <v>30</v>
      </c>
      <c r="F941" s="16" t="n">
        <f aca="false">fx_lo</f>
        <v>30</v>
      </c>
      <c r="G941" s="16" t="n">
        <f aca="false">fx_lo</f>
        <v>30</v>
      </c>
    </row>
    <row r="942" customFormat="false" ht="17.15" hidden="false" customHeight="false" outlineLevel="0" collapsed="false">
      <c r="A942" s="0" t="s">
        <v>629</v>
      </c>
      <c r="B942" s="0" t="s">
        <v>301</v>
      </c>
      <c r="C942" s="16" t="n">
        <f aca="false">a25_asic</f>
        <v>0</v>
      </c>
      <c r="D942" s="16" t="n">
        <f aca="false">D940*D941</f>
        <v>64</v>
      </c>
      <c r="E942" s="16" t="n">
        <f aca="false">E940*E941</f>
        <v>317.168495505024</v>
      </c>
      <c r="F942" s="16" t="n">
        <f aca="false">F940*F941</f>
        <v>527.127849622614</v>
      </c>
      <c r="G942" s="16" t="n">
        <f aca="false">G940*G941</f>
        <v>594.546134416615</v>
      </c>
    </row>
    <row r="943" customFormat="false" ht="17.15" hidden="false" customHeight="false" outlineLevel="0" collapsed="false">
      <c r="A943" s="4" t="s">
        <v>630</v>
      </c>
      <c r="B943" s="0" t="s">
        <v>301</v>
      </c>
      <c r="D943" s="16" t="n">
        <f aca="false">$D$939*f_hbm*(D927*D934+D928*D935)*D941</f>
        <v>11.1179270227393</v>
      </c>
      <c r="E943" s="16" t="n">
        <f aca="false">$D$939*f_hbm*(E927*E934+E928*E935)*E941</f>
        <v>104.695880864244</v>
      </c>
      <c r="F943" s="16" t="n">
        <f aca="false">$D$939*f_hbm*(F927*F934+F928*F935)*F941</f>
        <v>202.624219989424</v>
      </c>
      <c r="G943" s="16" t="n">
        <f aca="false">$D$939*f_hbm*(G927*G934+G928*G935)*G941</f>
        <v>221.366960338445</v>
      </c>
    </row>
    <row r="944" customFormat="false" ht="15" hidden="false" customHeight="false" outlineLevel="0" collapsed="false">
      <c r="A944" s="4" t="s">
        <v>631</v>
      </c>
      <c r="B944" s="0" t="s">
        <v>301</v>
      </c>
      <c r="D944" s="16" t="n">
        <f aca="false">D942-D943</f>
        <v>52.8820729772607</v>
      </c>
      <c r="E944" s="16" t="n">
        <f aca="false">E942-E943</f>
        <v>212.47261464078</v>
      </c>
      <c r="F944" s="16" t="n">
        <f aca="false">F942-F943</f>
        <v>324.503629633191</v>
      </c>
      <c r="G944" s="16" t="n">
        <f aca="false">G942-G943</f>
        <v>373.179174078169</v>
      </c>
    </row>
    <row r="945" customFormat="false" ht="17.15" hidden="false" customHeight="false" outlineLevel="0" collapsed="false">
      <c r="A945" s="4" t="s">
        <v>632</v>
      </c>
      <c r="B945" s="4" t="s">
        <v>33</v>
      </c>
      <c r="D945" s="20" t="n">
        <f aca="false">D927+D928</f>
        <v>0.1925</v>
      </c>
      <c r="E945" s="20" t="n">
        <f aca="false">E927+E928</f>
        <v>0.825</v>
      </c>
      <c r="F945" s="20" t="n">
        <f aca="false">F927+F928</f>
        <v>1.26</v>
      </c>
      <c r="G945" s="20" t="n">
        <f aca="false">G927+G928</f>
        <v>1.449</v>
      </c>
    </row>
    <row r="946" customFormat="false" ht="17.15" hidden="false" customHeight="false" outlineLevel="0" collapsed="false">
      <c r="A946" s="4" t="s">
        <v>633</v>
      </c>
      <c r="B946" s="0" t="s">
        <v>86</v>
      </c>
      <c r="D946" s="16" t="n">
        <f aca="false">IF(D945&gt;0,D940/D945,0)</f>
        <v>10.3896103896104</v>
      </c>
      <c r="E946" s="16" t="n">
        <f aca="false">IF(E945&gt;0,E940/E945,0)</f>
        <v>12.8148887072737</v>
      </c>
      <c r="F946" s="16" t="n">
        <f aca="false">IF(F945&gt;0,F940/F945,0)</f>
        <v>13.9451812069475</v>
      </c>
      <c r="G946" s="16" t="n">
        <f aca="false">IF(G945&gt;0,G940/G945,0)</f>
        <v>13.677159751935</v>
      </c>
    </row>
    <row r="947" customFormat="false" ht="17.15" hidden="false" customHeight="false" outlineLevel="0" collapsed="false">
      <c r="A947" s="6" t="s">
        <v>634</v>
      </c>
    </row>
    <row r="948" customFormat="false" ht="15" hidden="false" customHeight="false" outlineLevel="0" collapsed="false">
      <c r="A948" s="4" t="s">
        <v>635</v>
      </c>
      <c r="B948" s="0" t="s">
        <v>301</v>
      </c>
      <c r="C948" s="16" t="n">
        <f aca="false">a25_mob</f>
        <v>315.86198</v>
      </c>
      <c r="D948" s="16" t="n">
        <f aca="false">a26_mob</f>
        <v>262.655761173888</v>
      </c>
      <c r="E948" s="16" t="n">
        <f aca="false">D948*(1+g_mob27_A)</f>
        <v>275.788549232582</v>
      </c>
      <c r="F948" s="16" t="n">
        <f aca="false">E948*(1+g_mobL_A)</f>
        <v>286.820091201885</v>
      </c>
      <c r="G948" s="16" t="n">
        <f aca="false">F948*(1+g_mobL_A)</f>
        <v>298.292894849961</v>
      </c>
    </row>
    <row r="949" customFormat="false" ht="17.15" hidden="false" customHeight="false" outlineLevel="0" collapsed="false">
      <c r="A949" s="4" t="s">
        <v>636</v>
      </c>
      <c r="B949" s="0" t="s">
        <v>301</v>
      </c>
      <c r="C949" s="16" t="n">
        <f aca="false">a25_sepx</f>
        <v>247.32589</v>
      </c>
      <c r="D949" s="16" t="n">
        <f aca="false">a26_sepx</f>
        <v>311.894023346019</v>
      </c>
      <c r="E949" s="16" t="n">
        <f aca="false">D949*(1+g_sep27_A)</f>
        <v>336.8455452137</v>
      </c>
      <c r="F949" s="16" t="n">
        <f aca="false">E949*(1+g_sepL_A)</f>
        <v>360.424733378659</v>
      </c>
      <c r="G949" s="16" t="n">
        <f aca="false">F949*(1+g_sepL_A)</f>
        <v>385.654464715166</v>
      </c>
    </row>
    <row r="950" customFormat="false" ht="17.15" hidden="false" customHeight="false" outlineLevel="0" collapsed="false">
      <c r="A950" s="4" t="s">
        <v>637</v>
      </c>
      <c r="B950" s="0" t="s">
        <v>301</v>
      </c>
      <c r="C950" s="16" t="n">
        <f aca="false">a25_pic</f>
        <v>32.77813</v>
      </c>
      <c r="D950" s="16" t="n">
        <f aca="false">a26_pic</f>
        <v>35.9721535362998</v>
      </c>
      <c r="E950" s="16" t="n">
        <f aca="false">D950*(1+g_pic27_A)</f>
        <v>38.8499258192038</v>
      </c>
      <c r="F950" s="16" t="n">
        <f aca="false">E950*(1+g_picL_A)</f>
        <v>41.9579198847401</v>
      </c>
      <c r="G950" s="16" t="n">
        <f aca="false">F950*(1+g_picL_A)</f>
        <v>45.3145534755193</v>
      </c>
    </row>
    <row r="951" customFormat="false" ht="17.15" hidden="false" customHeight="false" outlineLevel="0" collapsed="false">
      <c r="A951" s="4" t="s">
        <v>638</v>
      </c>
      <c r="B951" s="0" t="s">
        <v>301</v>
      </c>
      <c r="C951" s="16" t="n">
        <f aca="false">C948+C949+C950</f>
        <v>595.966</v>
      </c>
      <c r="D951" s="16" t="n">
        <f aca="false">D948+D949+D950</f>
        <v>610.521938056206</v>
      </c>
      <c r="E951" s="16" t="n">
        <f aca="false">E948+E949+E950</f>
        <v>651.484020265486</v>
      </c>
      <c r="F951" s="16" t="n">
        <f aca="false">F948+F949+F950</f>
        <v>689.202744465285</v>
      </c>
      <c r="G951" s="16" t="n">
        <f aca="false">G948+G949+G950</f>
        <v>729.261913040646</v>
      </c>
    </row>
    <row r="952" customFormat="false" ht="17.15" hidden="false" customHeight="false" outlineLevel="0" collapsed="false">
      <c r="A952" s="4" t="s">
        <v>501</v>
      </c>
      <c r="B952" s="0" t="s">
        <v>301</v>
      </c>
      <c r="C952" s="16" t="n">
        <f aca="false">C951+C942</f>
        <v>595.966</v>
      </c>
      <c r="D952" s="16" t="n">
        <f aca="false">D951+D942</f>
        <v>674.521938056206</v>
      </c>
      <c r="E952" s="16" t="n">
        <f aca="false">E951+E942</f>
        <v>968.65251577051</v>
      </c>
      <c r="F952" s="16" t="n">
        <f aca="false">F951+F942</f>
        <v>1216.3305940879</v>
      </c>
      <c r="G952" s="16" t="n">
        <f aca="false">G951+G942</f>
        <v>1323.80804745726</v>
      </c>
      <c r="H952" s="26" t="n">
        <f aca="false">G952*(1+H953)</f>
        <v>1428.26712871998</v>
      </c>
      <c r="I952" s="26" t="n">
        <f aca="false">H952*(1+I953)</f>
        <v>1527.46601321966</v>
      </c>
      <c r="J952" s="26" t="n">
        <f aca="false">I952*(1+J953)</f>
        <v>1619.11397401284</v>
      </c>
      <c r="K952" s="8" t="s">
        <v>639</v>
      </c>
    </row>
    <row r="953" customFormat="false" ht="15" hidden="false" customHeight="false" outlineLevel="0" collapsed="false">
      <c r="A953" s="4" t="s">
        <v>640</v>
      </c>
      <c r="B953" s="0" t="s">
        <v>46</v>
      </c>
      <c r="D953" s="19" t="n">
        <f aca="false">D952/C952-1</f>
        <v>0.131812784716252</v>
      </c>
      <c r="E953" s="19" t="n">
        <f aca="false">E952/D952-1</f>
        <v>0.436057837587774</v>
      </c>
      <c r="F953" s="19" t="n">
        <f aca="false">F952/E952-1</f>
        <v>0.255693423890377</v>
      </c>
      <c r="G953" s="19" t="n">
        <f aca="false">G952/F952-1</f>
        <v>0.0883620406259338</v>
      </c>
      <c r="H953" s="24" t="n">
        <f aca="false">$G953+(fade_gA-$G953)*1/3</f>
        <v>0.0789080270839559</v>
      </c>
      <c r="I953" s="24" t="n">
        <f aca="false">$G953+(fade_gA-$G953)*2/3</f>
        <v>0.0694540135419779</v>
      </c>
      <c r="J953" s="24" t="n">
        <f aca="false">$G953+(fade_gA-$G953)*3/3</f>
        <v>0.06</v>
      </c>
    </row>
    <row r="954" customFormat="false" ht="17.15" hidden="false" customHeight="false" outlineLevel="0" collapsed="false">
      <c r="A954" s="0" t="s">
        <v>641</v>
      </c>
      <c r="B954" s="0" t="s">
        <v>46</v>
      </c>
      <c r="C954" s="19" t="n">
        <f aca="false">C942/C952</f>
        <v>0</v>
      </c>
      <c r="D954" s="19" t="n">
        <f aca="false">D942/D952</f>
        <v>0.0948820140445411</v>
      </c>
      <c r="E954" s="19" t="n">
        <f aca="false">E942/E952</f>
        <v>0.327432686480697</v>
      </c>
      <c r="F954" s="19" t="n">
        <f aca="false">F942/F952</f>
        <v>0.433375475536646</v>
      </c>
      <c r="G954" s="19" t="n">
        <f aca="false">G942/G952</f>
        <v>0.449118084422137</v>
      </c>
    </row>
    <row r="955" customFormat="false" ht="17.15" hidden="false" customHeight="false" outlineLevel="0" collapsed="false">
      <c r="A955" s="4" t="s">
        <v>642</v>
      </c>
      <c r="B955" s="0" t="s">
        <v>46</v>
      </c>
      <c r="C955" s="19" t="n">
        <f aca="false">C948/C952</f>
        <v>0.53</v>
      </c>
      <c r="D955" s="19" t="n">
        <f aca="false">D948/D952</f>
        <v>0.389395431571569</v>
      </c>
      <c r="E955" s="19" t="n">
        <f aca="false">E948/E952</f>
        <v>0.284713604458259</v>
      </c>
      <c r="F955" s="19" t="n">
        <f aca="false">F948/F952</f>
        <v>0.235807676462307</v>
      </c>
      <c r="G955" s="19" t="n">
        <f aca="false">G948/G952</f>
        <v>0.225329416468585</v>
      </c>
    </row>
    <row r="956" customFormat="false" ht="17.15" hidden="false" customHeight="false" outlineLevel="0" collapsed="false">
      <c r="A956" s="6" t="s">
        <v>643</v>
      </c>
    </row>
    <row r="957" customFormat="false" ht="17.15" hidden="false" customHeight="false" outlineLevel="0" collapsed="false">
      <c r="A957" s="0" t="s">
        <v>644</v>
      </c>
      <c r="B957" s="0" t="s">
        <v>301</v>
      </c>
      <c r="D957" s="16" t="n">
        <f aca="false">m_core*D944+m_hbm*D943</f>
        <v>24.9087255420412</v>
      </c>
      <c r="E957" s="16" t="n">
        <f aca="false">m_core*E944+m_hbm*E943</f>
        <v>106.082264674775</v>
      </c>
      <c r="F957" s="16" t="n">
        <f aca="false">m_core*F944+m_hbm*F943</f>
        <v>166.289055333878</v>
      </c>
      <c r="G957" s="16" t="n">
        <f aca="false">m_core*G944+m_hbm*G943</f>
        <v>190.067324369021</v>
      </c>
    </row>
    <row r="958" customFormat="false" ht="17.15" hidden="false" customHeight="false" outlineLevel="0" collapsed="false">
      <c r="A958" s="4" t="s">
        <v>645</v>
      </c>
      <c r="B958" s="0" t="s">
        <v>46</v>
      </c>
      <c r="C958" s="17" t="n">
        <f aca="false">a25_gp/C951</f>
        <v>0.474993539899927</v>
      </c>
      <c r="D958" s="17" t="n">
        <f aca="false">(a26_gp-D957)/D951</f>
        <v>0.462340704042911</v>
      </c>
      <c r="E958" s="17" t="n">
        <f aca="false">$D958+0</f>
        <v>0.462340704042911</v>
      </c>
      <c r="F958" s="17" t="n">
        <f aca="false">$D958+0</f>
        <v>0.462340704042911</v>
      </c>
      <c r="G958" s="17" t="n">
        <f aca="false">$D958+0</f>
        <v>0.462340704042911</v>
      </c>
      <c r="K958" s="8" t="s">
        <v>646</v>
      </c>
    </row>
    <row r="959" customFormat="false" ht="15" hidden="false" customHeight="false" outlineLevel="0" collapsed="false">
      <c r="A959" s="4" t="s">
        <v>517</v>
      </c>
      <c r="B959" s="0" t="s">
        <v>301</v>
      </c>
      <c r="C959" s="16" t="n">
        <f aca="false">a25_gp</f>
        <v>283.08</v>
      </c>
      <c r="D959" s="16" t="n">
        <f aca="false">a26_gp</f>
        <v>307.17786821659</v>
      </c>
      <c r="E959" s="16" t="n">
        <f aca="false">E958*E951+E957</f>
        <v>407.289845277026</v>
      </c>
      <c r="F959" s="16" t="n">
        <f aca="false">F958*F951+F957</f>
        <v>484.935537438264</v>
      </c>
      <c r="G959" s="16" t="n">
        <f aca="false">G958*G951+G957</f>
        <v>527.234790675913</v>
      </c>
    </row>
    <row r="960" customFormat="false" ht="15" hidden="false" customHeight="false" outlineLevel="0" collapsed="false">
      <c r="A960" s="4" t="s">
        <v>520</v>
      </c>
      <c r="B960" s="0" t="s">
        <v>46</v>
      </c>
      <c r="C960" s="17" t="n">
        <f aca="false">C959/C952</f>
        <v>0.474993539899927</v>
      </c>
      <c r="D960" s="17" t="n">
        <f aca="false">D959/D952</f>
        <v>0.455400856348417</v>
      </c>
      <c r="E960" s="17" t="n">
        <f aca="false">E959/E952</f>
        <v>0.420470538862999</v>
      </c>
      <c r="F960" s="17" t="n">
        <f aca="false">F959/F952</f>
        <v>0.398687281069262</v>
      </c>
      <c r="G960" s="17" t="n">
        <f aca="false">G959/G952</f>
        <v>0.398271329207141</v>
      </c>
    </row>
    <row r="961" customFormat="false" ht="15" hidden="false" customHeight="false" outlineLevel="0" collapsed="false">
      <c r="A961" s="4" t="s">
        <v>647</v>
      </c>
      <c r="B961" s="0" t="s">
        <v>301</v>
      </c>
      <c r="C961" s="16" t="n">
        <f aca="false">a25_opx</f>
        <v>179.61</v>
      </c>
      <c r="D961" s="16" t="n">
        <f aca="false">a26_opx</f>
        <v>192.105</v>
      </c>
      <c r="E961" s="16" t="n">
        <f aca="false">D961*(1+MAX(g_opx_min,phi*E953))+0*E952</f>
        <v>217.23566726694</v>
      </c>
      <c r="F961" s="16" t="n">
        <f aca="false">E961*(1+MAX(g_opx_min,phi*F953))+0*F952</f>
        <v>233.899386733318</v>
      </c>
      <c r="G961" s="16" t="n">
        <f aca="false">F961*(1+MAX(g_opx_min,phi*G953))+0*G952</f>
        <v>247.933349937317</v>
      </c>
    </row>
    <row r="962" customFormat="false" ht="15" hidden="false" customHeight="false" outlineLevel="0" collapsed="false">
      <c r="A962" s="4" t="s">
        <v>524</v>
      </c>
      <c r="B962" s="0" t="s">
        <v>301</v>
      </c>
      <c r="C962" s="16" t="n">
        <f aca="false">C959-C961</f>
        <v>103.47</v>
      </c>
      <c r="D962" s="16" t="n">
        <f aca="false">D959-D961</f>
        <v>115.07286821659</v>
      </c>
      <c r="E962" s="16" t="n">
        <f aca="false">E959-E961</f>
        <v>190.054178010086</v>
      </c>
      <c r="F962" s="16" t="n">
        <f aca="false">F959-F961</f>
        <v>251.036150704946</v>
      </c>
      <c r="G962" s="16" t="n">
        <f aca="false">G959-G961</f>
        <v>279.301440738595</v>
      </c>
    </row>
    <row r="963" customFormat="false" ht="15" hidden="false" customHeight="false" outlineLevel="0" collapsed="false">
      <c r="A963" s="4" t="s">
        <v>598</v>
      </c>
      <c r="B963" s="0" t="s">
        <v>46</v>
      </c>
      <c r="C963" s="17" t="n">
        <f aca="false">C962/C952</f>
        <v>0.173617286892205</v>
      </c>
      <c r="D963" s="17" t="n">
        <f aca="false">D962/D952</f>
        <v>0.170599148410502</v>
      </c>
      <c r="E963" s="17" t="n">
        <f aca="false">E962/E952</f>
        <v>0.196204701805692</v>
      </c>
      <c r="F963" s="17" t="n">
        <f aca="false">F962/F952</f>
        <v>0.206388092123254</v>
      </c>
      <c r="G963" s="17" t="n">
        <f aca="false">G962/G952</f>
        <v>0.21098333801118</v>
      </c>
    </row>
    <row r="964" customFormat="false" ht="15" hidden="false" customHeight="false" outlineLevel="0" collapsed="false">
      <c r="A964" s="4" t="s">
        <v>526</v>
      </c>
      <c r="B964" s="0" t="s">
        <v>301</v>
      </c>
      <c r="C964" s="16" t="n">
        <f aca="false">a25_nonop</f>
        <v>21.418</v>
      </c>
      <c r="D964" s="16" t="n">
        <f aca="false">a26_nonop</f>
        <v>18.823</v>
      </c>
      <c r="E964" s="16" t="n">
        <f aca="false">nonop_f</f>
        <v>18</v>
      </c>
      <c r="F964" s="16" t="n">
        <f aca="false">nonop_f</f>
        <v>18</v>
      </c>
      <c r="G964" s="16" t="n">
        <f aca="false">nonop_f</f>
        <v>18</v>
      </c>
    </row>
    <row r="965" customFormat="false" ht="15" hidden="false" customHeight="false" outlineLevel="0" collapsed="false">
      <c r="A965" s="4" t="s">
        <v>528</v>
      </c>
      <c r="B965" s="0" t="s">
        <v>301</v>
      </c>
      <c r="C965" s="16" t="n">
        <f aca="false">C962+C964</f>
        <v>124.888</v>
      </c>
      <c r="D965" s="16" t="n">
        <f aca="false">D962+D964</f>
        <v>133.89586821659</v>
      </c>
      <c r="E965" s="16" t="n">
        <f aca="false">E962+E964</f>
        <v>208.054178010086</v>
      </c>
      <c r="F965" s="16" t="n">
        <f aca="false">F962+F964</f>
        <v>269.036150704946</v>
      </c>
      <c r="G965" s="16" t="n">
        <f aca="false">G962+G964</f>
        <v>297.301440738595</v>
      </c>
    </row>
    <row r="966" customFormat="false" ht="15" hidden="false" customHeight="false" outlineLevel="0" collapsed="false">
      <c r="A966" s="4" t="s">
        <v>529</v>
      </c>
      <c r="B966" s="0" t="s">
        <v>301</v>
      </c>
      <c r="C966" s="16" t="n">
        <f aca="false">a25_tax</f>
        <v>18.77</v>
      </c>
      <c r="D966" s="16" t="n">
        <f aca="false">a26_tax</f>
        <v>16.2589328681567</v>
      </c>
      <c r="E966" s="16" t="n">
        <f aca="false">E965*tax</f>
        <v>29.1275849214121</v>
      </c>
      <c r="F966" s="16" t="n">
        <f aca="false">F965*tax</f>
        <v>37.6650610986925</v>
      </c>
      <c r="G966" s="16" t="n">
        <f aca="false">G965*tax</f>
        <v>41.6222017034034</v>
      </c>
    </row>
    <row r="967" customFormat="false" ht="15" hidden="false" customHeight="false" outlineLevel="0" collapsed="false">
      <c r="A967" s="4" t="s">
        <v>530</v>
      </c>
      <c r="B967" s="0" t="s">
        <v>301</v>
      </c>
      <c r="C967" s="16" t="n">
        <f aca="false">a25_nci</f>
        <v>0.798</v>
      </c>
      <c r="D967" s="16" t="n">
        <f aca="false">a26_nci</f>
        <v>0.992</v>
      </c>
      <c r="E967" s="16" t="n">
        <f aca="false">nci</f>
        <v>1</v>
      </c>
      <c r="F967" s="16" t="n">
        <f aca="false">nci</f>
        <v>1</v>
      </c>
      <c r="G967" s="16" t="n">
        <f aca="false">nci</f>
        <v>1</v>
      </c>
    </row>
    <row r="968" customFormat="false" ht="15" hidden="false" customHeight="false" outlineLevel="0" collapsed="false">
      <c r="A968" s="4" t="s">
        <v>532</v>
      </c>
      <c r="B968" s="0" t="s">
        <v>301</v>
      </c>
      <c r="C968" s="16" t="n">
        <f aca="false">C965-C966-C967</f>
        <v>105.32</v>
      </c>
      <c r="D968" s="16" t="n">
        <f aca="false">D965-D966-D967</f>
        <v>116.644935348433</v>
      </c>
      <c r="E968" s="16" t="n">
        <f aca="false">E965-E966-E967</f>
        <v>177.926593088674</v>
      </c>
      <c r="F968" s="16" t="n">
        <f aca="false">F965-F966-F967</f>
        <v>230.371089606254</v>
      </c>
      <c r="G968" s="16" t="n">
        <f aca="false">G965-G966-G967</f>
        <v>254.679239035192</v>
      </c>
      <c r="H968" s="26" t="n">
        <f aca="false">H952*H972</f>
        <v>275.117197024446</v>
      </c>
      <c r="I968" s="26" t="n">
        <f aca="false">I952*I972</f>
        <v>294.59064619338</v>
      </c>
      <c r="J968" s="26" t="n">
        <f aca="false">J952*J972</f>
        <v>312.65346794462</v>
      </c>
    </row>
    <row r="969" customFormat="false" ht="15" hidden="false" customHeight="false" outlineLevel="0" collapsed="false">
      <c r="A969" s="4" t="s">
        <v>648</v>
      </c>
      <c r="B969" s="4" t="s">
        <v>346</v>
      </c>
      <c r="C969" s="18" t="n">
        <f aca="false">a25_sh</f>
        <v>1.59188331318017</v>
      </c>
      <c r="D969" s="18" t="n">
        <f aca="false">a26_sh</f>
        <v>1.59250890647703</v>
      </c>
      <c r="E969" s="18" t="n">
        <f aca="false">D969*(1+sh_g)</f>
        <v>1.59250890647703</v>
      </c>
      <c r="F969" s="18" t="n">
        <f aca="false">E969*(1+sh_g)</f>
        <v>1.59250890647703</v>
      </c>
      <c r="G969" s="18" t="n">
        <f aca="false">F969*(1+sh_g)</f>
        <v>1.59250890647703</v>
      </c>
      <c r="H969" s="28" t="n">
        <f aca="false">G969*(1+sh_g)</f>
        <v>1.59250890647703</v>
      </c>
      <c r="I969" s="28" t="n">
        <f aca="false">H969*(1+sh_g)</f>
        <v>1.59250890647703</v>
      </c>
      <c r="J969" s="28" t="n">
        <f aca="false">I969*(1+sh_g)</f>
        <v>1.59250890647703</v>
      </c>
    </row>
    <row r="970" customFormat="false" ht="17.15" hidden="false" customHeight="false" outlineLevel="0" collapsed="false">
      <c r="A970" s="0" t="s">
        <v>537</v>
      </c>
      <c r="B970" s="0" t="s">
        <v>403</v>
      </c>
      <c r="C970" s="16" t="n">
        <f aca="false">C968/C969</f>
        <v>66.1606281867469</v>
      </c>
      <c r="D970" s="16" t="n">
        <f aca="false">D968/D969</f>
        <v>73.2460175726595</v>
      </c>
      <c r="E970" s="16" t="n">
        <f aca="false">E968/E969</f>
        <v>111.727220089642</v>
      </c>
      <c r="F970" s="16" t="n">
        <f aca="false">F968/F969</f>
        <v>144.659215825602</v>
      </c>
      <c r="G970" s="16" t="n">
        <f aca="false">G968/G969</f>
        <v>159.923274525727</v>
      </c>
      <c r="H970" s="26" t="n">
        <f aca="false">H968/H969</f>
        <v>172.75708531707</v>
      </c>
      <c r="I970" s="26" t="n">
        <f aca="false">I968/I969</f>
        <v>184.985242465662</v>
      </c>
      <c r="J970" s="26" t="n">
        <f aca="false">J968/J969</f>
        <v>196.32761027144</v>
      </c>
    </row>
    <row r="971" customFormat="false" ht="17.15" hidden="false" customHeight="false" outlineLevel="0" collapsed="false">
      <c r="A971" s="0" t="s">
        <v>649</v>
      </c>
      <c r="B971" s="0" t="s">
        <v>46</v>
      </c>
      <c r="D971" s="19" t="n">
        <f aca="false">D970/C970-1</f>
        <v>0.107093744120947</v>
      </c>
      <c r="E971" s="19" t="n">
        <f aca="false">E970/D970-1</f>
        <v>0.525369211763758</v>
      </c>
      <c r="F971" s="19" t="n">
        <f aca="false">F970/E970-1</f>
        <v>0.294753558797377</v>
      </c>
      <c r="G971" s="19" t="n">
        <f aca="false">G970/F970-1</f>
        <v>0.105517361012988</v>
      </c>
      <c r="H971" s="24" t="n">
        <f aca="false">H970/G970-1</f>
        <v>0.0802497999706613</v>
      </c>
      <c r="I971" s="24" t="n">
        <f aca="false">I970/H970-1</f>
        <v>0.0707823770362248</v>
      </c>
      <c r="J971" s="24" t="n">
        <f aca="false">J970/I970-1</f>
        <v>0.0613149873719432</v>
      </c>
    </row>
    <row r="972" customFormat="false" ht="17.15" hidden="false" customHeight="false" outlineLevel="0" collapsed="false">
      <c r="A972" s="4" t="s">
        <v>650</v>
      </c>
      <c r="B972" s="0" t="s">
        <v>46</v>
      </c>
      <c r="C972" s="17" t="n">
        <f aca="false">C968/C952</f>
        <v>0.176721490823302</v>
      </c>
      <c r="D972" s="17" t="n">
        <f aca="false">D968/D952</f>
        <v>0.172929787405541</v>
      </c>
      <c r="E972" s="17" t="n">
        <f aca="false">E968/E952</f>
        <v>0.183684644588099</v>
      </c>
      <c r="F972" s="17" t="n">
        <f aca="false">F968/F952</f>
        <v>0.189398417441768</v>
      </c>
      <c r="G972" s="17" t="n">
        <f aca="false">G968/G952</f>
        <v>0.192383812384563</v>
      </c>
      <c r="H972" s="25" t="n">
        <f aca="false">$G972+(fade_mA-$G972)*1/3</f>
        <v>0.192623068536912</v>
      </c>
      <c r="I972" s="25" t="n">
        <f aca="false">$G972+(fade_mA-$G972)*2/3</f>
        <v>0.192862324689261</v>
      </c>
      <c r="J972" s="25" t="n">
        <f aca="false">$G972+(fade_mA-$G972)*3/3</f>
        <v>0.19310158084161</v>
      </c>
    </row>
    <row r="975" customFormat="false" ht="17.15" hidden="false" customHeight="false" outlineLevel="0" collapsed="false">
      <c r="A975" s="1" t="s">
        <v>952</v>
      </c>
    </row>
    <row r="976" customFormat="false" ht="17.15" hidden="false" customHeight="false" outlineLevel="0" collapsed="false">
      <c r="A976" s="5" t="s">
        <v>22</v>
      </c>
      <c r="B976" s="5" t="s">
        <v>23</v>
      </c>
      <c r="C976" s="14" t="s">
        <v>494</v>
      </c>
      <c r="D976" s="14" t="s">
        <v>587</v>
      </c>
      <c r="E976" s="14" t="s">
        <v>588</v>
      </c>
      <c r="F976" s="14" t="s">
        <v>589</v>
      </c>
      <c r="G976" s="14" t="s">
        <v>590</v>
      </c>
      <c r="H976" s="14" t="s">
        <v>591</v>
      </c>
      <c r="I976" s="14" t="s">
        <v>592</v>
      </c>
      <c r="J976" s="14" t="s">
        <v>593</v>
      </c>
      <c r="K976" s="5" t="s">
        <v>557</v>
      </c>
    </row>
    <row r="977" customFormat="false" ht="17.15" hidden="false" customHeight="false" outlineLevel="0" collapsed="false">
      <c r="A977" s="6" t="s">
        <v>609</v>
      </c>
    </row>
    <row r="978" customFormat="false" ht="17.15" hidden="false" customHeight="false" outlineLevel="0" collapsed="false">
      <c r="A978" s="0" t="s">
        <v>610</v>
      </c>
      <c r="B978" s="4" t="s">
        <v>33</v>
      </c>
      <c r="D978" s="20" t="n">
        <f aca="false">u_tpu_26</f>
        <v>3.85</v>
      </c>
      <c r="E978" s="20" t="n">
        <f aca="false">u_tpu_27</f>
        <v>5.5</v>
      </c>
      <c r="F978" s="20" t="n">
        <f aca="false">u_tpu_28*um28_A</f>
        <v>7</v>
      </c>
      <c r="G978" s="20" t="n">
        <f aca="false">u_tpu_28*(1+g29_tpu)*um29_A</f>
        <v>8.05</v>
      </c>
    </row>
    <row r="979" customFormat="false" ht="17.15" hidden="false" customHeight="false" outlineLevel="0" collapsed="false">
      <c r="A979" s="4" t="s">
        <v>611</v>
      </c>
      <c r="B979" s="4" t="s">
        <v>33</v>
      </c>
      <c r="D979" s="20" t="n">
        <f aca="false">u_oth_26</f>
        <v>1</v>
      </c>
      <c r="E979" s="20" t="n">
        <f aca="false">u_oth_27</f>
        <v>4.5</v>
      </c>
      <c r="F979" s="20" t="n">
        <f aca="false">u_oth_28*um28_A</f>
        <v>5</v>
      </c>
      <c r="G979" s="20" t="n">
        <f aca="false">u_oth_28*(1+g29_oth)*um29_A</f>
        <v>5.75</v>
      </c>
    </row>
    <row r="980" customFormat="false" ht="17.15" hidden="false" customHeight="false" outlineLevel="0" collapsed="false">
      <c r="A980" s="4" t="s">
        <v>561</v>
      </c>
      <c r="B980" s="0" t="s">
        <v>46</v>
      </c>
      <c r="D980" s="19" t="n">
        <f aca="false">mtk_tpu_26</f>
        <v>0.05</v>
      </c>
      <c r="E980" s="19" t="n">
        <f aca="false">MIN(1,MAX(0,mtk_tpu_27+0))</f>
        <v>0.15</v>
      </c>
      <c r="F980" s="19" t="n">
        <f aca="false">MIN(1,MAX(0,mtk_tpu_28+0))</f>
        <v>0.18</v>
      </c>
      <c r="G980" s="19" t="n">
        <f aca="false">MIN(1,MAX(0,mtk_tpu_28+0))</f>
        <v>0.18</v>
      </c>
    </row>
    <row r="981" customFormat="false" ht="17.15" hidden="false" customHeight="false" outlineLevel="0" collapsed="false">
      <c r="A981" s="4" t="s">
        <v>612</v>
      </c>
      <c r="B981" s="0" t="s">
        <v>46</v>
      </c>
      <c r="D981" s="19" t="n">
        <f aca="false">mtk_oth_26</f>
        <v>0</v>
      </c>
      <c r="E981" s="19" t="n">
        <f aca="false">MIN(1,MAX(0,mtk_oth_27+0))</f>
        <v>0</v>
      </c>
      <c r="F981" s="19" t="n">
        <f aca="false">MIN(1,MAX(0,mtk_oth_28+0))</f>
        <v>0</v>
      </c>
      <c r="G981" s="19" t="n">
        <f aca="false">MIN(1,MAX(0,mtk_oth_28+0))</f>
        <v>0</v>
      </c>
    </row>
    <row r="982" customFormat="false" ht="17.15" hidden="false" customHeight="false" outlineLevel="0" collapsed="false">
      <c r="A982" s="4" t="s">
        <v>563</v>
      </c>
      <c r="B982" s="4" t="s">
        <v>33</v>
      </c>
      <c r="D982" s="20" t="n">
        <f aca="false">D978*D980</f>
        <v>0.1925</v>
      </c>
      <c r="E982" s="20" t="n">
        <f aca="false">E978*E980*1</f>
        <v>0.825</v>
      </c>
      <c r="F982" s="20" t="n">
        <f aca="false">F978*F980*1</f>
        <v>1.26</v>
      </c>
      <c r="G982" s="20" t="n">
        <f aca="false">G978*G980*1</f>
        <v>1.449</v>
      </c>
    </row>
    <row r="983" customFormat="false" ht="17.15" hidden="false" customHeight="false" outlineLevel="0" collapsed="false">
      <c r="A983" s="4" t="s">
        <v>613</v>
      </c>
      <c r="B983" s="4" t="s">
        <v>33</v>
      </c>
      <c r="D983" s="20" t="n">
        <f aca="false">D979*D981</f>
        <v>0</v>
      </c>
      <c r="E983" s="20" t="n">
        <f aca="false">E979*E981*1</f>
        <v>0</v>
      </c>
      <c r="F983" s="20" t="n">
        <f aca="false">F979*F981*1</f>
        <v>0</v>
      </c>
      <c r="G983" s="20" t="n">
        <f aca="false">G979*G981*1</f>
        <v>0</v>
      </c>
    </row>
    <row r="984" customFormat="false" ht="17.15" hidden="false" customHeight="false" outlineLevel="0" collapsed="false">
      <c r="A984" s="4" t="s">
        <v>614</v>
      </c>
      <c r="B984" s="0" t="s">
        <v>102</v>
      </c>
      <c r="D984" s="27" t="n">
        <f aca="false">gb_tpu_26</f>
        <v>192</v>
      </c>
      <c r="E984" s="27" t="n">
        <f aca="false">gb_tpu_27</f>
        <v>250</v>
      </c>
      <c r="F984" s="27" t="n">
        <f aca="false">gb_tpu_28</f>
        <v>288</v>
      </c>
      <c r="G984" s="27" t="n">
        <f aca="false">gb_tpu_28</f>
        <v>288</v>
      </c>
    </row>
    <row r="985" customFormat="false" ht="17.15" hidden="false" customHeight="false" outlineLevel="0" collapsed="false">
      <c r="A985" s="4" t="s">
        <v>615</v>
      </c>
      <c r="B985" s="0" t="s">
        <v>102</v>
      </c>
      <c r="D985" s="27" t="n">
        <f aca="false">gb_oth_26</f>
        <v>150</v>
      </c>
      <c r="E985" s="27" t="n">
        <f aca="false">gb_oth_27</f>
        <v>200</v>
      </c>
      <c r="F985" s="27" t="n">
        <f aca="false">gb_oth_28</f>
        <v>250</v>
      </c>
      <c r="G985" s="27" t="n">
        <f aca="false">gb_oth_28</f>
        <v>250</v>
      </c>
    </row>
    <row r="986" customFormat="false" ht="17.15" hidden="false" customHeight="false" outlineLevel="0" collapsed="false">
      <c r="A986" s="0" t="s">
        <v>616</v>
      </c>
      <c r="B986" s="0" t="s">
        <v>194</v>
      </c>
      <c r="D986" s="16" t="n">
        <f aca="false">hbm_A_26</f>
        <v>14.6</v>
      </c>
      <c r="E986" s="16" t="n">
        <f aca="false">hbm_A_27</f>
        <v>26.28</v>
      </c>
      <c r="F986" s="16" t="n">
        <f aca="false">hbm_A_28</f>
        <v>28.908</v>
      </c>
      <c r="G986" s="16" t="n">
        <f aca="false">hbm_A_29</f>
        <v>27.4626</v>
      </c>
    </row>
    <row r="987" customFormat="false" ht="17.15" hidden="false" customHeight="false" outlineLevel="0" collapsed="false">
      <c r="A987" s="4" t="s">
        <v>617</v>
      </c>
      <c r="B987" s="0" t="s">
        <v>86</v>
      </c>
      <c r="D987" s="16" t="n">
        <f aca="false">core_tpu</f>
        <v>8</v>
      </c>
      <c r="E987" s="16" t="n">
        <f aca="false">core_tpu</f>
        <v>8</v>
      </c>
      <c r="F987" s="16" t="n">
        <f aca="false">core_tpu*1</f>
        <v>8</v>
      </c>
      <c r="G987" s="16" t="n">
        <f aca="false">core_tpu*1</f>
        <v>8</v>
      </c>
    </row>
    <row r="988" customFormat="false" ht="17.15" hidden="false" customHeight="false" outlineLevel="0" collapsed="false">
      <c r="A988" s="4" t="s">
        <v>618</v>
      </c>
      <c r="B988" s="0" t="s">
        <v>86</v>
      </c>
      <c r="D988" s="16" t="n">
        <f aca="false">core_oth</f>
        <v>6</v>
      </c>
      <c r="E988" s="16" t="n">
        <f aca="false">core_oth</f>
        <v>6</v>
      </c>
      <c r="F988" s="16" t="n">
        <f aca="false">core_oth*1</f>
        <v>6</v>
      </c>
      <c r="G988" s="16" t="n">
        <f aca="false">core_oth*1</f>
        <v>6</v>
      </c>
    </row>
    <row r="989" customFormat="false" ht="17.15" hidden="false" customHeight="false" outlineLevel="0" collapsed="false">
      <c r="A989" s="4" t="s">
        <v>619</v>
      </c>
      <c r="B989" s="0" t="s">
        <v>86</v>
      </c>
      <c r="D989" s="16" t="n">
        <f aca="false">D984*D986/1000</f>
        <v>2.8032</v>
      </c>
      <c r="E989" s="16" t="n">
        <f aca="false">E984*E986/1000</f>
        <v>6.57</v>
      </c>
      <c r="F989" s="16" t="n">
        <f aca="false">F984*F986/1000</f>
        <v>8.325504</v>
      </c>
      <c r="G989" s="16" t="n">
        <f aca="false">G984*G986/1000</f>
        <v>7.9092288</v>
      </c>
    </row>
    <row r="990" customFormat="false" ht="17.15" hidden="false" customHeight="false" outlineLevel="0" collapsed="false">
      <c r="A990" s="4" t="s">
        <v>620</v>
      </c>
      <c r="B990" s="0" t="s">
        <v>86</v>
      </c>
      <c r="D990" s="16" t="n">
        <f aca="false">D985*D986/1000</f>
        <v>2.19</v>
      </c>
      <c r="E990" s="16" t="n">
        <f aca="false">E985*E986/1000</f>
        <v>5.256</v>
      </c>
      <c r="F990" s="16" t="n">
        <f aca="false">F985*F986/1000</f>
        <v>7.227</v>
      </c>
      <c r="G990" s="16" t="n">
        <f aca="false">G985*G986/1000</f>
        <v>6.86565</v>
      </c>
    </row>
    <row r="991" customFormat="false" ht="17.15" hidden="false" customHeight="false" outlineLevel="0" collapsed="false">
      <c r="A991" s="4" t="s">
        <v>621</v>
      </c>
      <c r="B991" s="0" t="s">
        <v>86</v>
      </c>
      <c r="D991" s="16" t="n">
        <f aca="false">D987+f_hbm*D989</f>
        <v>9.68192</v>
      </c>
      <c r="E991" s="16" t="n">
        <f aca="false">E987+f_hbm*E989</f>
        <v>11.942</v>
      </c>
      <c r="F991" s="16" t="n">
        <f aca="false">F987+f_hbm*F989</f>
        <v>12.9953024</v>
      </c>
      <c r="G991" s="16" t="n">
        <f aca="false">G987+f_hbm*G989</f>
        <v>12.74553728</v>
      </c>
      <c r="K991" s="4" t="s">
        <v>622</v>
      </c>
    </row>
    <row r="992" customFormat="false" ht="17.15" hidden="false" customHeight="false" outlineLevel="0" collapsed="false">
      <c r="A992" s="4" t="s">
        <v>623</v>
      </c>
      <c r="B992" s="0" t="s">
        <v>86</v>
      </c>
      <c r="D992" s="16" t="n">
        <f aca="false">D988+f_hbm*D990</f>
        <v>7.314</v>
      </c>
      <c r="E992" s="16" t="n">
        <f aca="false">E988+f_hbm*E990</f>
        <v>9.1536</v>
      </c>
      <c r="F992" s="16" t="n">
        <f aca="false">F988+f_hbm*F990</f>
        <v>10.3362</v>
      </c>
      <c r="G992" s="16" t="n">
        <f aca="false">G988+f_hbm*G990</f>
        <v>10.11939</v>
      </c>
    </row>
    <row r="993" customFormat="false" ht="17.15" hidden="false" customHeight="false" outlineLevel="0" collapsed="false">
      <c r="A993" s="0" t="s">
        <v>624</v>
      </c>
      <c r="B993" s="0" t="s">
        <v>279</v>
      </c>
      <c r="D993" s="16" t="n">
        <f aca="false">D982*D991+D983*D992</f>
        <v>1.8637696</v>
      </c>
      <c r="E993" s="16" t="n">
        <f aca="false">E982*E991+E983*E992</f>
        <v>9.85215</v>
      </c>
      <c r="F993" s="16" t="n">
        <f aca="false">F982*F991+F983*F992</f>
        <v>16.374081024</v>
      </c>
      <c r="G993" s="16" t="n">
        <f aca="false">G982*G991+G983*G992</f>
        <v>18.46828351872</v>
      </c>
    </row>
    <row r="994" customFormat="false" ht="17.15" hidden="false" customHeight="false" outlineLevel="0" collapsed="false">
      <c r="A994" s="0" t="s">
        <v>625</v>
      </c>
      <c r="B994" s="0" t="s">
        <v>65</v>
      </c>
      <c r="D994" s="20" t="n">
        <f aca="false">dc26/D993</f>
        <v>1.07309401333727</v>
      </c>
      <c r="K994" s="8" t="s">
        <v>626</v>
      </c>
    </row>
    <row r="995" customFormat="false" ht="17.15" hidden="false" customHeight="false" outlineLevel="0" collapsed="false">
      <c r="A995" s="0" t="s">
        <v>627</v>
      </c>
      <c r="B995" s="0" t="s">
        <v>279</v>
      </c>
      <c r="D995" s="16" t="n">
        <f aca="false">D993*$D$994</f>
        <v>2</v>
      </c>
      <c r="E995" s="16" t="n">
        <f aca="false">E993*$D$994</f>
        <v>10.5722831835008</v>
      </c>
      <c r="F995" s="16" t="n">
        <f aca="false">F993*$D$994</f>
        <v>17.5709283207538</v>
      </c>
      <c r="G995" s="16" t="n">
        <f aca="false">G993*$D$994</f>
        <v>19.8182044805538</v>
      </c>
    </row>
    <row r="996" customFormat="false" ht="15" hidden="false" customHeight="false" outlineLevel="0" collapsed="false">
      <c r="A996" s="4" t="s">
        <v>628</v>
      </c>
      <c r="B996" s="0" t="s">
        <v>288</v>
      </c>
      <c r="D996" s="16" t="n">
        <f aca="false">fx26</f>
        <v>32</v>
      </c>
      <c r="E996" s="16" t="n">
        <f aca="false">fx</f>
        <v>32</v>
      </c>
      <c r="F996" s="16" t="n">
        <f aca="false">fx</f>
        <v>32</v>
      </c>
      <c r="G996" s="16" t="n">
        <f aca="false">fx</f>
        <v>32</v>
      </c>
    </row>
    <row r="997" customFormat="false" ht="17.15" hidden="false" customHeight="false" outlineLevel="0" collapsed="false">
      <c r="A997" s="0" t="s">
        <v>629</v>
      </c>
      <c r="B997" s="0" t="s">
        <v>301</v>
      </c>
      <c r="C997" s="16" t="n">
        <f aca="false">a25_asic</f>
        <v>0</v>
      </c>
      <c r="D997" s="16" t="n">
        <f aca="false">D995*D996</f>
        <v>64</v>
      </c>
      <c r="E997" s="16" t="n">
        <f aca="false">E995*E996</f>
        <v>338.313061872025</v>
      </c>
      <c r="F997" s="16" t="n">
        <f aca="false">F995*F996</f>
        <v>562.269706264122</v>
      </c>
      <c r="G997" s="16" t="n">
        <f aca="false">G995*G996</f>
        <v>634.182543377722</v>
      </c>
    </row>
    <row r="998" customFormat="false" ht="17.15" hidden="false" customHeight="false" outlineLevel="0" collapsed="false">
      <c r="A998" s="4" t="s">
        <v>630</v>
      </c>
      <c r="B998" s="0" t="s">
        <v>301</v>
      </c>
      <c r="D998" s="16" t="n">
        <f aca="false">$D$994*f_hbm*(D982*D989+D983*D990)*D996</f>
        <v>11.1179270227393</v>
      </c>
      <c r="E998" s="16" t="n">
        <f aca="false">$D$994*f_hbm*(E982*E989+E983*E990)*E996</f>
        <v>111.675606255194</v>
      </c>
      <c r="F998" s="16" t="n">
        <f aca="false">$D$994*f_hbm*(F982*F989+F983*F990)*F996</f>
        <v>216.132501322052</v>
      </c>
      <c r="G998" s="16" t="n">
        <f aca="false">$D$994*f_hbm*(G982*G989+G983*G990)*G996</f>
        <v>236.124757694342</v>
      </c>
    </row>
    <row r="999" customFormat="false" ht="15" hidden="false" customHeight="false" outlineLevel="0" collapsed="false">
      <c r="A999" s="4" t="s">
        <v>631</v>
      </c>
      <c r="B999" s="0" t="s">
        <v>301</v>
      </c>
      <c r="D999" s="16" t="n">
        <f aca="false">D997-D998</f>
        <v>52.8820729772607</v>
      </c>
      <c r="E999" s="16" t="n">
        <f aca="false">E997-E998</f>
        <v>226.637455616832</v>
      </c>
      <c r="F999" s="16" t="n">
        <f aca="false">F997-F998</f>
        <v>346.13720494207</v>
      </c>
      <c r="G999" s="16" t="n">
        <f aca="false">G997-G998</f>
        <v>398.057785683381</v>
      </c>
    </row>
    <row r="1000" customFormat="false" ht="17.15" hidden="false" customHeight="false" outlineLevel="0" collapsed="false">
      <c r="A1000" s="4" t="s">
        <v>632</v>
      </c>
      <c r="B1000" s="4" t="s">
        <v>33</v>
      </c>
      <c r="D1000" s="20" t="n">
        <f aca="false">D982+D983</f>
        <v>0.1925</v>
      </c>
      <c r="E1000" s="20" t="n">
        <f aca="false">E982+E983</f>
        <v>0.825</v>
      </c>
      <c r="F1000" s="20" t="n">
        <f aca="false">F982+F983</f>
        <v>1.26</v>
      </c>
      <c r="G1000" s="20" t="n">
        <f aca="false">G982+G983</f>
        <v>1.449</v>
      </c>
    </row>
    <row r="1001" customFormat="false" ht="17.15" hidden="false" customHeight="false" outlineLevel="0" collapsed="false">
      <c r="A1001" s="4" t="s">
        <v>633</v>
      </c>
      <c r="B1001" s="0" t="s">
        <v>86</v>
      </c>
      <c r="D1001" s="16" t="n">
        <f aca="false">IF(D1000&gt;0,D995/D1000,0)</f>
        <v>10.3896103896104</v>
      </c>
      <c r="E1001" s="16" t="n">
        <f aca="false">IF(E1000&gt;0,E995/E1000,0)</f>
        <v>12.8148887072737</v>
      </c>
      <c r="F1001" s="16" t="n">
        <f aca="false">IF(F1000&gt;0,F995/F1000,0)</f>
        <v>13.9451812069475</v>
      </c>
      <c r="G1001" s="16" t="n">
        <f aca="false">IF(G1000&gt;0,G995/G1000,0)</f>
        <v>13.677159751935</v>
      </c>
    </row>
    <row r="1002" customFormat="false" ht="17.15" hidden="false" customHeight="false" outlineLevel="0" collapsed="false">
      <c r="A1002" s="6" t="s">
        <v>634</v>
      </c>
    </row>
    <row r="1003" customFormat="false" ht="15" hidden="false" customHeight="false" outlineLevel="0" collapsed="false">
      <c r="A1003" s="4" t="s">
        <v>635</v>
      </c>
      <c r="B1003" s="0" t="s">
        <v>301</v>
      </c>
      <c r="C1003" s="16" t="n">
        <f aca="false">a25_mob</f>
        <v>315.86198</v>
      </c>
      <c r="D1003" s="16" t="n">
        <f aca="false">a26_mob</f>
        <v>262.655761173888</v>
      </c>
      <c r="E1003" s="16" t="n">
        <f aca="false">D1003*(1+g_mob27_A)</f>
        <v>275.788549232582</v>
      </c>
      <c r="F1003" s="16" t="n">
        <f aca="false">E1003*(1+g_mobL_A)</f>
        <v>286.820091201885</v>
      </c>
      <c r="G1003" s="16" t="n">
        <f aca="false">F1003*(1+g_mobL_A)</f>
        <v>298.292894849961</v>
      </c>
    </row>
    <row r="1004" customFormat="false" ht="17.15" hidden="false" customHeight="false" outlineLevel="0" collapsed="false">
      <c r="A1004" s="4" t="s">
        <v>636</v>
      </c>
      <c r="B1004" s="0" t="s">
        <v>301</v>
      </c>
      <c r="C1004" s="16" t="n">
        <f aca="false">a25_sepx</f>
        <v>247.32589</v>
      </c>
      <c r="D1004" s="16" t="n">
        <f aca="false">a26_sepx</f>
        <v>311.894023346019</v>
      </c>
      <c r="E1004" s="16" t="n">
        <f aca="false">D1004*(1+g_sep27_A)</f>
        <v>336.8455452137</v>
      </c>
      <c r="F1004" s="16" t="n">
        <f aca="false">E1004*(1+g_sepL_A)</f>
        <v>360.424733378659</v>
      </c>
      <c r="G1004" s="16" t="n">
        <f aca="false">F1004*(1+g_sepL_A)</f>
        <v>385.654464715166</v>
      </c>
    </row>
    <row r="1005" customFormat="false" ht="17.15" hidden="false" customHeight="false" outlineLevel="0" collapsed="false">
      <c r="A1005" s="4" t="s">
        <v>637</v>
      </c>
      <c r="B1005" s="0" t="s">
        <v>301</v>
      </c>
      <c r="C1005" s="16" t="n">
        <f aca="false">a25_pic</f>
        <v>32.77813</v>
      </c>
      <c r="D1005" s="16" t="n">
        <f aca="false">a26_pic</f>
        <v>35.9721535362998</v>
      </c>
      <c r="E1005" s="16" t="n">
        <f aca="false">D1005*(1+g_pic27_A)</f>
        <v>38.8499258192038</v>
      </c>
      <c r="F1005" s="16" t="n">
        <f aca="false">E1005*(1+g_picL_A)</f>
        <v>41.9579198847401</v>
      </c>
      <c r="G1005" s="16" t="n">
        <f aca="false">F1005*(1+g_picL_A)</f>
        <v>45.3145534755193</v>
      </c>
    </row>
    <row r="1006" customFormat="false" ht="17.15" hidden="false" customHeight="false" outlineLevel="0" collapsed="false">
      <c r="A1006" s="4" t="s">
        <v>638</v>
      </c>
      <c r="B1006" s="0" t="s">
        <v>301</v>
      </c>
      <c r="C1006" s="16" t="n">
        <f aca="false">C1003+C1004+C1005</f>
        <v>595.966</v>
      </c>
      <c r="D1006" s="16" t="n">
        <f aca="false">D1003+D1004+D1005</f>
        <v>610.521938056206</v>
      </c>
      <c r="E1006" s="16" t="n">
        <f aca="false">E1003+E1004+E1005</f>
        <v>651.484020265486</v>
      </c>
      <c r="F1006" s="16" t="n">
        <f aca="false">F1003+F1004+F1005</f>
        <v>689.202744465285</v>
      </c>
      <c r="G1006" s="16" t="n">
        <f aca="false">G1003+G1004+G1005</f>
        <v>729.261913040646</v>
      </c>
    </row>
    <row r="1007" customFormat="false" ht="17.15" hidden="false" customHeight="false" outlineLevel="0" collapsed="false">
      <c r="A1007" s="4" t="s">
        <v>501</v>
      </c>
      <c r="B1007" s="0" t="s">
        <v>301</v>
      </c>
      <c r="C1007" s="16" t="n">
        <f aca="false">C1006+C997</f>
        <v>595.966</v>
      </c>
      <c r="D1007" s="16" t="n">
        <f aca="false">D1006+D997</f>
        <v>674.521938056206</v>
      </c>
      <c r="E1007" s="16" t="n">
        <f aca="false">E1006+E997</f>
        <v>989.797082137512</v>
      </c>
      <c r="F1007" s="16" t="n">
        <f aca="false">F1006+F997</f>
        <v>1251.47245072941</v>
      </c>
      <c r="G1007" s="16" t="n">
        <f aca="false">G1006+G997</f>
        <v>1363.44445641837</v>
      </c>
      <c r="H1007" s="26" t="n">
        <f aca="false">G1007*(1+H1008)</f>
        <v>1472.04027119696</v>
      </c>
      <c r="I1007" s="26" t="n">
        <f aca="false">H1007*(1+I1008)</f>
        <v>1574.8241140449</v>
      </c>
      <c r="J1007" s="26" t="n">
        <f aca="false">I1007*(1+J1008)</f>
        <v>1669.3135608876</v>
      </c>
      <c r="K1007" s="8" t="s">
        <v>639</v>
      </c>
    </row>
    <row r="1008" customFormat="false" ht="15" hidden="false" customHeight="false" outlineLevel="0" collapsed="false">
      <c r="A1008" s="4" t="s">
        <v>640</v>
      </c>
      <c r="B1008" s="0" t="s">
        <v>46</v>
      </c>
      <c r="D1008" s="19" t="n">
        <f aca="false">D1007/C1007-1</f>
        <v>0.131812784716252</v>
      </c>
      <c r="E1008" s="19" t="n">
        <f aca="false">E1007/D1007-1</f>
        <v>0.467405322634643</v>
      </c>
      <c r="F1008" s="19" t="n">
        <f aca="false">F1007/E1007-1</f>
        <v>0.264372741963227</v>
      </c>
      <c r="G1008" s="19" t="n">
        <f aca="false">G1007/F1007-1</f>
        <v>0.0894722098146863</v>
      </c>
      <c r="H1008" s="24" t="n">
        <f aca="false">$G1008+(fade_gA-$G1008)*1/3</f>
        <v>0.0796481398764575</v>
      </c>
      <c r="I1008" s="24" t="n">
        <f aca="false">$G1008+(fade_gA-$G1008)*2/3</f>
        <v>0.0698240699382288</v>
      </c>
      <c r="J1008" s="24" t="n">
        <f aca="false">$G1008+(fade_gA-$G1008)*3/3</f>
        <v>0.06</v>
      </c>
    </row>
    <row r="1009" customFormat="false" ht="17.15" hidden="false" customHeight="false" outlineLevel="0" collapsed="false">
      <c r="A1009" s="0" t="s">
        <v>641</v>
      </c>
      <c r="B1009" s="0" t="s">
        <v>46</v>
      </c>
      <c r="C1009" s="19" t="n">
        <f aca="false">C997/C1007</f>
        <v>0</v>
      </c>
      <c r="D1009" s="19" t="n">
        <f aca="false">D997/D1007</f>
        <v>0.0948820140445411</v>
      </c>
      <c r="E1009" s="19" t="n">
        <f aca="false">E997/E1007</f>
        <v>0.341800423518549</v>
      </c>
      <c r="F1009" s="19" t="n">
        <f aca="false">F997/F1007</f>
        <v>0.449286523196263</v>
      </c>
      <c r="G1009" s="19" t="n">
        <f aca="false">G997/G1007</f>
        <v>0.465132657507484</v>
      </c>
    </row>
    <row r="1010" customFormat="false" ht="17.15" hidden="false" customHeight="false" outlineLevel="0" collapsed="false">
      <c r="A1010" s="4" t="s">
        <v>642</v>
      </c>
      <c r="B1010" s="0" t="s">
        <v>46</v>
      </c>
      <c r="C1010" s="19" t="n">
        <f aca="false">C1003/C1007</f>
        <v>0.53</v>
      </c>
      <c r="D1010" s="19" t="n">
        <f aca="false">D1003/D1007</f>
        <v>0.389395431571569</v>
      </c>
      <c r="E1010" s="19" t="n">
        <f aca="false">E1003/E1007</f>
        <v>0.278631402546676</v>
      </c>
      <c r="F1010" s="19" t="n">
        <f aca="false">F1003/F1007</f>
        <v>0.229186100768511</v>
      </c>
      <c r="G1010" s="19" t="n">
        <f aca="false">G1003/G1007</f>
        <v>0.218778912075044</v>
      </c>
    </row>
    <row r="1011" customFormat="false" ht="17.15" hidden="false" customHeight="false" outlineLevel="0" collapsed="false">
      <c r="A1011" s="6" t="s">
        <v>643</v>
      </c>
    </row>
    <row r="1012" customFormat="false" ht="17.15" hidden="false" customHeight="false" outlineLevel="0" collapsed="false">
      <c r="A1012" s="0" t="s">
        <v>644</v>
      </c>
      <c r="B1012" s="0" t="s">
        <v>301</v>
      </c>
      <c r="D1012" s="16" t="n">
        <f aca="false">m_core*D999+m_hbm*D998</f>
        <v>24.9087255420412</v>
      </c>
      <c r="E1012" s="16" t="n">
        <f aca="false">m_core*E999+m_hbm*E998</f>
        <v>113.154415653094</v>
      </c>
      <c r="F1012" s="16" t="n">
        <f aca="false">m_core*F999+m_hbm*F998</f>
        <v>177.374992356137</v>
      </c>
      <c r="G1012" s="16" t="n">
        <f aca="false">m_core*G999+m_hbm*G998</f>
        <v>202.738479326955</v>
      </c>
    </row>
    <row r="1013" customFormat="false" ht="17.15" hidden="false" customHeight="false" outlineLevel="0" collapsed="false">
      <c r="A1013" s="4" t="s">
        <v>645</v>
      </c>
      <c r="B1013" s="0" t="s">
        <v>46</v>
      </c>
      <c r="C1013" s="17" t="n">
        <f aca="false">a25_gp/C1006</f>
        <v>0.474993539899927</v>
      </c>
      <c r="D1013" s="17" t="n">
        <f aca="false">(a26_gp-D1012)/D1006</f>
        <v>0.462340704042911</v>
      </c>
      <c r="E1013" s="17" t="n">
        <f aca="false">$D1013+0</f>
        <v>0.462340704042911</v>
      </c>
      <c r="F1013" s="17" t="n">
        <f aca="false">$D1013+0</f>
        <v>0.462340704042911</v>
      </c>
      <c r="G1013" s="17" t="n">
        <f aca="false">$D1013+0</f>
        <v>0.462340704042911</v>
      </c>
      <c r="K1013" s="8" t="s">
        <v>646</v>
      </c>
    </row>
    <row r="1014" customFormat="false" ht="15" hidden="false" customHeight="false" outlineLevel="0" collapsed="false">
      <c r="A1014" s="4" t="s">
        <v>517</v>
      </c>
      <c r="B1014" s="0" t="s">
        <v>301</v>
      </c>
      <c r="C1014" s="16" t="n">
        <f aca="false">a25_gp</f>
        <v>283.08</v>
      </c>
      <c r="D1014" s="16" t="n">
        <f aca="false">a26_gp</f>
        <v>307.17786821659</v>
      </c>
      <c r="E1014" s="16" t="n">
        <f aca="false">E1013*E1006+E1012</f>
        <v>414.361996255344</v>
      </c>
      <c r="F1014" s="16" t="n">
        <f aca="false">F1013*F1006+F1012</f>
        <v>496.021474460523</v>
      </c>
      <c r="G1014" s="16" t="n">
        <f aca="false">G1013*G1006+G1012</f>
        <v>539.905945633848</v>
      </c>
    </row>
    <row r="1015" customFormat="false" ht="15" hidden="false" customHeight="false" outlineLevel="0" collapsed="false">
      <c r="A1015" s="4" t="s">
        <v>520</v>
      </c>
      <c r="B1015" s="0" t="s">
        <v>46</v>
      </c>
      <c r="C1015" s="17" t="n">
        <f aca="false">C1014/C1007</f>
        <v>0.474993539899927</v>
      </c>
      <c r="D1015" s="17" t="n">
        <f aca="false">D1014/D1007</f>
        <v>0.455400856348417</v>
      </c>
      <c r="E1015" s="17" t="n">
        <f aca="false">E1014/E1007</f>
        <v>0.418633277197091</v>
      </c>
      <c r="F1015" s="17" t="n">
        <f aca="false">F1014/F1007</f>
        <v>0.396350294544177</v>
      </c>
      <c r="G1015" s="17" t="n">
        <f aca="false">G1014/G1007</f>
        <v>0.395986754790237</v>
      </c>
    </row>
    <row r="1016" customFormat="false" ht="15" hidden="false" customHeight="false" outlineLevel="0" collapsed="false">
      <c r="A1016" s="4" t="s">
        <v>647</v>
      </c>
      <c r="B1016" s="0" t="s">
        <v>301</v>
      </c>
      <c r="C1016" s="16" t="n">
        <f aca="false">a25_opx</f>
        <v>179.61</v>
      </c>
      <c r="D1016" s="16" t="n">
        <f aca="false">a26_opx</f>
        <v>192.105</v>
      </c>
      <c r="E1016" s="16" t="n">
        <f aca="false">D1016*(1+MAX(g_opx_min,phi*E1008))+0*E1007</f>
        <v>219.042269851418</v>
      </c>
      <c r="F1016" s="16" t="n">
        <f aca="false">E1016*(1+MAX(g_opx_min,phi*F1008))+0*F1007</f>
        <v>236.414911497359</v>
      </c>
      <c r="G1016" s="16" t="n">
        <f aca="false">F1016*(1+MAX(g_opx_min,phi*G1008))+0*G1007</f>
        <v>250.599806187201</v>
      </c>
    </row>
    <row r="1017" customFormat="false" ht="15" hidden="false" customHeight="false" outlineLevel="0" collapsed="false">
      <c r="A1017" s="4" t="s">
        <v>524</v>
      </c>
      <c r="B1017" s="0" t="s">
        <v>301</v>
      </c>
      <c r="C1017" s="16" t="n">
        <f aca="false">C1014-C1016</f>
        <v>103.47</v>
      </c>
      <c r="D1017" s="16" t="n">
        <f aca="false">D1014-D1016</f>
        <v>115.07286821659</v>
      </c>
      <c r="E1017" s="16" t="n">
        <f aca="false">E1014-E1016</f>
        <v>195.319726403926</v>
      </c>
      <c r="F1017" s="16" t="n">
        <f aca="false">F1014-F1016</f>
        <v>259.606562963164</v>
      </c>
      <c r="G1017" s="16" t="n">
        <f aca="false">G1014-G1016</f>
        <v>289.306139446647</v>
      </c>
    </row>
    <row r="1018" customFormat="false" ht="15" hidden="false" customHeight="false" outlineLevel="0" collapsed="false">
      <c r="A1018" s="4" t="s">
        <v>598</v>
      </c>
      <c r="B1018" s="0" t="s">
        <v>46</v>
      </c>
      <c r="C1018" s="17" t="n">
        <f aca="false">C1017/C1007</f>
        <v>0.173617286892205</v>
      </c>
      <c r="D1018" s="17" t="n">
        <f aca="false">D1017/D1007</f>
        <v>0.170599148410502</v>
      </c>
      <c r="E1018" s="17" t="n">
        <f aca="false">E1017/E1007</f>
        <v>0.197333099812867</v>
      </c>
      <c r="F1018" s="17" t="n">
        <f aca="false">F1017/F1007</f>
        <v>0.20744089317496</v>
      </c>
      <c r="G1018" s="17" t="n">
        <f aca="false">G1017/G1007</f>
        <v>0.212187697184692</v>
      </c>
    </row>
    <row r="1019" customFormat="false" ht="15" hidden="false" customHeight="false" outlineLevel="0" collapsed="false">
      <c r="A1019" s="4" t="s">
        <v>526</v>
      </c>
      <c r="B1019" s="0" t="s">
        <v>301</v>
      </c>
      <c r="C1019" s="16" t="n">
        <f aca="false">a25_nonop</f>
        <v>21.418</v>
      </c>
      <c r="D1019" s="16" t="n">
        <f aca="false">a26_nonop</f>
        <v>18.823</v>
      </c>
      <c r="E1019" s="16" t="n">
        <f aca="false">nonop_f</f>
        <v>18</v>
      </c>
      <c r="F1019" s="16" t="n">
        <f aca="false">nonop_f</f>
        <v>18</v>
      </c>
      <c r="G1019" s="16" t="n">
        <f aca="false">nonop_f</f>
        <v>18</v>
      </c>
    </row>
    <row r="1020" customFormat="false" ht="15" hidden="false" customHeight="false" outlineLevel="0" collapsed="false">
      <c r="A1020" s="4" t="s">
        <v>528</v>
      </c>
      <c r="B1020" s="0" t="s">
        <v>301</v>
      </c>
      <c r="C1020" s="16" t="n">
        <f aca="false">C1017+C1019</f>
        <v>124.888</v>
      </c>
      <c r="D1020" s="16" t="n">
        <f aca="false">D1017+D1019</f>
        <v>133.89586821659</v>
      </c>
      <c r="E1020" s="16" t="n">
        <f aca="false">E1017+E1019</f>
        <v>213.319726403926</v>
      </c>
      <c r="F1020" s="16" t="n">
        <f aca="false">F1017+F1019</f>
        <v>277.606562963164</v>
      </c>
      <c r="G1020" s="16" t="n">
        <f aca="false">G1017+G1019</f>
        <v>307.306139446647</v>
      </c>
    </row>
    <row r="1021" customFormat="false" ht="15" hidden="false" customHeight="false" outlineLevel="0" collapsed="false">
      <c r="A1021" s="4" t="s">
        <v>529</v>
      </c>
      <c r="B1021" s="0" t="s">
        <v>301</v>
      </c>
      <c r="C1021" s="16" t="n">
        <f aca="false">a25_tax</f>
        <v>18.77</v>
      </c>
      <c r="D1021" s="16" t="n">
        <f aca="false">a26_tax</f>
        <v>16.2589328681567</v>
      </c>
      <c r="E1021" s="16" t="n">
        <f aca="false">E1020*tax_hi</f>
        <v>36.2643534886674</v>
      </c>
      <c r="F1021" s="16" t="n">
        <f aca="false">F1020*tax_hi</f>
        <v>47.1931157037379</v>
      </c>
      <c r="G1021" s="16" t="n">
        <f aca="false">G1020*tax_hi</f>
        <v>52.24204370593</v>
      </c>
    </row>
    <row r="1022" customFormat="false" ht="15" hidden="false" customHeight="false" outlineLevel="0" collapsed="false">
      <c r="A1022" s="4" t="s">
        <v>530</v>
      </c>
      <c r="B1022" s="0" t="s">
        <v>301</v>
      </c>
      <c r="C1022" s="16" t="n">
        <f aca="false">a25_nci</f>
        <v>0.798</v>
      </c>
      <c r="D1022" s="16" t="n">
        <f aca="false">a26_nci</f>
        <v>0.992</v>
      </c>
      <c r="E1022" s="16" t="n">
        <f aca="false">nci</f>
        <v>1</v>
      </c>
      <c r="F1022" s="16" t="n">
        <f aca="false">nci</f>
        <v>1</v>
      </c>
      <c r="G1022" s="16" t="n">
        <f aca="false">nci</f>
        <v>1</v>
      </c>
    </row>
    <row r="1023" customFormat="false" ht="15" hidden="false" customHeight="false" outlineLevel="0" collapsed="false">
      <c r="A1023" s="4" t="s">
        <v>532</v>
      </c>
      <c r="B1023" s="0" t="s">
        <v>301</v>
      </c>
      <c r="C1023" s="16" t="n">
        <f aca="false">C1020-C1021-C1022</f>
        <v>105.32</v>
      </c>
      <c r="D1023" s="16" t="n">
        <f aca="false">D1020-D1021-D1022</f>
        <v>116.644935348433</v>
      </c>
      <c r="E1023" s="16" t="n">
        <f aca="false">E1020-E1021-E1022</f>
        <v>176.055372915259</v>
      </c>
      <c r="F1023" s="16" t="n">
        <f aca="false">F1020-F1021-F1022</f>
        <v>229.413447259426</v>
      </c>
      <c r="G1023" s="16" t="n">
        <f aca="false">G1020-G1021-G1022</f>
        <v>254.064095740717</v>
      </c>
      <c r="H1023" s="26" t="n">
        <f aca="false">H1007*H1027</f>
        <v>277.617653394121</v>
      </c>
      <c r="I1023" s="26" t="n">
        <f aca="false">I1007*I1027</f>
        <v>300.551536905179</v>
      </c>
      <c r="J1023" s="26" t="n">
        <f aca="false">J1007*J1027</f>
        <v>322.347087527732</v>
      </c>
    </row>
    <row r="1024" customFormat="false" ht="15" hidden="false" customHeight="false" outlineLevel="0" collapsed="false">
      <c r="A1024" s="4" t="s">
        <v>648</v>
      </c>
      <c r="B1024" s="4" t="s">
        <v>346</v>
      </c>
      <c r="C1024" s="18" t="n">
        <f aca="false">a25_sh</f>
        <v>1.59188331318017</v>
      </c>
      <c r="D1024" s="18" t="n">
        <f aca="false">a26_sh</f>
        <v>1.59250890647703</v>
      </c>
      <c r="E1024" s="18" t="n">
        <f aca="false">D1024*(1+sh_g)</f>
        <v>1.59250890647703</v>
      </c>
      <c r="F1024" s="18" t="n">
        <f aca="false">E1024*(1+sh_g)</f>
        <v>1.59250890647703</v>
      </c>
      <c r="G1024" s="18" t="n">
        <f aca="false">F1024*(1+sh_g)</f>
        <v>1.59250890647703</v>
      </c>
      <c r="H1024" s="28" t="n">
        <f aca="false">G1024*(1+sh_g)</f>
        <v>1.59250890647703</v>
      </c>
      <c r="I1024" s="28" t="n">
        <f aca="false">H1024*(1+sh_g)</f>
        <v>1.59250890647703</v>
      </c>
      <c r="J1024" s="28" t="n">
        <f aca="false">I1024*(1+sh_g)</f>
        <v>1.59250890647703</v>
      </c>
    </row>
    <row r="1025" customFormat="false" ht="17.15" hidden="false" customHeight="false" outlineLevel="0" collapsed="false">
      <c r="A1025" s="0" t="s">
        <v>537</v>
      </c>
      <c r="B1025" s="0" t="s">
        <v>403</v>
      </c>
      <c r="C1025" s="16" t="n">
        <f aca="false">C1023/C1024</f>
        <v>66.1606281867469</v>
      </c>
      <c r="D1025" s="16" t="n">
        <f aca="false">D1023/D1024</f>
        <v>73.2460175726595</v>
      </c>
      <c r="E1025" s="16" t="n">
        <f aca="false">E1023/E1024</f>
        <v>110.552206144159</v>
      </c>
      <c r="F1025" s="16" t="n">
        <f aca="false">F1023/F1024</f>
        <v>144.057873916032</v>
      </c>
      <c r="G1025" s="16" t="n">
        <f aca="false">G1023/G1024</f>
        <v>159.537001461901</v>
      </c>
      <c r="H1025" s="26" t="n">
        <f aca="false">H1023/H1024</f>
        <v>174.327221822747</v>
      </c>
      <c r="I1025" s="26" t="n">
        <f aca="false">I1023/I1024</f>
        <v>188.728324019276</v>
      </c>
      <c r="J1025" s="26" t="n">
        <f aca="false">J1023/J1024</f>
        <v>202.414621492343</v>
      </c>
    </row>
    <row r="1026" customFormat="false" ht="17.15" hidden="false" customHeight="false" outlineLevel="0" collapsed="false">
      <c r="A1026" s="0" t="s">
        <v>649</v>
      </c>
      <c r="B1026" s="0" t="s">
        <v>46</v>
      </c>
      <c r="D1026" s="19" t="n">
        <f aca="false">D1025/C1025-1</f>
        <v>0.107093744120947</v>
      </c>
      <c r="E1026" s="19" t="n">
        <f aca="false">E1025/D1025-1</f>
        <v>0.509327193584177</v>
      </c>
      <c r="F1026" s="19" t="n">
        <f aca="false">F1025/E1025-1</f>
        <v>0.303075523686803</v>
      </c>
      <c r="G1026" s="19" t="n">
        <f aca="false">G1025/F1025-1</f>
        <v>0.107450756595866</v>
      </c>
      <c r="H1026" s="24" t="n">
        <f aca="false">H1025/G1025-1</f>
        <v>0.092707147716935</v>
      </c>
      <c r="I1026" s="24" t="n">
        <f aca="false">I1025/H1025-1</f>
        <v>0.0826096007608694</v>
      </c>
      <c r="J1026" s="24" t="n">
        <f aca="false">J1025/I1025-1</f>
        <v>0.0725185132872226</v>
      </c>
    </row>
    <row r="1027" customFormat="false" ht="17.15" hidden="false" customHeight="false" outlineLevel="0" collapsed="false">
      <c r="A1027" s="4" t="s">
        <v>650</v>
      </c>
      <c r="B1027" s="0" t="s">
        <v>46</v>
      </c>
      <c r="C1027" s="17" t="n">
        <f aca="false">C1023/C1007</f>
        <v>0.176721490823302</v>
      </c>
      <c r="D1027" s="17" t="n">
        <f aca="false">D1023/D1007</f>
        <v>0.172929787405541</v>
      </c>
      <c r="E1027" s="17" t="n">
        <f aca="false">E1023/E1007</f>
        <v>0.177870167625731</v>
      </c>
      <c r="F1027" s="17" t="n">
        <f aca="false">F1023/F1007</f>
        <v>0.183314820174999</v>
      </c>
      <c r="G1027" s="17" t="n">
        <f aca="false">G1023/G1007</f>
        <v>0.186339894188369</v>
      </c>
      <c r="H1027" s="25" t="n">
        <f aca="false">$G1027+(fade_mA-$G1027)*1/3</f>
        <v>0.188593789739449</v>
      </c>
      <c r="I1027" s="25" t="n">
        <f aca="false">$G1027+(fade_mA-$G1027)*2/3</f>
        <v>0.19084768529053</v>
      </c>
      <c r="J1027" s="25" t="n">
        <f aca="false">$G1027+(fade_mA-$G1027)*3/3</f>
        <v>0.19310158084161</v>
      </c>
    </row>
    <row r="1030" customFormat="false" ht="17.15" hidden="false" customHeight="false" outlineLevel="0" collapsed="false">
      <c r="A1030" s="1" t="s">
        <v>953</v>
      </c>
    </row>
    <row r="1031" customFormat="false" ht="17.15" hidden="false" customHeight="false" outlineLevel="0" collapsed="false">
      <c r="A1031" s="5" t="s">
        <v>22</v>
      </c>
      <c r="B1031" s="5" t="s">
        <v>23</v>
      </c>
      <c r="C1031" s="14" t="s">
        <v>494</v>
      </c>
      <c r="D1031" s="14" t="s">
        <v>587</v>
      </c>
      <c r="E1031" s="14" t="s">
        <v>588</v>
      </c>
      <c r="F1031" s="14" t="s">
        <v>589</v>
      </c>
      <c r="G1031" s="14" t="s">
        <v>590</v>
      </c>
      <c r="H1031" s="14" t="s">
        <v>591</v>
      </c>
      <c r="I1031" s="14" t="s">
        <v>592</v>
      </c>
      <c r="J1031" s="14" t="s">
        <v>593</v>
      </c>
      <c r="K1031" s="5" t="s">
        <v>557</v>
      </c>
    </row>
    <row r="1032" customFormat="false" ht="17.15" hidden="false" customHeight="false" outlineLevel="0" collapsed="false">
      <c r="A1032" s="6" t="s">
        <v>609</v>
      </c>
    </row>
    <row r="1033" customFormat="false" ht="17.15" hidden="false" customHeight="false" outlineLevel="0" collapsed="false">
      <c r="A1033" s="0" t="s">
        <v>610</v>
      </c>
      <c r="B1033" s="4" t="s">
        <v>33</v>
      </c>
      <c r="D1033" s="20" t="n">
        <f aca="false">u_tpu_26</f>
        <v>3.85</v>
      </c>
      <c r="E1033" s="20" t="n">
        <f aca="false">u_tpu_27</f>
        <v>5.5</v>
      </c>
      <c r="F1033" s="20" t="n">
        <f aca="false">u_tpu_28*um28_A</f>
        <v>7</v>
      </c>
      <c r="G1033" s="20" t="n">
        <f aca="false">u_tpu_28*(1+g29_tpu)*um29_A</f>
        <v>8.05</v>
      </c>
    </row>
    <row r="1034" customFormat="false" ht="17.15" hidden="false" customHeight="false" outlineLevel="0" collapsed="false">
      <c r="A1034" s="4" t="s">
        <v>611</v>
      </c>
      <c r="B1034" s="4" t="s">
        <v>33</v>
      </c>
      <c r="D1034" s="20" t="n">
        <f aca="false">u_oth_26</f>
        <v>1</v>
      </c>
      <c r="E1034" s="20" t="n">
        <f aca="false">u_oth_27</f>
        <v>4.5</v>
      </c>
      <c r="F1034" s="20" t="n">
        <f aca="false">u_oth_28*um28_A</f>
        <v>5</v>
      </c>
      <c r="G1034" s="20" t="n">
        <f aca="false">u_oth_28*(1+g29_oth)*um29_A</f>
        <v>5.75</v>
      </c>
    </row>
    <row r="1035" customFormat="false" ht="17.15" hidden="false" customHeight="false" outlineLevel="0" collapsed="false">
      <c r="A1035" s="4" t="s">
        <v>561</v>
      </c>
      <c r="B1035" s="0" t="s">
        <v>46</v>
      </c>
      <c r="D1035" s="19" t="n">
        <f aca="false">mtk_tpu_26</f>
        <v>0.05</v>
      </c>
      <c r="E1035" s="19" t="n">
        <f aca="false">MIN(1,MAX(0,mtk_tpu_27+0))</f>
        <v>0.15</v>
      </c>
      <c r="F1035" s="19" t="n">
        <f aca="false">MIN(1,MAX(0,mtk_tpu_28+0))</f>
        <v>0.18</v>
      </c>
      <c r="G1035" s="19" t="n">
        <f aca="false">MIN(1,MAX(0,mtk_tpu_28+0))</f>
        <v>0.18</v>
      </c>
    </row>
    <row r="1036" customFormat="false" ht="17.15" hidden="false" customHeight="false" outlineLevel="0" collapsed="false">
      <c r="A1036" s="4" t="s">
        <v>612</v>
      </c>
      <c r="B1036" s="0" t="s">
        <v>46</v>
      </c>
      <c r="D1036" s="19" t="n">
        <f aca="false">mtk_oth_26</f>
        <v>0</v>
      </c>
      <c r="E1036" s="19" t="n">
        <f aca="false">MIN(1,MAX(0,mtk_oth_27+0))</f>
        <v>0</v>
      </c>
      <c r="F1036" s="19" t="n">
        <f aca="false">MIN(1,MAX(0,mtk_oth_28+0))</f>
        <v>0</v>
      </c>
      <c r="G1036" s="19" t="n">
        <f aca="false">MIN(1,MAX(0,mtk_oth_28+0))</f>
        <v>0</v>
      </c>
    </row>
    <row r="1037" customFormat="false" ht="17.15" hidden="false" customHeight="false" outlineLevel="0" collapsed="false">
      <c r="A1037" s="4" t="s">
        <v>563</v>
      </c>
      <c r="B1037" s="4" t="s">
        <v>33</v>
      </c>
      <c r="D1037" s="20" t="n">
        <f aca="false">D1033*D1035</f>
        <v>0.1925</v>
      </c>
      <c r="E1037" s="20" t="n">
        <f aca="false">E1033*E1035*1</f>
        <v>0.825</v>
      </c>
      <c r="F1037" s="20" t="n">
        <f aca="false">F1033*F1035*1</f>
        <v>1.26</v>
      </c>
      <c r="G1037" s="20" t="n">
        <f aca="false">G1033*G1035*1</f>
        <v>1.449</v>
      </c>
    </row>
    <row r="1038" customFormat="false" ht="17.15" hidden="false" customHeight="false" outlineLevel="0" collapsed="false">
      <c r="A1038" s="4" t="s">
        <v>613</v>
      </c>
      <c r="B1038" s="4" t="s">
        <v>33</v>
      </c>
      <c r="D1038" s="20" t="n">
        <f aca="false">D1034*D1036</f>
        <v>0</v>
      </c>
      <c r="E1038" s="20" t="n">
        <f aca="false">E1034*E1036*1</f>
        <v>0</v>
      </c>
      <c r="F1038" s="20" t="n">
        <f aca="false">F1034*F1036*1</f>
        <v>0</v>
      </c>
      <c r="G1038" s="20" t="n">
        <f aca="false">G1034*G1036*1</f>
        <v>0</v>
      </c>
    </row>
    <row r="1039" customFormat="false" ht="17.15" hidden="false" customHeight="false" outlineLevel="0" collapsed="false">
      <c r="A1039" s="4" t="s">
        <v>614</v>
      </c>
      <c r="B1039" s="0" t="s">
        <v>102</v>
      </c>
      <c r="D1039" s="27" t="n">
        <f aca="false">gb_tpu_26</f>
        <v>192</v>
      </c>
      <c r="E1039" s="27" t="n">
        <f aca="false">gb_tpu_27</f>
        <v>250</v>
      </c>
      <c r="F1039" s="27" t="n">
        <f aca="false">gb_tpu_28</f>
        <v>288</v>
      </c>
      <c r="G1039" s="27" t="n">
        <f aca="false">gb_tpu_28</f>
        <v>288</v>
      </c>
    </row>
    <row r="1040" customFormat="false" ht="17.15" hidden="false" customHeight="false" outlineLevel="0" collapsed="false">
      <c r="A1040" s="4" t="s">
        <v>615</v>
      </c>
      <c r="B1040" s="0" t="s">
        <v>102</v>
      </c>
      <c r="D1040" s="27" t="n">
        <f aca="false">gb_oth_26</f>
        <v>150</v>
      </c>
      <c r="E1040" s="27" t="n">
        <f aca="false">gb_oth_27</f>
        <v>200</v>
      </c>
      <c r="F1040" s="27" t="n">
        <f aca="false">gb_oth_28</f>
        <v>250</v>
      </c>
      <c r="G1040" s="27" t="n">
        <f aca="false">gb_oth_28</f>
        <v>250</v>
      </c>
    </row>
    <row r="1041" customFormat="false" ht="17.15" hidden="false" customHeight="false" outlineLevel="0" collapsed="false">
      <c r="A1041" s="0" t="s">
        <v>616</v>
      </c>
      <c r="B1041" s="0" t="s">
        <v>194</v>
      </c>
      <c r="D1041" s="16" t="n">
        <f aca="false">hbm_A_26</f>
        <v>14.6</v>
      </c>
      <c r="E1041" s="16" t="n">
        <f aca="false">hbm_A_27</f>
        <v>26.28</v>
      </c>
      <c r="F1041" s="16" t="n">
        <f aca="false">hbm_A_28</f>
        <v>28.908</v>
      </c>
      <c r="G1041" s="16" t="n">
        <f aca="false">hbm_A_29</f>
        <v>27.4626</v>
      </c>
    </row>
    <row r="1042" customFormat="false" ht="17.15" hidden="false" customHeight="false" outlineLevel="0" collapsed="false">
      <c r="A1042" s="4" t="s">
        <v>617</v>
      </c>
      <c r="B1042" s="0" t="s">
        <v>86</v>
      </c>
      <c r="D1042" s="16" t="n">
        <f aca="false">core_tpu</f>
        <v>8</v>
      </c>
      <c r="E1042" s="16" t="n">
        <f aca="false">core_tpu</f>
        <v>8</v>
      </c>
      <c r="F1042" s="16" t="n">
        <f aca="false">core_tpu*1</f>
        <v>8</v>
      </c>
      <c r="G1042" s="16" t="n">
        <f aca="false">core_tpu*1</f>
        <v>8</v>
      </c>
    </row>
    <row r="1043" customFormat="false" ht="17.15" hidden="false" customHeight="false" outlineLevel="0" collapsed="false">
      <c r="A1043" s="4" t="s">
        <v>618</v>
      </c>
      <c r="B1043" s="0" t="s">
        <v>86</v>
      </c>
      <c r="D1043" s="16" t="n">
        <f aca="false">core_oth</f>
        <v>6</v>
      </c>
      <c r="E1043" s="16" t="n">
        <f aca="false">core_oth</f>
        <v>6</v>
      </c>
      <c r="F1043" s="16" t="n">
        <f aca="false">core_oth*1</f>
        <v>6</v>
      </c>
      <c r="G1043" s="16" t="n">
        <f aca="false">core_oth*1</f>
        <v>6</v>
      </c>
    </row>
    <row r="1044" customFormat="false" ht="17.15" hidden="false" customHeight="false" outlineLevel="0" collapsed="false">
      <c r="A1044" s="4" t="s">
        <v>619</v>
      </c>
      <c r="B1044" s="0" t="s">
        <v>86</v>
      </c>
      <c r="D1044" s="16" t="n">
        <f aca="false">D1039*D1041/1000</f>
        <v>2.8032</v>
      </c>
      <c r="E1044" s="16" t="n">
        <f aca="false">E1039*E1041/1000</f>
        <v>6.57</v>
      </c>
      <c r="F1044" s="16" t="n">
        <f aca="false">F1039*F1041/1000</f>
        <v>8.325504</v>
      </c>
      <c r="G1044" s="16" t="n">
        <f aca="false">G1039*G1041/1000</f>
        <v>7.9092288</v>
      </c>
    </row>
    <row r="1045" customFormat="false" ht="17.15" hidden="false" customHeight="false" outlineLevel="0" collapsed="false">
      <c r="A1045" s="4" t="s">
        <v>620</v>
      </c>
      <c r="B1045" s="0" t="s">
        <v>86</v>
      </c>
      <c r="D1045" s="16" t="n">
        <f aca="false">D1040*D1041/1000</f>
        <v>2.19</v>
      </c>
      <c r="E1045" s="16" t="n">
        <f aca="false">E1040*E1041/1000</f>
        <v>5.256</v>
      </c>
      <c r="F1045" s="16" t="n">
        <f aca="false">F1040*F1041/1000</f>
        <v>7.227</v>
      </c>
      <c r="G1045" s="16" t="n">
        <f aca="false">G1040*G1041/1000</f>
        <v>6.86565</v>
      </c>
    </row>
    <row r="1046" customFormat="false" ht="17.15" hidden="false" customHeight="false" outlineLevel="0" collapsed="false">
      <c r="A1046" s="4" t="s">
        <v>621</v>
      </c>
      <c r="B1046" s="0" t="s">
        <v>86</v>
      </c>
      <c r="D1046" s="16" t="n">
        <f aca="false">D1042+f_hbm*D1044</f>
        <v>9.68192</v>
      </c>
      <c r="E1046" s="16" t="n">
        <f aca="false">E1042+f_hbm*E1044</f>
        <v>11.942</v>
      </c>
      <c r="F1046" s="16" t="n">
        <f aca="false">F1042+f_hbm*F1044</f>
        <v>12.9953024</v>
      </c>
      <c r="G1046" s="16" t="n">
        <f aca="false">G1042+f_hbm*G1044</f>
        <v>12.74553728</v>
      </c>
      <c r="K1046" s="4" t="s">
        <v>622</v>
      </c>
    </row>
    <row r="1047" customFormat="false" ht="17.15" hidden="false" customHeight="false" outlineLevel="0" collapsed="false">
      <c r="A1047" s="4" t="s">
        <v>623</v>
      </c>
      <c r="B1047" s="0" t="s">
        <v>86</v>
      </c>
      <c r="D1047" s="16" t="n">
        <f aca="false">D1043+f_hbm*D1045</f>
        <v>7.314</v>
      </c>
      <c r="E1047" s="16" t="n">
        <f aca="false">E1043+f_hbm*E1045</f>
        <v>9.1536</v>
      </c>
      <c r="F1047" s="16" t="n">
        <f aca="false">F1043+f_hbm*F1045</f>
        <v>10.3362</v>
      </c>
      <c r="G1047" s="16" t="n">
        <f aca="false">G1043+f_hbm*G1045</f>
        <v>10.11939</v>
      </c>
    </row>
    <row r="1048" customFormat="false" ht="17.15" hidden="false" customHeight="false" outlineLevel="0" collapsed="false">
      <c r="A1048" s="0" t="s">
        <v>624</v>
      </c>
      <c r="B1048" s="0" t="s">
        <v>279</v>
      </c>
      <c r="D1048" s="16" t="n">
        <f aca="false">D1037*D1046+D1038*D1047</f>
        <v>1.8637696</v>
      </c>
      <c r="E1048" s="16" t="n">
        <f aca="false">E1037*E1046+E1038*E1047</f>
        <v>9.85215</v>
      </c>
      <c r="F1048" s="16" t="n">
        <f aca="false">F1037*F1046+F1038*F1047</f>
        <v>16.374081024</v>
      </c>
      <c r="G1048" s="16" t="n">
        <f aca="false">G1037*G1046+G1038*G1047</f>
        <v>18.46828351872</v>
      </c>
    </row>
    <row r="1049" customFormat="false" ht="17.15" hidden="false" customHeight="false" outlineLevel="0" collapsed="false">
      <c r="A1049" s="0" t="s">
        <v>625</v>
      </c>
      <c r="B1049" s="0" t="s">
        <v>65</v>
      </c>
      <c r="D1049" s="20" t="n">
        <f aca="false">dc26/D1048</f>
        <v>1.07309401333727</v>
      </c>
      <c r="K1049" s="8" t="s">
        <v>626</v>
      </c>
    </row>
    <row r="1050" customFormat="false" ht="17.15" hidden="false" customHeight="false" outlineLevel="0" collapsed="false">
      <c r="A1050" s="0" t="s">
        <v>627</v>
      </c>
      <c r="B1050" s="0" t="s">
        <v>279</v>
      </c>
      <c r="D1050" s="16" t="n">
        <f aca="false">D1048*$D$1049</f>
        <v>2</v>
      </c>
      <c r="E1050" s="16" t="n">
        <f aca="false">E1048*$D$1049</f>
        <v>10.5722831835008</v>
      </c>
      <c r="F1050" s="16" t="n">
        <f aca="false">F1048*$D$1049</f>
        <v>17.5709283207538</v>
      </c>
      <c r="G1050" s="16" t="n">
        <f aca="false">G1048*$D$1049</f>
        <v>19.8182044805538</v>
      </c>
    </row>
    <row r="1051" customFormat="false" ht="15" hidden="false" customHeight="false" outlineLevel="0" collapsed="false">
      <c r="A1051" s="4" t="s">
        <v>628</v>
      </c>
      <c r="B1051" s="0" t="s">
        <v>288</v>
      </c>
      <c r="D1051" s="16" t="n">
        <f aca="false">fx26</f>
        <v>32</v>
      </c>
      <c r="E1051" s="16" t="n">
        <f aca="false">fx</f>
        <v>32</v>
      </c>
      <c r="F1051" s="16" t="n">
        <f aca="false">fx</f>
        <v>32</v>
      </c>
      <c r="G1051" s="16" t="n">
        <f aca="false">fx</f>
        <v>32</v>
      </c>
    </row>
    <row r="1052" customFormat="false" ht="17.15" hidden="false" customHeight="false" outlineLevel="0" collapsed="false">
      <c r="A1052" s="0" t="s">
        <v>629</v>
      </c>
      <c r="B1052" s="0" t="s">
        <v>301</v>
      </c>
      <c r="C1052" s="16" t="n">
        <f aca="false">a25_asic</f>
        <v>0</v>
      </c>
      <c r="D1052" s="16" t="n">
        <f aca="false">D1050*D1051</f>
        <v>64</v>
      </c>
      <c r="E1052" s="16" t="n">
        <f aca="false">E1050*E1051</f>
        <v>338.313061872025</v>
      </c>
      <c r="F1052" s="16" t="n">
        <f aca="false">F1050*F1051</f>
        <v>562.269706264122</v>
      </c>
      <c r="G1052" s="16" t="n">
        <f aca="false">G1050*G1051</f>
        <v>634.182543377722</v>
      </c>
    </row>
    <row r="1053" customFormat="false" ht="17.15" hidden="false" customHeight="false" outlineLevel="0" collapsed="false">
      <c r="A1053" s="4" t="s">
        <v>630</v>
      </c>
      <c r="B1053" s="0" t="s">
        <v>301</v>
      </c>
      <c r="D1053" s="16" t="n">
        <f aca="false">$D$1049*f_hbm*(D1037*D1044+D1038*D1045)*D1051</f>
        <v>11.1179270227393</v>
      </c>
      <c r="E1053" s="16" t="n">
        <f aca="false">$D$1049*f_hbm*(E1037*E1044+E1038*E1045)*E1051</f>
        <v>111.675606255194</v>
      </c>
      <c r="F1053" s="16" t="n">
        <f aca="false">$D$1049*f_hbm*(F1037*F1044+F1038*F1045)*F1051</f>
        <v>216.132501322052</v>
      </c>
      <c r="G1053" s="16" t="n">
        <f aca="false">$D$1049*f_hbm*(G1037*G1044+G1038*G1045)*G1051</f>
        <v>236.124757694342</v>
      </c>
    </row>
    <row r="1054" customFormat="false" ht="15" hidden="false" customHeight="false" outlineLevel="0" collapsed="false">
      <c r="A1054" s="4" t="s">
        <v>631</v>
      </c>
      <c r="B1054" s="0" t="s">
        <v>301</v>
      </c>
      <c r="D1054" s="16" t="n">
        <f aca="false">D1052-D1053</f>
        <v>52.8820729772607</v>
      </c>
      <c r="E1054" s="16" t="n">
        <f aca="false">E1052-E1053</f>
        <v>226.637455616832</v>
      </c>
      <c r="F1054" s="16" t="n">
        <f aca="false">F1052-F1053</f>
        <v>346.13720494207</v>
      </c>
      <c r="G1054" s="16" t="n">
        <f aca="false">G1052-G1053</f>
        <v>398.057785683381</v>
      </c>
    </row>
    <row r="1055" customFormat="false" ht="17.15" hidden="false" customHeight="false" outlineLevel="0" collapsed="false">
      <c r="A1055" s="4" t="s">
        <v>632</v>
      </c>
      <c r="B1055" s="4" t="s">
        <v>33</v>
      </c>
      <c r="D1055" s="20" t="n">
        <f aca="false">D1037+D1038</f>
        <v>0.1925</v>
      </c>
      <c r="E1055" s="20" t="n">
        <f aca="false">E1037+E1038</f>
        <v>0.825</v>
      </c>
      <c r="F1055" s="20" t="n">
        <f aca="false">F1037+F1038</f>
        <v>1.26</v>
      </c>
      <c r="G1055" s="20" t="n">
        <f aca="false">G1037+G1038</f>
        <v>1.449</v>
      </c>
    </row>
    <row r="1056" customFormat="false" ht="17.15" hidden="false" customHeight="false" outlineLevel="0" collapsed="false">
      <c r="A1056" s="4" t="s">
        <v>633</v>
      </c>
      <c r="B1056" s="0" t="s">
        <v>86</v>
      </c>
      <c r="D1056" s="16" t="n">
        <f aca="false">IF(D1055&gt;0,D1050/D1055,0)</f>
        <v>10.3896103896104</v>
      </c>
      <c r="E1056" s="16" t="n">
        <f aca="false">IF(E1055&gt;0,E1050/E1055,0)</f>
        <v>12.8148887072737</v>
      </c>
      <c r="F1056" s="16" t="n">
        <f aca="false">IF(F1055&gt;0,F1050/F1055,0)</f>
        <v>13.9451812069475</v>
      </c>
      <c r="G1056" s="16" t="n">
        <f aca="false">IF(G1055&gt;0,G1050/G1055,0)</f>
        <v>13.677159751935</v>
      </c>
    </row>
    <row r="1057" customFormat="false" ht="17.15" hidden="false" customHeight="false" outlineLevel="0" collapsed="false">
      <c r="A1057" s="6" t="s">
        <v>634</v>
      </c>
    </row>
    <row r="1058" customFormat="false" ht="15" hidden="false" customHeight="false" outlineLevel="0" collapsed="false">
      <c r="A1058" s="4" t="s">
        <v>635</v>
      </c>
      <c r="B1058" s="0" t="s">
        <v>301</v>
      </c>
      <c r="C1058" s="16" t="n">
        <f aca="false">a25_mob</f>
        <v>315.86198</v>
      </c>
      <c r="D1058" s="16" t="n">
        <f aca="false">a26_mob</f>
        <v>262.655761173888</v>
      </c>
      <c r="E1058" s="16" t="n">
        <f aca="false">D1058*(1+g_mob27_A)</f>
        <v>275.788549232582</v>
      </c>
      <c r="F1058" s="16" t="n">
        <f aca="false">E1058*(1+g_mobL_A)</f>
        <v>286.820091201885</v>
      </c>
      <c r="G1058" s="16" t="n">
        <f aca="false">F1058*(1+g_mobL_A)</f>
        <v>298.292894849961</v>
      </c>
    </row>
    <row r="1059" customFormat="false" ht="17.15" hidden="false" customHeight="false" outlineLevel="0" collapsed="false">
      <c r="A1059" s="4" t="s">
        <v>636</v>
      </c>
      <c r="B1059" s="0" t="s">
        <v>301</v>
      </c>
      <c r="C1059" s="16" t="n">
        <f aca="false">a25_sepx</f>
        <v>247.32589</v>
      </c>
      <c r="D1059" s="16" t="n">
        <f aca="false">a26_sepx</f>
        <v>311.894023346019</v>
      </c>
      <c r="E1059" s="16" t="n">
        <f aca="false">D1059*(1+g_sep27_A)</f>
        <v>336.8455452137</v>
      </c>
      <c r="F1059" s="16" t="n">
        <f aca="false">E1059*(1+g_sepL_A)</f>
        <v>360.424733378659</v>
      </c>
      <c r="G1059" s="16" t="n">
        <f aca="false">F1059*(1+g_sepL_A)</f>
        <v>385.654464715166</v>
      </c>
    </row>
    <row r="1060" customFormat="false" ht="17.15" hidden="false" customHeight="false" outlineLevel="0" collapsed="false">
      <c r="A1060" s="4" t="s">
        <v>637</v>
      </c>
      <c r="B1060" s="0" t="s">
        <v>301</v>
      </c>
      <c r="C1060" s="16" t="n">
        <f aca="false">a25_pic</f>
        <v>32.77813</v>
      </c>
      <c r="D1060" s="16" t="n">
        <f aca="false">a26_pic</f>
        <v>35.9721535362998</v>
      </c>
      <c r="E1060" s="16" t="n">
        <f aca="false">D1060*(1+g_pic27_A)</f>
        <v>38.8499258192038</v>
      </c>
      <c r="F1060" s="16" t="n">
        <f aca="false">E1060*(1+g_picL_A)</f>
        <v>41.9579198847401</v>
      </c>
      <c r="G1060" s="16" t="n">
        <f aca="false">F1060*(1+g_picL_A)</f>
        <v>45.3145534755193</v>
      </c>
    </row>
    <row r="1061" customFormat="false" ht="17.15" hidden="false" customHeight="false" outlineLevel="0" collapsed="false">
      <c r="A1061" s="4" t="s">
        <v>638</v>
      </c>
      <c r="B1061" s="0" t="s">
        <v>301</v>
      </c>
      <c r="C1061" s="16" t="n">
        <f aca="false">C1058+C1059+C1060</f>
        <v>595.966</v>
      </c>
      <c r="D1061" s="16" t="n">
        <f aca="false">D1058+D1059+D1060</f>
        <v>610.521938056206</v>
      </c>
      <c r="E1061" s="16" t="n">
        <f aca="false">E1058+E1059+E1060</f>
        <v>651.484020265486</v>
      </c>
      <c r="F1061" s="16" t="n">
        <f aca="false">F1058+F1059+F1060</f>
        <v>689.202744465285</v>
      </c>
      <c r="G1061" s="16" t="n">
        <f aca="false">G1058+G1059+G1060</f>
        <v>729.261913040646</v>
      </c>
    </row>
    <row r="1062" customFormat="false" ht="17.15" hidden="false" customHeight="false" outlineLevel="0" collapsed="false">
      <c r="A1062" s="4" t="s">
        <v>501</v>
      </c>
      <c r="B1062" s="0" t="s">
        <v>301</v>
      </c>
      <c r="C1062" s="16" t="n">
        <f aca="false">C1061+C1052</f>
        <v>595.966</v>
      </c>
      <c r="D1062" s="16" t="n">
        <f aca="false">D1061+D1052</f>
        <v>674.521938056206</v>
      </c>
      <c r="E1062" s="16" t="n">
        <f aca="false">E1061+E1052</f>
        <v>989.797082137512</v>
      </c>
      <c r="F1062" s="16" t="n">
        <f aca="false">F1061+F1052</f>
        <v>1251.47245072941</v>
      </c>
      <c r="G1062" s="16" t="n">
        <f aca="false">G1061+G1052</f>
        <v>1363.44445641837</v>
      </c>
      <c r="H1062" s="26" t="n">
        <f aca="false">G1062*(1+H1063)</f>
        <v>1472.04027119696</v>
      </c>
      <c r="I1062" s="26" t="n">
        <f aca="false">H1062*(1+I1063)</f>
        <v>1574.8241140449</v>
      </c>
      <c r="J1062" s="26" t="n">
        <f aca="false">I1062*(1+J1063)</f>
        <v>1669.3135608876</v>
      </c>
      <c r="K1062" s="8" t="s">
        <v>639</v>
      </c>
    </row>
    <row r="1063" customFormat="false" ht="15" hidden="false" customHeight="false" outlineLevel="0" collapsed="false">
      <c r="A1063" s="4" t="s">
        <v>640</v>
      </c>
      <c r="B1063" s="0" t="s">
        <v>46</v>
      </c>
      <c r="D1063" s="19" t="n">
        <f aca="false">D1062/C1062-1</f>
        <v>0.131812784716252</v>
      </c>
      <c r="E1063" s="19" t="n">
        <f aca="false">E1062/D1062-1</f>
        <v>0.467405322634643</v>
      </c>
      <c r="F1063" s="19" t="n">
        <f aca="false">F1062/E1062-1</f>
        <v>0.264372741963227</v>
      </c>
      <c r="G1063" s="19" t="n">
        <f aca="false">G1062/F1062-1</f>
        <v>0.0894722098146863</v>
      </c>
      <c r="H1063" s="24" t="n">
        <f aca="false">$G1063+(fade_gA-$G1063)*1/3</f>
        <v>0.0796481398764575</v>
      </c>
      <c r="I1063" s="24" t="n">
        <f aca="false">$G1063+(fade_gA-$G1063)*2/3</f>
        <v>0.0698240699382288</v>
      </c>
      <c r="J1063" s="24" t="n">
        <f aca="false">$G1063+(fade_gA-$G1063)*3/3</f>
        <v>0.06</v>
      </c>
    </row>
    <row r="1064" customFormat="false" ht="17.15" hidden="false" customHeight="false" outlineLevel="0" collapsed="false">
      <c r="A1064" s="0" t="s">
        <v>641</v>
      </c>
      <c r="B1064" s="0" t="s">
        <v>46</v>
      </c>
      <c r="C1064" s="19" t="n">
        <f aca="false">C1052/C1062</f>
        <v>0</v>
      </c>
      <c r="D1064" s="19" t="n">
        <f aca="false">D1052/D1062</f>
        <v>0.0948820140445411</v>
      </c>
      <c r="E1064" s="19" t="n">
        <f aca="false">E1052/E1062</f>
        <v>0.341800423518549</v>
      </c>
      <c r="F1064" s="19" t="n">
        <f aca="false">F1052/F1062</f>
        <v>0.449286523196263</v>
      </c>
      <c r="G1064" s="19" t="n">
        <f aca="false">G1052/G1062</f>
        <v>0.465132657507484</v>
      </c>
    </row>
    <row r="1065" customFormat="false" ht="17.15" hidden="false" customHeight="false" outlineLevel="0" collapsed="false">
      <c r="A1065" s="4" t="s">
        <v>642</v>
      </c>
      <c r="B1065" s="0" t="s">
        <v>46</v>
      </c>
      <c r="C1065" s="19" t="n">
        <f aca="false">C1058/C1062</f>
        <v>0.53</v>
      </c>
      <c r="D1065" s="19" t="n">
        <f aca="false">D1058/D1062</f>
        <v>0.389395431571569</v>
      </c>
      <c r="E1065" s="19" t="n">
        <f aca="false">E1058/E1062</f>
        <v>0.278631402546676</v>
      </c>
      <c r="F1065" s="19" t="n">
        <f aca="false">F1058/F1062</f>
        <v>0.229186100768511</v>
      </c>
      <c r="G1065" s="19" t="n">
        <f aca="false">G1058/G1062</f>
        <v>0.218778912075044</v>
      </c>
    </row>
    <row r="1066" customFormat="false" ht="17.15" hidden="false" customHeight="false" outlineLevel="0" collapsed="false">
      <c r="A1066" s="6" t="s">
        <v>643</v>
      </c>
    </row>
    <row r="1067" customFormat="false" ht="17.15" hidden="false" customHeight="false" outlineLevel="0" collapsed="false">
      <c r="A1067" s="0" t="s">
        <v>644</v>
      </c>
      <c r="B1067" s="0" t="s">
        <v>301</v>
      </c>
      <c r="D1067" s="16" t="n">
        <f aca="false">m_core*D1054+m_hbm*D1053</f>
        <v>24.9087255420412</v>
      </c>
      <c r="E1067" s="16" t="n">
        <f aca="false">m_core*E1054+m_hbm*E1053</f>
        <v>113.154415653094</v>
      </c>
      <c r="F1067" s="16" t="n">
        <f aca="false">m_core*F1054+m_hbm*F1053</f>
        <v>177.374992356137</v>
      </c>
      <c r="G1067" s="16" t="n">
        <f aca="false">m_core*G1054+m_hbm*G1053</f>
        <v>202.738479326955</v>
      </c>
    </row>
    <row r="1068" customFormat="false" ht="17.15" hidden="false" customHeight="false" outlineLevel="0" collapsed="false">
      <c r="A1068" s="4" t="s">
        <v>645</v>
      </c>
      <c r="B1068" s="0" t="s">
        <v>46</v>
      </c>
      <c r="C1068" s="17" t="n">
        <f aca="false">a25_gp/C1061</f>
        <v>0.474993539899927</v>
      </c>
      <c r="D1068" s="17" t="n">
        <f aca="false">(a26_gp-D1067)/D1061</f>
        <v>0.462340704042911</v>
      </c>
      <c r="E1068" s="17" t="n">
        <f aca="false">$D1068+0</f>
        <v>0.462340704042911</v>
      </c>
      <c r="F1068" s="17" t="n">
        <f aca="false">$D1068+0</f>
        <v>0.462340704042911</v>
      </c>
      <c r="G1068" s="17" t="n">
        <f aca="false">$D1068+0</f>
        <v>0.462340704042911</v>
      </c>
      <c r="K1068" s="8" t="s">
        <v>646</v>
      </c>
    </row>
    <row r="1069" customFormat="false" ht="15" hidden="false" customHeight="false" outlineLevel="0" collapsed="false">
      <c r="A1069" s="4" t="s">
        <v>517</v>
      </c>
      <c r="B1069" s="0" t="s">
        <v>301</v>
      </c>
      <c r="C1069" s="16" t="n">
        <f aca="false">a25_gp</f>
        <v>283.08</v>
      </c>
      <c r="D1069" s="16" t="n">
        <f aca="false">a26_gp</f>
        <v>307.17786821659</v>
      </c>
      <c r="E1069" s="16" t="n">
        <f aca="false">E1068*E1061+E1067</f>
        <v>414.361996255344</v>
      </c>
      <c r="F1069" s="16" t="n">
        <f aca="false">F1068*F1061+F1067</f>
        <v>496.021474460523</v>
      </c>
      <c r="G1069" s="16" t="n">
        <f aca="false">G1068*G1061+G1067</f>
        <v>539.905945633848</v>
      </c>
    </row>
    <row r="1070" customFormat="false" ht="15" hidden="false" customHeight="false" outlineLevel="0" collapsed="false">
      <c r="A1070" s="4" t="s">
        <v>520</v>
      </c>
      <c r="B1070" s="0" t="s">
        <v>46</v>
      </c>
      <c r="C1070" s="17" t="n">
        <f aca="false">C1069/C1062</f>
        <v>0.474993539899927</v>
      </c>
      <c r="D1070" s="17" t="n">
        <f aca="false">D1069/D1062</f>
        <v>0.455400856348417</v>
      </c>
      <c r="E1070" s="17" t="n">
        <f aca="false">E1069/E1062</f>
        <v>0.418633277197091</v>
      </c>
      <c r="F1070" s="17" t="n">
        <f aca="false">F1069/F1062</f>
        <v>0.396350294544177</v>
      </c>
      <c r="G1070" s="17" t="n">
        <f aca="false">G1069/G1062</f>
        <v>0.395986754790237</v>
      </c>
    </row>
    <row r="1071" customFormat="false" ht="15" hidden="false" customHeight="false" outlineLevel="0" collapsed="false">
      <c r="A1071" s="4" t="s">
        <v>647</v>
      </c>
      <c r="B1071" s="0" t="s">
        <v>301</v>
      </c>
      <c r="C1071" s="16" t="n">
        <f aca="false">a25_opx</f>
        <v>179.61</v>
      </c>
      <c r="D1071" s="16" t="n">
        <f aca="false">a26_opx</f>
        <v>192.105</v>
      </c>
      <c r="E1071" s="16" t="n">
        <f aca="false">D1071*(1+MAX(g_opx_min,phi*E1063))+0*E1062</f>
        <v>219.042269851418</v>
      </c>
      <c r="F1071" s="16" t="n">
        <f aca="false">E1071*(1+MAX(g_opx_min,phi*F1063))+0*F1062</f>
        <v>236.414911497359</v>
      </c>
      <c r="G1071" s="16" t="n">
        <f aca="false">F1071*(1+MAX(g_opx_min,phi*G1063))+0*G1062</f>
        <v>250.599806187201</v>
      </c>
    </row>
    <row r="1072" customFormat="false" ht="15" hidden="false" customHeight="false" outlineLevel="0" collapsed="false">
      <c r="A1072" s="4" t="s">
        <v>524</v>
      </c>
      <c r="B1072" s="0" t="s">
        <v>301</v>
      </c>
      <c r="C1072" s="16" t="n">
        <f aca="false">C1069-C1071</f>
        <v>103.47</v>
      </c>
      <c r="D1072" s="16" t="n">
        <f aca="false">D1069-D1071</f>
        <v>115.07286821659</v>
      </c>
      <c r="E1072" s="16" t="n">
        <f aca="false">E1069-E1071</f>
        <v>195.319726403926</v>
      </c>
      <c r="F1072" s="16" t="n">
        <f aca="false">F1069-F1071</f>
        <v>259.606562963164</v>
      </c>
      <c r="G1072" s="16" t="n">
        <f aca="false">G1069-G1071</f>
        <v>289.306139446647</v>
      </c>
    </row>
    <row r="1073" customFormat="false" ht="15" hidden="false" customHeight="false" outlineLevel="0" collapsed="false">
      <c r="A1073" s="4" t="s">
        <v>598</v>
      </c>
      <c r="B1073" s="0" t="s">
        <v>46</v>
      </c>
      <c r="C1073" s="17" t="n">
        <f aca="false">C1072/C1062</f>
        <v>0.173617286892205</v>
      </c>
      <c r="D1073" s="17" t="n">
        <f aca="false">D1072/D1062</f>
        <v>0.170599148410502</v>
      </c>
      <c r="E1073" s="17" t="n">
        <f aca="false">E1072/E1062</f>
        <v>0.197333099812867</v>
      </c>
      <c r="F1073" s="17" t="n">
        <f aca="false">F1072/F1062</f>
        <v>0.20744089317496</v>
      </c>
      <c r="G1073" s="17" t="n">
        <f aca="false">G1072/G1062</f>
        <v>0.212187697184692</v>
      </c>
    </row>
    <row r="1074" customFormat="false" ht="15" hidden="false" customHeight="false" outlineLevel="0" collapsed="false">
      <c r="A1074" s="4" t="s">
        <v>526</v>
      </c>
      <c r="B1074" s="0" t="s">
        <v>301</v>
      </c>
      <c r="C1074" s="16" t="n">
        <f aca="false">a25_nonop</f>
        <v>21.418</v>
      </c>
      <c r="D1074" s="16" t="n">
        <f aca="false">a26_nonop</f>
        <v>18.823</v>
      </c>
      <c r="E1074" s="16" t="n">
        <f aca="false">nonop_f_lo</f>
        <v>10</v>
      </c>
      <c r="F1074" s="16" t="n">
        <f aca="false">nonop_f_lo</f>
        <v>10</v>
      </c>
      <c r="G1074" s="16" t="n">
        <f aca="false">nonop_f_lo</f>
        <v>10</v>
      </c>
    </row>
    <row r="1075" customFormat="false" ht="15" hidden="false" customHeight="false" outlineLevel="0" collapsed="false">
      <c r="A1075" s="4" t="s">
        <v>528</v>
      </c>
      <c r="B1075" s="0" t="s">
        <v>301</v>
      </c>
      <c r="C1075" s="16" t="n">
        <f aca="false">C1072+C1074</f>
        <v>124.888</v>
      </c>
      <c r="D1075" s="16" t="n">
        <f aca="false">D1072+D1074</f>
        <v>133.89586821659</v>
      </c>
      <c r="E1075" s="16" t="n">
        <f aca="false">E1072+E1074</f>
        <v>205.319726403926</v>
      </c>
      <c r="F1075" s="16" t="n">
        <f aca="false">F1072+F1074</f>
        <v>269.606562963164</v>
      </c>
      <c r="G1075" s="16" t="n">
        <f aca="false">G1072+G1074</f>
        <v>299.306139446647</v>
      </c>
    </row>
    <row r="1076" customFormat="false" ht="15" hidden="false" customHeight="false" outlineLevel="0" collapsed="false">
      <c r="A1076" s="4" t="s">
        <v>529</v>
      </c>
      <c r="B1076" s="0" t="s">
        <v>301</v>
      </c>
      <c r="C1076" s="16" t="n">
        <f aca="false">a25_tax</f>
        <v>18.77</v>
      </c>
      <c r="D1076" s="16" t="n">
        <f aca="false">a26_tax</f>
        <v>16.2589328681567</v>
      </c>
      <c r="E1076" s="16" t="n">
        <f aca="false">E1075*tax</f>
        <v>28.7447616965496</v>
      </c>
      <c r="F1076" s="16" t="n">
        <f aca="false">F1075*tax</f>
        <v>37.7449188148429</v>
      </c>
      <c r="G1076" s="16" t="n">
        <f aca="false">G1075*tax</f>
        <v>41.9028595225306</v>
      </c>
    </row>
    <row r="1077" customFormat="false" ht="15" hidden="false" customHeight="false" outlineLevel="0" collapsed="false">
      <c r="A1077" s="4" t="s">
        <v>530</v>
      </c>
      <c r="B1077" s="0" t="s">
        <v>301</v>
      </c>
      <c r="C1077" s="16" t="n">
        <f aca="false">a25_nci</f>
        <v>0.798</v>
      </c>
      <c r="D1077" s="16" t="n">
        <f aca="false">a26_nci</f>
        <v>0.992</v>
      </c>
      <c r="E1077" s="16" t="n">
        <f aca="false">nci</f>
        <v>1</v>
      </c>
      <c r="F1077" s="16" t="n">
        <f aca="false">nci</f>
        <v>1</v>
      </c>
      <c r="G1077" s="16" t="n">
        <f aca="false">nci</f>
        <v>1</v>
      </c>
    </row>
    <row r="1078" customFormat="false" ht="15" hidden="false" customHeight="false" outlineLevel="0" collapsed="false">
      <c r="A1078" s="4" t="s">
        <v>532</v>
      </c>
      <c r="B1078" s="0" t="s">
        <v>301</v>
      </c>
      <c r="C1078" s="16" t="n">
        <f aca="false">C1075-C1076-C1077</f>
        <v>105.32</v>
      </c>
      <c r="D1078" s="16" t="n">
        <f aca="false">D1075-D1076-D1077</f>
        <v>116.644935348433</v>
      </c>
      <c r="E1078" s="16" t="n">
        <f aca="false">E1075-E1076-E1077</f>
        <v>175.574964707376</v>
      </c>
      <c r="F1078" s="16" t="n">
        <f aca="false">F1075-F1076-F1077</f>
        <v>230.861644148321</v>
      </c>
      <c r="G1078" s="16" t="n">
        <f aca="false">G1075-G1076-G1077</f>
        <v>256.403279924116</v>
      </c>
      <c r="H1078" s="26" t="n">
        <f aca="false">H1062*H1082</f>
        <v>279.301317295745</v>
      </c>
      <c r="I1078" s="26" t="n">
        <f aca="false">I1062*I1082</f>
        <v>301.452148989001</v>
      </c>
      <c r="J1078" s="26" t="n">
        <f aca="false">J1062*J1082</f>
        <v>322.347087527732</v>
      </c>
    </row>
    <row r="1079" customFormat="false" ht="15" hidden="false" customHeight="false" outlineLevel="0" collapsed="false">
      <c r="A1079" s="4" t="s">
        <v>648</v>
      </c>
      <c r="B1079" s="4" t="s">
        <v>346</v>
      </c>
      <c r="C1079" s="18" t="n">
        <f aca="false">a25_sh</f>
        <v>1.59188331318017</v>
      </c>
      <c r="D1079" s="18" t="n">
        <f aca="false">a26_sh</f>
        <v>1.59250890647703</v>
      </c>
      <c r="E1079" s="18" t="n">
        <f aca="false">D1079*(1+sh_g)</f>
        <v>1.59250890647703</v>
      </c>
      <c r="F1079" s="18" t="n">
        <f aca="false">E1079*(1+sh_g)</f>
        <v>1.59250890647703</v>
      </c>
      <c r="G1079" s="18" t="n">
        <f aca="false">F1079*(1+sh_g)</f>
        <v>1.59250890647703</v>
      </c>
      <c r="H1079" s="28" t="n">
        <f aca="false">G1079*(1+sh_g)</f>
        <v>1.59250890647703</v>
      </c>
      <c r="I1079" s="28" t="n">
        <f aca="false">H1079*(1+sh_g)</f>
        <v>1.59250890647703</v>
      </c>
      <c r="J1079" s="28" t="n">
        <f aca="false">I1079*(1+sh_g)</f>
        <v>1.59250890647703</v>
      </c>
    </row>
    <row r="1080" customFormat="false" ht="17.15" hidden="false" customHeight="false" outlineLevel="0" collapsed="false">
      <c r="A1080" s="0" t="s">
        <v>537</v>
      </c>
      <c r="B1080" s="0" t="s">
        <v>403</v>
      </c>
      <c r="C1080" s="16" t="n">
        <f aca="false">C1078/C1079</f>
        <v>66.1606281867469</v>
      </c>
      <c r="D1080" s="16" t="n">
        <f aca="false">D1078/D1079</f>
        <v>73.2460175726595</v>
      </c>
      <c r="E1080" s="16" t="n">
        <f aca="false">E1078/E1079</f>
        <v>110.250538626993</v>
      </c>
      <c r="F1080" s="16" t="n">
        <f aca="false">F1078/F1079</f>
        <v>144.967254631584</v>
      </c>
      <c r="G1080" s="16" t="n">
        <f aca="false">G1078/G1079</f>
        <v>161.005868715256</v>
      </c>
      <c r="H1080" s="26" t="n">
        <f aca="false">H1078/H1079</f>
        <v>175.384461687953</v>
      </c>
      <c r="I1080" s="26" t="n">
        <f aca="false">I1078/I1079</f>
        <v>189.293854347024</v>
      </c>
      <c r="J1080" s="26" t="n">
        <f aca="false">J1078/J1079</f>
        <v>202.414621492343</v>
      </c>
    </row>
    <row r="1081" customFormat="false" ht="17.15" hidden="false" customHeight="false" outlineLevel="0" collapsed="false">
      <c r="A1081" s="0" t="s">
        <v>649</v>
      </c>
      <c r="B1081" s="0" t="s">
        <v>46</v>
      </c>
      <c r="D1081" s="19" t="n">
        <f aca="false">D1080/C1080-1</f>
        <v>0.107093744120947</v>
      </c>
      <c r="E1081" s="19" t="n">
        <f aca="false">E1080/D1080-1</f>
        <v>0.505208641788961</v>
      </c>
      <c r="F1081" s="19" t="n">
        <f aca="false">F1080/E1080-1</f>
        <v>0.314889309720715</v>
      </c>
      <c r="G1081" s="19" t="n">
        <f aca="false">G1080/F1080-1</f>
        <v>0.11063611657979</v>
      </c>
      <c r="H1081" s="24" t="n">
        <f aca="false">H1080/G1080-1</f>
        <v>0.0893047755801144</v>
      </c>
      <c r="I1081" s="24" t="n">
        <f aca="false">I1080/H1080-1</f>
        <v>0.079308010100793</v>
      </c>
      <c r="J1081" s="24" t="n">
        <f aca="false">J1080/I1080-1</f>
        <v>0.0693142795923283</v>
      </c>
    </row>
    <row r="1082" customFormat="false" ht="17.15" hidden="false" customHeight="false" outlineLevel="0" collapsed="false">
      <c r="A1082" s="4" t="s">
        <v>650</v>
      </c>
      <c r="B1082" s="0" t="s">
        <v>46</v>
      </c>
      <c r="C1082" s="17" t="n">
        <f aca="false">C1078/C1062</f>
        <v>0.176721490823302</v>
      </c>
      <c r="D1082" s="17" t="n">
        <f aca="false">D1078/D1062</f>
        <v>0.172929787405541</v>
      </c>
      <c r="E1082" s="17" t="n">
        <f aca="false">E1078/E1062</f>
        <v>0.177384807326583</v>
      </c>
      <c r="F1082" s="17" t="n">
        <f aca="false">F1078/F1062</f>
        <v>0.184472014556745</v>
      </c>
      <c r="G1082" s="17" t="n">
        <f aca="false">G1078/G1062</f>
        <v>0.188055537368689</v>
      </c>
      <c r="H1082" s="25" t="n">
        <f aca="false">$G1082+(fade_mA-$G1082)*1/3</f>
        <v>0.189737551859663</v>
      </c>
      <c r="I1082" s="25" t="n">
        <f aca="false">$G1082+(fade_mA-$G1082)*2/3</f>
        <v>0.191419566350636</v>
      </c>
      <c r="J1082" s="25" t="n">
        <f aca="false">$G1082+(fade_mA-$G1082)*3/3</f>
        <v>0.19310158084161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954</v>
      </c>
    </row>
    <row r="2" customFormat="false" ht="17.15" hidden="false" customHeight="false" outlineLevel="0" collapsed="false">
      <c r="A2" s="4" t="s">
        <v>955</v>
      </c>
      <c r="B2" s="0" t="s">
        <v>956</v>
      </c>
    </row>
    <row r="3" customFormat="false" ht="17.15" hidden="false" customHeight="false" outlineLevel="0" collapsed="false">
      <c r="A3" s="4" t="s">
        <v>957</v>
      </c>
      <c r="B3" s="0" t="s">
        <v>958</v>
      </c>
    </row>
    <row r="4" customFormat="false" ht="17.15" hidden="false" customHeight="false" outlineLevel="0" collapsed="false">
      <c r="A4" s="4" t="s">
        <v>959</v>
      </c>
      <c r="B4" s="0" t="s">
        <v>960</v>
      </c>
    </row>
    <row r="5" customFormat="false" ht="17.15" hidden="false" customHeight="false" outlineLevel="0" collapsed="false">
      <c r="A5" s="4" t="s">
        <v>961</v>
      </c>
      <c r="B5" s="0" t="s">
        <v>962</v>
      </c>
    </row>
    <row r="6" customFormat="false" ht="17.15" hidden="false" customHeight="false" outlineLevel="0" collapsed="false">
      <c r="A6" s="4" t="s">
        <v>963</v>
      </c>
      <c r="B6" s="0" t="s">
        <v>964</v>
      </c>
    </row>
    <row r="7" customFormat="false" ht="17.15" hidden="false" customHeight="false" outlineLevel="0" collapsed="false">
      <c r="A7" s="4" t="s">
        <v>965</v>
      </c>
      <c r="B7" s="0" t="s">
        <v>966</v>
      </c>
    </row>
    <row r="8" customFormat="false" ht="17.15" hidden="false" customHeight="false" outlineLevel="0" collapsed="false">
      <c r="A8" s="4" t="s">
        <v>967</v>
      </c>
      <c r="B8" s="0" t="s">
        <v>968</v>
      </c>
    </row>
    <row r="9" customFormat="false" ht="17.15" hidden="false" customHeight="false" outlineLevel="0" collapsed="false">
      <c r="A9" s="4" t="s">
        <v>969</v>
      </c>
      <c r="B9" s="0" t="s">
        <v>970</v>
      </c>
    </row>
    <row r="10" customFormat="false" ht="17.15" hidden="false" customHeight="false" outlineLevel="0" collapsed="false">
      <c r="A10" s="4" t="s">
        <v>971</v>
      </c>
      <c r="B10" s="0" t="s">
        <v>972</v>
      </c>
    </row>
    <row r="11" customFormat="false" ht="17.15" hidden="false" customHeight="false" outlineLevel="0" collapsed="false">
      <c r="A11" s="4" t="s">
        <v>973</v>
      </c>
      <c r="B11" s="0" t="s">
        <v>974</v>
      </c>
    </row>
    <row r="12" customFormat="false" ht="17.15" hidden="false" customHeight="false" outlineLevel="0" collapsed="false">
      <c r="A12" s="4" t="s">
        <v>975</v>
      </c>
      <c r="B12" s="0" t="s">
        <v>976</v>
      </c>
    </row>
    <row r="13" customFormat="false" ht="17.15" hidden="false" customHeight="false" outlineLevel="0" collapsed="false">
      <c r="A13" s="4" t="s">
        <v>977</v>
      </c>
      <c r="B13" s="0" t="s">
        <v>978</v>
      </c>
    </row>
    <row r="14" customFormat="false" ht="17.15" hidden="false" customHeight="false" outlineLevel="0" collapsed="false">
      <c r="A14" s="4" t="s">
        <v>979</v>
      </c>
      <c r="B14" s="0" t="s">
        <v>980</v>
      </c>
    </row>
    <row r="15" customFormat="false" ht="17.15" hidden="false" customHeight="false" outlineLevel="0" collapsed="false">
      <c r="A15" s="4" t="s">
        <v>981</v>
      </c>
      <c r="B15" s="0" t="s">
        <v>982</v>
      </c>
    </row>
    <row r="16" customFormat="false" ht="17.15" hidden="false" customHeight="false" outlineLevel="0" collapsed="false">
      <c r="A16" s="4" t="s">
        <v>983</v>
      </c>
      <c r="B16" s="0" t="s">
        <v>984</v>
      </c>
    </row>
    <row r="17" customFormat="false" ht="17.15" hidden="false" customHeight="false" outlineLevel="0" collapsed="false">
      <c r="A17" s="4" t="s">
        <v>985</v>
      </c>
      <c r="B17" s="0" t="s">
        <v>986</v>
      </c>
    </row>
    <row r="18" customFormat="false" ht="17.15" hidden="false" customHeight="false" outlineLevel="0" collapsed="false">
      <c r="A18" s="4" t="s">
        <v>987</v>
      </c>
      <c r="B18" s="0" t="s">
        <v>988</v>
      </c>
    </row>
    <row r="19" customFormat="false" ht="17.15" hidden="false" customHeight="false" outlineLevel="0" collapsed="false">
      <c r="A19" s="4" t="s">
        <v>989</v>
      </c>
      <c r="B19" s="0" t="s">
        <v>990</v>
      </c>
    </row>
    <row r="20" customFormat="false" ht="17.15" hidden="false" customHeight="false" outlineLevel="0" collapsed="false">
      <c r="A20" s="4" t="s">
        <v>991</v>
      </c>
      <c r="B20" s="0" t="s">
        <v>992</v>
      </c>
    </row>
    <row r="21" customFormat="false" ht="17.15" hidden="false" customHeight="false" outlineLevel="0" collapsed="false">
      <c r="A21" s="4" t="s">
        <v>993</v>
      </c>
      <c r="B21" s="0" t="s">
        <v>994</v>
      </c>
    </row>
    <row r="22" customFormat="false" ht="17.15" hidden="false" customHeight="false" outlineLevel="0" collapsed="false">
      <c r="A22" s="4" t="s">
        <v>995</v>
      </c>
      <c r="B22" s="4" t="s">
        <v>996</v>
      </c>
    </row>
    <row r="23" customFormat="false" ht="15" hidden="false" customHeight="false" outlineLevel="0" collapsed="false">
      <c r="A23" s="0" t="s">
        <v>997</v>
      </c>
      <c r="B23" s="4" t="s">
        <v>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2026-10-28T09:22:18Z</dcterms:created>
  <dc:creator>openpyxl</dc:creator>
  <dc:description/>
  <dc:language>en-US</dc:language>
  <cp:lastModifiedBy/>
  <dcterms:modified xsi:type="dcterms:W3CDTF">2026-10-28T09:22:19Z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