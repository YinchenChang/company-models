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README" sheetId="1" state="visible" r:id="rId3"/>
    <sheet name="In" sheetId="2" state="visible" r:id="rId4"/>
    <sheet name="Path" sheetId="3" state="visible" r:id="rId5"/>
    <sheet name="Mkt" sheetId="4" state="visible" r:id="rId6"/>
    <sheet name="Q" sheetId="5" state="visible" r:id="rId7"/>
    <sheet name="Y" sheetId="6" state="visible" r:id="rId8"/>
    <sheet name="Val" sheetId="7" state="visible" r:id="rId9"/>
    <sheet name="Sens" sheetId="8" state="visible" r:id="rId10"/>
    <sheet name="Recon" sheetId="9" state="visible" r:id="rId11"/>
    <sheet name="Feedback" sheetId="10" state="visible" r:id="rId12"/>
    <sheet name="Sources" sheetId="11" state="visible" r:id="rId13"/>
  </sheets>
  <definedNames>
    <definedName function="false" hidden="false" name="bb_0" vbProcedure="false">In!$E$65</definedName>
    <definedName function="false" hidden="false" name="bb_px" vbProcedure="false">In!$E$72</definedName>
    <definedName function="false" hidden="false" name="bb_sh_0" vbProcedure="false">In!$E$66</definedName>
    <definedName function="false" hidden="false" name="capex_rem" vbProcedure="false">In!$E$68</definedName>
    <definedName function="false" hidden="false" name="cap_0" vbProcedure="false">In!$E$42</definedName>
    <definedName function="false" hidden="false" name="cap_0_hi" vbProcedure="false">In!$F$42</definedName>
    <definedName function="false" hidden="false" name="cap_0_lo" vbProcedure="false">In!$D$42</definedName>
    <definedName function="false" hidden="false" name="cap_1" vbProcedure="false">In!$E$43</definedName>
    <definedName function="false" hidden="false" name="cap_1_hi" vbProcedure="false">In!$F$43</definedName>
    <definedName function="false" hidden="false" name="cap_1_lo" vbProcedure="false">In!$D$43</definedName>
    <definedName function="false" hidden="false" name="cap_2" vbProcedure="false">In!$E$44</definedName>
    <definedName function="false" hidden="false" name="cap_2_hi" vbProcedure="false">In!$F$44</definedName>
    <definedName function="false" hidden="false" name="cap_2_lo" vbProcedure="false">In!$D$44</definedName>
    <definedName function="false" hidden="false" name="cap_3" vbProcedure="false">In!$E$48</definedName>
    <definedName function="false" hidden="false" name="cap_3_hi" vbProcedure="false">In!$F$48</definedName>
    <definedName function="false" hidden="false" name="cap_3_lo" vbProcedure="false">In!$D$48</definedName>
    <definedName function="false" hidden="false" name="cb_1" vbProcedure="false">In!$E$22</definedName>
    <definedName function="false" hidden="false" name="cb_1_hi" vbProcedure="false">In!$F$22</definedName>
    <definedName function="false" hidden="false" name="cb_1_lo" vbProcedure="false">In!$D$22</definedName>
    <definedName function="false" hidden="false" name="cb_2" vbProcedure="false">In!$E$23</definedName>
    <definedName function="false" hidden="false" name="cb_2_hi" vbProcedure="false">In!$F$23</definedName>
    <definedName function="false" hidden="false" name="cb_2_lo" vbProcedure="false">In!$D$23</definedName>
    <definedName function="false" hidden="false" name="cb_3" vbProcedure="false">In!$E$45</definedName>
    <definedName function="false" hidden="false" name="cb_3_hi" vbProcedure="false">In!$F$45</definedName>
    <definedName function="false" hidden="false" name="cb_3_lo" vbProcedure="false">In!$D$45</definedName>
    <definedName function="false" hidden="false" name="cons_bvps28" vbProcedure="false">In!$E$266</definedName>
    <definedName function="false" hidden="false" name="cons_eps27" vbProcedure="false">In!$E$264</definedName>
    <definedName function="false" hidden="false" name="cons_eps28" vbProcedure="false">In!$E$265</definedName>
    <definedName function="false" hidden="false" name="cons_tp" vbProcedure="false">In!$E$263</definedName>
    <definedName function="false" hidden="false" name="cons_tp_hi" vbProcedure="false">In!$F$263</definedName>
    <definedName function="false" hidden="false" name="cons_tp_lo" vbProcedure="false">In!$D$263</definedName>
    <definedName function="false" hidden="false" name="costdn_q" vbProcedure="false">In!$E$18</definedName>
    <definedName function="false" hidden="false" name="costdn_q_hi" vbProcedure="false">In!$F$18</definedName>
    <definedName function="false" hidden="false" name="costdn_q_lo" vbProcedure="false">In!$D$18</definedName>
    <definedName function="false" hidden="false" name="costdn_y" vbProcedure="false">In!$E$34</definedName>
    <definedName function="false" hidden="false" name="costdn_y_hi" vbProcedure="false">In!$F$34</definedName>
    <definedName function="false" hidden="false" name="costdn_y_lo" vbProcedure="false">In!$D$34</definedName>
    <definedName function="false" hidden="false" name="cqA_10" vbProcedure="false">In!$E$90</definedName>
    <definedName function="false" hidden="false" name="cqA_11" vbProcedure="false">In!$E$91</definedName>
    <definedName function="false" hidden="false" name="cqA_12" vbProcedure="false">In!$E$92</definedName>
    <definedName function="false" hidden="false" name="cqA_13" vbProcedure="false">In!$E$93</definedName>
    <definedName function="false" hidden="false" name="cqA_14" vbProcedure="false">In!$E$94</definedName>
    <definedName function="false" hidden="false" name="cqA_15" vbProcedure="false">In!$E$95</definedName>
    <definedName function="false" hidden="false" name="cqA_16" vbProcedure="false">In!$E$96</definedName>
    <definedName function="false" hidden="false" name="cqA_16_hi" vbProcedure="false">In!$F$96</definedName>
    <definedName function="false" hidden="false" name="cqA_16_lo" vbProcedure="false">In!$D$96</definedName>
    <definedName function="false" hidden="false" name="cqA_17" vbProcedure="false">In!$E$97</definedName>
    <definedName function="false" hidden="false" name="cqA_17_hi" vbProcedure="false">In!$F$97</definedName>
    <definedName function="false" hidden="false" name="cqA_17_lo" vbProcedure="false">In!$D$97</definedName>
    <definedName function="false" hidden="false" name="cqA_18" vbProcedure="false">In!$E$98</definedName>
    <definedName function="false" hidden="false" name="cqA_18_hi" vbProcedure="false">In!$F$98</definedName>
    <definedName function="false" hidden="false" name="cqA_18_lo" vbProcedure="false">In!$D$98</definedName>
    <definedName function="false" hidden="false" name="cqA_19" vbProcedure="false">In!$E$99</definedName>
    <definedName function="false" hidden="false" name="cqA_19_hi" vbProcedure="false">In!$F$99</definedName>
    <definedName function="false" hidden="false" name="cqA_19_lo" vbProcedure="false">In!$D$99</definedName>
    <definedName function="false" hidden="false" name="cqA_8" vbProcedure="false">In!$E$88</definedName>
    <definedName function="false" hidden="false" name="cqA_9" vbProcedure="false">In!$E$89</definedName>
    <definedName function="false" hidden="false" name="cqB_10" vbProcedure="false">In!$E$102</definedName>
    <definedName function="false" hidden="false" name="cqB_11" vbProcedure="false">In!$E$103</definedName>
    <definedName function="false" hidden="false" name="cqB_12" vbProcedure="false">In!$E$104</definedName>
    <definedName function="false" hidden="false" name="cqB_13" vbProcedure="false">In!$E$105</definedName>
    <definedName function="false" hidden="false" name="cqB_14" vbProcedure="false">In!$E$106</definedName>
    <definedName function="false" hidden="false" name="cqB_15" vbProcedure="false">In!$E$107</definedName>
    <definedName function="false" hidden="false" name="cqB_16" vbProcedure="false">In!$E$108</definedName>
    <definedName function="false" hidden="false" name="cqB_16_hi" vbProcedure="false">In!$F$108</definedName>
    <definedName function="false" hidden="false" name="cqB_16_lo" vbProcedure="false">In!$D$108</definedName>
    <definedName function="false" hidden="false" name="cqB_17" vbProcedure="false">In!$E$109</definedName>
    <definedName function="false" hidden="false" name="cqB_17_hi" vbProcedure="false">In!$F$109</definedName>
    <definedName function="false" hidden="false" name="cqB_17_lo" vbProcedure="false">In!$D$109</definedName>
    <definedName function="false" hidden="false" name="cqB_18" vbProcedure="false">In!$E$110</definedName>
    <definedName function="false" hidden="false" name="cqB_18_hi" vbProcedure="false">In!$F$110</definedName>
    <definedName function="false" hidden="false" name="cqB_18_lo" vbProcedure="false">In!$D$110</definedName>
    <definedName function="false" hidden="false" name="cqB_19" vbProcedure="false">In!$E$111</definedName>
    <definedName function="false" hidden="false" name="cqB_19_hi" vbProcedure="false">In!$F$111</definedName>
    <definedName function="false" hidden="false" name="cqB_19_lo" vbProcedure="false">In!$D$111</definedName>
    <definedName function="false" hidden="false" name="cqB_8" vbProcedure="false">In!$E$100</definedName>
    <definedName function="false" hidden="false" name="cqB_9" vbProcedure="false">In!$E$101</definedName>
    <definedName function="false" hidden="false" name="cqC_10" vbProcedure="false">In!$E$114</definedName>
    <definedName function="false" hidden="false" name="cqC_10_hi" vbProcedure="false">In!$F$114</definedName>
    <definedName function="false" hidden="false" name="cqC_10_lo" vbProcedure="false">In!$D$114</definedName>
    <definedName function="false" hidden="false" name="cqC_11" vbProcedure="false">In!$E$115</definedName>
    <definedName function="false" hidden="false" name="cqC_11_hi" vbProcedure="false">In!$F$115</definedName>
    <definedName function="false" hidden="false" name="cqC_11_lo" vbProcedure="false">In!$D$115</definedName>
    <definedName function="false" hidden="false" name="cqC_12" vbProcedure="false">In!$E$116</definedName>
    <definedName function="false" hidden="false" name="cqC_12_hi" vbProcedure="false">In!$F$116</definedName>
    <definedName function="false" hidden="false" name="cqC_12_lo" vbProcedure="false">In!$D$116</definedName>
    <definedName function="false" hidden="false" name="cqC_13" vbProcedure="false">In!$E$117</definedName>
    <definedName function="false" hidden="false" name="cqC_13_hi" vbProcedure="false">In!$F$117</definedName>
    <definedName function="false" hidden="false" name="cqC_13_lo" vbProcedure="false">In!$D$117</definedName>
    <definedName function="false" hidden="false" name="cqC_14" vbProcedure="false">In!$E$118</definedName>
    <definedName function="false" hidden="false" name="cqC_14_hi" vbProcedure="false">In!$F$118</definedName>
    <definedName function="false" hidden="false" name="cqC_14_lo" vbProcedure="false">In!$D$118</definedName>
    <definedName function="false" hidden="false" name="cqC_15" vbProcedure="false">In!$E$119</definedName>
    <definedName function="false" hidden="false" name="cqC_15_hi" vbProcedure="false">In!$F$119</definedName>
    <definedName function="false" hidden="false" name="cqC_15_lo" vbProcedure="false">In!$D$119</definedName>
    <definedName function="false" hidden="false" name="cqC_16" vbProcedure="false">In!$E$120</definedName>
    <definedName function="false" hidden="false" name="cqC_16_hi" vbProcedure="false">In!$F$120</definedName>
    <definedName function="false" hidden="false" name="cqC_16_lo" vbProcedure="false">In!$D$120</definedName>
    <definedName function="false" hidden="false" name="cqC_17" vbProcedure="false">In!$E$121</definedName>
    <definedName function="false" hidden="false" name="cqC_17_hi" vbProcedure="false">In!$F$121</definedName>
    <definedName function="false" hidden="false" name="cqC_17_lo" vbProcedure="false">In!$D$121</definedName>
    <definedName function="false" hidden="false" name="cqC_18" vbProcedure="false">In!$E$122</definedName>
    <definedName function="false" hidden="false" name="cqC_18_hi" vbProcedure="false">In!$F$122</definedName>
    <definedName function="false" hidden="false" name="cqC_18_lo" vbProcedure="false">In!$D$122</definedName>
    <definedName function="false" hidden="false" name="cqC_19" vbProcedure="false">In!$E$123</definedName>
    <definedName function="false" hidden="false" name="cqC_19_hi" vbProcedure="false">In!$F$123</definedName>
    <definedName function="false" hidden="false" name="cqC_19_lo" vbProcedure="false">In!$D$123</definedName>
    <definedName function="false" hidden="false" name="cqC_8" vbProcedure="false">In!$E$112</definedName>
    <definedName function="false" hidden="false" name="cqC_8_hi" vbProcedure="false">In!$F$112</definedName>
    <definedName function="false" hidden="false" name="cqC_8_lo" vbProcedure="false">In!$D$112</definedName>
    <definedName function="false" hidden="false" name="cqC_9" vbProcedure="false">In!$E$113</definedName>
    <definedName function="false" hidden="false" name="cqC_9_hi" vbProcedure="false">In!$F$113</definedName>
    <definedName function="false" hidden="false" name="cqC_9_lo" vbProcedure="false">In!$D$113</definedName>
    <definedName function="false" hidden="false" name="cq_1" vbProcedure="false">In!$E$81</definedName>
    <definedName function="false" hidden="false" name="cq_2" vbProcedure="false">In!$E$82</definedName>
    <definedName function="false" hidden="false" name="cq_3" vbProcedure="false">In!$E$83</definedName>
    <definedName function="false" hidden="false" name="cq_4" vbProcedure="false">In!$E$84</definedName>
    <definedName function="false" hidden="false" name="cq_5" vbProcedure="false">In!$E$85</definedName>
    <definedName function="false" hidden="false" name="cq_6" vbProcedure="false">In!$E$86</definedName>
    <definedName function="false" hidden="false" name="cq_7" vbProcedure="false">In!$E$87</definedName>
    <definedName function="false" hidden="false" name="cyc_mA" vbProcedure="false">In!$E$258</definedName>
    <definedName function="false" hidden="false" name="cyc_mC" vbProcedure="false">In!$E$259</definedName>
    <definedName function="false" hidden="false" name="da_cogs" vbProcedure="false">In!$E$36</definedName>
    <definedName function="false" hidden="false" name="da_life" vbProcedure="false">In!$E$35</definedName>
    <definedName function="false" hidden="false" name="da_life_hi" vbProcedure="false">In!$F$35</definedName>
    <definedName function="false" hidden="false" name="da_life_lo" vbProcedure="false">In!$D$35</definedName>
    <definedName function="false" hidden="false" name="da_q3" vbProcedure="false">In!$E$16</definedName>
    <definedName function="false" hidden="false" name="da_q4" vbProcedure="false">In!$E$17</definedName>
    <definedName function="false" hidden="false" name="div_0" vbProcedure="false">In!$E$67</definedName>
    <definedName function="false" hidden="false" name="dps_1" vbProcedure="false">In!$E$69</definedName>
    <definedName function="false" hidden="false" name="dps_2" vbProcedure="false">In!$E$70</definedName>
    <definedName function="false" hidden="false" name="dps_3" vbProcedure="false">In!$E$49</definedName>
    <definedName function="false" hidden="false" name="eq_last" vbProcedure="false">In!$E$60</definedName>
    <definedName function="false" hidden="false" name="extra_eq" vbProcedure="false">In!$E$63</definedName>
    <definedName function="false" hidden="false" name="extra_sh" vbProcedure="false">In!$E$64</definedName>
    <definedName function="false" hidden="false" name="fade_gA" vbProcedure="false">In!$E$255</definedName>
    <definedName function="false" hidden="false" name="fade_gB" vbProcedure="false">In!$E$256</definedName>
    <definedName function="false" hidden="false" name="fade_gC" vbProcedure="false">In!$E$257</definedName>
    <definedName function="false" hidden="false" name="fade_mA" vbProcedure="false">In!$E$260</definedName>
    <definedName function="false" hidden="false" name="fade_mB" vbProcedure="false">In!$E$261</definedName>
    <definedName function="false" hidden="false" name="fade_mC" vbProcedure="false">In!$E$262</definedName>
    <definedName function="false" hidden="false" name="fx" vbProcedure="false">In!$E$5</definedName>
    <definedName function="false" hidden="false" name="fx_hi" vbProcedure="false">In!$F$5</definedName>
    <definedName function="false" hidden="false" name="fx_lo" vbProcedure="false">In!$D$5</definedName>
    <definedName function="false" hidden="false" name="g_amd_26" vbProcedure="false">In!$E$195</definedName>
    <definedName function="false" hidden="false" name="g_amd_26_hi" vbProcedure="false">In!$F$195</definedName>
    <definedName function="false" hidden="false" name="g_amd_26_lo" vbProcedure="false">In!$D$195</definedName>
    <definedName function="false" hidden="false" name="g_amd_27" vbProcedure="false">In!$E$196</definedName>
    <definedName function="false" hidden="false" name="g_amd_27_hi" vbProcedure="false">In!$F$196</definedName>
    <definedName function="false" hidden="false" name="g_amd_27_lo" vbProcedure="false">In!$D$196</definedName>
    <definedName function="false" hidden="false" name="g_amd_28" vbProcedure="false">In!$E$197</definedName>
    <definedName function="false" hidden="false" name="g_amd_28_hi" vbProcedure="false">In!$F$197</definedName>
    <definedName function="false" hidden="false" name="g_amd_28_lo" vbProcedure="false">In!$D$197</definedName>
    <definedName function="false" hidden="false" name="g_bw_26" vbProcedure="false">In!$E$171</definedName>
    <definedName function="false" hidden="false" name="g_bw_27" vbProcedure="false">In!$E$172</definedName>
    <definedName function="false" hidden="false" name="g_bw_28" vbProcedure="false">In!$E$173</definedName>
    <definedName function="false" hidden="false" name="g_hp_26" vbProcedure="false">In!$E$189</definedName>
    <definedName function="false" hidden="false" name="g_hp_27" vbProcedure="false">In!$E$190</definedName>
    <definedName function="false" hidden="false" name="g_hp_28" vbProcedure="false">In!$E$191</definedName>
    <definedName function="false" hidden="false" name="g_oth_26" vbProcedure="false">In!$E$213</definedName>
    <definedName function="false" hidden="false" name="g_oth_26_hi" vbProcedure="false">In!$F$213</definedName>
    <definedName function="false" hidden="false" name="g_oth_26_lo" vbProcedure="false">In!$D$213</definedName>
    <definedName function="false" hidden="false" name="g_oth_27" vbProcedure="false">In!$E$214</definedName>
    <definedName function="false" hidden="false" name="g_oth_27_hi" vbProcedure="false">In!$F$214</definedName>
    <definedName function="false" hidden="false" name="g_oth_27_lo" vbProcedure="false">In!$D$214</definedName>
    <definedName function="false" hidden="false" name="g_oth_28" vbProcedure="false">In!$E$215</definedName>
    <definedName function="false" hidden="false" name="g_oth_28_hi" vbProcedure="false">In!$F$215</definedName>
    <definedName function="false" hidden="false" name="g_oth_28_lo" vbProcedure="false">In!$D$215</definedName>
    <definedName function="false" hidden="false" name="g_rb_26" vbProcedure="false">In!$E$177</definedName>
    <definedName function="false" hidden="false" name="g_rb_27" vbProcedure="false">In!$E$178</definedName>
    <definedName function="false" hidden="false" name="g_rb_28" vbProcedure="false">In!$E$179</definedName>
    <definedName function="false" hidden="false" name="g_ru_26" vbProcedure="false">In!$E$183</definedName>
    <definedName function="false" hidden="false" name="g_ru_27" vbProcedure="false">In!$E$184</definedName>
    <definedName function="false" hidden="false" name="g_ru_28" vbProcedure="false">In!$E$185</definedName>
    <definedName function="false" hidden="false" name="g_tpu_26" vbProcedure="false">In!$E$201</definedName>
    <definedName function="false" hidden="false" name="g_tpu_27" vbProcedure="false">In!$E$202</definedName>
    <definedName function="false" hidden="false" name="g_tpu_28" vbProcedure="false">In!$E$203</definedName>
    <definedName function="false" hidden="false" name="g_trn_26" vbProcedure="false">In!$E$207</definedName>
    <definedName function="false" hidden="false" name="g_trn_26_hi" vbProcedure="false">In!$F$207</definedName>
    <definedName function="false" hidden="false" name="g_trn_26_lo" vbProcedure="false">In!$D$207</definedName>
    <definedName function="false" hidden="false" name="g_trn_27" vbProcedure="false">In!$E$208</definedName>
    <definedName function="false" hidden="false" name="g_trn_27_hi" vbProcedure="false">In!$F$208</definedName>
    <definedName function="false" hidden="false" name="g_trn_27_lo" vbProcedure="false">In!$D$208</definedName>
    <definedName function="false" hidden="false" name="g_trn_28" vbProcedure="false">In!$E$209</definedName>
    <definedName function="false" hidden="false" name="g_trn_28_hi" vbProcedure="false">In!$F$209</definedName>
    <definedName function="false" hidden="false" name="g_trn_28_lo" vbProcedure="false">In!$D$209</definedName>
    <definedName function="false" hidden="false" name="hbm_dem29" vbProcedure="false">In!$E$234</definedName>
    <definedName function="false" hidden="false" name="hbm_dem29_hi" vbProcedure="false">In!$F$234</definedName>
    <definedName function="false" hidden="false" name="hbm_dem29_lo" vbProcedure="false">In!$D$234</definedName>
    <definedName function="false" hidden="false" name="hbm_g26" vbProcedure="false">In!$E$225</definedName>
    <definedName function="false" hidden="false" name="hbm_g26_hi" vbProcedure="false">In!$F$225</definedName>
    <definedName function="false" hidden="false" name="hbm_g26_lo" vbProcedure="false">In!$D$225</definedName>
    <definedName function="false" hidden="false" name="hbm_gross" vbProcedure="false">In!$E$226</definedName>
    <definedName function="false" hidden="false" name="hbm_gross_hi" vbProcedure="false">In!$F$226</definedName>
    <definedName function="false" hidden="false" name="hbm_gross_lo" vbProcedure="false">In!$D$226</definedName>
    <definedName function="false" hidden="false" name="hbm_mkt25" vbProcedure="false">In!$E$224</definedName>
    <definedName function="false" hidden="false" name="hbm_mkt25_hi" vbProcedure="false">In!$F$224</definedName>
    <definedName function="false" hidden="false" name="hbm_mkt25_lo" vbProcedure="false">In!$D$224</definedName>
    <definedName function="false" hidden="false" name="hbm_p26" vbProcedure="false">In!$E$229</definedName>
    <definedName function="false" hidden="false" name="hbm_p26_hi" vbProcedure="false">In!$F$229</definedName>
    <definedName function="false" hidden="false" name="hbm_p26_lo" vbProcedure="false">In!$D$229</definedName>
    <definedName function="false" hidden="false" name="hbm_p27" vbProcedure="false">In!$E$230</definedName>
    <definedName function="false" hidden="false" name="hbm_p27_hi" vbProcedure="false">In!$F$230</definedName>
    <definedName function="false" hidden="false" name="hbm_p27_lo" vbProcedure="false">In!$D$230</definedName>
    <definedName function="false" hidden="false" name="hbm_p28_A" vbProcedure="false">In!$E$231</definedName>
    <definedName function="false" hidden="false" name="hbm_p28_A_hi" vbProcedure="false">In!$F$231</definedName>
    <definedName function="false" hidden="false" name="hbm_p28_A_lo" vbProcedure="false">In!$D$231</definedName>
    <definedName function="false" hidden="false" name="hbm_p28_B" vbProcedure="false">In!$E$232</definedName>
    <definedName function="false" hidden="false" name="hbm_p28_B_hi" vbProcedure="false">In!$F$232</definedName>
    <definedName function="false" hidden="false" name="hbm_p28_B_lo" vbProcedure="false">In!$D$232</definedName>
    <definedName function="false" hidden="false" name="hbm_p28_C" vbProcedure="false">In!$E$233</definedName>
    <definedName function="false" hidden="false" name="hbm_p28_C_hi" vbProcedure="false">In!$F$233</definedName>
    <definedName function="false" hidden="false" name="hbm_p28_C_lo" vbProcedure="false">In!$D$233</definedName>
    <definedName function="false" hidden="false" name="hbm_p29_A" vbProcedure="false">In!$E$236</definedName>
    <definedName function="false" hidden="false" name="hbm_p29_A_hi" vbProcedure="false">In!$F$236</definedName>
    <definedName function="false" hidden="false" name="hbm_p29_A_lo" vbProcedure="false">In!$D$236</definedName>
    <definedName function="false" hidden="false" name="hbm_p29_B" vbProcedure="false">In!$E$237</definedName>
    <definedName function="false" hidden="false" name="hbm_p29_B_hi" vbProcedure="false">In!$F$237</definedName>
    <definedName function="false" hidden="false" name="hbm_p29_B_lo" vbProcedure="false">In!$D$237</definedName>
    <definedName function="false" hidden="false" name="hbm_p29_C" vbProcedure="false">In!$E$238</definedName>
    <definedName function="false" hidden="false" name="hbm_p29_C_hi" vbProcedure="false">In!$F$238</definedName>
    <definedName function="false" hidden="false" name="hbm_p29_C_lo" vbProcedure="false">In!$D$238</definedName>
    <definedName function="false" hidden="false" name="hbm_sup27" vbProcedure="false">In!$E$227</definedName>
    <definedName function="false" hidden="false" name="hbm_sup27_hi" vbProcedure="false">In!$F$227</definedName>
    <definedName function="false" hidden="false" name="hbm_sup27_lo" vbProcedure="false">In!$D$227</definedName>
    <definedName function="false" hidden="false" name="hbm_sup28" vbProcedure="false">In!$E$228</definedName>
    <definedName function="false" hidden="false" name="hbm_sup28_hi" vbProcedure="false">In!$F$228</definedName>
    <definedName function="false" hidden="false" name="hbm_sup28_lo" vbProcedure="false">In!$D$228</definedName>
    <definedName function="false" hidden="false" name="hbm_sup29" vbProcedure="false">In!$E$235</definedName>
    <definedName function="false" hidden="false" name="hbm_sup29_hi" vbProcedure="false">In!$F$235</definedName>
    <definedName function="false" hidden="false" name="hbm_sup29_lo" vbProcedure="false">In!$D$235</definedName>
    <definedName function="false" hidden="false" name="nb_1" vbProcedure="false">In!$E$24</definedName>
    <definedName function="false" hidden="false" name="nb_1_hi" vbProcedure="false">In!$F$24</definedName>
    <definedName function="false" hidden="false" name="nb_1_lo" vbProcedure="false">In!$D$24</definedName>
    <definedName function="false" hidden="false" name="nb_2" vbProcedure="false">In!$E$25</definedName>
    <definedName function="false" hidden="false" name="nb_2_hi" vbProcedure="false">In!$F$25</definedName>
    <definedName function="false" hidden="false" name="nb_2_lo" vbProcedure="false">In!$D$25</definedName>
    <definedName function="false" hidden="false" name="nb_3" vbProcedure="false">In!$E$46</definedName>
    <definedName function="false" hidden="false" name="nb_3_hi" vbProcedure="false">In!$F$46</definedName>
    <definedName function="false" hidden="false" name="nb_3_lo" vbProcedure="false">In!$D$46</definedName>
    <definedName function="false" hidden="false" name="nc_last" vbProcedure="false">In!$E$61</definedName>
    <definedName function="false" hidden="false" name="nim10" vbProcedure="false">In!$E$254</definedName>
    <definedName function="false" hidden="false" name="nm_op_0" vbProcedure="false">In!$E$52</definedName>
    <definedName function="false" hidden="false" name="nm_op_1" vbProcedure="false">In!$E$54</definedName>
    <definedName function="false" hidden="false" name="nm_op_2" vbProcedure="false">In!$E$56</definedName>
    <definedName function="false" hidden="false" name="nm_op_3" vbProcedure="false">In!$E$58</definedName>
    <definedName function="false" hidden="false" name="nm_op_q" vbProcedure="false">In!$E$50</definedName>
    <definedName function="false" hidden="false" name="nm_rev_0" vbProcedure="false">In!$E$51</definedName>
    <definedName function="false" hidden="false" name="nm_rev_1" vbProcedure="false">In!$E$53</definedName>
    <definedName function="false" hidden="false" name="nm_rev_2" vbProcedure="false">In!$E$55</definedName>
    <definedName function="false" hidden="false" name="nm_rev_3" vbProcedure="false">In!$E$57</definedName>
    <definedName function="false" hidden="false" name="nonop_q" vbProcedure="false">In!$E$20</definedName>
    <definedName function="false" hidden="false" name="nonop_q_hi" vbProcedure="false">In!$F$20</definedName>
    <definedName function="false" hidden="false" name="nonop_q_lo" vbProcedure="false">In!$D$20</definedName>
    <definedName function="false" hidden="false" name="nqA_10" vbProcedure="false">In!$E$133</definedName>
    <definedName function="false" hidden="false" name="nqA_11" vbProcedure="false">In!$E$134</definedName>
    <definedName function="false" hidden="false" name="nqA_12" vbProcedure="false">In!$E$135</definedName>
    <definedName function="false" hidden="false" name="nqA_13" vbProcedure="false">In!$E$136</definedName>
    <definedName function="false" hidden="false" name="nqA_14" vbProcedure="false">In!$E$137</definedName>
    <definedName function="false" hidden="false" name="nqA_15" vbProcedure="false">In!$E$138</definedName>
    <definedName function="false" hidden="false" name="nqA_16" vbProcedure="false">In!$E$139</definedName>
    <definedName function="false" hidden="false" name="nqA_16_hi" vbProcedure="false">In!$F$139</definedName>
    <definedName function="false" hidden="false" name="nqA_16_lo" vbProcedure="false">In!$D$139</definedName>
    <definedName function="false" hidden="false" name="nqA_17" vbProcedure="false">In!$E$140</definedName>
    <definedName function="false" hidden="false" name="nqA_17_hi" vbProcedure="false">In!$F$140</definedName>
    <definedName function="false" hidden="false" name="nqA_17_lo" vbProcedure="false">In!$D$140</definedName>
    <definedName function="false" hidden="false" name="nqA_18" vbProcedure="false">In!$E$141</definedName>
    <definedName function="false" hidden="false" name="nqA_18_hi" vbProcedure="false">In!$F$141</definedName>
    <definedName function="false" hidden="false" name="nqA_18_lo" vbProcedure="false">In!$D$141</definedName>
    <definedName function="false" hidden="false" name="nqA_19" vbProcedure="false">In!$E$142</definedName>
    <definedName function="false" hidden="false" name="nqA_19_hi" vbProcedure="false">In!$F$142</definedName>
    <definedName function="false" hidden="false" name="nqA_19_lo" vbProcedure="false">In!$D$142</definedName>
    <definedName function="false" hidden="false" name="nqA_8" vbProcedure="false">In!$E$131</definedName>
    <definedName function="false" hidden="false" name="nqA_9" vbProcedure="false">In!$E$132</definedName>
    <definedName function="false" hidden="false" name="nqB_10" vbProcedure="false">In!$E$145</definedName>
    <definedName function="false" hidden="false" name="nqB_11" vbProcedure="false">In!$E$146</definedName>
    <definedName function="false" hidden="false" name="nqB_12" vbProcedure="false">In!$E$147</definedName>
    <definedName function="false" hidden="false" name="nqB_13" vbProcedure="false">In!$E$148</definedName>
    <definedName function="false" hidden="false" name="nqB_14" vbProcedure="false">In!$E$149</definedName>
    <definedName function="false" hidden="false" name="nqB_15" vbProcedure="false">In!$E$150</definedName>
    <definedName function="false" hidden="false" name="nqB_16" vbProcedure="false">In!$E$151</definedName>
    <definedName function="false" hidden="false" name="nqB_16_hi" vbProcedure="false">In!$F$151</definedName>
    <definedName function="false" hidden="false" name="nqB_16_lo" vbProcedure="false">In!$D$151</definedName>
    <definedName function="false" hidden="false" name="nqB_17" vbProcedure="false">In!$E$152</definedName>
    <definedName function="false" hidden="false" name="nqB_17_hi" vbProcedure="false">In!$F$152</definedName>
    <definedName function="false" hidden="false" name="nqB_17_lo" vbProcedure="false">In!$D$152</definedName>
    <definedName function="false" hidden="false" name="nqB_18" vbProcedure="false">In!$E$153</definedName>
    <definedName function="false" hidden="false" name="nqB_18_hi" vbProcedure="false">In!$F$153</definedName>
    <definedName function="false" hidden="false" name="nqB_18_lo" vbProcedure="false">In!$D$153</definedName>
    <definedName function="false" hidden="false" name="nqB_19" vbProcedure="false">In!$E$154</definedName>
    <definedName function="false" hidden="false" name="nqB_19_hi" vbProcedure="false">In!$F$154</definedName>
    <definedName function="false" hidden="false" name="nqB_19_lo" vbProcedure="false">In!$D$154</definedName>
    <definedName function="false" hidden="false" name="nqB_8" vbProcedure="false">In!$E$143</definedName>
    <definedName function="false" hidden="false" name="nqB_9" vbProcedure="false">In!$E$144</definedName>
    <definedName function="false" hidden="false" name="nqC_10" vbProcedure="false">In!$E$157</definedName>
    <definedName function="false" hidden="false" name="nqC_10_hi" vbProcedure="false">In!$F$157</definedName>
    <definedName function="false" hidden="false" name="nqC_10_lo" vbProcedure="false">In!$D$157</definedName>
    <definedName function="false" hidden="false" name="nqC_11" vbProcedure="false">In!$E$158</definedName>
    <definedName function="false" hidden="false" name="nqC_11_hi" vbProcedure="false">In!$F$158</definedName>
    <definedName function="false" hidden="false" name="nqC_11_lo" vbProcedure="false">In!$D$158</definedName>
    <definedName function="false" hidden="false" name="nqC_12" vbProcedure="false">In!$E$159</definedName>
    <definedName function="false" hidden="false" name="nqC_12_hi" vbProcedure="false">In!$F$159</definedName>
    <definedName function="false" hidden="false" name="nqC_12_lo" vbProcedure="false">In!$D$159</definedName>
    <definedName function="false" hidden="false" name="nqC_13" vbProcedure="false">In!$E$160</definedName>
    <definedName function="false" hidden="false" name="nqC_13_hi" vbProcedure="false">In!$F$160</definedName>
    <definedName function="false" hidden="false" name="nqC_13_lo" vbProcedure="false">In!$D$160</definedName>
    <definedName function="false" hidden="false" name="nqC_14" vbProcedure="false">In!$E$161</definedName>
    <definedName function="false" hidden="false" name="nqC_14_hi" vbProcedure="false">In!$F$161</definedName>
    <definedName function="false" hidden="false" name="nqC_14_lo" vbProcedure="false">In!$D$161</definedName>
    <definedName function="false" hidden="false" name="nqC_15" vbProcedure="false">In!$E$162</definedName>
    <definedName function="false" hidden="false" name="nqC_15_hi" vbProcedure="false">In!$F$162</definedName>
    <definedName function="false" hidden="false" name="nqC_15_lo" vbProcedure="false">In!$D$162</definedName>
    <definedName function="false" hidden="false" name="nqC_16" vbProcedure="false">In!$E$163</definedName>
    <definedName function="false" hidden="false" name="nqC_16_hi" vbProcedure="false">In!$F$163</definedName>
    <definedName function="false" hidden="false" name="nqC_16_lo" vbProcedure="false">In!$D$163</definedName>
    <definedName function="false" hidden="false" name="nqC_17" vbProcedure="false">In!$E$164</definedName>
    <definedName function="false" hidden="false" name="nqC_17_hi" vbProcedure="false">In!$F$164</definedName>
    <definedName function="false" hidden="false" name="nqC_17_lo" vbProcedure="false">In!$D$164</definedName>
    <definedName function="false" hidden="false" name="nqC_18" vbProcedure="false">In!$E$165</definedName>
    <definedName function="false" hidden="false" name="nqC_18_hi" vbProcedure="false">In!$F$165</definedName>
    <definedName function="false" hidden="false" name="nqC_18_lo" vbProcedure="false">In!$D$165</definedName>
    <definedName function="false" hidden="false" name="nqC_19" vbProcedure="false">In!$E$166</definedName>
    <definedName function="false" hidden="false" name="nqC_19_hi" vbProcedure="false">In!$F$166</definedName>
    <definedName function="false" hidden="false" name="nqC_19_lo" vbProcedure="false">In!$D$166</definedName>
    <definedName function="false" hidden="false" name="nqC_8" vbProcedure="false">In!$E$155</definedName>
    <definedName function="false" hidden="false" name="nqC_8_hi" vbProcedure="false">In!$F$155</definedName>
    <definedName function="false" hidden="false" name="nqC_8_lo" vbProcedure="false">In!$D$155</definedName>
    <definedName function="false" hidden="false" name="nqC_9" vbProcedure="false">In!$E$156</definedName>
    <definedName function="false" hidden="false" name="nqC_9_hi" vbProcedure="false">In!$F$156</definedName>
    <definedName function="false" hidden="false" name="nqC_9_lo" vbProcedure="false">In!$D$156</definedName>
    <definedName function="false" hidden="false" name="nq_1" vbProcedure="false">In!$E$124</definedName>
    <definedName function="false" hidden="false" name="nq_2" vbProcedure="false">In!$E$125</definedName>
    <definedName function="false" hidden="false" name="nq_3" vbProcedure="false">In!$E$126</definedName>
    <definedName function="false" hidden="false" name="nq_4" vbProcedure="false">In!$E$127</definedName>
    <definedName function="false" hidden="false" name="nq_5" vbProcedure="false">In!$E$128</definedName>
    <definedName function="false" hidden="false" name="nq_6" vbProcedure="false">In!$E$129</definedName>
    <definedName function="false" hidden="false" name="nq_7" vbProcedure="false">In!$E$130</definedName>
    <definedName function="false" hidden="false" name="nv_content" vbProcedure="false">In!$E$241</definedName>
    <definedName function="false" hidden="false" name="nv_content_hi" vbProcedure="false">In!$F$241</definedName>
    <definedName function="false" hidden="false" name="nv_content_lo" vbProcedure="false">In!$D$241</definedName>
    <definedName function="false" hidden="false" name="nv_dc26" vbProcedure="false">In!$E$240</definedName>
    <definedName function="false" hidden="false" name="nv_dc26_hi" vbProcedure="false">In!$F$240</definedName>
    <definedName function="false" hidden="false" name="nv_dc26_lo" vbProcedure="false">In!$D$240</definedName>
    <definedName function="false" hidden="false" name="nv_hbm" vbProcedure="false">In!$E$242</definedName>
    <definedName function="false" hidden="false" name="nv_hbm_hi" vbProcedure="false">In!$F$242</definedName>
    <definedName function="false" hidden="false" name="nv_hbm_lo" vbProcedure="false">In!$D$242</definedName>
    <definedName function="false" hidden="false" name="opex_fix_q" vbProcedure="false">In!$E$19</definedName>
    <definedName function="false" hidden="false" name="opex_fix_y" vbProcedure="false">In!$E$37</definedName>
    <definedName function="false" hidden="false" name="opex_g" vbProcedure="false">In!$E$39</definedName>
    <definedName function="false" hidden="false" name="opex_var" vbProcedure="false">In!$E$38</definedName>
    <definedName function="false" hidden="false" name="opex_var_hi" vbProcedure="false">In!$F$38</definedName>
    <definedName function="false" hidden="false" name="opex_var_lo" vbProcedure="false">In!$D$38</definedName>
    <definedName function="false" hidden="false" name="other_y" vbProcedure="false">In!$E$30</definedName>
    <definedName function="false" hidden="false" name="payout" vbProcedure="false">In!$E$71</definedName>
    <definedName function="false" hidden="false" name="payout_hi" vbProcedure="false">In!$F$71</definedName>
    <definedName function="false" hidden="false" name="payout_lo" vbProcedure="false">In!$D$71</definedName>
    <definedName function="false" hidden="false" name="pb_1" vbProcedure="false">In!$E$74</definedName>
    <definedName function="false" hidden="false" name="pb_2" vbProcedure="false">In!$E$75</definedName>
    <definedName function="false" hidden="false" name="pb_3" vbProcedure="false">In!$E$76</definedName>
    <definedName function="false" hidden="false" name="pe_1" vbProcedure="false">In!$E$77</definedName>
    <definedName function="false" hidden="false" name="pe_2" vbProcedure="false">In!$E$78</definedName>
    <definedName function="false" hidden="false" name="pe_3" vbProcedure="false">In!$E$79</definedName>
    <definedName function="false" hidden="false" name="pub26_hi" vbProcedure="false">In!$E$244</definedName>
    <definedName function="false" hidden="false" name="pub26_lo" vbProcedure="false">In!$E$243</definedName>
    <definedName function="false" hidden="false" name="pub27" vbProcedure="false">In!$E$245</definedName>
    <definedName function="false" hidden="false" name="px" vbProcedure="false">In!$E$6</definedName>
    <definedName function="false" hidden="false" name="q3_db" vbProcedure="false">In!$E$8</definedName>
    <definedName function="false" hidden="false" name="q3_db_hi" vbProcedure="false">In!$F$8</definedName>
    <definedName function="false" hidden="false" name="q3_db_lo" vbProcedure="false">In!$D$8</definedName>
    <definedName function="false" hidden="false" name="q3_dp" vbProcedure="false">In!$E$9</definedName>
    <definedName function="false" hidden="false" name="q3_dp_hi" vbProcedure="false">In!$F$9</definedName>
    <definedName function="false" hidden="false" name="q3_dp_lo" vbProcedure="false">In!$D$9</definedName>
    <definedName function="false" hidden="false" name="q3_nb" vbProcedure="false">In!$E$10</definedName>
    <definedName function="false" hidden="false" name="q3_nb_hi" vbProcedure="false">In!$F$10</definedName>
    <definedName function="false" hidden="false" name="q3_nb_lo" vbProcedure="false">In!$D$10</definedName>
    <definedName function="false" hidden="false" name="q3_np" vbProcedure="false">In!$E$11</definedName>
    <definedName function="false" hidden="false" name="q3_np_hi" vbProcedure="false">In!$F$11</definedName>
    <definedName function="false" hidden="false" name="q3_np_lo" vbProcedure="false">In!$D$11</definedName>
    <definedName function="false" hidden="false" name="q4_db" vbProcedure="false">In!$E$12</definedName>
    <definedName function="false" hidden="false" name="q4_db_hi" vbProcedure="false">In!$F$12</definedName>
    <definedName function="false" hidden="false" name="q4_db_lo" vbProcedure="false">In!$D$12</definedName>
    <definedName function="false" hidden="false" name="q4_dp" vbProcedure="false">In!$E$13</definedName>
    <definedName function="false" hidden="false" name="q4_dp_hi" vbProcedure="false">In!$F$13</definedName>
    <definedName function="false" hidden="false" name="q4_dp_lo" vbProcedure="false">In!$D$13</definedName>
    <definedName function="false" hidden="false" name="q4_nb" vbProcedure="false">In!$E$14</definedName>
    <definedName function="false" hidden="false" name="q4_nb_hi" vbProcedure="false">In!$F$14</definedName>
    <definedName function="false" hidden="false" name="q4_nb_lo" vbProcedure="false">In!$D$14</definedName>
    <definedName function="false" hidden="false" name="q4_np" vbProcedure="false">In!$E$15</definedName>
    <definedName function="false" hidden="false" name="q4_np_hi" vbProcedure="false">In!$F$15</definedName>
    <definedName function="false" hidden="false" name="q4_np_lo" vbProcedure="false">In!$D$15</definedName>
    <definedName function="false" hidden="false" name="rf" vbProcedure="false">In!$E$41</definedName>
    <definedName function="false" hidden="false" name="sh25" vbProcedure="false">In!$E$26</definedName>
    <definedName function="false" hidden="false" name="sh25_hi" vbProcedure="false">In!$F$26</definedName>
    <definedName function="false" hidden="false" name="sh25_lo" vbProcedure="false">In!$D$26</definedName>
    <definedName function="false" hidden="false" name="sh26" vbProcedure="false">In!$E$27</definedName>
    <definedName function="false" hidden="false" name="sh26_hi" vbProcedure="false">In!$F$27</definedName>
    <definedName function="false" hidden="false" name="sh26_lo" vbProcedure="false">In!$D$27</definedName>
    <definedName function="false" hidden="false" name="sh27" vbProcedure="false">In!$E$28</definedName>
    <definedName function="false" hidden="false" name="sh27_hi" vbProcedure="false">In!$F$28</definedName>
    <definedName function="false" hidden="false" name="sh27_lo" vbProcedure="false">In!$D$28</definedName>
    <definedName function="false" hidden="false" name="sh28" vbProcedure="false">In!$E$29</definedName>
    <definedName function="false" hidden="false" name="sh28_hi" vbProcedure="false">In!$F$29</definedName>
    <definedName function="false" hidden="false" name="sh28_lo" vbProcedure="false">In!$D$29</definedName>
    <definedName function="false" hidden="false" name="sh29" vbProcedure="false">In!$E$47</definedName>
    <definedName function="false" hidden="false" name="sh29_hi" vbProcedure="false">In!$F$47</definedName>
    <definedName function="false" hidden="false" name="sh29_lo" vbProcedure="false">In!$D$47</definedName>
    <definedName function="false" hidden="false" name="sh_last" vbProcedure="false">In!$E$62</definedName>
    <definedName function="false" hidden="false" name="tax" vbProcedure="false">In!$E$40</definedName>
    <definedName function="false" hidden="false" name="tax_hi" vbProcedure="false">In!$F$40</definedName>
    <definedName function="false" hidden="false" name="tax_lo" vbProcedure="false">In!$D$40</definedName>
    <definedName function="false" hidden="false" name="tp_g" vbProcedure="false">In!$E$251</definedName>
    <definedName function="false" hidden="false" name="tp_r" vbProcedure="false">In!$E$250</definedName>
    <definedName function="false" hidden="false" name="tp_roe" vbProcedure="false">In!$E$252</definedName>
    <definedName function="false" hidden="false" name="tp_wA" vbProcedure="false">In!$E$247</definedName>
    <definedName function="false" hidden="false" name="tp_wB" vbProcedure="false">In!$E$248</definedName>
    <definedName function="false" hidden="false" name="tp_wC" vbProcedure="false">In!$E$249</definedName>
    <definedName function="false" hidden="false" name="tp_w_dcf" vbProcedure="false">In!$E$253</definedName>
    <definedName function="false" hidden="false" name="um28_A" vbProcedure="false">In!$E$217</definedName>
    <definedName function="false" hidden="false" name="um28_B" vbProcedure="false">In!$E$219</definedName>
    <definedName function="false" hidden="false" name="um28_B_hi" vbProcedure="false">In!$F$219</definedName>
    <definedName function="false" hidden="false" name="um28_B_lo" vbProcedure="false">In!$D$219</definedName>
    <definedName function="false" hidden="false" name="um28_C" vbProcedure="false">In!$E$221</definedName>
    <definedName function="false" hidden="false" name="um28_C_hi" vbProcedure="false">In!$F$221</definedName>
    <definedName function="false" hidden="false" name="um28_C_lo" vbProcedure="false">In!$D$221</definedName>
    <definedName function="false" hidden="false" name="um29_A" vbProcedure="false">In!$E$218</definedName>
    <definedName function="false" hidden="false" name="um29_B" vbProcedure="false">In!$E$220</definedName>
    <definedName function="false" hidden="false" name="um29_B_hi" vbProcedure="false">In!$F$220</definedName>
    <definedName function="false" hidden="false" name="um29_B_lo" vbProcedure="false">In!$D$220</definedName>
    <definedName function="false" hidden="false" name="um29_C" vbProcedure="false">In!$E$222</definedName>
    <definedName function="false" hidden="false" name="um29_C_hi" vbProcedure="false">In!$F$222</definedName>
    <definedName function="false" hidden="false" name="um29_C_lo" vbProcedure="false">In!$D$222</definedName>
    <definedName function="false" hidden="false" name="u_amd_26" vbProcedure="false">In!$E$192</definedName>
    <definedName function="false" hidden="false" name="u_amd_26_hi" vbProcedure="false">In!$F$192</definedName>
    <definedName function="false" hidden="false" name="u_amd_26_lo" vbProcedure="false">In!$D$192</definedName>
    <definedName function="false" hidden="false" name="u_amd_27" vbProcedure="false">In!$E$193</definedName>
    <definedName function="false" hidden="false" name="u_amd_27_hi" vbProcedure="false">In!$F$193</definedName>
    <definedName function="false" hidden="false" name="u_amd_27_lo" vbProcedure="false">In!$D$193</definedName>
    <definedName function="false" hidden="false" name="u_amd_28" vbProcedure="false">In!$E$194</definedName>
    <definedName function="false" hidden="false" name="u_amd_28_hi" vbProcedure="false">In!$F$194</definedName>
    <definedName function="false" hidden="false" name="u_amd_28_lo" vbProcedure="false">In!$D$194</definedName>
    <definedName function="false" hidden="false" name="u_bw_26" vbProcedure="false">In!$E$168</definedName>
    <definedName function="false" hidden="false" name="u_bw_27" vbProcedure="false">In!$E$169</definedName>
    <definedName function="false" hidden="false" name="u_bw_28" vbProcedure="false">In!$E$170</definedName>
    <definedName function="false" hidden="false" name="u_hp_26" vbProcedure="false">In!$E$186</definedName>
    <definedName function="false" hidden="false" name="u_hp_27" vbProcedure="false">In!$E$187</definedName>
    <definedName function="false" hidden="false" name="u_hp_28" vbProcedure="false">In!$E$188</definedName>
    <definedName function="false" hidden="false" name="u_oth_26" vbProcedure="false">In!$E$210</definedName>
    <definedName function="false" hidden="false" name="u_oth_26_hi" vbProcedure="false">In!$F$210</definedName>
    <definedName function="false" hidden="false" name="u_oth_26_lo" vbProcedure="false">In!$D$210</definedName>
    <definedName function="false" hidden="false" name="u_oth_27" vbProcedure="false">In!$E$211</definedName>
    <definedName function="false" hidden="false" name="u_oth_27_hi" vbProcedure="false">In!$F$211</definedName>
    <definedName function="false" hidden="false" name="u_oth_27_lo" vbProcedure="false">In!$D$211</definedName>
    <definedName function="false" hidden="false" name="u_oth_28" vbProcedure="false">In!$E$212</definedName>
    <definedName function="false" hidden="false" name="u_oth_28_hi" vbProcedure="false">In!$F$212</definedName>
    <definedName function="false" hidden="false" name="u_oth_28_lo" vbProcedure="false">In!$D$212</definedName>
    <definedName function="false" hidden="false" name="u_rb_26" vbProcedure="false">In!$E$174</definedName>
    <definedName function="false" hidden="false" name="u_rb_27" vbProcedure="false">In!$E$175</definedName>
    <definedName function="false" hidden="false" name="u_rb_28" vbProcedure="false">In!$E$176</definedName>
    <definedName function="false" hidden="false" name="u_ru_26" vbProcedure="false">In!$E$180</definedName>
    <definedName function="false" hidden="false" name="u_ru_26_hi" vbProcedure="false">In!$F$180</definedName>
    <definedName function="false" hidden="false" name="u_ru_26_lo" vbProcedure="false">In!$D$180</definedName>
    <definedName function="false" hidden="false" name="u_ru_27" vbProcedure="false">In!$E$181</definedName>
    <definedName function="false" hidden="false" name="u_ru_27_hi" vbProcedure="false">In!$F$181</definedName>
    <definedName function="false" hidden="false" name="u_ru_27_lo" vbProcedure="false">In!$D$181</definedName>
    <definedName function="false" hidden="false" name="u_ru_28" vbProcedure="false">In!$E$182</definedName>
    <definedName function="false" hidden="false" name="u_ru_28_hi" vbProcedure="false">In!$F$182</definedName>
    <definedName function="false" hidden="false" name="u_ru_28_lo" vbProcedure="false">In!$D$182</definedName>
    <definedName function="false" hidden="false" name="u_tpu_26" vbProcedure="false">In!$E$198</definedName>
    <definedName function="false" hidden="false" name="u_tpu_27" vbProcedure="false">In!$E$199</definedName>
    <definedName function="false" hidden="false" name="u_tpu_28" vbProcedure="false">In!$E$200</definedName>
    <definedName function="false" hidden="false" name="u_trn_26" vbProcedure="false">In!$E$204</definedName>
    <definedName function="false" hidden="false" name="u_trn_26_hi" vbProcedure="false">In!$F$204</definedName>
    <definedName function="false" hidden="false" name="u_trn_26_lo" vbProcedure="false">In!$D$204</definedName>
    <definedName function="false" hidden="false" name="u_trn_27" vbProcedure="false">In!$E$205</definedName>
    <definedName function="false" hidden="false" name="u_trn_27_hi" vbProcedure="false">In!$F$205</definedName>
    <definedName function="false" hidden="false" name="u_trn_27_lo" vbProcedure="false">In!$D$205</definedName>
    <definedName function="false" hidden="false" name="u_trn_28" vbProcedure="false">In!$E$206</definedName>
    <definedName function="false" hidden="false" name="u_trn_28_hi" vbProcedure="false">In!$F$206</definedName>
    <definedName function="false" hidden="false" name="u_trn_28_lo" vbProcedure="false">In!$D$206</definedName>
    <definedName function="false" hidden="false" name="w_c" vbProcedure="false">In!$E$31</definedName>
    <definedName function="false" hidden="false" name="w_h" vbProcedure="false">In!$E$32</definedName>
    <definedName function="false" hidden="false" name="w_n" vbProcedure="false">In!$E$33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<sst xmlns="http://schemas.openxmlformats.org/spreadsheetml/2006/main" count="2063" uniqueCount="1081">
  <si>
    <r>
      <rPr>
        <b val="true"/>
        <sz val="11"/>
        <rFont val="Cambria"/>
        <family val="0"/>
        <charset val="1"/>
      </rPr>
      <t xml:space="preserve">SK </t>
    </r>
    <r>
      <rPr>
        <b val="true"/>
        <sz val="11"/>
        <rFont val="Noto Sans CJK SC"/>
        <family val="2"/>
      </rPr>
      <t xml:space="preserve">海力士 收支與估值模型 </t>
    </r>
    <r>
      <rPr>
        <b val="true"/>
        <sz val="11"/>
        <rFont val="Cambria"/>
        <family val="0"/>
        <charset val="1"/>
      </rPr>
      <t xml:space="preserve">v0.5.1</t>
    </r>
    <r>
      <rPr>
        <b val="true"/>
        <sz val="11"/>
        <rFont val="Noto Sans CJK SC"/>
        <family val="2"/>
      </rPr>
      <t xml:space="preserve">（記憶體樣板 </t>
    </r>
    <r>
      <rPr>
        <b val="true"/>
        <sz val="11"/>
        <rFont val="Cambria"/>
        <family val="0"/>
        <charset val="1"/>
      </rPr>
      <t xml:space="preserve">v0.4.1</t>
    </r>
    <r>
      <rPr>
        <b val="true"/>
        <sz val="11"/>
        <rFont val="Noto Sans CJK SC"/>
        <family val="2"/>
      </rPr>
      <t xml:space="preserve">）　</t>
    </r>
    <r>
      <rPr>
        <b val="true"/>
        <sz val="11"/>
        <rFont val="Cambria"/>
        <family val="0"/>
        <charset val="1"/>
      </rPr>
      <t xml:space="preserve">2026-10-25</t>
    </r>
  </si>
  <si>
    <r>
      <rPr>
        <sz val="11"/>
        <rFont val="Noto Sans CJK SC"/>
        <family val="2"/>
      </rPr>
      <t xml:space="preserve">模型命題：</t>
    </r>
    <r>
      <rPr>
        <sz val="11"/>
        <rFont val="Cambria"/>
        <family val="0"/>
        <charset val="1"/>
      </rPr>
      <t xml:space="preserve">SK </t>
    </r>
    <r>
      <rPr>
        <sz val="11"/>
        <rFont val="Noto Sans CJK SC"/>
        <family val="2"/>
      </rPr>
      <t xml:space="preserve">海力士的盈餘由兩條價格線決定——每季議價的一般 </t>
    </r>
    <r>
      <rPr>
        <sz val="11"/>
        <rFont val="Cambria"/>
        <family val="0"/>
        <charset val="1"/>
      </rPr>
      <t xml:space="preserve">DRAM </t>
    </r>
    <r>
      <rPr>
        <sz val="11"/>
        <rFont val="Noto Sans CJK SC"/>
        <family val="2"/>
      </rPr>
      <t xml:space="preserve">與年約鎖價的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；股價取決於這個循環在哪一年見頂，以及見頂時累積了多少淨值。</t>
    </r>
  </si>
  <si>
    <t xml:space="preserve">驅動因子 → 推導量</t>
  </si>
  <si>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（共用市場層）：一般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合約價季增 → 季度指數（情境 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）；各公司依會計年度取平均，算年均價變動</t>
    </r>
  </si>
  <si>
    <r>
      <rPr>
        <sz val="11"/>
        <rFont val="Cambria"/>
        <family val="0"/>
        <charset val="1"/>
      </rPr>
      <t xml:space="preserve">Mkt</t>
    </r>
    <r>
      <rPr>
        <sz val="11"/>
        <rFont val="Noto Sans CJK SC"/>
        <family val="2"/>
      </rPr>
      <t xml:space="preserve">（共用市場層）：加速器顆數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每顆 </t>
    </r>
    <r>
      <rPr>
        <sz val="11"/>
        <rFont val="Cambria"/>
        <family val="0"/>
        <charset val="1"/>
      </rPr>
      <t xml:space="preserve">GB 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2028–29</t>
    </r>
    <r>
      <rPr>
        <sz val="11"/>
        <rFont val="Noto Sans CJK SC"/>
        <family val="2"/>
      </rPr>
      <t xml:space="preserve">，與台積電、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同一套）→ 需求位元；</t>
    </r>
    <r>
      <rPr>
        <sz val="11"/>
        <rFont val="Cambria"/>
        <family val="0"/>
        <charset val="1"/>
      </rPr>
      <t xml:space="preserve">MIN(</t>
    </r>
    <r>
      <rPr>
        <sz val="11"/>
        <rFont val="Noto Sans CJK SC"/>
        <family val="2"/>
      </rPr>
      <t xml:space="preserve">需求</t>
    </r>
    <r>
      <rPr>
        <sz val="11"/>
        <rFont val="Cambria"/>
        <family val="0"/>
        <charset val="1"/>
      </rPr>
      <t xml:space="preserve">, </t>
    </r>
    <r>
      <rPr>
        <sz val="11"/>
        <rFont val="Noto Sans CJK SC"/>
        <family val="2"/>
      </rPr>
      <t xml:space="preserve">供給（三情境相同）</t>
    </r>
    <r>
      <rPr>
        <sz val="11"/>
        <rFont val="Cambria"/>
        <family val="0"/>
        <charset val="1"/>
      </rPr>
      <t xml:space="preserve">) → </t>
    </r>
    <r>
      <rPr>
        <sz val="11"/>
        <rFont val="Noto Sans CJK SC"/>
        <family val="2"/>
      </rPr>
      <t xml:space="preserve">出貨；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單價（依情境）→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市場（日曆年）</t>
    </r>
  </si>
  <si>
    <r>
      <rPr>
        <sz val="11"/>
        <rFont val="Cambria"/>
        <family val="0"/>
        <charset val="1"/>
      </rPr>
      <t xml:space="preserve">Q</t>
    </r>
    <r>
      <rPr>
        <sz val="11"/>
        <rFont val="Noto Sans CJK SC"/>
        <family val="2"/>
      </rPr>
      <t xml:space="preserve">：最後實績季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公司指引 </t>
    </r>
    <r>
      <rPr>
        <sz val="11"/>
        <rFont val="Cambria"/>
        <family val="0"/>
        <charset val="1"/>
      </rPr>
      <t xml:space="preserve">× TrendForce </t>
    </r>
    <r>
      <rPr>
        <sz val="11"/>
        <rFont val="Noto Sans CJK SC"/>
        <family val="2"/>
      </rPr>
      <t xml:space="preserve">季價 → 基準年剩餘季度</t>
    </r>
  </si>
  <si>
    <r>
      <rPr>
        <sz val="11"/>
        <rFont val="Cambria"/>
        <family val="0"/>
        <charset val="1"/>
      </rPr>
      <t xml:space="preserve">Y</t>
    </r>
    <r>
      <rPr>
        <sz val="11"/>
        <rFont val="Noto Sans CJK SC"/>
        <family val="2"/>
      </rPr>
      <t xml:space="preserve">：前一年 </t>
    </r>
    <r>
      <rPr>
        <sz val="11"/>
        <rFont val="Cambria"/>
        <family val="0"/>
        <charset val="1"/>
      </rPr>
      <t xml:space="preserve">× (1</t>
    </r>
    <r>
      <rPr>
        <sz val="11"/>
        <rFont val="Noto Sans CJK SC"/>
        <family val="2"/>
      </rPr>
      <t xml:space="preserve">＋位元</t>
    </r>
    <r>
      <rPr>
        <sz val="11"/>
        <rFont val="Cambria"/>
        <family val="0"/>
        <charset val="1"/>
      </rPr>
      <t xml:space="preserve">) × </t>
    </r>
    <r>
      <rPr>
        <sz val="11"/>
        <rFont val="Noto Sans CJK SC"/>
        <family val="2"/>
      </rPr>
      <t xml:space="preserve">價格指數比 → 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Σ </t>
    </r>
    <r>
      <rPr>
        <sz val="11"/>
        <rFont val="Noto Sans CJK SC"/>
        <family val="2"/>
      </rPr>
      <t xml:space="preserve">各季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市場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市占 → </t>
    </r>
    <r>
      <rPr>
        <sz val="11"/>
        <rFont val="Cambria"/>
        <family val="0"/>
        <charset val="1"/>
      </rPr>
      <t xml:space="preserve">HBM</t>
    </r>
    <r>
      <rPr>
        <sz val="11"/>
        <rFont val="Noto Sans CJK SC"/>
        <family val="2"/>
      </rPr>
      <t xml:space="preserve">；成本量 </t>
    </r>
    <r>
      <rPr>
        <sz val="11"/>
        <rFont val="Cambria"/>
        <family val="0"/>
        <charset val="1"/>
      </rPr>
      <t xml:space="preserve">× (1 − </t>
    </r>
    <r>
      <rPr>
        <sz val="11"/>
        <rFont val="Noto Sans CJK SC"/>
        <family val="2"/>
      </rPr>
      <t xml:space="preserve">年降</t>
    </r>
    <r>
      <rPr>
        <sz val="11"/>
        <rFont val="Cambria"/>
        <family val="0"/>
        <charset val="1"/>
      </rPr>
      <t xml:space="preserve">)</t>
    </r>
    <r>
      <rPr>
        <sz val="11"/>
        <rFont val="Noto Sans CJK SC"/>
        <family val="2"/>
      </rPr>
      <t xml:space="preserve">＋折舊 → 營業利益 → 淨利 → 權益 → 每股淨值</t>
    </r>
  </si>
  <si>
    <r>
      <rPr>
        <sz val="11"/>
        <rFont val="Cambria"/>
        <family val="0"/>
        <charset val="1"/>
      </rPr>
      <t xml:space="preserve">Val</t>
    </r>
    <r>
      <rPr>
        <sz val="11"/>
        <rFont val="Noto Sans CJK SC"/>
        <family val="2"/>
      </rPr>
      <t xml:space="preserve">：第 </t>
    </r>
    <r>
      <rPr>
        <sz val="11"/>
        <rFont val="Cambria"/>
        <family val="0"/>
        <charset val="1"/>
      </rPr>
      <t xml:space="preserve">0 </t>
    </r>
    <r>
      <rPr>
        <sz val="11"/>
        <rFont val="Noto Sans CJK SC"/>
        <family val="2"/>
      </rPr>
      <t xml:space="preserve">節目標價＝</t>
    </r>
    <r>
      <rPr>
        <sz val="11"/>
        <rFont val="Cambria"/>
        <family val="0"/>
        <charset val="1"/>
      </rPr>
      <t xml:space="preserve">DCF</t>
    </r>
    <r>
      <rPr>
        <sz val="11"/>
        <rFont val="Noto Sans CJK SC"/>
        <family val="2"/>
      </rPr>
      <t xml:space="preserve">（股東現金流，</t>
    </r>
    <r>
      <rPr>
        <sz val="11"/>
        <rFont val="Cambria"/>
        <family val="0"/>
        <charset val="1"/>
      </rPr>
      <t xml:space="preserve">FY2027–FY2032 </t>
    </r>
    <r>
      <rPr>
        <sz val="11"/>
        <rFont val="Noto Sans CJK SC"/>
        <family val="2"/>
      </rPr>
      <t xml:space="preserve">明確期＋永續）與 </t>
    </r>
    <r>
      <rPr>
        <sz val="11"/>
        <rFont val="Cambria"/>
        <family val="0"/>
        <charset val="1"/>
      </rPr>
      <t xml:space="preserve">Comparable</t>
    </r>
    <r>
      <rPr>
        <sz val="11"/>
        <rFont val="Noto Sans CJK SC"/>
        <family val="2"/>
      </rPr>
      <t xml:space="preserve">（同業前瞻 </t>
    </r>
    <r>
      <rPr>
        <sz val="11"/>
        <rFont val="Cambria"/>
        <family val="0"/>
        <charset val="1"/>
      </rPr>
      <t xml:space="preserve">P/B × </t>
    </r>
    <r>
      <rPr>
        <sz val="11"/>
        <rFont val="Noto Sans CJK SC"/>
        <family val="2"/>
      </rPr>
      <t xml:space="preserve">前瞻每股淨值）加權；另有每股淨值 </t>
    </r>
    <r>
      <rPr>
        <sz val="11"/>
        <rFont val="Cambria"/>
        <family val="0"/>
        <charset val="1"/>
      </rPr>
      <t xml:space="preserve">× P/B</t>
    </r>
    <r>
      <rPr>
        <sz val="11"/>
        <rFont val="Noto Sans CJK SC"/>
        <family val="2"/>
      </rPr>
      <t xml:space="preserve">（主）、</t>
    </r>
    <r>
      <rPr>
        <sz val="11"/>
        <rFont val="Cambria"/>
        <family val="0"/>
        <charset val="1"/>
      </rPr>
      <t xml:space="preserve">EPS × P/E</t>
    </r>
    <r>
      <rPr>
        <sz val="11"/>
        <rFont val="Noto Sans CJK SC"/>
        <family val="2"/>
      </rPr>
      <t xml:space="preserve">（對照）與十年倍數規則值</t>
    </r>
  </si>
  <si>
    <r>
      <rPr>
        <sz val="11"/>
        <rFont val="Cambria"/>
        <family val="0"/>
        <charset val="1"/>
      </rPr>
      <t xml:space="preserve">Sens</t>
    </r>
    <r>
      <rPr>
        <sz val="11"/>
        <rFont val="Noto Sans CJK SC"/>
        <family val="2"/>
      </rPr>
      <t xml:space="preserve">：各收入線同幅變動對營業利益的影響</t>
    </r>
  </si>
  <si>
    <t xml:space="preserve">非記憶體事業（只有三星）：營收與營業利益為輸入，不建模</t>
  </si>
  <si>
    <r>
      <rPr>
        <sz val="11"/>
        <rFont val="Cambria"/>
        <family val="0"/>
        <charset val="1"/>
      </rPr>
      <t xml:space="preserve">Recon</t>
    </r>
    <r>
      <rPr>
        <sz val="11"/>
        <rFont val="Noto Sans CJK SC"/>
        <family val="2"/>
      </rPr>
      <t xml:space="preserve">：與共識、公司指引事後對照</t>
    </r>
  </si>
  <si>
    <r>
      <rPr>
        <sz val="11"/>
        <rFont val="Noto Sans CJK SC"/>
        <family val="2"/>
      </rPr>
      <t xml:space="preserve">情境：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2027–28 </t>
    </r>
    <r>
      <rPr>
        <sz val="11"/>
        <rFont val="Noto Sans CJK SC"/>
        <family val="2"/>
      </rPr>
      <t xml:space="preserve">高檔持平、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緩降（</t>
    </r>
    <r>
      <rPr>
        <sz val="11"/>
        <rFont val="Cambria"/>
        <family val="0"/>
        <charset val="1"/>
      </rPr>
      <t xml:space="preserve">BofA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TrendForce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2027 Q2 </t>
    </r>
    <r>
      <rPr>
        <sz val="11"/>
        <rFont val="Noto Sans CJK SC"/>
        <family val="2"/>
      </rPr>
      <t xml:space="preserve">見頂、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回落約一半、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溫和回升（</t>
    </r>
    <r>
      <rPr>
        <sz val="11"/>
        <rFont val="Cambria"/>
        <family val="0"/>
        <charset val="1"/>
      </rPr>
      <t xml:space="preserve">Citi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Bernstein </t>
    </r>
    <r>
      <rPr>
        <sz val="11"/>
        <rFont val="Noto Sans CJK SC"/>
        <family val="2"/>
      </rPr>
      <t xml:space="preserve">型）；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回到 </t>
    </r>
    <r>
      <rPr>
        <sz val="11"/>
        <rFont val="Cambria"/>
        <family val="0"/>
        <charset val="1"/>
      </rPr>
      <t xml:space="preserve">2025 </t>
    </r>
    <r>
      <rPr>
        <sz val="11"/>
        <rFont val="Noto Sans CJK SC"/>
        <family val="2"/>
      </rPr>
      <t xml:space="preserve">年價格水準、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自谷底回升（完整循環）（目標價對應：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＝順利、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＝平平、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＝不如預期；</t>
    </r>
    <r>
      <rPr>
        <sz val="11"/>
        <rFont val="Cambria"/>
        <family val="0"/>
        <charset val="1"/>
      </rPr>
      <t xml:space="preserve">2030–2032 </t>
    </r>
    <r>
      <rPr>
        <sz val="11"/>
        <rFont val="Noto Sans CJK SC"/>
        <family val="2"/>
      </rPr>
      <t xml:space="preserve">為收斂法）</t>
    </r>
  </si>
  <si>
    <r>
      <rPr>
        <sz val="11"/>
        <rFont val="Noto Sans CJK SC"/>
        <family val="2"/>
      </rPr>
      <t xml:space="preserve">幣別單位：兆韓元；會計年度：日曆年（</t>
    </r>
    <r>
      <rPr>
        <sz val="11"/>
        <rFont val="Cambria"/>
        <family val="0"/>
        <charset val="1"/>
      </rPr>
      <t xml:space="preserve">K-IFRS </t>
    </r>
    <r>
      <rPr>
        <sz val="11"/>
        <rFont val="Noto Sans CJK SC"/>
        <family val="2"/>
      </rPr>
      <t xml:space="preserve">合併）</t>
    </r>
  </si>
  <si>
    <r>
      <rPr>
        <sz val="11"/>
        <rFont val="Noto Sans CJK SC"/>
        <family val="2"/>
      </rPr>
      <t xml:space="preserve">標記：</t>
    </r>
    <r>
      <rPr>
        <sz val="11"/>
        <rFont val="Cambria"/>
        <family val="0"/>
        <charset val="1"/>
      </rPr>
      <t xml:space="preserve">Verified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Interested-party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Analogy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Derived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SemiAnalysis </t>
    </r>
    <r>
      <rPr>
        <sz val="11"/>
        <rFont val="Noto Sans CJK SC"/>
        <family val="2"/>
      </rPr>
      <t xml:space="preserve">未使用。</t>
    </r>
  </si>
  <si>
    <r>
      <rPr>
        <sz val="11"/>
        <rFont val="Cambria"/>
        <family val="0"/>
        <charset val="1"/>
      </rPr>
      <t xml:space="preserve">vv0.4.1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頁新增「十年倍數與規則值」區塊（倍數歷史、分位、規則值與隱含股價；原放在 </t>
    </r>
    <r>
      <rPr>
        <sz val="11"/>
        <rFont val="Cambria"/>
        <family val="0"/>
        <charset val="1"/>
      </rPr>
      <t xml:space="preserve">markets/overview/extract.py</t>
    </r>
    <r>
      <rPr>
        <sz val="11"/>
        <rFont val="Noto Sans CJK SC"/>
        <family val="2"/>
      </rPr>
      <t xml:space="preserve">），總覽與 </t>
    </r>
    <r>
      <rPr>
        <sz val="11"/>
        <rFont val="Cambria"/>
        <family val="0"/>
        <charset val="1"/>
      </rPr>
      <t xml:space="preserve">HTML </t>
    </r>
    <r>
      <rPr>
        <sz val="11"/>
        <rFont val="Noto Sans CJK SC"/>
        <family val="2"/>
      </rPr>
      <t xml:space="preserve">展示層改讀此處；損益、</t>
    </r>
    <r>
      <rPr>
        <sz val="11"/>
        <rFont val="Cambria"/>
        <family val="0"/>
        <charset val="1"/>
      </rPr>
      <t xml:space="preserve">EPS </t>
    </r>
    <r>
      <rPr>
        <sz val="11"/>
        <rFont val="Noto Sans CJK SC"/>
        <family val="2"/>
      </rPr>
      <t xml:space="preserve">與原有儲存格不變。</t>
    </r>
  </si>
  <si>
    <r>
      <rPr>
        <sz val="11"/>
        <rFont val="Cambria"/>
        <family val="0"/>
        <charset val="1"/>
      </rPr>
      <t xml:space="preserve">v0.4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出貨位元隨情境變動（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2028–29 </t>
    </r>
    <r>
      <rPr>
        <sz val="11"/>
        <rFont val="Noto Sans CJK SC"/>
        <family val="2"/>
      </rPr>
      <t xml:space="preserve">需求位元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情境顆數係數（</t>
    </r>
    <r>
      <rPr>
        <sz val="11"/>
        <rFont val="Cambria"/>
        <family val="0"/>
        <charset val="1"/>
      </rPr>
      <t xml:space="preserve">B 0.8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0.85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0.6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0.6</t>
    </r>
    <r>
      <rPr>
        <sz val="11"/>
        <rFont val="Noto Sans CJK SC"/>
        <family val="2"/>
      </rPr>
      <t xml:space="preserve">；與台積電、</t>
    </r>
    <r>
      <rPr>
        <sz val="11"/>
        <rFont val="Cambria"/>
        <family val="0"/>
        <charset val="1"/>
      </rPr>
      <t xml:space="preserve">Advantest </t>
    </r>
    <r>
      <rPr>
        <sz val="11"/>
        <rFont val="Noto Sans CJK SC"/>
        <family val="2"/>
      </rPr>
      <t xml:space="preserve">同一套），供給與 </t>
    </r>
    <r>
      <rPr>
        <sz val="11"/>
        <rFont val="Cambria"/>
        <family val="0"/>
        <charset val="1"/>
      </rPr>
      <t xml:space="preserve">2028 </t>
    </r>
    <r>
      <rPr>
        <sz val="11"/>
        <rFont val="Noto Sans CJK SC"/>
        <family val="2"/>
      </rPr>
      <t xml:space="preserve">前的單價假設不變。</t>
    </r>
    <r>
      <rPr>
        <sz val="11"/>
        <rFont val="Cambria"/>
        <family val="0"/>
        <charset val="1"/>
      </rPr>
      <t xml:space="preserve">2026–27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v0.3.1 </t>
    </r>
    <r>
      <rPr>
        <sz val="11"/>
        <rFont val="Noto Sans CJK SC"/>
        <family val="2"/>
      </rPr>
      <t xml:space="preserve">相同；情境 </t>
    </r>
    <r>
      <rPr>
        <sz val="11"/>
        <rFont val="Cambria"/>
        <family val="0"/>
        <charset val="1"/>
      </rPr>
      <t xml:space="preserve">A </t>
    </r>
    <r>
      <rPr>
        <sz val="11"/>
        <rFont val="Noto Sans CJK SC"/>
        <family val="2"/>
      </rPr>
      <t xml:space="preserve">全部相同；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C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2028–29 HBM </t>
    </r>
    <r>
      <rPr>
        <sz val="11"/>
        <rFont val="Noto Sans CJK SC"/>
        <family val="2"/>
      </rPr>
      <t xml:space="preserve">營收下降，營業成本量指數隨 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位元同步下降。</t>
    </r>
  </si>
  <si>
    <r>
      <rPr>
        <sz val="11"/>
        <rFont val="Cambria"/>
        <family val="0"/>
        <charset val="1"/>
      </rPr>
      <t xml:space="preserve">v0.3.1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Tokenomics v19.0 </t>
    </r>
    <r>
      <rPr>
        <sz val="11"/>
        <rFont val="Noto Sans CJK SC"/>
        <family val="2"/>
      </rPr>
      <t xml:space="preserve">同步。只有對帳頁的「每顆 </t>
    </r>
    <r>
      <rPr>
        <sz val="11"/>
        <rFont val="Cambria"/>
        <family val="0"/>
        <charset val="1"/>
      </rPr>
      <t xml:space="preserve">GPU </t>
    </r>
    <r>
      <rPr>
        <sz val="11"/>
        <rFont val="Noto Sans CJK SC"/>
        <family val="2"/>
      </rPr>
      <t xml:space="preserve">的 </t>
    </r>
    <r>
      <rPr>
        <sz val="11"/>
        <rFont val="Cambria"/>
        <family val="0"/>
        <charset val="1"/>
      </rPr>
      <t xml:space="preserve">NVIDIA </t>
    </r>
    <r>
      <rPr>
        <sz val="11"/>
        <rFont val="Noto Sans CJK SC"/>
        <family val="2"/>
      </rPr>
      <t xml:space="preserve">內容」由 </t>
    </r>
    <r>
      <rPr>
        <sz val="11"/>
        <rFont val="Cambria"/>
        <family val="0"/>
        <charset val="1"/>
      </rPr>
      <t xml:space="preserve">51.6 </t>
    </r>
    <r>
      <rPr>
        <sz val="11"/>
        <rFont val="Noto Sans CJK SC"/>
        <family val="2"/>
      </rPr>
      <t xml:space="preserve">改 </t>
    </r>
    <r>
      <rPr>
        <sz val="11"/>
        <rFont val="Cambria"/>
        <family val="0"/>
        <charset val="1"/>
      </rPr>
      <t xml:space="preserve">42.8 </t>
    </r>
    <r>
      <rPr>
        <sz val="11"/>
        <rFont val="Noto Sans CJK SC"/>
        <family val="2"/>
      </rPr>
      <t xml:space="preserve">千美元（橋接表 </t>
    </r>
    <r>
      <rPr>
        <sz val="11"/>
        <rFont val="Cambria"/>
        <family val="0"/>
        <charset val="1"/>
      </rPr>
      <t xml:space="preserve">v0.2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GB300 </t>
    </r>
    <r>
      <rPr>
        <sz val="11"/>
        <rFont val="Noto Sans CJK SC"/>
        <family val="2"/>
      </rPr>
      <t xml:space="preserve">機架基準價 </t>
    </r>
    <r>
      <rPr>
        <sz val="11"/>
        <rFont val="Cambria"/>
        <family val="0"/>
        <charset val="1"/>
      </rPr>
      <t xml:space="preserve">$4.3M</t>
    </r>
    <r>
      <rPr>
        <sz val="11"/>
        <rFont val="Noto Sans CJK SC"/>
        <family val="2"/>
      </rPr>
      <t xml:space="preserve">）；損益、淨值、估值與 </t>
    </r>
    <r>
      <rPr>
        <sz val="11"/>
        <rFont val="Cambria"/>
        <family val="0"/>
        <charset val="1"/>
      </rPr>
      <t xml:space="preserve">v0.3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</si>
  <si>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v0.3</t>
    </r>
    <r>
      <rPr>
        <sz val="11"/>
        <rFont val="Noto Sans CJK SC"/>
        <family val="2"/>
      </rPr>
      <t xml:space="preserve">：預測延長到 </t>
    </r>
    <r>
      <rPr>
        <sz val="11"/>
        <rFont val="Cambria"/>
        <family val="0"/>
        <charset val="1"/>
      </rPr>
      <t xml:space="preserve">2029</t>
    </r>
    <r>
      <rPr>
        <sz val="11"/>
        <rFont val="Noto Sans CJK SC"/>
        <family val="2"/>
      </rPr>
      <t xml:space="preserve">（三情境各加 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年走法）；前兩年數字與 </t>
    </r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相同。</t>
    </r>
  </si>
  <si>
    <r>
      <rPr>
        <sz val="11"/>
        <rFont val="Cambria"/>
        <family val="0"/>
        <charset val="1"/>
      </rPr>
      <t xml:space="preserve">v0.2 </t>
    </r>
    <r>
      <rPr>
        <sz val="11"/>
        <rFont val="Noto Sans CJK SC"/>
        <family val="2"/>
      </rPr>
      <t xml:space="preserve">相對 </t>
    </r>
    <r>
      <rPr>
        <sz val="11"/>
        <rFont val="Cambria"/>
        <family val="0"/>
        <charset val="1"/>
      </rPr>
      <t xml:space="preserve">v0.1</t>
    </r>
    <r>
      <rPr>
        <sz val="11"/>
        <rFont val="Noto Sans CJK SC"/>
        <family val="2"/>
      </rPr>
      <t xml:space="preserve">：</t>
    </r>
    <r>
      <rPr>
        <sz val="11"/>
        <rFont val="Cambria"/>
        <family val="0"/>
        <charset val="1"/>
      </rPr>
      <t xml:space="preserve">(1) </t>
    </r>
    <r>
      <rPr>
        <sz val="11"/>
        <rFont val="Noto Sans CJK SC"/>
        <family val="2"/>
      </rPr>
      <t xml:space="preserve">一般 </t>
    </r>
    <r>
      <rPr>
        <sz val="11"/>
        <rFont val="Cambria"/>
        <family val="0"/>
        <charset val="1"/>
      </rPr>
      <t xml:space="preserve">DRAM</t>
    </r>
    <r>
      <rPr>
        <sz val="11"/>
        <rFont val="Noto Sans CJK SC"/>
        <family val="2"/>
      </rPr>
      <t xml:space="preserve">、</t>
    </r>
    <r>
      <rPr>
        <sz val="11"/>
        <rFont val="Cambria"/>
        <family val="0"/>
        <charset val="1"/>
      </rPr>
      <t xml:space="preserve">NAND </t>
    </r>
    <r>
      <rPr>
        <sz val="11"/>
        <rFont val="Noto Sans CJK SC"/>
        <family val="2"/>
      </rPr>
      <t xml:space="preserve">年均價變動改由共用季價路徑（</t>
    </r>
    <r>
      <rPr>
        <sz val="11"/>
        <rFont val="Cambria"/>
        <family val="0"/>
        <charset val="1"/>
      </rPr>
      <t xml:space="preserve">Path</t>
    </r>
    <r>
      <rPr>
        <sz val="11"/>
        <rFont val="Noto Sans CJK SC"/>
        <family val="2"/>
      </rPr>
      <t xml:space="preserve">）依會計年度平均算出，不再逐年手填；</t>
    </r>
    <r>
      <rPr>
        <sz val="11"/>
        <rFont val="Cambria"/>
        <family val="0"/>
        <charset val="1"/>
      </rPr>
      <t xml:space="preserve">(2) </t>
    </r>
    <r>
      <rPr>
        <sz val="11"/>
        <rFont val="Noto Sans CJK SC"/>
        <family val="2"/>
      </rPr>
      <t xml:space="preserve">新增情境 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；</t>
    </r>
    <r>
      <rPr>
        <sz val="11"/>
        <rFont val="Cambria"/>
        <family val="0"/>
        <charset val="1"/>
      </rPr>
      <t xml:space="preserve">(3) HBM </t>
    </r>
    <r>
      <rPr>
        <sz val="11"/>
        <rFont val="Noto Sans CJK SC"/>
        <family val="2"/>
      </rPr>
      <t xml:space="preserve">市場移到共用市場層 </t>
    </r>
    <r>
      <rPr>
        <sz val="11"/>
        <rFont val="Cambria"/>
        <family val="0"/>
        <charset val="1"/>
      </rPr>
      <t xml:space="preserve">markets/memory</t>
    </r>
    <r>
      <rPr>
        <sz val="11"/>
        <rFont val="Noto Sans CJK SC"/>
        <family val="2"/>
      </rPr>
      <t xml:space="preserve">。</t>
    </r>
  </si>
  <si>
    <r>
      <rPr>
        <sz val="11"/>
        <rFont val="Noto Sans CJK SC"/>
        <family val="2"/>
      </rPr>
      <t xml:space="preserve">已知簡化：營運資金未計；股數用期末；</t>
    </r>
    <r>
      <rPr>
        <sz val="11"/>
        <rFont val="Cambria"/>
        <family val="0"/>
        <charset val="1"/>
      </rPr>
      <t xml:space="preserve">HBM </t>
    </r>
    <r>
      <rPr>
        <sz val="11"/>
        <rFont val="Noto Sans CJK SC"/>
        <family val="2"/>
      </rPr>
      <t xml:space="preserve">毛利率無法由公開資料分離。</t>
    </r>
  </si>
  <si>
    <r>
      <rPr>
        <sz val="11"/>
        <rFont val="Cambria"/>
        <family val="0"/>
        <charset val="1"/>
      </rPr>
      <t xml:space="preserve">v0.4.2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目標價與上檔空間」（放在 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既有內容之後，不位移既有列）：目標價＝</t>
    </r>
    <r>
      <rPr>
        <sz val="11"/>
        <rFont val="Cambria"/>
        <family val="0"/>
        <charset val="1"/>
      </rPr>
      <t xml:space="preserve">In </t>
    </r>
    <r>
      <rPr>
        <sz val="11"/>
        <rFont val="Noto Sans CJK SC"/>
        <family val="2"/>
      </rPr>
      <t xml:space="preserve">頁權重 </t>
    </r>
    <r>
      <rPr>
        <sz val="11"/>
        <rFont val="Cambria"/>
        <family val="0"/>
        <charset val="1"/>
      </rPr>
      <t xml:space="preserve">tp_wA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tp_wB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tp_wC</t>
    </r>
    <r>
      <rPr>
        <sz val="11"/>
        <rFont val="Noto Sans CJK SC"/>
        <family val="2"/>
      </rPr>
      <t xml:space="preserve">（預設 </t>
    </r>
    <r>
      <rPr>
        <sz val="11"/>
        <rFont val="Cambria"/>
        <family val="0"/>
        <charset val="1"/>
      </rPr>
      <t xml:space="preserve">A 0.3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B 0.5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C 0.2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Assumed</t>
    </r>
    <r>
      <rPr>
        <sz val="11"/>
        <rFont val="Noto Sans CJK SC"/>
        <family val="2"/>
      </rPr>
      <t xml:space="preserve">，</t>
    </r>
    <r>
      <rPr>
        <sz val="11"/>
        <rFont val="Cambria"/>
        <family val="0"/>
        <charset val="1"/>
      </rPr>
      <t xml:space="preserve">Andy </t>
    </r>
    <r>
      <rPr>
        <sz val="11"/>
        <rFont val="Noto Sans CJK SC"/>
        <family val="2"/>
      </rPr>
      <t xml:space="preserve">可改）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三個 </t>
    </r>
    <r>
      <rPr>
        <sz val="11"/>
        <rFont val="Cambria"/>
        <family val="0"/>
        <charset val="1"/>
      </rPr>
      <t xml:space="preserve">P/B </t>
    </r>
    <r>
      <rPr>
        <sz val="11"/>
        <rFont val="Noto Sans CJK SC"/>
        <family val="2"/>
      </rPr>
      <t xml:space="preserve">規則值（</t>
    </r>
    <r>
      <rPr>
        <sz val="11"/>
        <rFont val="Cambria"/>
        <family val="0"/>
        <charset val="1"/>
      </rPr>
      <t xml:space="preserve">A</t>
    </r>
    <r>
      <rPr>
        <sz val="11"/>
        <rFont val="Noto Sans CJK SC"/>
        <family val="2"/>
      </rPr>
      <t xml:space="preserve">＝中段、</t>
    </r>
    <r>
      <rPr>
        <sz val="11"/>
        <rFont val="Cambria"/>
        <family val="0"/>
        <charset val="1"/>
      </rPr>
      <t xml:space="preserve">B</t>
    </r>
    <r>
      <rPr>
        <sz val="11"/>
        <rFont val="Noto Sans CJK SC"/>
        <family val="2"/>
      </rPr>
      <t xml:space="preserve">＝見頂、</t>
    </r>
    <r>
      <rPr>
        <sz val="11"/>
        <rFont val="Cambria"/>
        <family val="0"/>
        <charset val="1"/>
      </rPr>
      <t xml:space="preserve">C</t>
    </r>
    <r>
      <rPr>
        <sz val="11"/>
        <rFont val="Noto Sans CJK SC"/>
        <family val="2"/>
      </rPr>
      <t xml:space="preserve">＝谷底）；既有儲存格的值不變。</t>
    </r>
  </si>
  <si>
    <r>
      <rPr>
        <sz val="11"/>
        <rFont val="Cambria"/>
        <family val="0"/>
        <charset val="1"/>
      </rPr>
      <t xml:space="preserve">v0.5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頁新增「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目標價」（</t>
    </r>
    <r>
      <rPr>
        <sz val="11"/>
        <rFont val="Cambria"/>
        <family val="0"/>
        <charset val="1"/>
      </rPr>
      <t xml:space="preserve">DCF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Comparable </t>
    </r>
    <r>
      <rPr>
        <sz val="11"/>
        <rFont val="Noto Sans CJK SC"/>
        <family val="2"/>
      </rPr>
      <t xml:space="preserve">加權，</t>
    </r>
    <r>
      <rPr>
        <sz val="11"/>
        <rFont val="Cambria"/>
        <family val="0"/>
        <charset val="1"/>
      </rPr>
      <t xml:space="preserve">tp_w_dcf 0.5</t>
    </r>
    <r>
      <rPr>
        <sz val="11"/>
        <rFont val="Noto Sans CJK SC"/>
        <family val="2"/>
      </rPr>
      <t xml:space="preserve">）；原「</t>
    </r>
    <r>
      <rPr>
        <sz val="11"/>
        <rFont val="Cambria"/>
        <family val="0"/>
        <charset val="1"/>
      </rPr>
      <t xml:space="preserve">0. </t>
    </r>
    <r>
      <rPr>
        <sz val="11"/>
        <rFont val="Noto Sans CJK SC"/>
        <family val="2"/>
      </rPr>
      <t xml:space="preserve">目標價與上檔空間」改名「舊法：規則值情境加權（參考）」，情境對應改為 </t>
    </r>
    <r>
      <rPr>
        <sz val="11"/>
        <rFont val="Cambria"/>
        <family val="0"/>
        <charset val="1"/>
      </rPr>
      <t xml:space="preserve">A 75 </t>
    </r>
    <r>
      <rPr>
        <sz val="11"/>
        <rFont val="Noto Sans CJK SC"/>
        <family val="2"/>
      </rPr>
      <t xml:space="preserve">分位、</t>
    </r>
    <r>
      <rPr>
        <sz val="11"/>
        <rFont val="Cambria"/>
        <family val="0"/>
        <charset val="1"/>
      </rPr>
      <t xml:space="preserve">B </t>
    </r>
    <r>
      <rPr>
        <sz val="11"/>
        <rFont val="Noto Sans CJK SC"/>
        <family val="2"/>
      </rPr>
      <t xml:space="preserve">中位數、</t>
    </r>
    <r>
      <rPr>
        <sz val="11"/>
        <rFont val="Cambria"/>
        <family val="0"/>
        <charset val="1"/>
      </rPr>
      <t xml:space="preserve">C 25 </t>
    </r>
    <r>
      <rPr>
        <sz val="11"/>
        <rFont val="Noto Sans CJK SC"/>
        <family val="2"/>
      </rPr>
      <t xml:space="preserve">分位 </t>
    </r>
    <r>
      <rPr>
        <sz val="11"/>
        <rFont val="Cambria"/>
        <family val="0"/>
        <charset val="1"/>
      </rPr>
      <t xml:space="preserve">× </t>
    </r>
    <r>
      <rPr>
        <sz val="11"/>
        <rFont val="Noto Sans CJK SC"/>
        <family val="2"/>
      </rPr>
      <t xml:space="preserve">各情境 </t>
    </r>
    <r>
      <rPr>
        <sz val="11"/>
        <rFont val="Cambria"/>
        <family val="0"/>
        <charset val="1"/>
      </rPr>
      <t xml:space="preserve">2027 </t>
    </r>
    <r>
      <rPr>
        <sz val="11"/>
        <rFont val="Noto Sans CJK SC"/>
        <family val="2"/>
      </rPr>
      <t xml:space="preserve">年底每股淨值。</t>
    </r>
    <r>
      <rPr>
        <sz val="11"/>
        <rFont val="Cambria"/>
        <family val="0"/>
        <charset val="1"/>
      </rPr>
      <t xml:space="preserve">Y </t>
    </r>
    <r>
      <rPr>
        <sz val="11"/>
        <rFont val="Noto Sans CJK SC"/>
        <family val="2"/>
      </rPr>
      <t xml:space="preserve">頁三情境延伸到 </t>
    </r>
    <r>
      <rPr>
        <sz val="11"/>
        <rFont val="Cambria"/>
        <family val="0"/>
        <charset val="1"/>
      </rPr>
      <t xml:space="preserve">2032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2030 </t>
    </r>
    <r>
      <rPr>
        <sz val="11"/>
        <rFont val="Noto Sans CJK SC"/>
        <family val="2"/>
      </rPr>
      <t xml:space="preserve">起收斂法）。現價更新為 </t>
    </r>
    <r>
      <rPr>
        <sz val="11"/>
        <rFont val="Cambria"/>
        <family val="0"/>
        <charset val="1"/>
      </rPr>
      <t xml:space="preserve">2026-10-23 </t>
    </r>
    <r>
      <rPr>
        <sz val="11"/>
        <rFont val="Noto Sans CJK SC"/>
        <family val="2"/>
      </rPr>
      <t xml:space="preserve">收盤 </t>
    </r>
    <r>
      <rPr>
        <sz val="11"/>
        <rFont val="Cambria"/>
        <family val="0"/>
        <charset val="1"/>
      </rPr>
      <t xml:space="preserve">1,277,000</t>
    </r>
    <r>
      <rPr>
        <sz val="11"/>
        <rFont val="Noto Sans CJK SC"/>
        <family val="2"/>
      </rPr>
      <t xml:space="preserve">。</t>
    </r>
    <r>
      <rPr>
        <sz val="11"/>
        <rFont val="Cambria"/>
        <family val="0"/>
        <charset val="1"/>
      </rPr>
      <t xml:space="preserve">2026–2028 EPS </t>
    </r>
    <r>
      <rPr>
        <sz val="11"/>
        <rFont val="Noto Sans CJK SC"/>
        <family val="2"/>
      </rPr>
      <t xml:space="preserve">與 </t>
    </r>
    <r>
      <rPr>
        <sz val="11"/>
        <rFont val="Cambria"/>
        <family val="0"/>
        <charset val="1"/>
      </rPr>
      <t xml:space="preserve">v0.4.2 </t>
    </r>
    <r>
      <rPr>
        <sz val="11"/>
        <rFont val="Noto Sans CJK SC"/>
        <family val="2"/>
      </rPr>
      <t xml:space="preserve">相同；</t>
    </r>
    <r>
      <rPr>
        <sz val="11"/>
        <rFont val="Cambria"/>
        <family val="0"/>
        <charset val="1"/>
      </rPr>
      <t xml:space="preserve">2029 </t>
    </r>
    <r>
      <rPr>
        <sz val="11"/>
        <rFont val="Noto Sans CJK SC"/>
        <family val="2"/>
      </rPr>
      <t xml:space="preserve">因修正共用工具「前一年」基期（原誤用 </t>
    </r>
    <r>
      <rPr>
        <sz val="11"/>
        <rFont val="Cambria"/>
        <family val="0"/>
        <charset val="1"/>
      </rPr>
      <t xml:space="preserve">2027</t>
    </r>
    <r>
      <rPr>
        <sz val="11"/>
        <rFont val="Noto Sans CJK SC"/>
        <family val="2"/>
      </rPr>
      <t xml:space="preserve">）而改變。收斂期淨利率收斂到循環中段（十年平均 </t>
    </r>
    <r>
      <rPr>
        <sz val="11"/>
        <rFont val="Cambria"/>
        <family val="0"/>
        <charset val="1"/>
      </rPr>
      <t xml:space="preserve">× 1.2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1.0</t>
    </r>
    <r>
      <rPr>
        <sz val="11"/>
        <rFont val="Noto Sans CJK SC"/>
        <family val="2"/>
      </rPr>
      <t xml:space="preserve">／</t>
    </r>
    <r>
      <rPr>
        <sz val="11"/>
        <rFont val="Cambria"/>
        <family val="0"/>
        <charset val="1"/>
      </rPr>
      <t xml:space="preserve">0.8</t>
    </r>
    <r>
      <rPr>
        <sz val="11"/>
        <rFont val="Noto Sans CJK SC"/>
        <family val="2"/>
      </rPr>
      <t xml:space="preserve">）。</t>
    </r>
  </si>
  <si>
    <r>
      <rPr>
        <sz val="11"/>
        <rFont val="Cambria"/>
        <family val="0"/>
        <charset val="1"/>
      </rPr>
      <t xml:space="preserve">v0.5.1</t>
    </r>
    <r>
      <rPr>
        <sz val="11"/>
        <rFont val="Noto Sans CJK SC"/>
        <family val="2"/>
      </rPr>
      <t xml:space="preserve">（</t>
    </r>
    <r>
      <rPr>
        <sz val="11"/>
        <rFont val="Cambria"/>
        <family val="0"/>
        <charset val="1"/>
      </rPr>
      <t xml:space="preserve">2026-10-25</t>
    </r>
    <r>
      <rPr>
        <sz val="11"/>
        <rFont val="Noto Sans CJK SC"/>
        <family val="2"/>
      </rPr>
      <t xml:space="preserve">）：補上檔空間級距、投資建議、重點觀察（數值不變）。</t>
    </r>
    <r>
      <rPr>
        <sz val="11"/>
        <rFont val="Cambria"/>
        <family val="0"/>
        <charset val="1"/>
      </rPr>
      <t xml:space="preserve">Val </t>
    </r>
    <r>
      <rPr>
        <sz val="11"/>
        <rFont val="Noto Sans CJK SC"/>
        <family val="2"/>
      </rPr>
      <t xml:space="preserve">頁最後新增「上檔空間級距」「投資建議」兩列（依「上檔空間：加權目標價」固定規則）；</t>
    </r>
    <r>
      <rPr>
        <sz val="11"/>
        <rFont val="Cambria"/>
        <family val="0"/>
        <charset val="1"/>
      </rPr>
      <t xml:space="preserve">README </t>
    </r>
    <r>
      <rPr>
        <sz val="11"/>
        <rFont val="Noto Sans CJK SC"/>
        <family val="2"/>
      </rPr>
      <t xml:space="preserve">頁最後新增投資建議與重點觀察三點。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</si>
  <si>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：目標價 ₩</t>
    </r>
    <r>
      <rPr>
        <sz val="11"/>
        <color theme="1"/>
        <rFont val="Calibri"/>
        <family val="2"/>
        <charset val="1"/>
      </rPr>
      <t xml:space="preserve">3,087,845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DCF 3,709,130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Comparable 2,466,561 </t>
    </r>
    <r>
      <rPr>
        <sz val="11"/>
        <color theme="1"/>
        <rFont val="Noto Sans CJK SC"/>
        <family val="2"/>
      </rPr>
      <t xml:space="preserve">各半），比現價 </t>
    </r>
    <r>
      <rPr>
        <sz val="11"/>
        <color theme="1"/>
        <rFont val="Calibri"/>
        <family val="2"/>
        <charset val="1"/>
      </rPr>
      <t xml:space="preserve">1,277,000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</t>
    </r>
    <r>
      <rPr>
        <sz val="11"/>
        <color theme="1"/>
        <rFont val="Noto Sans CJK SC"/>
        <family val="2"/>
      </rPr>
      <t xml:space="preserve">）高 </t>
    </r>
    <r>
      <rPr>
        <sz val="11"/>
        <color theme="1"/>
        <rFont val="Calibri"/>
        <family val="2"/>
        <charset val="1"/>
      </rPr>
      <t xml:space="preserve">141.8%</t>
    </r>
    <r>
      <rPr>
        <sz val="11"/>
        <color theme="1"/>
        <rFont val="Noto Sans CJK SC"/>
        <family val="2"/>
      </rPr>
      <t xml:space="preserve">，級距 大於 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單獨為 </t>
    </r>
    <r>
      <rPr>
        <sz val="11"/>
        <color theme="1"/>
        <rFont val="Calibri"/>
        <family val="2"/>
        <charset val="1"/>
      </rPr>
      <t xml:space="preserve">+93.2%</t>
    </r>
    <r>
      <rPr>
        <sz val="11"/>
        <color theme="1"/>
        <rFont val="Noto Sans CJK SC"/>
        <family val="2"/>
      </rPr>
      <t xml:space="preserve">。主因是倍數不是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：本模型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 </t>
    </r>
    <r>
      <rPr>
        <sz val="11"/>
        <color theme="1"/>
        <rFont val="Calibri"/>
        <family val="2"/>
        <charset val="1"/>
      </rPr>
      <t xml:space="preserve">1,271,423 </t>
    </r>
    <r>
      <rPr>
        <sz val="11"/>
        <color theme="1"/>
        <rFont val="Noto Sans CJK SC"/>
        <family val="2"/>
      </rPr>
      <t xml:space="preserve">比共識 </t>
    </r>
    <r>
      <rPr>
        <sz val="11"/>
        <color theme="1"/>
        <rFont val="Calibri"/>
        <family val="2"/>
        <charset val="1"/>
      </rPr>
      <t xml:space="preserve">1,398,106 </t>
    </r>
    <r>
      <rPr>
        <sz val="11"/>
        <color theme="1"/>
        <rFont val="Noto Sans CJK SC"/>
        <family val="2"/>
      </rPr>
      <t xml:space="preserve">低 </t>
    </r>
    <r>
      <rPr>
        <sz val="11"/>
        <color theme="1"/>
        <rFont val="Calibri"/>
        <family val="2"/>
        <charset val="1"/>
      </rPr>
      <t xml:space="preserve">9.1%</t>
    </r>
    <r>
      <rPr>
        <sz val="11"/>
        <color theme="1"/>
        <rFont val="Noto Sans CJK SC"/>
        <family val="2"/>
      </rPr>
      <t xml:space="preserve">（前瞻 </t>
    </r>
    <r>
      <rPr>
        <sz val="11"/>
        <color theme="1"/>
        <rFont val="Calibri"/>
        <family val="2"/>
        <charset val="1"/>
      </rPr>
      <t xml:space="preserve">EPS 439,185 </t>
    </r>
    <r>
      <rPr>
        <sz val="11"/>
        <color theme="1"/>
        <rFont val="Noto Sans CJK SC"/>
        <family val="2"/>
      </rPr>
      <t xml:space="preserve">比共識低 </t>
    </r>
    <r>
      <rPr>
        <sz val="11"/>
        <color theme="1"/>
        <rFont val="Calibri"/>
        <family val="2"/>
        <charset val="1"/>
      </rPr>
      <t xml:space="preserve">16.8%</t>
    </r>
    <r>
      <rPr>
        <sz val="11"/>
        <color theme="1"/>
        <rFont val="Noto Sans CJK SC"/>
        <family val="2"/>
      </rPr>
      <t xml:space="preserve">），但現價只隱含約 </t>
    </r>
    <r>
      <rPr>
        <sz val="11"/>
        <color theme="1"/>
        <rFont val="Calibri"/>
        <family val="2"/>
        <charset val="1"/>
      </rPr>
      <t xml:space="preserve">1.0 </t>
    </r>
    <r>
      <rPr>
        <sz val="11"/>
        <color theme="1"/>
        <rFont val="Noto Sans CJK SC"/>
        <family val="2"/>
      </rPr>
      <t xml:space="preserve">倍前瞻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，同業（三星、美光、鎧俠、南亞科）中位數 </t>
    </r>
    <r>
      <rPr>
        <sz val="11"/>
        <color theme="1"/>
        <rFont val="Calibri"/>
        <family val="2"/>
        <charset val="1"/>
      </rPr>
      <t xml:space="preserve">1.94 </t>
    </r>
    <r>
      <rPr>
        <sz val="11"/>
        <color theme="1"/>
        <rFont val="Noto Sans CJK SC"/>
        <family val="2"/>
      </rPr>
      <t xml:space="preserve">倍、共識目標價 </t>
    </r>
    <r>
      <rPr>
        <sz val="11"/>
        <color theme="1"/>
        <rFont val="Calibri"/>
        <family val="2"/>
        <charset val="1"/>
      </rPr>
      <t xml:space="preserve">3,096,288 </t>
    </r>
    <r>
      <rPr>
        <sz val="11"/>
        <color theme="1"/>
        <rFont val="Noto Sans CJK SC"/>
        <family val="2"/>
      </rPr>
      <t xml:space="preserve">隱含 </t>
    </r>
    <r>
      <rPr>
        <sz val="11"/>
        <color theme="1"/>
        <rFont val="Calibri"/>
        <family val="2"/>
        <charset val="1"/>
      </rPr>
      <t xml:space="preserve">2.21 </t>
    </r>
    <r>
      <rPr>
        <sz val="11"/>
        <color theme="1"/>
        <rFont val="Noto Sans CJK SC"/>
        <family val="2"/>
      </rPr>
      <t xml:space="preserve">倍；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另被 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高峰期自由現金流拉高（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為現價 </t>
    </r>
    <r>
      <rPr>
        <sz val="11"/>
        <color theme="1"/>
        <rFont val="Calibri"/>
        <family val="2"/>
        <charset val="1"/>
      </rPr>
      <t xml:space="preserve">5.10 </t>
    </r>
    <r>
      <rPr>
        <sz val="11"/>
        <color theme="1"/>
        <rFont val="Noto Sans CJK SC"/>
        <family val="2"/>
      </rPr>
      <t xml:space="preserve">倍）。加權目標價與共識目標價只差 </t>
    </r>
    <r>
      <rPr>
        <sz val="11"/>
        <color theme="1"/>
        <rFont val="Calibri"/>
        <family val="2"/>
        <charset val="1"/>
      </rPr>
      <t xml:space="preserve">0.3%</t>
    </r>
    <r>
      <rPr>
        <sz val="11"/>
        <color theme="1"/>
        <rFont val="Noto Sans CJK SC"/>
        <family val="2"/>
      </rPr>
      <t xml:space="preserve">，上檔空間幾乎全部來自現價偏低。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</si>
  <si>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2</t>
    </r>
    <r>
      <rPr>
        <sz val="11"/>
        <color theme="1"/>
        <rFont val="Noto Sans CJK SC"/>
        <family val="2"/>
      </rPr>
      <t xml:space="preserve">：情境分歧集中在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年後：</t>
    </r>
    <r>
      <rPr>
        <sz val="11"/>
        <color theme="1"/>
        <rFont val="Calibri"/>
        <family val="2"/>
        <charset val="1"/>
      </rPr>
      <t xml:space="preserve">EPS 2028 A 714,923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331,149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195,351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A 6,513,978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2,986,311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1,308,904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情境約等於現價（</t>
    </r>
    <r>
      <rPr>
        <sz val="11"/>
        <color theme="1"/>
        <rFont val="Calibri"/>
        <family val="2"/>
        <charset val="1"/>
      </rPr>
      <t xml:space="preserve">1.02 </t>
    </r>
    <r>
      <rPr>
        <sz val="11"/>
        <color theme="1"/>
        <rFont val="Noto Sans CJK SC"/>
        <family val="2"/>
      </rPr>
      <t xml:space="preserve">倍），現價隱含的循環路徑比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還悲觀。</t>
    </r>
  </si>
  <si>
    <r>
      <rPr>
        <sz val="11"/>
        <color theme="1"/>
        <rFont val="Noto Sans CJK SC"/>
        <family val="2"/>
      </rPr>
      <t xml:space="preserve">重點觀察 </t>
    </r>
    <r>
      <rPr>
        <sz val="11"/>
        <color theme="1"/>
        <rFont val="Calibri"/>
        <family val="2"/>
        <charset val="1"/>
      </rPr>
      <t xml:space="preserve">3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A </t>
    </r>
    <r>
      <rPr>
        <sz val="11"/>
        <color theme="1"/>
        <rFont val="Noto Sans CJK SC"/>
        <family val="2"/>
      </rPr>
      <t xml:space="preserve">營業利益對一般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收入最敏感（</t>
    </r>
    <r>
      <rPr>
        <sz val="11"/>
        <color theme="1"/>
        <rFont val="Calibri"/>
        <family val="2"/>
        <charset val="1"/>
      </rPr>
      <t xml:space="preserve">±20% → ±13.0%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NAND ±30% → ±9.0%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 ±30% → ±6.0%</t>
    </r>
    <r>
      <rPr>
        <sz val="11"/>
        <color theme="1"/>
        <rFont val="Noto Sans CJK SC"/>
        <family val="2"/>
      </rPr>
      <t xml:space="preserve">；折現率 </t>
    </r>
    <r>
      <rPr>
        <sz val="11"/>
        <color theme="1"/>
        <rFont val="Calibri"/>
        <family val="2"/>
        <charset val="1"/>
      </rPr>
      <t xml:space="preserve">±1pt </t>
    </r>
    <r>
      <rPr>
        <sz val="11"/>
        <color theme="1"/>
        <rFont val="Noto Sans CJK SC"/>
        <family val="2"/>
      </rPr>
      <t xml:space="preserve">使加權目標價 −</t>
    </r>
    <r>
      <rPr>
        <sz val="11"/>
        <color theme="1"/>
        <rFont val="Calibri"/>
        <family val="2"/>
        <charset val="1"/>
      </rPr>
      <t xml:space="preserve">6.2%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+8.6%</t>
    </r>
    <r>
      <rPr>
        <sz val="11"/>
        <color theme="1"/>
        <rFont val="Noto Sans CJK SC"/>
        <family val="2"/>
      </rPr>
      <t xml:space="preserve">。下一個檢驗事件是 </t>
    </r>
    <r>
      <rPr>
        <sz val="11"/>
        <color theme="1"/>
        <rFont val="Calibri"/>
        <family val="2"/>
        <charset val="1"/>
      </rPr>
      <t xml:space="preserve">3Q26 </t>
    </r>
    <r>
      <rPr>
        <sz val="11"/>
        <color theme="1"/>
        <rFont val="Noto Sans CJK SC"/>
        <family val="2"/>
      </rPr>
      <t xml:space="preserve">財報（</t>
    </r>
    <r>
      <rPr>
        <sz val="11"/>
        <color theme="1"/>
        <rFont val="Calibri"/>
        <family val="2"/>
        <charset val="1"/>
      </rPr>
      <t xml:space="preserve">2026-10 </t>
    </r>
    <r>
      <rPr>
        <sz val="11"/>
        <color theme="1"/>
        <rFont val="Noto Sans CJK SC"/>
        <family val="2"/>
      </rPr>
      <t xml:space="preserve">下旬，日期未確認）的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價格與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供貨協議。</t>
    </r>
  </si>
  <si>
    <r>
      <rPr>
        <sz val="11"/>
        <color theme="1"/>
        <rFont val="Calibri"/>
        <family val="2"/>
        <charset val="1"/>
      </rPr>
      <t xml:space="preserve">In — </t>
    </r>
    <r>
      <rPr>
        <sz val="11"/>
        <color theme="1"/>
        <rFont val="Noto Sans CJK SC"/>
        <family val="2"/>
      </rPr>
      <t xml:space="preserve">輸入（藍字＝基準值；低／高供敏感度）。每列具名範圍＝鍵（指向 </t>
    </r>
    <r>
      <rPr>
        <sz val="11"/>
        <color theme="1"/>
        <rFont val="Calibri"/>
        <family val="2"/>
        <charset val="1"/>
      </rPr>
      <t xml:space="preserve">E </t>
    </r>
    <r>
      <rPr>
        <sz val="11"/>
        <color theme="1"/>
        <rFont val="Noto Sans CJK SC"/>
        <family val="2"/>
      </rPr>
      <t xml:space="preserve">欄）。單位：兆韓元</t>
    </r>
  </si>
  <si>
    <t xml:space="preserve">鍵</t>
  </si>
  <si>
    <t xml:space="preserve">項目</t>
  </si>
  <si>
    <t xml:space="preserve">單位</t>
  </si>
  <si>
    <t xml:space="preserve">低</t>
  </si>
  <si>
    <t xml:space="preserve">基準</t>
  </si>
  <si>
    <t xml:space="preserve">高</t>
  </si>
  <si>
    <t xml:space="preserve">標記</t>
  </si>
  <si>
    <t xml:space="preserve">來源／說明</t>
  </si>
  <si>
    <r>
      <rPr>
        <b val="true"/>
        <sz val="11"/>
        <rFont val="Cambria"/>
        <family val="0"/>
        <charset val="1"/>
      </rPr>
      <t xml:space="preserve">A. </t>
    </r>
    <r>
      <rPr>
        <b val="true"/>
        <sz val="11"/>
        <rFont val="Noto Sans CJK SC"/>
        <family val="2"/>
      </rPr>
      <t xml:space="preserve">匯率、股價</t>
    </r>
  </si>
  <si>
    <t xml:space="preserve">fx</t>
  </si>
  <si>
    <r>
      <rPr>
        <sz val="11"/>
        <color theme="1"/>
        <rFont val="Noto Sans CJK SC"/>
        <family val="2"/>
      </rPr>
      <t xml:space="preserve">美元兌韓元（</t>
    </r>
    <r>
      <rPr>
        <sz val="11"/>
        <color theme="1"/>
        <rFont val="Calibri"/>
        <family val="2"/>
        <charset val="1"/>
      </rPr>
      <t xml:space="preserve">2026–2028 </t>
    </r>
    <r>
      <rPr>
        <sz val="11"/>
        <color theme="1"/>
        <rFont val="Noto Sans CJK SC"/>
        <family val="2"/>
      </rPr>
      <t xml:space="preserve">平均）</t>
    </r>
  </si>
  <si>
    <t xml:space="preserve">KRW/USD</t>
  </si>
  <si>
    <t xml:space="preserve">Derived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</si>
  <si>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79.32 </t>
    </r>
    <r>
      <rPr>
        <sz val="11"/>
        <color theme="1"/>
        <rFont val="Noto Sans CJK SC"/>
        <family val="2"/>
      </rPr>
      <t xml:space="preserve">兆 ≈ </t>
    </r>
    <r>
      <rPr>
        <sz val="11"/>
        <color theme="1"/>
        <rFont val="Calibri"/>
        <family val="2"/>
        <charset val="1"/>
      </rPr>
      <t xml:space="preserve">US$55.2B →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1,437</t>
    </r>
  </si>
  <si>
    <t xml:space="preserve">px</t>
  </si>
  <si>
    <r>
      <rPr>
        <sz val="11"/>
        <color theme="1"/>
        <rFont val="Noto Sans CJK SC"/>
        <family val="2"/>
      </rPr>
      <t xml:space="preserve">股價（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收盤）</t>
    </r>
  </si>
  <si>
    <t xml:space="preserve">KRW</t>
  </si>
  <si>
    <t xml:space="preserve">Verified</t>
  </si>
  <si>
    <r>
      <rPr>
        <sz val="11"/>
        <color theme="1"/>
        <rFont val="Calibri"/>
        <family val="2"/>
        <charset val="1"/>
      </rPr>
      <t xml:space="preserve">markets/invest_map/data/prices.csv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tradersunion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digrin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Yonhap </t>
    </r>
    <r>
      <rPr>
        <sz val="11"/>
        <color theme="1"/>
        <rFont val="Noto Sans CJK SC"/>
        <family val="2"/>
      </rPr>
      <t xml:space="preserve">當日 </t>
    </r>
    <r>
      <rPr>
        <sz val="11"/>
        <color theme="1"/>
        <rFont val="Calibri"/>
        <family val="2"/>
        <charset val="1"/>
      </rPr>
      <t xml:space="preserve">+4.4%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MarketScreener 2026-10-23 </t>
    </r>
    <r>
      <rPr>
        <sz val="11"/>
        <color theme="1"/>
        <rFont val="Noto Sans CJK SC"/>
        <family val="2"/>
      </rPr>
      <t xml:space="preserve">收盤同（</t>
    </r>
    <r>
      <rPr>
        <sz val="11"/>
        <color theme="1"/>
        <rFont val="Calibri"/>
        <family val="2"/>
        <charset val="1"/>
      </rPr>
      <t xml:space="preserve">v0.4.2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10-07 </t>
    </r>
    <r>
      <rPr>
        <sz val="11"/>
        <color theme="1"/>
        <rFont val="Noto Sans CJK SC"/>
        <family val="2"/>
      </rPr>
      <t xml:space="preserve">收盤 </t>
    </r>
    <r>
      <rPr>
        <sz val="11"/>
        <color theme="1"/>
        <rFont val="Calibri"/>
        <family val="2"/>
        <charset val="1"/>
      </rPr>
      <t xml:space="preserve">1,723,000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</si>
  <si>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B. </t>
    </r>
    <r>
      <rPr>
        <b val="true"/>
        <sz val="11"/>
        <rFont val="Noto Sans CJK SC"/>
        <family val="2"/>
      </rPr>
      <t xml:space="preserve">基準年剩餘季度（公司指引＋</t>
    </r>
    <r>
      <rPr>
        <b val="true"/>
        <sz val="11"/>
        <rFont val="Cambria"/>
        <family val="0"/>
        <charset val="1"/>
      </rPr>
      <t xml:space="preserve">TrendForce</t>
    </r>
    <r>
      <rPr>
        <b val="true"/>
        <sz val="11"/>
        <rFont val="Noto Sans CJK SC"/>
        <family val="2"/>
      </rPr>
      <t xml:space="preserve">）</t>
    </r>
  </si>
  <si>
    <t xml:space="preserve">q3_db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</si>
  <si>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位元季增</t>
    </r>
  </si>
  <si>
    <t xml:space="preserve">%</t>
  </si>
  <si>
    <r>
      <rPr>
        <sz val="11"/>
        <color theme="1"/>
        <rFont val="Noto Sans CJK SC"/>
        <family val="2"/>
      </rPr>
      <t xml:space="preserve">公司 </t>
    </r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法說：約 </t>
    </r>
    <r>
      <rPr>
        <sz val="11"/>
        <color theme="1"/>
        <rFont val="Calibri"/>
        <family val="2"/>
        <charset val="1"/>
      </rPr>
      <t xml:space="preserve">+10%</t>
    </r>
  </si>
  <si>
    <t xml:space="preserve">q3_dp</t>
  </si>
  <si>
    <r>
      <rPr>
        <sz val="11"/>
        <color theme="1"/>
        <rFont val="Calibri"/>
        <family val="2"/>
        <charset val="1"/>
      </rPr>
      <t xml:space="preserve">Q3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</si>
  <si>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+13–18%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年約鎖價拉低混合值</t>
    </r>
  </si>
  <si>
    <t xml:space="preserve">q3_nb</t>
  </si>
  <si>
    <r>
      <rPr>
        <sz val="11"/>
        <color theme="1"/>
        <rFont val="Calibri"/>
        <family val="2"/>
        <charset val="1"/>
      </rPr>
      <t xml:space="preserve">Q3 NAND </t>
    </r>
    <r>
      <rPr>
        <sz val="11"/>
        <color theme="1"/>
        <rFont val="Noto Sans CJK SC"/>
        <family val="2"/>
      </rPr>
      <t xml:space="preserve">位元季增</t>
    </r>
  </si>
  <si>
    <t xml:space="preserve">公司：低個位數</t>
  </si>
  <si>
    <t xml:space="preserve">q3_np</t>
  </si>
  <si>
    <r>
      <rPr>
        <sz val="11"/>
        <color theme="1"/>
        <rFont val="Calibri"/>
        <family val="2"/>
        <charset val="1"/>
      </rPr>
      <t xml:space="preserve">Q3 NAND ASP </t>
    </r>
    <r>
      <rPr>
        <sz val="11"/>
        <color theme="1"/>
        <rFont val="Noto Sans CJK SC"/>
        <family val="2"/>
      </rPr>
      <t xml:space="preserve">季增</t>
    </r>
  </si>
  <si>
    <t xml:space="preserve">Interested-party</t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</si>
  <si>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</si>
  <si>
    <t xml:space="preserve">q4_db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</si>
  <si>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位元季增</t>
    </r>
  </si>
  <si>
    <t xml:space="preserve">Assumed</t>
  </si>
  <si>
    <t xml:space="preserve">公司：下半年位元成長優於上半年</t>
  </si>
  <si>
    <t xml:space="preserve">q4_dp</t>
  </si>
  <si>
    <r>
      <rPr>
        <sz val="11"/>
        <color theme="1"/>
        <rFont val="Calibri"/>
        <family val="2"/>
        <charset val="1"/>
      </rPr>
      <t xml:space="preserve">Q4 DRAM </t>
    </r>
    <r>
      <rPr>
        <sz val="11"/>
        <color theme="1"/>
        <rFont val="Noto Sans CJK SC"/>
        <family val="2"/>
      </rPr>
      <t xml:space="preserve">混合 </t>
    </r>
    <r>
      <rPr>
        <sz val="11"/>
        <color theme="1"/>
        <rFont val="Calibri"/>
        <family val="2"/>
        <charset val="1"/>
      </rPr>
      <t xml:space="preserve">ASP </t>
    </r>
    <r>
      <rPr>
        <sz val="11"/>
        <color theme="1"/>
        <rFont val="Noto Sans CJK SC"/>
        <family val="2"/>
      </rPr>
      <t xml:space="preserve">季增</t>
    </r>
  </si>
  <si>
    <r>
      <rPr>
        <sz val="11"/>
        <color theme="1"/>
        <rFont val="Calibri"/>
        <family val="2"/>
        <charset val="1"/>
      </rPr>
      <t xml:space="preserve">TrendForce +10–15%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BofA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+8%</t>
    </r>
  </si>
  <si>
    <t xml:space="preserve">q4_nb</t>
  </si>
  <si>
    <r>
      <rPr>
        <sz val="11"/>
        <color theme="1"/>
        <rFont val="Calibri"/>
        <family val="2"/>
        <charset val="1"/>
      </rPr>
      <t xml:space="preserve">Q4 NAND </t>
    </r>
    <r>
      <rPr>
        <sz val="11"/>
        <color theme="1"/>
        <rFont val="Noto Sans CJK SC"/>
        <family val="2"/>
      </rPr>
      <t xml:space="preserve">位元季增</t>
    </r>
  </si>
  <si>
    <t xml:space="preserve">q4_np</t>
  </si>
  <si>
    <r>
      <rPr>
        <sz val="11"/>
        <color theme="1"/>
        <rFont val="Calibri"/>
        <family val="2"/>
        <charset val="1"/>
      </rPr>
      <t xml:space="preserve">Q4 NAND ASP </t>
    </r>
    <r>
      <rPr>
        <sz val="11"/>
        <color theme="1"/>
        <rFont val="Noto Sans CJK SC"/>
        <family val="2"/>
      </rPr>
      <t xml:space="preserve">季增</t>
    </r>
  </si>
  <si>
    <t xml:space="preserve">TrendForce +15–20%</t>
  </si>
  <si>
    <t xml:space="preserve">da_q3</t>
  </si>
  <si>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折舊攤銷</t>
    </r>
  </si>
  <si>
    <t xml:space="preserve">兆韓元</t>
  </si>
  <si>
    <r>
      <rPr>
        <sz val="11"/>
        <color theme="1"/>
        <rFont val="Calibri"/>
        <family val="2"/>
        <charset val="1"/>
      </rPr>
      <t xml:space="preserve">Q1 3.726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4.028 </t>
    </r>
    <r>
      <rPr>
        <sz val="11"/>
        <color theme="1"/>
        <rFont val="Noto Sans CJK SC"/>
        <family val="2"/>
      </rPr>
      <t xml:space="preserve">延伸</t>
    </r>
  </si>
  <si>
    <t xml:space="preserve">da_q4</t>
  </si>
  <si>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折舊攤銷</t>
    </r>
  </si>
  <si>
    <t xml:space="preserve">costdn_q</t>
  </si>
  <si>
    <t xml:space="preserve">單位成本季降</t>
  </si>
  <si>
    <t xml:space="preserve">opex_fix_q</t>
  </si>
  <si>
    <t xml:space="preserve">營業費用固定部分（每季）</t>
  </si>
  <si>
    <r>
      <rPr>
        <sz val="11"/>
        <color theme="1"/>
        <rFont val="Calibri"/>
        <family val="2"/>
        <charset val="1"/>
      </rPr>
      <t xml:space="preserve">Q1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營業費用 </t>
    </r>
    <r>
      <rPr>
        <sz val="11"/>
        <color theme="1"/>
        <rFont val="Calibri"/>
        <family val="2"/>
        <charset val="1"/>
      </rPr>
      <t xml:space="preserve">3.97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5.24 </t>
    </r>
    <r>
      <rPr>
        <sz val="11"/>
        <color theme="1"/>
        <rFont val="Noto Sans CJK SC"/>
        <family val="2"/>
      </rPr>
      <t xml:space="preserve">對營收迴歸</t>
    </r>
  </si>
  <si>
    <t xml:space="preserve">nonop_q</t>
  </si>
  <si>
    <t xml:space="preserve">下半年每季業外淨收益</t>
  </si>
  <si>
    <r>
      <rPr>
        <sz val="11"/>
        <color theme="1"/>
        <rFont val="Noto Sans CJK SC"/>
        <family val="2"/>
      </rPr>
      <t xml:space="preserve">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2%</t>
    </r>
  </si>
  <si>
    <r>
      <rPr>
        <b val="true"/>
        <sz val="11"/>
        <rFont val="Cambria"/>
        <family val="0"/>
        <charset val="1"/>
      </rPr>
      <t xml:space="preserve">C. </t>
    </r>
    <r>
      <rPr>
        <b val="true"/>
        <sz val="11"/>
        <rFont val="Noto Sans CJK SC"/>
        <family val="2"/>
      </rPr>
      <t xml:space="preserve">年度驅動（公司別）</t>
    </r>
  </si>
  <si>
    <t xml:space="preserve">cb_1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</si>
  <si>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</si>
  <si>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DRAM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晶圓占比 </t>
    </r>
    <r>
      <rPr>
        <sz val="11"/>
        <color theme="1"/>
        <rFont val="Calibri"/>
        <family val="2"/>
        <charset val="1"/>
      </rPr>
      <t xml:space="preserve">22%→30% </t>
    </r>
    <r>
      <rPr>
        <sz val="11"/>
        <color theme="1"/>
        <rFont val="Noto Sans CJK SC"/>
        <family val="2"/>
      </rPr>
      <t xml:space="preserve">吃掉增量</t>
    </r>
  </si>
  <si>
    <t xml:space="preserve">cb_2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</si>
  <si>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</si>
  <si>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Calibri"/>
        <family val="2"/>
        <charset val="1"/>
      </rPr>
      <t xml:space="preserve">BofA 2028 </t>
    </r>
    <r>
      <rPr>
        <sz val="11"/>
        <color theme="1"/>
        <rFont val="Noto Sans CJK SC"/>
        <family val="2"/>
      </rPr>
      <t xml:space="preserve">供給 </t>
    </r>
    <r>
      <rPr>
        <sz val="11"/>
        <color theme="1"/>
        <rFont val="Calibri"/>
        <family val="2"/>
        <charset val="1"/>
      </rPr>
      <t xml:space="preserve">+19%</t>
    </r>
  </si>
  <si>
    <t xml:space="preserve">nb_1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</si>
  <si>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</si>
  <si>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r>
      <rPr>
        <sz val="11"/>
        <color theme="1"/>
        <rFont val="Noto Sans CJK SC"/>
        <family val="2"/>
      </rPr>
      <t xml:space="preserve">美光 </t>
    </r>
    <r>
      <rPr>
        <sz val="11"/>
        <color theme="1"/>
        <rFont val="Calibri"/>
        <family val="2"/>
        <charset val="1"/>
      </rPr>
      <t xml:space="preserve">FQ4-26 </t>
    </r>
    <r>
      <rPr>
        <sz val="11"/>
        <color theme="1"/>
        <rFont val="Noto Sans CJK SC"/>
        <family val="2"/>
      </rPr>
      <t xml:space="preserve">法說：產業 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皆中 </t>
    </r>
    <r>
      <rPr>
        <sz val="11"/>
        <color theme="1"/>
        <rFont val="Calibri"/>
        <family val="2"/>
        <charset val="1"/>
      </rPr>
      <t xml:space="preserve">20% </t>
    </r>
    <r>
      <rPr>
        <sz val="11"/>
        <color theme="1"/>
        <rFont val="Noto Sans CJK SC"/>
        <family val="2"/>
      </rPr>
      <t xml:space="preserve">段；本模型取低於產業（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海力士優先高價值產品，</t>
    </r>
    <r>
      <rPr>
        <sz val="11"/>
        <color theme="1"/>
        <rFont val="Calibri"/>
        <family val="2"/>
        <charset val="1"/>
      </rPr>
      <t xml:space="preserve">3Q26 NAND </t>
    </r>
    <r>
      <rPr>
        <sz val="11"/>
        <color theme="1"/>
        <rFont val="Noto Sans CJK SC"/>
        <family val="2"/>
      </rPr>
      <t xml:space="preserve">位元季減）。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來源複核：原標 </t>
    </r>
    <r>
      <rPr>
        <sz val="11"/>
        <color theme="1"/>
        <rFont val="Calibri"/>
        <family val="2"/>
        <charset val="1"/>
      </rPr>
      <t xml:space="preserve">Verified </t>
    </r>
    <r>
      <rPr>
        <sz val="11"/>
        <color theme="1"/>
        <rFont val="Noto Sans CJK SC"/>
        <family val="2"/>
      </rPr>
      <t xml:space="preserve">不當</t>
    </r>
  </si>
  <si>
    <t xml:space="preserve">nb_2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</si>
  <si>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</si>
  <si>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同上</t>
  </si>
  <si>
    <t xml:space="preserve">sh25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</si>
  <si>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2025</t>
    </r>
  </si>
  <si>
    <r>
      <rPr>
        <sz val="11"/>
        <color theme="1"/>
        <rFont val="Calibri"/>
        <family val="2"/>
        <charset val="1"/>
      </rPr>
      <t xml:space="preserve">Counterpoint 3Q25 57%</t>
    </r>
    <r>
      <rPr>
        <sz val="11"/>
        <color theme="1"/>
        <rFont val="Noto Sans CJK SC"/>
        <family val="2"/>
      </rPr>
      <t xml:space="preserve">；出貨 </t>
    </r>
    <r>
      <rPr>
        <sz val="11"/>
        <color theme="1"/>
        <rFont val="Calibri"/>
        <family val="2"/>
        <charset val="1"/>
      </rPr>
      <t xml:space="preserve">62%</t>
    </r>
  </si>
  <si>
    <t xml:space="preserve">sh26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</si>
  <si>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</si>
  <si>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Counterpoint Q1 58%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50%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IDC Q1 56.4%</t>
    </r>
  </si>
  <si>
    <t xml:space="preserve">sh27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</si>
  <si>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</si>
  <si>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UBS 2027 </t>
    </r>
    <r>
      <rPr>
        <sz val="11"/>
        <color theme="1"/>
        <rFont val="Noto Sans CJK SC"/>
        <family val="2"/>
      </rPr>
      <t xml:space="preserve">位元：</t>
    </r>
    <r>
      <rPr>
        <sz val="11"/>
        <color theme="1"/>
        <rFont val="Calibri"/>
        <family val="2"/>
        <charset val="1"/>
      </rPr>
      <t xml:space="preserve">SK 39%</t>
    </r>
    <r>
      <rPr>
        <sz val="11"/>
        <color theme="1"/>
        <rFont val="Noto Sans CJK SC"/>
        <family val="2"/>
      </rPr>
      <t xml:space="preserve">、三星 </t>
    </r>
    <r>
      <rPr>
        <sz val="11"/>
        <color theme="1"/>
        <rFont val="Calibri"/>
        <family val="2"/>
        <charset val="1"/>
      </rPr>
      <t xml:space="preserve">41%</t>
    </r>
    <r>
      <rPr>
        <sz val="11"/>
        <color theme="1"/>
        <rFont val="Noto Sans CJK SC"/>
        <family val="2"/>
      </rPr>
      <t xml:space="preserve">、美光 </t>
    </r>
    <r>
      <rPr>
        <sz val="11"/>
        <color theme="1"/>
        <rFont val="Calibri"/>
        <family val="2"/>
        <charset val="1"/>
      </rPr>
      <t xml:space="preserve">20%</t>
    </r>
  </si>
  <si>
    <t xml:space="preserve">sh28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</si>
  <si>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2028</t>
    </r>
  </si>
  <si>
    <t xml:space="preserve">other_y</t>
  </si>
  <si>
    <t xml:space="preserve">其他營收（每年）</t>
  </si>
  <si>
    <t xml:space="preserve">w_c</t>
  </si>
  <si>
    <r>
      <rPr>
        <sz val="11"/>
        <color theme="1"/>
        <rFont val="Noto Sans CJK SC"/>
        <family val="2"/>
      </rPr>
      <t xml:space="preserve">成本權重：一般 </t>
    </r>
    <r>
      <rPr>
        <sz val="11"/>
        <color theme="1"/>
        <rFont val="Calibri"/>
        <family val="2"/>
        <charset val="1"/>
      </rPr>
      <t xml:space="preserve">DRAM</t>
    </r>
  </si>
  <si>
    <t xml:space="preserve">w_h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</si>
  <si>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HBM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</si>
  <si>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每位元耗晶圓約 </t>
    </r>
    <r>
      <rPr>
        <sz val="11"/>
        <color theme="1"/>
        <rFont val="Calibri"/>
        <family val="2"/>
        <charset val="1"/>
      </rPr>
      <t xml:space="preserve">DDR5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倍（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）</t>
    </r>
  </si>
  <si>
    <t xml:space="preserve">w_n</t>
  </si>
  <si>
    <r>
      <rPr>
        <sz val="11"/>
        <color theme="1"/>
        <rFont val="Noto Sans CJK SC"/>
        <family val="2"/>
      </rPr>
      <t xml:space="preserve">成本權重：</t>
    </r>
    <r>
      <rPr>
        <sz val="11"/>
        <color theme="1"/>
        <rFont val="Calibri"/>
        <family val="2"/>
        <charset val="1"/>
      </rPr>
      <t xml:space="preserve">NAND</t>
    </r>
  </si>
  <si>
    <t xml:space="preserve">costdn_y</t>
  </si>
  <si>
    <t xml:space="preserve">單位成本年降</t>
  </si>
  <si>
    <t xml:space="preserve">da_life</t>
  </si>
  <si>
    <t xml:space="preserve">新增資本支出轉為折舊的年數</t>
  </si>
  <si>
    <t xml:space="preserve">年</t>
  </si>
  <si>
    <t xml:space="preserve">da_cogs</t>
  </si>
  <si>
    <t xml:space="preserve">折舊計入營業成本比例</t>
  </si>
  <si>
    <t xml:space="preserve">opex_fix_y</t>
  </si>
  <si>
    <t xml:space="preserve">營業費用固定部分（年，基準年）</t>
  </si>
  <si>
    <r>
      <rPr>
        <sz val="11"/>
        <color theme="1"/>
        <rFont val="Noto Sans CJK SC"/>
        <family val="2"/>
      </rPr>
      <t xml:space="preserve">＝每季 </t>
    </r>
    <r>
      <rPr>
        <sz val="11"/>
        <color theme="1"/>
        <rFont val="Calibri"/>
        <family val="2"/>
        <charset val="1"/>
      </rPr>
      <t xml:space="preserve">1.5 × 4</t>
    </r>
  </si>
  <si>
    <t xml:space="preserve">opex_var</t>
  </si>
  <si>
    <t xml:space="preserve">營業費用變動率</t>
  </si>
  <si>
    <r>
      <rPr>
        <sz val="11"/>
        <color theme="1"/>
        <rFont val="Calibri"/>
        <family val="2"/>
        <charset val="1"/>
      </rPr>
      <t xml:space="preserve">% </t>
    </r>
    <r>
      <rPr>
        <sz val="11"/>
        <color theme="1"/>
        <rFont val="Noto Sans CJK SC"/>
        <family val="2"/>
      </rPr>
      <t xml:space="preserve">營收</t>
    </r>
  </si>
  <si>
    <t xml:space="preserve">同上迴歸</t>
  </si>
  <si>
    <t xml:space="preserve">opex_g</t>
  </si>
  <si>
    <t xml:space="preserve">營業費用固定部分年增</t>
  </si>
  <si>
    <t xml:space="preserve">tax</t>
  </si>
  <si>
    <t xml:space="preserve">有效稅率</t>
  </si>
  <si>
    <r>
      <rPr>
        <sz val="11"/>
        <color theme="1"/>
        <rFont val="Calibri"/>
        <family val="2"/>
        <charset val="1"/>
      </rPr>
      <t xml:space="preserve">Q1 21.8%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23.5%</t>
    </r>
  </si>
  <si>
    <t xml:space="preserve">rf</t>
  </si>
  <si>
    <t xml:space="preserve">淨現金收益率</t>
  </si>
  <si>
    <t xml:space="preserve">cap_0</t>
  </si>
  <si>
    <r>
      <rPr>
        <sz val="11"/>
        <color theme="1"/>
        <rFont val="Noto Sans CJK SC"/>
        <family val="2"/>
      </rPr>
      <t xml:space="preserve">資本支出 基準年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</si>
  <si>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Interested-party</t>
    </r>
  </si>
  <si>
    <r>
      <rPr>
        <sz val="11"/>
        <color theme="1"/>
        <rFont val="Noto Sans CJK SC"/>
        <family val="2"/>
      </rPr>
      <t xml:space="preserve">指引「</t>
    </r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兆後段」；共識 </t>
    </r>
    <r>
      <rPr>
        <sz val="11"/>
        <color theme="1"/>
        <rFont val="Calibri"/>
        <family val="2"/>
        <charset val="1"/>
      </rPr>
      <t xml:space="preserve">48.7</t>
    </r>
  </si>
  <si>
    <t xml:space="preserve">cap_1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</si>
  <si>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</si>
  <si>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62.3</t>
    </r>
  </si>
  <si>
    <t xml:space="preserve">cap_2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</si>
  <si>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2028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</si>
  <si>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71.2</t>
    </r>
  </si>
  <si>
    <t xml:space="preserve">cb_3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</si>
  <si>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年（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</si>
  <si>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龍仁一廠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起投產</t>
    </r>
  </si>
  <si>
    <t xml:space="preserve">nb_3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</si>
  <si>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位元成長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</si>
  <si>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sh29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</si>
  <si>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營收市占 </t>
    </r>
    <r>
      <rPr>
        <sz val="11"/>
        <color theme="1"/>
        <rFont val="Calibri"/>
        <family val="2"/>
        <charset val="1"/>
      </rPr>
      <t xml:space="preserve">2029</t>
    </r>
  </si>
  <si>
    <t xml:space="preserve">cap_3</t>
  </si>
  <si>
    <r>
      <rPr>
        <sz val="11"/>
        <color theme="1"/>
        <rFont val="Noto Sans CJK SC"/>
        <family val="2"/>
      </rPr>
      <t xml:space="preserve">資本支出 </t>
    </r>
    <r>
      <rPr>
        <sz val="11"/>
        <color theme="1"/>
        <rFont val="Calibri"/>
        <family val="2"/>
        <charset val="1"/>
      </rPr>
      <t xml:space="preserve">2029</t>
    </r>
  </si>
  <si>
    <r>
      <rPr>
        <sz val="11"/>
        <color theme="1"/>
        <rFont val="Noto Sans CJK SC"/>
        <family val="2"/>
      </rPr>
      <t xml:space="preserve">龍仁 </t>
    </r>
    <r>
      <rPr>
        <sz val="11"/>
        <color theme="1"/>
        <rFont val="Calibri"/>
        <family val="2"/>
        <charset val="1"/>
      </rPr>
      <t xml:space="preserve">2–6 </t>
    </r>
    <r>
      <rPr>
        <sz val="11"/>
        <color theme="1"/>
        <rFont val="Noto Sans CJK SC"/>
        <family val="2"/>
      </rPr>
      <t xml:space="preserve">期</t>
    </r>
  </si>
  <si>
    <t xml:space="preserve">dps_3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</si>
  <si>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2029</t>
    </r>
  </si>
  <si>
    <t xml:space="preserve">延續成長</t>
  </si>
  <si>
    <t xml:space="preserve">nm_op_q</t>
  </si>
  <si>
    <t xml:space="preserve">非記憶體事業每季營業利益（基準年推估季）</t>
  </si>
  <si>
    <t xml:space="preserve">—</t>
  </si>
  <si>
    <t xml:space="preserve">純記憶體公司，無</t>
  </si>
  <si>
    <t xml:space="preserve">nm_rev_0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</si>
  <si>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</si>
  <si>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無</t>
  </si>
  <si>
    <t xml:space="preserve">nm_op_0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</si>
  <si>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年</t>
    </r>
  </si>
  <si>
    <t xml:space="preserve">nm_rev_1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</si>
  <si>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</si>
  <si>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nm_op_1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</si>
  <si>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年</t>
    </r>
  </si>
  <si>
    <t xml:space="preserve">nm_rev_2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</si>
  <si>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</si>
  <si>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nm_op_2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</si>
  <si>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2 </t>
    </r>
    <r>
      <rPr>
        <sz val="11"/>
        <color theme="1"/>
        <rFont val="Noto Sans CJK SC"/>
        <family val="2"/>
      </rPr>
      <t xml:space="preserve">年</t>
    </r>
  </si>
  <si>
    <t xml:space="preserve">nm_rev_3</t>
  </si>
  <si>
    <r>
      <rPr>
        <sz val="11"/>
        <color theme="1"/>
        <rFont val="Noto Sans CJK SC"/>
        <family val="2"/>
      </rPr>
      <t xml:space="preserve">非記憶體事業營收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</si>
  <si>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t xml:space="preserve">nm_op_3</t>
  </si>
  <si>
    <r>
      <rPr>
        <sz val="11"/>
        <color theme="1"/>
        <rFont val="Noto Sans CJK SC"/>
        <family val="2"/>
      </rPr>
      <t xml:space="preserve">非記憶體事業營業利益 第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年</t>
    </r>
  </si>
  <si>
    <r>
      <rPr>
        <b val="true"/>
        <sz val="11"/>
        <rFont val="Cambria"/>
        <family val="0"/>
        <charset val="1"/>
      </rPr>
      <t xml:space="preserve">D. </t>
    </r>
    <r>
      <rPr>
        <b val="true"/>
        <sz val="11"/>
        <rFont val="Noto Sans CJK SC"/>
        <family val="2"/>
      </rPr>
      <t xml:space="preserve">資本與股東回饋</t>
    </r>
  </si>
  <si>
    <t xml:space="preserve">eq_last</t>
  </si>
  <si>
    <r>
      <rPr>
        <sz val="11"/>
        <color theme="1"/>
        <rFont val="Noto Sans CJK SC"/>
        <family val="2"/>
      </rPr>
      <t xml:space="preserve">最後實績季末權益（</t>
    </r>
    <r>
      <rPr>
        <sz val="11"/>
        <color theme="1"/>
        <rFont val="Calibri"/>
        <family val="2"/>
        <charset val="1"/>
      </rPr>
      <t xml:space="preserve">2026-06-30</t>
    </r>
    <r>
      <rPr>
        <sz val="11"/>
        <color theme="1"/>
        <rFont val="Noto Sans CJK SC"/>
        <family val="2"/>
      </rPr>
      <t xml:space="preserve">）</t>
    </r>
  </si>
  <si>
    <t xml:space="preserve">6-K</t>
  </si>
  <si>
    <t xml:space="preserve">nc_last</t>
  </si>
  <si>
    <t xml:space="preserve">最後實績季末淨現金</t>
  </si>
  <si>
    <r>
      <rPr>
        <sz val="11"/>
        <color theme="1"/>
        <rFont val="Calibri"/>
        <family val="2"/>
        <charset val="1"/>
      </rPr>
      <t xml:space="preserve">Q2 </t>
    </r>
    <r>
      <rPr>
        <sz val="11"/>
        <color theme="1"/>
        <rFont val="Noto Sans CJK SC"/>
        <family val="2"/>
      </rPr>
      <t xml:space="preserve">簡報</t>
    </r>
  </si>
  <si>
    <t xml:space="preserve">sh_last</t>
  </si>
  <si>
    <t xml:space="preserve">最後實績季末流通股數</t>
  </si>
  <si>
    <t xml:space="preserve">百萬股</t>
  </si>
  <si>
    <t xml:space="preserve">extra_eq</t>
  </si>
  <si>
    <r>
      <rPr>
        <sz val="11"/>
        <color theme="1"/>
        <rFont val="Noto Sans CJK SC"/>
        <family val="2"/>
      </rPr>
      <t xml:space="preserve">基準年其餘增資（</t>
    </r>
    <r>
      <rPr>
        <sz val="11"/>
        <color theme="1"/>
        <rFont val="Calibri"/>
        <family val="2"/>
        <charset val="1"/>
      </rPr>
      <t xml:space="preserve">ADS 2026-07</t>
    </r>
    <r>
      <rPr>
        <sz val="11"/>
        <color theme="1"/>
        <rFont val="Noto Sans CJK SC"/>
        <family val="2"/>
      </rPr>
      <t xml:space="preserve">）</t>
    </r>
  </si>
  <si>
    <t xml:space="preserve">US$26.25B × 1,538.05</t>
  </si>
  <si>
    <t xml:space="preserve">extra_sh</t>
  </si>
  <si>
    <r>
      <rPr>
        <sz val="11"/>
        <color theme="1"/>
        <rFont val="Noto Sans CJK SC"/>
        <family val="2"/>
      </rPr>
      <t xml:space="preserve">基準年其餘新股（</t>
    </r>
    <r>
      <rPr>
        <sz val="11"/>
        <color theme="1"/>
        <rFont val="Calibri"/>
        <family val="2"/>
        <charset val="1"/>
      </rPr>
      <t xml:space="preserve">ADS</t>
    </r>
    <r>
      <rPr>
        <sz val="11"/>
        <color theme="1"/>
        <rFont val="Noto Sans CJK SC"/>
        <family val="2"/>
      </rPr>
      <t xml:space="preserve">）</t>
    </r>
  </si>
  <si>
    <t xml:space="preserve">424B4</t>
  </si>
  <si>
    <t xml:space="preserve">bb_0</t>
  </si>
  <si>
    <t xml:space="preserve">基準年其餘買回</t>
  </si>
  <si>
    <r>
      <rPr>
        <sz val="11"/>
        <color theme="1"/>
        <rFont val="Calibri"/>
        <family val="2"/>
        <charset val="1"/>
      </rPr>
      <t xml:space="preserve">2026-08-19 </t>
    </r>
    <r>
      <rPr>
        <sz val="11"/>
        <color theme="1"/>
        <rFont val="Noto Sans CJK SC"/>
        <family val="2"/>
      </rPr>
      <t xml:space="preserve">公告，註銷</t>
    </r>
  </si>
  <si>
    <t xml:space="preserve">bb_sh_0</t>
  </si>
  <si>
    <t xml:space="preserve">基準年其餘買回股數</t>
  </si>
  <si>
    <t xml:space="preserve">div_0</t>
  </si>
  <si>
    <t xml:space="preserve">基準年其餘股利</t>
  </si>
  <si>
    <r>
      <rPr>
        <sz val="11"/>
        <color theme="1"/>
        <rFont val="Noto Sans CJK SC"/>
        <family val="2"/>
      </rPr>
      <t xml:space="preserve">每季 </t>
    </r>
    <r>
      <rPr>
        <sz val="11"/>
        <color theme="1"/>
        <rFont val="Calibri"/>
        <family val="2"/>
        <charset val="1"/>
      </rPr>
      <t xml:space="preserve">375 </t>
    </r>
    <r>
      <rPr>
        <sz val="11"/>
        <color theme="1"/>
        <rFont val="Noto Sans CJK SC"/>
        <family val="2"/>
      </rPr>
      <t xml:space="preserve">韓元 </t>
    </r>
    <r>
      <rPr>
        <sz val="11"/>
        <color theme="1"/>
        <rFont val="Calibri"/>
        <family val="2"/>
        <charset val="1"/>
      </rPr>
      <t xml:space="preserve">× 2 </t>
    </r>
    <r>
      <rPr>
        <sz val="11"/>
        <color theme="1"/>
        <rFont val="Noto Sans CJK SC"/>
        <family val="2"/>
      </rPr>
      <t xml:space="preserve">季</t>
    </r>
  </si>
  <si>
    <t xml:space="preserve">capex_rem</t>
  </si>
  <si>
    <t xml:space="preserve">基準年其餘資本支出（現金）</t>
  </si>
  <si>
    <r>
      <rPr>
        <sz val="11"/>
        <color theme="1"/>
        <rFont val="Noto Sans CJK SC"/>
        <family val="2"/>
      </rPr>
      <t xml:space="preserve">全年 </t>
    </r>
    <r>
      <rPr>
        <sz val="11"/>
        <color theme="1"/>
        <rFont val="Calibri"/>
        <family val="2"/>
        <charset val="1"/>
      </rPr>
      <t xml:space="preserve">48.7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60%</t>
    </r>
    <r>
      <rPr>
        <sz val="11"/>
        <color theme="1"/>
        <rFont val="Noto Sans CJK SC"/>
        <family val="2"/>
      </rPr>
      <t xml:space="preserve">（上半年實付 </t>
    </r>
    <r>
      <rPr>
        <sz val="11"/>
        <color theme="1"/>
        <rFont val="Calibri"/>
        <family val="2"/>
        <charset val="1"/>
      </rPr>
      <t xml:space="preserve">18.3</t>
    </r>
    <r>
      <rPr>
        <sz val="11"/>
        <color theme="1"/>
        <rFont val="Noto Sans CJK SC"/>
        <family val="2"/>
      </rPr>
      <t xml:space="preserve">）</t>
    </r>
  </si>
  <si>
    <t xml:space="preserve">dps_1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</si>
  <si>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</si>
  <si>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</t>
    </r>
  </si>
  <si>
    <t xml:space="preserve">dps_2</t>
  </si>
  <si>
    <r>
      <rPr>
        <sz val="11"/>
        <color theme="1"/>
        <rFont val="Noto Sans CJK SC"/>
        <family val="2"/>
      </rPr>
      <t xml:space="preserve">每股股利 </t>
    </r>
    <r>
      <rPr>
        <sz val="11"/>
        <color theme="1"/>
        <rFont val="Calibri"/>
        <family val="2"/>
        <charset val="1"/>
      </rPr>
      <t xml:space="preserve">2028</t>
    </r>
  </si>
  <si>
    <t xml:space="preserve">payout</t>
  </si>
  <si>
    <r>
      <rPr>
        <sz val="11"/>
        <color theme="1"/>
        <rFont val="Noto Sans CJK SC"/>
        <family val="2"/>
      </rPr>
      <t xml:space="preserve">股東回饋 </t>
    </r>
    <r>
      <rPr>
        <sz val="11"/>
        <color theme="1"/>
        <rFont val="Calibri"/>
        <family val="2"/>
        <charset val="1"/>
      </rPr>
      <t xml:space="preserve">÷ FCF</t>
    </r>
  </si>
  <si>
    <r>
      <rPr>
        <sz val="11"/>
        <color theme="1"/>
        <rFont val="Noto Sans CJK SC"/>
        <family val="2"/>
      </rPr>
      <t xml:space="preserve">公司：</t>
    </r>
    <r>
      <rPr>
        <sz val="11"/>
        <color theme="1"/>
        <rFont val="Calibri"/>
        <family val="2"/>
        <charset val="1"/>
      </rPr>
      <t xml:space="preserve">2025–27 </t>
    </r>
    <r>
      <rPr>
        <sz val="11"/>
        <color theme="1"/>
        <rFont val="Noto Sans CJK SC"/>
        <family val="2"/>
      </rPr>
      <t xml:space="preserve">累計 </t>
    </r>
    <r>
      <rPr>
        <sz val="11"/>
        <color theme="1"/>
        <rFont val="Calibri"/>
        <family val="2"/>
        <charset val="1"/>
      </rPr>
      <t xml:space="preserve">FCF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以上</t>
    </r>
  </si>
  <si>
    <t xml:space="preserve">bb_px</t>
  </si>
  <si>
    <t xml:space="preserve">未來買回均價</t>
  </si>
  <si>
    <t xml:space="preserve">＝目前股價</t>
  </si>
  <si>
    <r>
      <rPr>
        <b val="true"/>
        <sz val="11"/>
        <rFont val="Cambria"/>
        <family val="0"/>
        <charset val="1"/>
      </rPr>
      <t xml:space="preserve">E. </t>
    </r>
    <r>
      <rPr>
        <b val="true"/>
        <sz val="11"/>
        <rFont val="Noto Sans CJK SC"/>
        <family val="2"/>
      </rPr>
      <t xml:space="preserve">估值倍數</t>
    </r>
  </si>
  <si>
    <t xml:space="preserve">pb_1</t>
  </si>
  <si>
    <t xml:space="preserve">P/B 1.0x</t>
  </si>
  <si>
    <t xml:space="preserve">x</t>
  </si>
  <si>
    <t xml:space="preserve">循環谷底倍數</t>
  </si>
  <si>
    <t xml:space="preserve">pb_2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</si>
  <si>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</t>
    </r>
  </si>
  <si>
    <r>
      <rPr>
        <sz val="11"/>
        <color theme="1"/>
        <rFont val="Calibri"/>
        <family val="2"/>
        <charset val="1"/>
      </rPr>
      <t xml:space="preserve">2010–2025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0.81–2.00</t>
    </r>
    <r>
      <rPr>
        <sz val="11"/>
        <color theme="1"/>
        <rFont val="Noto Sans CJK SC"/>
        <family val="2"/>
      </rPr>
      <t xml:space="preserve">，中位約 </t>
    </r>
    <r>
      <rPr>
        <sz val="11"/>
        <color theme="1"/>
        <rFont val="Calibri"/>
        <family val="2"/>
        <charset val="1"/>
      </rPr>
      <t xml:space="preserve">1.6</t>
    </r>
  </si>
  <si>
    <t xml:space="preserve">pb_3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</si>
  <si>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</t>
    </r>
  </si>
  <si>
    <t xml:space="preserve">Shinhan 2026-07</t>
  </si>
  <si>
    <t xml:space="preserve">pe_1</t>
  </si>
  <si>
    <t xml:space="preserve">P/E 4x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</si>
  <si>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2027E P/E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3.7x</t>
    </r>
  </si>
  <si>
    <t xml:space="preserve">pe_2</t>
  </si>
  <si>
    <t xml:space="preserve">P/E 8x</t>
  </si>
  <si>
    <t xml:space="preserve">pe_3</t>
  </si>
  <si>
    <t xml:space="preserve">P/E 12x</t>
  </si>
  <si>
    <r>
      <rPr>
        <b val="true"/>
        <sz val="11"/>
        <rFont val="Cambria"/>
        <family val="0"/>
        <charset val="1"/>
      </rPr>
      <t xml:space="preserve">M1. </t>
    </r>
    <r>
      <rPr>
        <b val="true"/>
        <sz val="11"/>
        <rFont val="Noto Sans CJK SC"/>
        <family val="2"/>
      </rPr>
      <t xml:space="preserve">記憶體價格路徑（季增，共用市場層 </t>
    </r>
    <r>
      <rPr>
        <b val="true"/>
        <sz val="11"/>
        <rFont val="Cambria"/>
        <family val="0"/>
        <charset val="1"/>
      </rPr>
      <t xml:space="preserve">markets/memory</t>
    </r>
    <r>
      <rPr>
        <b val="true"/>
        <sz val="11"/>
        <rFont val="Noto Sans CJK SC"/>
        <family val="2"/>
      </rPr>
      <t xml:space="preserve">）</t>
    </r>
  </si>
  <si>
    <t xml:space="preserve">cq_1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</si>
  <si>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</si>
  <si>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合約價：</t>
    </r>
    <r>
      <rPr>
        <sz val="11"/>
        <color theme="1"/>
        <rFont val="Calibri"/>
        <family val="2"/>
        <charset val="1"/>
      </rPr>
      <t xml:space="preserve">2Q25 0~−5%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3Q25 +10~15%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4Q25 </t>
    </r>
    <r>
      <rPr>
        <sz val="11"/>
        <color theme="1"/>
        <rFont val="Noto Sans CJK SC"/>
        <family val="2"/>
      </rPr>
      <t xml:space="preserve">實際 </t>
    </r>
    <r>
      <rPr>
        <sz val="11"/>
        <color theme="1"/>
        <rFont val="Calibri"/>
        <family val="2"/>
        <charset val="1"/>
      </rPr>
      <t xml:space="preserve">+45~50%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1Q26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+93~98%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+58~63%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+13~18%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+15%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+10~15%</t>
    </r>
  </si>
  <si>
    <t xml:space="preserve">cq_2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</si>
  <si>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</si>
  <si>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cq_3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</si>
  <si>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</si>
  <si>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cq_4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</si>
  <si>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</si>
  <si>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cq_5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</si>
  <si>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</si>
  <si>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cq_6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</si>
  <si>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</si>
  <si>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cq_7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</si>
  <si>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</si>
  <si>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cqA_8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</si>
  <si>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</si>
  <si>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持平略降、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均價仍高於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溫和修正（年均約 −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</si>
  <si>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cqA_9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</si>
  <si>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</si>
  <si>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</si>
  <si>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</si>
  <si>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</si>
  <si>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</si>
  <si>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</si>
  <si>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</si>
  <si>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</si>
  <si>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</si>
  <si>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</si>
  <si>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</si>
  <si>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</si>
  <si>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</si>
  <si>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</si>
  <si>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</si>
  <si>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為本庫外推：標示來源只涵蓋到 </t>
    </r>
    <r>
      <rPr>
        <sz val="11"/>
        <color theme="1"/>
        <rFont val="Calibri"/>
        <family val="2"/>
        <charset val="1"/>
      </rPr>
      <t xml:space="preserve">2028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來源複核）；區間＝情境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同季值</t>
    </r>
  </si>
  <si>
    <t xml:space="preserve">cqA_17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</si>
  <si>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</si>
  <si>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</si>
  <si>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</si>
  <si>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cqA_19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</si>
  <si>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</si>
  <si>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cqB_8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</si>
  <si>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</si>
  <si>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DRAM $/GB −52.9%</t>
    </r>
    <r>
      <rPr>
        <sz val="11"/>
        <color theme="1"/>
        <rFont val="Noto Sans CJK SC"/>
        <family val="2"/>
      </rPr>
      <t xml:space="preserve">（本路徑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年均約 −</t>
    </r>
    <r>
      <rPr>
        <sz val="11"/>
        <color theme="1"/>
        <rFont val="Calibri"/>
        <family val="2"/>
        <charset val="1"/>
      </rPr>
      <t xml:space="preserve">47%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2029 Assumed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</si>
  <si>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cqB_9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</si>
  <si>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</si>
  <si>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</si>
  <si>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</si>
  <si>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</si>
  <si>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</si>
  <si>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</si>
  <si>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</si>
  <si>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</si>
  <si>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</si>
  <si>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</si>
  <si>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</si>
  <si>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</si>
  <si>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</si>
  <si>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</si>
  <si>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</si>
  <si>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</si>
  <si>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</si>
  <si>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</si>
  <si>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</si>
  <si>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cqB_19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</si>
  <si>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</si>
  <si>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cqC_8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</si>
  <si>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</si>
  <si>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年底回到約 </t>
    </r>
    <r>
      <rPr>
        <sz val="11"/>
        <color theme="1"/>
        <rFont val="Calibri"/>
        <family val="2"/>
        <charset val="1"/>
      </rPr>
      <t xml:space="preserve">2025Q4 </t>
    </r>
    <r>
      <rPr>
        <sz val="11"/>
        <color theme="1"/>
        <rFont val="Noto Sans CJK SC"/>
        <family val="2"/>
      </rPr>
      <t xml:space="preserve">水準（自高點約 −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），比照 </t>
    </r>
    <r>
      <rPr>
        <sz val="11"/>
        <color theme="1"/>
        <rFont val="Calibri"/>
        <family val="2"/>
        <charset val="1"/>
      </rPr>
      <t xml:space="preserve">2019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年谷底；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</si>
  <si>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cqC_9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</si>
  <si>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</si>
  <si>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cqC_10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</si>
  <si>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</si>
  <si>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cqC_11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</si>
  <si>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</si>
  <si>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cqC_12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</si>
  <si>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</si>
  <si>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cqC_13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</si>
  <si>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</si>
  <si>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</si>
  <si>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</si>
  <si>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cqC_15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</si>
  <si>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</si>
  <si>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cqC_16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</si>
  <si>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</si>
  <si>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cqC_17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</si>
  <si>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</si>
  <si>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cqC_18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</si>
  <si>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</si>
  <si>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cqC_19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</si>
  <si>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</si>
  <si>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nq_1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</si>
  <si>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2025Q2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</si>
  <si>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1Q26 +85~90%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2Q26 +70~75%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3Q26 +10~15%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MS </t>
    </r>
    <r>
      <rPr>
        <sz val="11"/>
        <color theme="1"/>
        <rFont val="Noto Sans CJK SC"/>
        <family val="2"/>
      </rPr>
      <t xml:space="preserve">實際約 </t>
    </r>
    <r>
      <rPr>
        <sz val="11"/>
        <color theme="1"/>
        <rFont val="Calibri"/>
        <family val="2"/>
        <charset val="1"/>
      </rPr>
      <t xml:space="preserve">+20%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4Q26 +15~20%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2025Q2–Q4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Assumed</t>
    </r>
  </si>
  <si>
    <t xml:space="preserve">nq_2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</si>
  <si>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2025Q3</t>
    </r>
  </si>
  <si>
    <t xml:space="preserve">nq_3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</si>
  <si>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2025Q4</t>
    </r>
  </si>
  <si>
    <t xml:space="preserve">nq_4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</si>
  <si>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2026Q1</t>
    </r>
  </si>
  <si>
    <t xml:space="preserve">nq_5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</si>
  <si>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2026Q2</t>
    </r>
  </si>
  <si>
    <t xml:space="preserve">nq_6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</si>
  <si>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2026Q3</t>
    </r>
  </si>
  <si>
    <t xml:space="preserve">nq_7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</si>
  <si>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2026Q4</t>
    </r>
  </si>
  <si>
    <t xml:space="preserve">nqA_8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</si>
  <si>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</si>
  <si>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下半年供需平衡、價格面臨下修壓力（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</si>
  <si>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nqA_9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</si>
  <si>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</si>
  <si>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</si>
  <si>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</si>
  <si>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</si>
  <si>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</si>
  <si>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</si>
  <si>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</si>
  <si>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</si>
  <si>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</si>
  <si>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</si>
  <si>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</si>
  <si>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</si>
  <si>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</si>
  <si>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</si>
  <si>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</si>
  <si>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</si>
  <si>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</si>
  <si>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</si>
  <si>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</si>
  <si>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nqA_19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</si>
  <si>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</si>
  <si>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nqB_8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</si>
  <si>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</si>
  <si>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本庫情境路徑，依據：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見頂；</t>
    </r>
    <r>
      <rPr>
        <sz val="11"/>
        <color theme="1"/>
        <rFont val="Calibri"/>
        <family val="2"/>
        <charset val="1"/>
      </rPr>
      <t xml:space="preserve">Bernstein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NAND $/GB 2028 −68.8%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2026-10-28 </t>
    </r>
    <r>
      <rPr>
        <sz val="11"/>
        <color theme="1"/>
        <rFont val="Noto Sans CJK SC"/>
        <family val="2"/>
      </rPr>
      <t xml:space="preserve">來源複核：來源無逐季數字，逐季值為本庫拆分）</t>
    </r>
  </si>
  <si>
    <t xml:space="preserve">nqB_9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</si>
  <si>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</si>
  <si>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</si>
  <si>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</si>
  <si>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</si>
  <si>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</si>
  <si>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</si>
  <si>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</si>
  <si>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</si>
  <si>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</si>
  <si>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</si>
  <si>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</si>
  <si>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</si>
  <si>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</si>
  <si>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</si>
  <si>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</si>
  <si>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</si>
  <si>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</si>
  <si>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</si>
  <si>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</si>
  <si>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nqB_19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</si>
  <si>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</si>
  <si>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t xml:space="preserve">nqC_8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</si>
  <si>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</si>
  <si>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：回到約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年水準。區間（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±5pt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各季 </t>
    </r>
    <r>
      <rPr>
        <sz val="11"/>
        <color theme="1"/>
        <rFont val="Calibri"/>
        <family val="2"/>
        <charset val="1"/>
      </rPr>
      <t xml:space="preserve">±10pt</t>
    </r>
    <r>
      <rPr>
        <sz val="11"/>
        <color theme="1"/>
        <rFont val="Noto Sans CJK SC"/>
        <family val="2"/>
      </rPr>
      <t xml:space="preserve">，表示路徑形狀的不確定（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），不是另一個情境</t>
    </r>
  </si>
  <si>
    <t xml:space="preserve">nqC_9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</si>
  <si>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</si>
  <si>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nqC_10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</si>
  <si>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</si>
  <si>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nqC_11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</si>
  <si>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2027Q4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</si>
  <si>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nqC_12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</si>
  <si>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</si>
  <si>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nqC_13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</si>
  <si>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</si>
  <si>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nqC_14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</si>
  <si>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</si>
  <si>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nqC_15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</si>
  <si>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2028Q4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</si>
  <si>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nqC_16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</si>
  <si>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</si>
  <si>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nqC_17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</si>
  <si>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</si>
  <si>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nqC_18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</si>
  <si>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2029Q3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</si>
  <si>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nqC_19</t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</si>
  <si>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合約價季增 </t>
    </r>
    <r>
      <rPr>
        <sz val="11"/>
        <color theme="1"/>
        <rFont val="Calibri"/>
        <family val="2"/>
        <charset val="1"/>
      </rPr>
      <t xml:space="preserve">2029Q4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</si>
  <si>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M2. </t>
    </r>
    <r>
      <rPr>
        <b val="true"/>
        <sz val="11"/>
        <rFont val="Noto Sans CJK SC"/>
        <family val="2"/>
      </rPr>
      <t xml:space="preserve">加速器數量層（百萬顆）與每顆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GB</t>
    </r>
    <r>
      <rPr>
        <b val="true"/>
        <sz val="11"/>
        <rFont val="Noto Sans CJK SC"/>
        <family val="2"/>
      </rPr>
      <t xml:space="preserve">）</t>
    </r>
  </si>
  <si>
    <t xml:space="preserve">u_bw_26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</si>
  <si>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2026</t>
    </r>
  </si>
  <si>
    <t xml:space="preserve">百萬顆</t>
  </si>
  <si>
    <r>
      <rPr>
        <sz val="11"/>
        <color theme="1"/>
        <rFont val="Noto Sans CJK SC"/>
        <family val="2"/>
      </rPr>
      <t xml:space="preserve">顆數：</t>
    </r>
    <r>
      <rPr>
        <sz val="11"/>
        <color theme="1"/>
        <rFont val="Calibri"/>
        <family val="2"/>
        <charset val="1"/>
      </rPr>
      <t xml:space="preserve">Morgan Stanley 2026-07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 5.4M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AC Research 2027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2.4M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  <r>
      <rPr>
        <sz val="11"/>
        <color theme="1"/>
        <rFont val="Noto Sans CJK SC"/>
        <family val="2"/>
      </rPr>
      <t xml:space="preserve">。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B200 186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B300 288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[Derived]</t>
    </r>
  </si>
  <si>
    <t xml:space="preserve">u_bw_27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</si>
  <si>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</si>
  <si>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</si>
  <si>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</si>
  <si>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g_bw_26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</si>
  <si>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</si>
  <si>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GB</t>
  </si>
  <si>
    <t xml:space="preserve">g_bw_27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</si>
  <si>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</si>
  <si>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g_bw_28</t>
  </si>
  <si>
    <r>
      <rPr>
        <sz val="11"/>
        <color theme="1"/>
        <rFont val="Calibri"/>
        <family val="2"/>
        <charset val="1"/>
      </rPr>
      <t xml:space="preserve">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</si>
  <si>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</si>
  <si>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</si>
  <si>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Rubin 22% ×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7.6M [Derived]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7.0M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</si>
  <si>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</si>
  <si>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</si>
  <si>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</si>
  <si>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</si>
  <si>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g_rb_26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</si>
  <si>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</si>
  <si>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g_rb_27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</si>
  <si>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</si>
  <si>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g_rb_28</t>
  </si>
  <si>
    <r>
      <rPr>
        <sz val="11"/>
        <color theme="1"/>
        <rFont val="Calibri"/>
        <family val="2"/>
        <charset val="1"/>
      </rPr>
      <t xml:space="preserve">NVIDIA Rubin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</si>
  <si>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</si>
  <si>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</si>
  <si>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時程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NVIDIA 1 TB</t>
    </r>
    <r>
      <rPr>
        <sz val="11"/>
        <color theme="1"/>
        <rFont val="Noto Sans CJK SC"/>
        <family val="2"/>
      </rPr>
      <t xml:space="preserve">／封裝。區間（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2027 0–0.6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1.0–3.0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：時程提前／延後一年）</t>
    </r>
  </si>
  <si>
    <t xml:space="preserve">u_ru_27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</si>
  <si>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</si>
  <si>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</si>
  <si>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</si>
  <si>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g_ru_26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</si>
  <si>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</si>
  <si>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r>
      <rPr>
        <sz val="11"/>
        <color theme="1"/>
        <rFont val="Calibri"/>
        <family val="2"/>
        <charset val="1"/>
      </rPr>
      <t xml:space="preserve">NVIDIA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Rubin Ultra </t>
    </r>
    <r>
      <rPr>
        <sz val="11"/>
        <color theme="1"/>
        <rFont val="Noto Sans CJK SC"/>
        <family val="2"/>
      </rPr>
      <t xml:space="preserve">每封裝 </t>
    </r>
    <r>
      <rPr>
        <sz val="11"/>
        <color theme="1"/>
        <rFont val="Calibri"/>
        <family val="2"/>
        <charset val="1"/>
      </rPr>
      <t xml:space="preserve">1 TB HBM</t>
    </r>
    <r>
      <rPr>
        <sz val="11"/>
        <color theme="1"/>
        <rFont val="Noto Sans CJK SC"/>
        <family val="2"/>
      </rPr>
      <t xml:space="preserve">（產品路線圖，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：規格為公司公布，不是假設）</t>
    </r>
  </si>
  <si>
    <t xml:space="preserve">g_ru_27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</si>
  <si>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</si>
  <si>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g_ru_28</t>
  </si>
  <si>
    <r>
      <rPr>
        <sz val="11"/>
        <color theme="1"/>
        <rFont val="Calibri"/>
        <family val="2"/>
        <charset val="1"/>
      </rPr>
      <t xml:space="preserve">NVIDIA Rubin Ultra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</si>
  <si>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</si>
  <si>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</si>
  <si>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TrendForce 2026 </t>
    </r>
    <r>
      <rPr>
        <sz val="11"/>
        <color theme="1"/>
        <rFont val="Noto Sans CJK SC"/>
        <family val="2"/>
      </rPr>
      <t xml:space="preserve">組合 </t>
    </r>
    <r>
      <rPr>
        <sz val="11"/>
        <color theme="1"/>
        <rFont val="Calibri"/>
        <family val="2"/>
        <charset val="1"/>
      </rPr>
      <t xml:space="preserve">Hopper 7%</t>
    </r>
  </si>
  <si>
    <t xml:space="preserve">u_hp_27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</si>
  <si>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</si>
  <si>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</si>
  <si>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</si>
  <si>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g_hp_26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</si>
  <si>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</si>
  <si>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g_hp_27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</si>
  <si>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</si>
  <si>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g_hp_28</t>
  </si>
  <si>
    <r>
      <rPr>
        <sz val="11"/>
        <color theme="1"/>
        <rFont val="Calibri"/>
        <family val="2"/>
        <charset val="1"/>
      </rPr>
      <t xml:space="preserve">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</si>
  <si>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</si>
  <si>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</si>
  <si>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Interested-party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</si>
  <si>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Morgan Stanley MI455X 1.0M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MI450 0.5M</t>
    </r>
    <r>
      <rPr>
        <sz val="11"/>
        <color theme="1"/>
        <rFont val="Noto Sans CJK SC"/>
        <family val="2"/>
      </rPr>
      <t xml:space="preserve">；其餘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0.6–0.9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1.2–1.8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1.5–2.5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MI355X 288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MI450 432 </t>
    </r>
    <r>
      <rPr>
        <sz val="11"/>
        <color theme="1"/>
        <rFont val="Noto Sans CJK SC"/>
        <family val="2"/>
      </rPr>
      <t xml:space="preserve">為上下限</t>
    </r>
  </si>
  <si>
    <t xml:space="preserve">u_amd_27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</si>
  <si>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</si>
  <si>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</si>
  <si>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</si>
  <si>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g_amd_26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</si>
  <si>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</si>
  <si>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g_amd_27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</si>
  <si>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</si>
  <si>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g_amd_28</t>
  </si>
  <si>
    <r>
      <rPr>
        <sz val="11"/>
        <color theme="1"/>
        <rFont val="Calibri"/>
        <family val="2"/>
        <charset val="1"/>
      </rPr>
      <t xml:space="preserve">AMD Instinct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</si>
  <si>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</si>
  <si>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</si>
  <si>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MS 3.2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GF 4.5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8.84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）取中間偏 </t>
    </r>
    <r>
      <rPr>
        <sz val="11"/>
        <color theme="1"/>
        <rFont val="Calibri"/>
        <family val="2"/>
        <charset val="1"/>
      </rPr>
      <t xml:space="preserve">MS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 Assumed</t>
    </r>
  </si>
  <si>
    <t xml:space="preserve">u_tpu_27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</si>
  <si>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</si>
  <si>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</si>
  <si>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</si>
  <si>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g_tpu_26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</si>
  <si>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</si>
  <si>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g_tpu_27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</si>
  <si>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</si>
  <si>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g_tpu_28</t>
  </si>
  <si>
    <r>
      <rPr>
        <sz val="11"/>
        <color theme="1"/>
        <rFont val="Calibri"/>
        <family val="2"/>
        <charset val="1"/>
      </rPr>
      <t xml:space="preserve">Google TPU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</si>
  <si>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</si>
  <si>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</si>
  <si>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Noto Sans CJK SC"/>
        <family val="2"/>
      </rPr>
      <t xml:space="preserve">年出貨未找到；</t>
    </r>
    <r>
      <rPr>
        <sz val="11"/>
        <color theme="1"/>
        <rFont val="Calibri"/>
        <family val="2"/>
        <charset val="1"/>
      </rPr>
      <t xml:space="preserve">GB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1.5–2.5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2.0–3.5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2.0–4.0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以 </t>
    </r>
    <r>
      <rPr>
        <sz val="11"/>
        <color theme="1"/>
        <rFont val="Calibri"/>
        <family val="2"/>
        <charset val="1"/>
      </rPr>
      <t xml:space="preserve">Trn2 96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Trn3 144</t>
    </r>
    <r>
      <rPr>
        <sz val="11"/>
        <color theme="1"/>
        <rFont val="Noto Sans CJK SC"/>
        <family val="2"/>
      </rPr>
      <t xml:space="preserve">、下一代 </t>
    </r>
    <r>
      <rPr>
        <sz val="11"/>
        <color theme="1"/>
        <rFont val="Calibri"/>
        <family val="2"/>
        <charset val="1"/>
      </rPr>
      <t xml:space="preserve">256 </t>
    </r>
    <r>
      <rPr>
        <sz val="11"/>
        <color theme="1"/>
        <rFont val="Noto Sans CJK SC"/>
        <family val="2"/>
      </rPr>
      <t xml:space="preserve">為界</t>
    </r>
  </si>
  <si>
    <t xml:space="preserve">u_trn_27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</si>
  <si>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</si>
  <si>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</si>
  <si>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</si>
  <si>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g_trn_26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</si>
  <si>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</si>
  <si>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g_trn_27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</si>
  <si>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</si>
  <si>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g_trn_28</t>
  </si>
  <si>
    <r>
      <rPr>
        <sz val="11"/>
        <color theme="1"/>
        <rFont val="Calibri"/>
        <family val="2"/>
        <charset val="1"/>
      </rPr>
      <t xml:space="preserve">AWS Trainium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2028</t>
    </r>
  </si>
  <si>
    <t xml:space="preserve">u_oth_26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</si>
  <si>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2026</t>
    </r>
  </si>
  <si>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</si>
  <si>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JPMorgan ASIC 12.5M − TPU − Trainium</t>
    </r>
    <r>
      <rPr>
        <sz val="11"/>
        <color theme="1"/>
        <rFont val="Noto Sans CJK SC"/>
        <family val="2"/>
      </rPr>
      <t xml:space="preserve">。區間（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）：顆數 </t>
    </r>
    <r>
      <rPr>
        <sz val="11"/>
        <color theme="1"/>
        <rFont val="Calibri"/>
        <family val="2"/>
        <charset val="1"/>
      </rPr>
      <t xml:space="preserve">2026 0.5–1.5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2027 3.0–6.0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2028 3.5–7.0</t>
    </r>
    <r>
      <rPr>
        <sz val="11"/>
        <color theme="1"/>
        <rFont val="Noto Sans CJK SC"/>
        <family val="2"/>
      </rPr>
      <t xml:space="preserve">；每顆 </t>
    </r>
    <r>
      <rPr>
        <sz val="11"/>
        <color theme="1"/>
        <rFont val="Calibri"/>
        <family val="2"/>
        <charset val="1"/>
      </rPr>
      <t xml:space="preserve">HBM ±50 GB</t>
    </r>
  </si>
  <si>
    <t xml:space="preserve">u_oth_27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</si>
  <si>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2027</t>
    </r>
  </si>
  <si>
    <t xml:space="preserve">u_oth_28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</si>
  <si>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顆數 </t>
    </r>
    <r>
      <rPr>
        <sz val="11"/>
        <color theme="1"/>
        <rFont val="Calibri"/>
        <family val="2"/>
        <charset val="1"/>
      </rPr>
      <t xml:space="preserve">2028</t>
    </r>
  </si>
  <si>
    <t xml:space="preserve">g_oth_26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</si>
  <si>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2026</t>
    </r>
  </si>
  <si>
    <t xml:space="preserve">g_oth_27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</si>
  <si>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2027</t>
    </r>
  </si>
  <si>
    <t xml:space="preserve">g_oth_28</t>
  </si>
  <si>
    <r>
      <rPr>
        <sz val="11"/>
        <color theme="1"/>
        <rFont val="Noto Sans CJK SC"/>
        <family val="2"/>
      </rPr>
      <t xml:space="preserve">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 每顆 </t>
    </r>
    <r>
      <rPr>
        <sz val="11"/>
        <color theme="1"/>
        <rFont val="Calibri"/>
        <family val="2"/>
        <charset val="1"/>
      </rPr>
      <t xml:space="preserve">HBM 2028</t>
    </r>
  </si>
  <si>
    <r>
      <rPr>
        <b val="true"/>
        <sz val="11"/>
        <rFont val="Cambria"/>
        <family val="0"/>
        <charset val="1"/>
      </rPr>
      <t xml:space="preserve">M2b. </t>
    </r>
    <r>
      <rPr>
        <b val="true"/>
        <sz val="11"/>
        <rFont val="Noto Sans CJK SC"/>
        <family val="2"/>
      </rPr>
      <t xml:space="preserve">情境顆數係數（</t>
    </r>
    <r>
      <rPr>
        <b val="true"/>
        <sz val="11"/>
        <rFont val="Cambria"/>
        <family val="0"/>
        <charset val="1"/>
      </rPr>
      <t xml:space="preserve">2028–29 </t>
    </r>
    <r>
      <rPr>
        <b val="true"/>
        <sz val="11"/>
        <rFont val="Noto Sans CJK SC"/>
        <family val="2"/>
      </rPr>
      <t xml:space="preserve">加速器顆數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情境 </t>
    </r>
    <r>
      <rPr>
        <b val="true"/>
        <sz val="11"/>
        <rFont val="Cambria"/>
        <family val="0"/>
        <charset val="1"/>
      </rPr>
      <t xml:space="preserve">A </t>
    </r>
    <r>
      <rPr>
        <b val="true"/>
        <sz val="11"/>
        <rFont val="Noto Sans CJK SC"/>
        <family val="2"/>
      </rPr>
      <t xml:space="preserve">基準；與台積電、</t>
    </r>
    <r>
      <rPr>
        <b val="true"/>
        <sz val="11"/>
        <rFont val="Cambria"/>
        <family val="0"/>
        <charset val="1"/>
      </rPr>
      <t xml:space="preserve">Advantest </t>
    </r>
    <r>
      <rPr>
        <b val="true"/>
        <sz val="11"/>
        <rFont val="Noto Sans CJK SC"/>
        <family val="2"/>
      </rPr>
      <t xml:space="preserve">模型同一套）</t>
    </r>
  </si>
  <si>
    <t xml:space="preserve">um28_A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</si>
  <si>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</si>
  <si>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＝基準（定義為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資本支出消化；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＝明顯下修。無外部預測可校準，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區間皆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；與 </t>
    </r>
    <r>
      <rPr>
        <sz val="11"/>
        <color theme="1"/>
        <rFont val="Calibri"/>
        <family val="2"/>
        <charset val="1"/>
      </rPr>
      <t xml:space="preserve">tsmc/build_tsmc.py </t>
    </r>
    <r>
      <rPr>
        <sz val="11"/>
        <color theme="1"/>
        <rFont val="Noto Sans CJK SC"/>
        <family val="2"/>
      </rPr>
      <t xml:space="preserve">同值。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需求位元、台積電 </t>
    </r>
    <r>
      <rPr>
        <sz val="11"/>
        <color theme="1"/>
        <rFont val="Calibri"/>
        <family val="2"/>
        <charset val="1"/>
      </rPr>
      <t xml:space="preserve">CoWoS </t>
    </r>
    <r>
      <rPr>
        <sz val="11"/>
        <color theme="1"/>
        <rFont val="Noto Sans CJK SC"/>
        <family val="2"/>
      </rPr>
      <t xml:space="preserve">需求、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測試機需求用同一組係數。情境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為定義值 </t>
    </r>
    <r>
      <rPr>
        <sz val="11"/>
        <color theme="1"/>
        <rFont val="Calibri"/>
        <family val="2"/>
        <charset val="1"/>
      </rPr>
      <t xml:space="preserve">1.0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v0.2 </t>
    </r>
    <r>
      <rPr>
        <sz val="11"/>
        <color theme="1"/>
        <rFont val="Noto Sans CJK SC"/>
        <family val="2"/>
      </rPr>
      <t xml:space="preserve">標記由 </t>
    </r>
    <r>
      <rPr>
        <sz val="11"/>
        <color theme="1"/>
        <rFont val="Calibri"/>
        <family val="2"/>
        <charset val="1"/>
      </rPr>
      <t xml:space="preserve">Assumed </t>
    </r>
    <r>
      <rPr>
        <sz val="11"/>
        <color theme="1"/>
        <rFont val="Noto Sans CJK SC"/>
        <family val="2"/>
      </rPr>
      <t xml:space="preserve">改為 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仍為 </t>
    </r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，區間 </t>
    </r>
    <r>
      <rPr>
        <sz val="11"/>
        <color theme="1"/>
        <rFont val="Calibri"/>
        <family val="2"/>
        <charset val="1"/>
      </rPr>
      <t xml:space="preserve">±0.1</t>
    </r>
    <r>
      <rPr>
        <sz val="11"/>
        <color theme="1"/>
        <rFont val="Noto Sans CJK SC"/>
        <family val="2"/>
      </rPr>
      <t xml:space="preserve">）</t>
    </r>
  </si>
  <si>
    <t xml:space="preserve">um29_A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</si>
  <si>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</si>
  <si>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</si>
  <si>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</si>
  <si>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</si>
  <si>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</si>
  <si>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um28_C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</si>
  <si>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</si>
  <si>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t xml:space="preserve">um29_C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</si>
  <si>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基準</t>
    </r>
  </si>
  <si>
    <r>
      <rPr>
        <b val="true"/>
        <sz val="11"/>
        <rFont val="Cambria"/>
        <family val="0"/>
        <charset val="1"/>
      </rPr>
      <t xml:space="preserve">M3. HBM </t>
    </r>
    <r>
      <rPr>
        <b val="true"/>
        <sz val="11"/>
        <rFont val="Noto Sans CJK SC"/>
        <family val="2"/>
      </rPr>
      <t xml:space="preserve">市場</t>
    </r>
  </si>
  <si>
    <t xml:space="preserve">hbm_mkt25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</si>
  <si>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2025</t>
    </r>
  </si>
  <si>
    <t xml:space="preserve">$B</t>
  </si>
  <si>
    <r>
      <rPr>
        <sz val="11"/>
        <color theme="1"/>
        <rFont val="Calibri"/>
        <family val="2"/>
        <charset val="1"/>
      </rPr>
      <t xml:space="preserve">Micron TAM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$35B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2025-12 </t>
    </r>
    <r>
      <rPr>
        <sz val="11"/>
        <color theme="1"/>
        <rFont val="Noto Sans CJK SC"/>
        <family val="2"/>
      </rPr>
      <t xml:space="preserve">法說）；</t>
    </r>
    <r>
      <rPr>
        <sz val="11"/>
        <color theme="1"/>
        <rFont val="Calibri"/>
        <family val="2"/>
        <charset val="1"/>
      </rPr>
      <t xml:space="preserve">Yole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$34B</t>
    </r>
  </si>
  <si>
    <t xml:space="preserve">hbm_g26</t>
  </si>
  <si>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位元成長（推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出貨位元）</t>
    </r>
  </si>
  <si>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2026 &gt;70%</t>
    </r>
  </si>
  <si>
    <t xml:space="preserve">hbm_gross</t>
  </si>
  <si>
    <r>
      <rPr>
        <sz val="11"/>
        <color theme="1"/>
        <rFont val="Noto Sans CJK SC"/>
        <family val="2"/>
      </rPr>
      <t xml:space="preserve">出貨位元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加速器裝載位元</t>
    </r>
  </si>
  <si>
    <r>
      <rPr>
        <sz val="11"/>
        <color theme="1"/>
        <rFont val="Noto Sans CJK SC"/>
        <family val="2"/>
      </rPr>
      <t xml:space="preserve">封裝良率損失、庫存與未列入的買方（</t>
    </r>
    <r>
      <rPr>
        <sz val="11"/>
        <color theme="1"/>
        <rFont val="Calibri"/>
        <family val="2"/>
        <charset val="1"/>
      </rPr>
      <t xml:space="preserve">Epoch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CoWoS-L </t>
    </r>
    <r>
      <rPr>
        <sz val="11"/>
        <color theme="1"/>
        <rFont val="Noto Sans CJK SC"/>
        <family val="2"/>
      </rPr>
      <t xml:space="preserve">良率 </t>
    </r>
    <r>
      <rPr>
        <sz val="11"/>
        <color theme="1"/>
        <rFont val="Calibri"/>
        <family val="2"/>
        <charset val="1"/>
      </rPr>
      <t xml:space="preserve">65–95%</t>
    </r>
    <r>
      <rPr>
        <sz val="11"/>
        <color theme="1"/>
        <rFont val="Noto Sans CJK SC"/>
        <family val="2"/>
      </rPr>
      <t xml:space="preserve">）</t>
    </r>
  </si>
  <si>
    <t xml:space="preserve">hbm_sup27</t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</si>
  <si>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位元供給成長（三情境相同：產能已定）</t>
    </r>
  </si>
  <si>
    <r>
      <rPr>
        <sz val="11"/>
        <color theme="1"/>
        <rFont val="Calibri"/>
        <family val="2"/>
        <charset val="1"/>
      </rPr>
      <t xml:space="preserve">TrendForce 2027 +50–60%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2026–28 CAGR 63%</t>
    </r>
  </si>
  <si>
    <t xml:space="preserve">hbm_sup28</t>
  </si>
  <si>
    <r>
      <rPr>
        <sz val="11"/>
        <color theme="1"/>
        <rFont val="Calibri"/>
        <family val="2"/>
        <charset val="1"/>
      </rPr>
      <t xml:space="preserve">2028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</si>
  <si>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Noto Sans CJK SC"/>
        <family val="2"/>
      </rPr>
      <t xml:space="preserve">新廠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才貢獻（</t>
    </r>
    <r>
      <rPr>
        <sz val="11"/>
        <color theme="1"/>
        <rFont val="Calibri"/>
        <family val="2"/>
        <charset val="1"/>
      </rPr>
      <t xml:space="preserve">TrendForce</t>
    </r>
    <r>
      <rPr>
        <sz val="11"/>
        <color theme="1"/>
        <rFont val="Noto Sans CJK SC"/>
        <family val="2"/>
      </rPr>
      <t xml:space="preserve">）；供給不隨需求情境變：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產能的設備與廠房在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前已訂定，需求下修的結果是閒置產能與降價，不是減產</t>
    </r>
  </si>
  <si>
    <t xml:space="preserve">hbm_p26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</si>
  <si>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混合單價 </t>
    </r>
    <r>
      <rPr>
        <sz val="11"/>
        <color theme="1"/>
        <rFont val="Calibri"/>
        <family val="2"/>
        <charset val="1"/>
      </rPr>
      <t xml:space="preserve">2026</t>
    </r>
  </si>
  <si>
    <t xml:space="preserve">$/GB</t>
  </si>
  <si>
    <r>
      <rPr>
        <sz val="11"/>
        <color theme="1"/>
        <rFont val="Calibri"/>
        <family val="2"/>
        <charset val="1"/>
      </rPr>
      <t xml:space="preserve">BofA $14.6/GB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DigiTimes HBM3E $12–12.8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HBM4 </t>
    </r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$16</t>
    </r>
  </si>
  <si>
    <t xml:space="preserve">hbm_p27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</si>
  <si>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變動（三情境相同；年約已議定）</t>
    </r>
  </si>
  <si>
    <r>
      <rPr>
        <sz val="11"/>
        <color theme="1"/>
        <rFont val="Calibri"/>
        <family val="2"/>
        <charset val="1"/>
      </rPr>
      <t xml:space="preserve">BofA +38%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JPM +54%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UBS +76–79%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+121%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CY27 </t>
    </r>
    <r>
      <rPr>
        <sz val="11"/>
        <color theme="1"/>
        <rFont val="Noto Sans CJK SC"/>
        <family val="2"/>
      </rPr>
      <t xml:space="preserve">大部分已簽、大幅漲價</t>
    </r>
  </si>
  <si>
    <t xml:space="preserve">hbm_p28_A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</si>
  <si>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</si>
  <si>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JPMorgan 2028 +25%</t>
    </r>
    <r>
      <rPr>
        <sz val="11"/>
        <color theme="1"/>
        <rFont val="Noto Sans CJK SC"/>
        <family val="2"/>
      </rPr>
      <t xml:space="preserve">（上限）</t>
    </r>
  </si>
  <si>
    <t xml:space="preserve">hbm_p28_B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</si>
  <si>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</si>
  <si>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大跌時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年約重議下修</t>
    </r>
  </si>
  <si>
    <t xml:space="preserve">hbm_p28_C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</si>
  <si>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</si>
  <si>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完整谷底</t>
  </si>
  <si>
    <t xml:space="preserve">hbm_dem29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</si>
  <si>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需求位元成長（情境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再乘 </t>
    </r>
    <r>
      <rPr>
        <sz val="11"/>
        <color theme="1"/>
        <rFont val="Calibri"/>
        <family val="2"/>
        <charset val="1"/>
      </rPr>
      <t xml:space="preserve">um29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</si>
  <si>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無顆數預測；</t>
    </r>
    <r>
      <rPr>
        <sz val="11"/>
        <color theme="1"/>
        <rFont val="Calibri"/>
        <family val="2"/>
        <charset val="1"/>
      </rPr>
      <t xml:space="preserve">Micron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位元成長快於一般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至 </t>
    </r>
    <r>
      <rPr>
        <sz val="11"/>
        <color theme="1"/>
        <rFont val="Calibri"/>
        <family val="2"/>
        <charset val="1"/>
      </rPr>
      <t xml:space="preserve">2028</t>
    </r>
  </si>
  <si>
    <t xml:space="preserve">hbm_sup29</t>
  </si>
  <si>
    <r>
      <rPr>
        <sz val="11"/>
        <color theme="1"/>
        <rFont val="Calibri"/>
        <family val="2"/>
        <charset val="1"/>
      </rPr>
      <t xml:space="preserve">2029 HBM </t>
    </r>
    <r>
      <rPr>
        <sz val="11"/>
        <color theme="1"/>
        <rFont val="Noto Sans CJK SC"/>
        <family val="2"/>
      </rPr>
      <t xml:space="preserve">位元供給成長（三情境相同）</t>
    </r>
  </si>
  <si>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 </t>
    </r>
    <r>
      <rPr>
        <sz val="11"/>
        <color theme="1"/>
        <rFont val="Noto Sans CJK SC"/>
        <family val="2"/>
      </rPr>
      <t xml:space="preserve">等新廠 </t>
    </r>
    <r>
      <rPr>
        <sz val="11"/>
        <color theme="1"/>
        <rFont val="Calibri"/>
        <family val="2"/>
        <charset val="1"/>
      </rPr>
      <t xml:space="preserve">2028–29 </t>
    </r>
    <r>
      <rPr>
        <sz val="11"/>
        <color theme="1"/>
        <rFont val="Noto Sans CJK SC"/>
        <family val="2"/>
      </rPr>
      <t xml:space="preserve">投產</t>
    </r>
  </si>
  <si>
    <t xml:space="preserve">hbm_p29_A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</si>
  <si>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</si>
  <si>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無外部預測；供給新廠（</t>
    </r>
    <r>
      <rPr>
        <sz val="11"/>
        <color theme="1"/>
        <rFont val="Calibri"/>
        <family val="2"/>
        <charset val="1"/>
      </rPr>
      <t xml:space="preserve">P5</t>
    </r>
    <r>
      <rPr>
        <sz val="11"/>
        <color theme="1"/>
        <rFont val="Noto Sans CJK SC"/>
        <family val="2"/>
      </rPr>
      <t xml:space="preserve">、龍仁、</t>
    </r>
    <r>
      <rPr>
        <sz val="11"/>
        <color theme="1"/>
        <rFont val="Calibri"/>
        <family val="2"/>
        <charset val="1"/>
      </rPr>
      <t xml:space="preserve">M15X</t>
    </r>
    <r>
      <rPr>
        <sz val="11"/>
        <color theme="1"/>
        <rFont val="Noto Sans CJK SC"/>
        <family val="2"/>
      </rPr>
      <t xml:space="preserve">）投產下單價緩降</t>
    </r>
  </si>
  <si>
    <t xml:space="preserve">hbm_p29_B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</si>
  <si>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</si>
  <si>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Assumed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無外部預測；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已下修後持平</t>
    </r>
  </si>
  <si>
    <t xml:space="preserve">hbm_p29_C</t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</si>
  <si>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變動（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</si>
  <si>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t xml:space="preserve">自谷底回升</t>
  </si>
  <si>
    <r>
      <rPr>
        <b val="true"/>
        <sz val="11"/>
        <rFont val="Cambria"/>
        <family val="0"/>
        <charset val="1"/>
      </rPr>
      <t xml:space="preserve">M4. </t>
    </r>
    <r>
      <rPr>
        <b val="true"/>
        <sz val="11"/>
        <rFont val="Noto Sans CJK SC"/>
        <family val="2"/>
      </rPr>
      <t xml:space="preserve">對帳用（橋接表 </t>
    </r>
    <r>
      <rPr>
        <b val="true"/>
        <sz val="11"/>
        <rFont val="Cambria"/>
        <family val="0"/>
        <charset val="1"/>
      </rPr>
      <t xml:space="preserve">v0.2</t>
    </r>
    <r>
      <rPr>
        <b val="true"/>
        <sz val="11"/>
        <rFont val="Noto Sans CJK SC"/>
        <family val="2"/>
      </rPr>
      <t xml:space="preserve">、已發布）</t>
    </r>
  </si>
  <si>
    <t xml:space="preserve">nv_dc26</t>
  </si>
  <si>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（約 </t>
    </r>
    <r>
      <rPr>
        <sz val="11"/>
        <color theme="1"/>
        <rFont val="Calibri"/>
        <family val="2"/>
        <charset val="1"/>
      </rPr>
      <t xml:space="preserve">FY27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</si>
  <si>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Assumed</t>
    </r>
  </si>
  <si>
    <r>
      <rPr>
        <sz val="11"/>
        <color theme="1"/>
        <rFont val="Calibri"/>
        <family val="2"/>
        <charset val="1"/>
      </rPr>
      <t xml:space="preserve">FY27 Q1 75.2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Q2 89.0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8-K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Q3 </t>
    </r>
    <r>
      <rPr>
        <sz val="11"/>
        <color theme="1"/>
        <rFont val="Noto Sans CJK SC"/>
        <family val="2"/>
      </rPr>
      <t xml:space="preserve">指引總營收 </t>
    </r>
    <r>
      <rPr>
        <sz val="11"/>
        <color theme="1"/>
        <rFont val="Calibri"/>
        <family val="2"/>
        <charset val="1"/>
      </rPr>
      <t xml:space="preserve">108</t>
    </r>
    <r>
      <rPr>
        <sz val="11"/>
        <color theme="1"/>
        <rFont val="Noto Sans CJK SC"/>
        <family val="2"/>
      </rPr>
      <t xml:space="preserve">（資料中心取 </t>
    </r>
    <r>
      <rPr>
        <sz val="11"/>
        <color theme="1"/>
        <rFont val="Calibri"/>
        <family val="2"/>
        <charset val="1"/>
      </rPr>
      <t xml:space="preserve">100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Q4 Assumed 110</t>
    </r>
  </si>
  <si>
    <t xml:space="preserve">nv_content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</si>
  <si>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</si>
  <si>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t xml:space="preserve">$K</t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</si>
  <si>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Tokenomics v19.0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GB300 </t>
    </r>
    <r>
      <rPr>
        <sz val="11"/>
        <color theme="1"/>
        <rFont val="Noto Sans CJK SC"/>
        <family val="2"/>
      </rPr>
      <t xml:space="preserve">機架基準價 </t>
    </r>
    <r>
      <rPr>
        <sz val="11"/>
        <color theme="1"/>
        <rFont val="Calibri"/>
        <family val="2"/>
        <charset val="1"/>
      </rPr>
      <t xml:space="preserve">$4.3M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51.6</t>
    </r>
    <r>
      <rPr>
        <sz val="11"/>
        <color theme="1"/>
        <rFont val="Noto Sans CJK SC"/>
        <family val="2"/>
      </rPr>
      <t xml:space="preserve">）</t>
    </r>
  </si>
  <si>
    <t xml:space="preserve">nv_hbm</t>
  </si>
  <si>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GPU 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</si>
  <si>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markets/chip_bridge v0.2</t>
    </r>
    <r>
      <rPr>
        <sz val="11"/>
        <color theme="1"/>
        <rFont val="Noto Sans CJK SC"/>
        <family val="2"/>
      </rPr>
      <t xml:space="preserve">（與 </t>
    </r>
    <r>
      <rPr>
        <sz val="11"/>
        <color theme="1"/>
        <rFont val="Calibri"/>
        <family val="2"/>
        <charset val="1"/>
      </rPr>
      <t xml:space="preserve">v0.1 </t>
    </r>
    <r>
      <rPr>
        <sz val="11"/>
        <color theme="1"/>
        <rFont val="Noto Sans CJK SC"/>
        <family val="2"/>
      </rPr>
      <t xml:space="preserve">相同）</t>
    </r>
  </si>
  <si>
    <t xml:space="preserve">pub26_lo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</si>
  <si>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海力士自估）</t>
    </r>
  </si>
  <si>
    <r>
      <rPr>
        <sz val="11"/>
        <color theme="1"/>
        <rFont val="Calibri"/>
        <family val="2"/>
        <charset val="1"/>
      </rPr>
      <t xml:space="preserve">Motley Fool</t>
    </r>
    <r>
      <rPr>
        <sz val="11"/>
        <color theme="1"/>
        <rFont val="Noto Sans CJK SC"/>
        <family val="2"/>
      </rPr>
      <t xml:space="preserve">／글로벌이코노믹 </t>
    </r>
    <r>
      <rPr>
        <sz val="11"/>
        <color theme="1"/>
        <rFont val="Calibri"/>
        <family val="2"/>
        <charset val="1"/>
      </rPr>
      <t xml:space="preserve">2026-09</t>
    </r>
  </si>
  <si>
    <t xml:space="preserve">pub26_hi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</si>
  <si>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2026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</si>
  <si>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t xml:space="preserve">BofA 2026-08-07</t>
  </si>
  <si>
    <t xml:space="preserve">pub27</t>
  </si>
  <si>
    <r>
      <rPr>
        <sz val="11"/>
        <color theme="1"/>
        <rFont val="Noto Sans CJK SC"/>
        <family val="2"/>
      </rPr>
      <t xml:space="preserve">已發布 </t>
    </r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</si>
  <si>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JPMorgan 2027–28 </t>
    </r>
    <r>
      <rPr>
        <sz val="11"/>
        <color theme="1"/>
        <rFont val="Noto Sans CJK SC"/>
        <family val="2"/>
      </rPr>
      <t xml:space="preserve">為 </t>
    </r>
    <r>
      <rPr>
        <sz val="11"/>
        <color theme="1"/>
        <rFont val="Calibri"/>
        <family val="2"/>
        <charset val="1"/>
      </rPr>
      <t xml:space="preserve">160–282</t>
    </r>
  </si>
  <si>
    <r>
      <rPr>
        <b val="true"/>
        <sz val="11"/>
        <rFont val="Noto Sans CJK SC"/>
        <family val="2"/>
      </rPr>
      <t xml:space="preserve">目標價參數（黃底；</t>
    </r>
    <r>
      <rPr>
        <b val="true"/>
        <sz val="11"/>
        <rFont val="Cambria"/>
        <family val="0"/>
        <charset val="1"/>
      </rPr>
      <t xml:space="preserve">Val </t>
    </r>
    <r>
      <rPr>
        <b val="true"/>
        <sz val="11"/>
        <rFont val="Noto Sans CJK SC"/>
        <family val="2"/>
      </rPr>
      <t xml:space="preserve">頁第 </t>
    </r>
    <r>
      <rPr>
        <b val="true"/>
        <sz val="11"/>
        <rFont val="Cambria"/>
        <family val="0"/>
        <charset val="1"/>
      </rPr>
      <t xml:space="preserve">0 </t>
    </r>
    <r>
      <rPr>
        <b val="true"/>
        <sz val="11"/>
        <rFont val="Noto Sans CJK SC"/>
        <family val="2"/>
      </rPr>
      <t xml:space="preserve">節 </t>
    </r>
    <r>
      <rPr>
        <b val="true"/>
        <sz val="11"/>
        <rFont val="Cambria"/>
        <family val="0"/>
        <charset val="1"/>
      </rPr>
      <t xml:space="preserve">DCF</t>
    </r>
    <r>
      <rPr>
        <b val="true"/>
        <sz val="11"/>
        <rFont val="Noto Sans CJK SC"/>
        <family val="2"/>
      </rPr>
      <t xml:space="preserve">＋</t>
    </r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與收斂法用；</t>
    </r>
    <r>
      <rPr>
        <b val="true"/>
        <sz val="11"/>
        <rFont val="Cambria"/>
        <family val="0"/>
        <charset val="1"/>
      </rPr>
      <t xml:space="preserve">Assumed </t>
    </r>
    <r>
      <rPr>
        <b val="true"/>
        <sz val="11"/>
        <rFont val="Noto Sans CJK SC"/>
        <family val="2"/>
      </rPr>
      <t xml:space="preserve">者 </t>
    </r>
    <r>
      <rPr>
        <b val="true"/>
        <sz val="11"/>
        <rFont val="Cambria"/>
        <family val="0"/>
        <charset val="1"/>
      </rPr>
      <t xml:space="preserve">Andy </t>
    </r>
    <r>
      <rPr>
        <b val="true"/>
        <sz val="11"/>
        <rFont val="Noto Sans CJK SC"/>
        <family val="2"/>
      </rPr>
      <t xml:space="preserve">可改）</t>
    </r>
  </si>
  <si>
    <t xml:space="preserve">tp_wA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</si>
  <si>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</si>
  <si>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 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預設 </t>
    </r>
    <r>
      <rPr>
        <sz val="11"/>
        <color theme="1"/>
        <rFont val="Calibri"/>
        <family val="2"/>
        <charset val="1"/>
      </rPr>
      <t xml:space="preserve">A 0.3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 0.5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0.2</t>
    </r>
    <r>
      <rPr>
        <sz val="11"/>
        <color theme="1"/>
        <rFont val="Noto Sans CJK SC"/>
        <family val="2"/>
      </rPr>
      <t xml:space="preserve">）；三者合計應為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節列示）</t>
    </r>
  </si>
  <si>
    <t xml:space="preserve">tp_wB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</si>
  <si>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</si>
  <si>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tp_wC</t>
  </si>
  <si>
    <r>
      <rPr>
        <sz val="11"/>
        <color theme="1"/>
        <rFont val="Noto Sans CJK SC"/>
        <family val="2"/>
      </rPr>
      <t xml:space="preserve">目標價情境權重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順利／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不如預期）</t>
    </r>
  </si>
  <si>
    <t xml:space="preserve">tp_r</t>
  </si>
  <si>
    <t xml:space="preserve">折現率／要求報酬</t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</si>
  <si>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10%</t>
    </r>
    <r>
      <rPr>
        <sz val="11"/>
        <color theme="1"/>
        <rFont val="Noto Sans CJK SC"/>
        <family val="2"/>
      </rPr>
      <t xml:space="preserve">；美、台、日、韓同一值）</t>
    </r>
  </si>
  <si>
    <t xml:space="preserve">tp_g</t>
  </si>
  <si>
    <r>
      <rPr>
        <sz val="11"/>
        <color theme="1"/>
        <rFont val="Noto Sans CJK SC"/>
        <family val="2"/>
      </rPr>
      <t xml:space="preserve">長期成長率（永續、收斂法 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的 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營收年增）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</si>
  <si>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可改（工作單預設 </t>
    </r>
    <r>
      <rPr>
        <sz val="11"/>
        <color theme="1"/>
        <rFont val="Calibri"/>
        <family val="2"/>
        <charset val="1"/>
      </rPr>
      <t xml:space="preserve">4%</t>
    </r>
    <r>
      <rPr>
        <sz val="11"/>
        <color theme="1"/>
        <rFont val="Noto Sans CJK SC"/>
        <family val="2"/>
      </rPr>
      <t xml:space="preserve">）</t>
    </r>
  </si>
  <si>
    <t xml:space="preserve">tp_roe</t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</si>
  <si>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（近三年平均，</t>
    </r>
    <r>
      <rPr>
        <sz val="11"/>
        <color theme="1"/>
        <rFont val="Calibri"/>
        <family val="2"/>
        <charset val="1"/>
      </rPr>
      <t xml:space="preserve">2023–2025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</si>
  <si>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比率頁：</t>
    </r>
    <r>
      <rPr>
        <sz val="11"/>
        <color theme="1"/>
        <rFont val="Calibri"/>
        <family val="2"/>
        <charset val="1"/>
      </rPr>
      <t xml:space="preserve">2023 −15.65%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2024 31.07%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2025 44.14%</t>
    </r>
    <r>
      <rPr>
        <sz val="11"/>
        <color theme="1"/>
        <rFont val="Noto Sans CJK SC"/>
        <family val="2"/>
      </rPr>
      <t xml:space="preserve">（單一來源）</t>
    </r>
  </si>
  <si>
    <t xml:space="preserve">tp_w_dcf</t>
  </si>
  <si>
    <r>
      <rPr>
        <sz val="11"/>
        <color theme="1"/>
        <rFont val="Noto Sans CJK SC"/>
        <family val="2"/>
      </rPr>
      <t xml:space="preserve">目標價中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的權重；其餘為 </t>
    </r>
    <r>
      <rPr>
        <sz val="11"/>
        <color theme="1"/>
        <rFont val="Calibri"/>
        <family val="2"/>
        <charset val="1"/>
      </rPr>
      <t xml:space="preserve">Comparable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</si>
  <si>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</t>
    </r>
    <r>
      <rPr>
        <sz val="11"/>
        <color theme="1"/>
        <rFont val="Calibri"/>
        <family val="2"/>
        <charset val="1"/>
      </rPr>
      <t xml:space="preserve">Andy 2026-10-25 11:53 </t>
    </r>
    <r>
      <rPr>
        <sz val="11"/>
        <color theme="1"/>
        <rFont val="Noto Sans CJK SC"/>
        <family val="2"/>
      </rPr>
      <t xml:space="preserve">定 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50</t>
    </r>
    <r>
      <rPr>
        <sz val="11"/>
        <color theme="1"/>
        <rFont val="Noto Sans CJK SC"/>
        <family val="2"/>
      </rPr>
      <t xml:space="preserve">）</t>
    </r>
  </si>
  <si>
    <t xml:space="preserve">nim10</t>
  </si>
  <si>
    <r>
      <rPr>
        <sz val="11"/>
        <color theme="1"/>
        <rFont val="Noto Sans CJK SC"/>
        <family val="2"/>
      </rPr>
      <t xml:space="preserve">十年平均淨利率（</t>
    </r>
    <r>
      <rPr>
        <sz val="11"/>
        <color theme="1"/>
        <rFont val="Calibri"/>
        <family val="2"/>
        <charset val="1"/>
      </rPr>
      <t xml:space="preserve">2016–2025</t>
    </r>
    <r>
      <rPr>
        <sz val="11"/>
        <color theme="1"/>
        <rFont val="Noto Sans CJK SC"/>
        <family val="2"/>
      </rPr>
      <t xml:space="preserve">；淨利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</si>
  <si>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2021–2025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stockanalysis </t>
    </r>
    <r>
      <rPr>
        <sz val="11"/>
        <color theme="1"/>
        <rFont val="Noto Sans CJK SC"/>
        <family val="2"/>
      </rPr>
      <t xml:space="preserve">損益表淨利率（</t>
    </r>
    <r>
      <rPr>
        <sz val="11"/>
        <color theme="1"/>
        <rFont val="Calibri"/>
        <family val="2"/>
        <charset val="1"/>
      </rPr>
      <t xml:space="preserve">22.33%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5.00%</t>
    </r>
    <r>
      <rPr>
        <sz val="11"/>
        <color theme="1"/>
        <rFont val="Noto Sans CJK SC"/>
        <family val="2"/>
      </rPr>
      <t xml:space="preserve">、−</t>
    </r>
    <r>
      <rPr>
        <sz val="11"/>
        <color theme="1"/>
        <rFont val="Calibri"/>
        <family val="2"/>
        <charset val="1"/>
      </rPr>
      <t xml:space="preserve">27.81%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29.89%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44.18%</t>
    </r>
    <r>
      <rPr>
        <sz val="11"/>
        <color theme="1"/>
        <rFont val="Noto Sans CJK SC"/>
        <family val="2"/>
      </rPr>
      <t xml:space="preserve">）；</t>
    </r>
    <r>
      <rPr>
        <sz val="11"/>
        <color theme="1"/>
        <rFont val="Calibri"/>
        <family val="2"/>
        <charset val="1"/>
      </rPr>
      <t xml:space="preserve">2016–2020</t>
    </r>
    <r>
      <rPr>
        <sz val="11"/>
        <color theme="1"/>
        <rFont val="Noto Sans CJK SC"/>
        <family val="2"/>
      </rPr>
      <t xml:space="preserve">：公司年報營收與淨利（兆韓元，本次未重新開啟原文，單一來源）</t>
    </r>
  </si>
  <si>
    <t xml:space="preserve">fade_gA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</si>
  <si>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2pt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</si>
  <si>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工作單 </t>
    </r>
    <r>
      <rPr>
        <sz val="11"/>
        <color theme="1"/>
        <rFont val="Calibri"/>
        <family val="2"/>
        <charset val="1"/>
      </rPr>
      <t xml:space="preserve">2026-10-25 11:20 </t>
    </r>
    <r>
      <rPr>
        <sz val="11"/>
        <color theme="1"/>
        <rFont val="Noto Sans CJK SC"/>
        <family val="2"/>
      </rPr>
      <t xml:space="preserve">收斂法：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年增線性收斂，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</si>
  <si>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fade_gB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</si>
  <si>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合併營收年增收斂目標（＝</t>
    </r>
    <r>
      <rPr>
        <sz val="11"/>
        <color theme="1"/>
        <rFont val="Calibri"/>
        <family val="2"/>
        <charset val="1"/>
      </rPr>
      <t xml:space="preserve">tp_g</t>
    </r>
    <r>
      <rPr>
        <sz val="11"/>
        <color theme="1"/>
        <rFont val="Noto Sans CJK SC"/>
        <family val="2"/>
      </rPr>
      <t xml:space="preserve">）</t>
    </r>
  </si>
  <si>
    <t xml:space="preserve">fade_gC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</si>
  <si>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合併營收年增收斂目標（</t>
    </r>
    <r>
      <rPr>
        <sz val="11"/>
        <color theme="1"/>
        <rFont val="Calibri"/>
        <family val="2"/>
        <charset val="1"/>
      </rPr>
      <t xml:space="preserve">tp_g−2pt</t>
    </r>
    <r>
      <rPr>
        <sz val="11"/>
        <color theme="1"/>
        <rFont val="Noto Sans CJK SC"/>
        <family val="2"/>
      </rPr>
      <t xml:space="preserve">）</t>
    </r>
  </si>
  <si>
    <t xml:space="preserve">cyc_mA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</si>
  <si>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</si>
  <si>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1.2</t>
    </r>
    <r>
      <rPr>
        <sz val="11"/>
        <color theme="1"/>
        <rFont val="Noto Sans CJK SC"/>
        <family val="2"/>
      </rPr>
      <t xml:space="preserve">；記憶體循環股，收斂期不延續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高峰利潤率）</t>
    </r>
  </si>
  <si>
    <t xml:space="preserve">cyc_mC</t>
  </si>
  <si>
    <r>
      <rPr>
        <sz val="11"/>
        <color theme="1"/>
        <rFont val="Noto Sans CJK SC"/>
        <family val="2"/>
      </rPr>
      <t xml:space="preserve">循環中段係數：情境 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淨利率收斂目標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十年平均</t>
    </r>
  </si>
  <si>
    <r>
      <rPr>
        <sz val="11"/>
        <color theme="1"/>
        <rFont val="Calibri"/>
        <family val="2"/>
        <charset val="1"/>
      </rPr>
      <t xml:space="preserve">Andy </t>
    </r>
    <r>
      <rPr>
        <sz val="11"/>
        <color theme="1"/>
        <rFont val="Noto Sans CJK SC"/>
        <family val="2"/>
      </rPr>
      <t xml:space="preserve">可改（預設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）</t>
    </r>
  </si>
  <si>
    <t xml:space="preserve">fade_mA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</si>
  <si>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</si>
  <si>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nim10 × </t>
    </r>
    <r>
      <rPr>
        <sz val="11"/>
        <color theme="1"/>
        <rFont val="Noto Sans CJK SC"/>
        <family val="2"/>
      </rPr>
      <t xml:space="preserve">循環中段係數；</t>
    </r>
    <r>
      <rPr>
        <sz val="11"/>
        <color theme="1"/>
        <rFont val="Calibri"/>
        <family val="2"/>
        <charset val="1"/>
      </rPr>
      <t xml:space="preserve">FY2030 </t>
    </r>
    <r>
      <rPr>
        <sz val="11"/>
        <color theme="1"/>
        <rFont val="Noto Sans CJK SC"/>
        <family val="2"/>
      </rPr>
      <t xml:space="preserve">起由 </t>
    </r>
    <r>
      <rPr>
        <sz val="11"/>
        <color theme="1"/>
        <rFont val="Calibri"/>
        <family val="2"/>
        <charset val="1"/>
      </rPr>
      <t xml:space="preserve">FY2029 </t>
    </r>
    <r>
      <rPr>
        <sz val="11"/>
        <color theme="1"/>
        <rFont val="Noto Sans CJK SC"/>
        <family val="2"/>
      </rPr>
      <t xml:space="preserve">淨利率線性收斂，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達到</t>
    </r>
  </si>
  <si>
    <t xml:space="preserve">fade_mB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</si>
  <si>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淨利率收斂目標（循環中段：＝十年平均淨利率）</t>
    </r>
  </si>
  <si>
    <t xml:space="preserve">fade_mC</t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</si>
  <si>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FY2032 </t>
    </r>
    <r>
      <rPr>
        <sz val="11"/>
        <color theme="1"/>
        <rFont val="Noto Sans CJK SC"/>
        <family val="2"/>
      </rPr>
      <t xml:space="preserve">淨利率收斂目標（循環中段：十年平均 </t>
    </r>
    <r>
      <rPr>
        <sz val="11"/>
        <color theme="1"/>
        <rFont val="Calibri"/>
        <family val="2"/>
        <charset val="1"/>
      </rPr>
      <t xml:space="preserve">× cyc_mC</t>
    </r>
    <r>
      <rPr>
        <sz val="11"/>
        <color theme="1"/>
        <rFont val="Noto Sans CJK SC"/>
        <family val="2"/>
      </rPr>
      <t xml:space="preserve">）</t>
    </r>
  </si>
  <si>
    <t xml:space="preserve">cons_tp</t>
  </si>
  <si>
    <t xml:space="preserve">市場共識目標價（賣方平均；低／高＝最低／最高）</t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</si>
  <si>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共識頁：</t>
    </r>
    <r>
      <rPr>
        <sz val="11"/>
        <color theme="1"/>
        <rFont val="Calibri"/>
        <family val="2"/>
        <charset val="1"/>
      </rPr>
      <t xml:space="preserve">39 </t>
    </r>
    <r>
      <rPr>
        <sz val="11"/>
        <color theme="1"/>
        <rFont val="Noto Sans CJK SC"/>
        <family val="2"/>
      </rPr>
      <t xml:space="preserve">位分析師平均 </t>
    </r>
    <r>
      <rPr>
        <sz val="11"/>
        <color theme="1"/>
        <rFont val="Calibri"/>
        <family val="2"/>
        <charset val="1"/>
      </rPr>
      <t xml:space="preserve">3,096,288</t>
    </r>
    <r>
      <rPr>
        <sz val="11"/>
        <color theme="1"/>
        <rFont val="Noto Sans CJK SC"/>
        <family val="2"/>
      </rPr>
      <t xml:space="preserve">（最低 </t>
    </r>
    <r>
      <rPr>
        <sz val="11"/>
        <color theme="1"/>
        <rFont val="Calibri"/>
        <family val="2"/>
        <charset val="1"/>
      </rPr>
      <t xml:space="preserve">1,535,000</t>
    </r>
    <r>
      <rPr>
        <sz val="11"/>
        <color theme="1"/>
        <rFont val="Noto Sans CJK SC"/>
        <family val="2"/>
      </rPr>
      <t xml:space="preserve">、最高 </t>
    </r>
    <r>
      <rPr>
        <sz val="11"/>
        <color theme="1"/>
        <rFont val="Calibri"/>
        <family val="2"/>
        <charset val="1"/>
      </rPr>
      <t xml:space="preserve">4,700,000</t>
    </r>
    <r>
      <rPr>
        <sz val="11"/>
        <color theme="1"/>
        <rFont val="Noto Sans CJK SC"/>
        <family val="2"/>
      </rPr>
      <t xml:space="preserve">），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</t>
    </r>
  </si>
  <si>
    <t xml:space="preserve">cons_eps27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</si>
  <si>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2027</t>
    </r>
  </si>
  <si>
    <r>
      <rPr>
        <sz val="11"/>
        <color theme="1"/>
        <rFont val="Calibri"/>
        <family val="2"/>
        <charset val="1"/>
      </rPr>
      <t xml:space="preserve">MarketScreener </t>
    </r>
    <r>
      <rPr>
        <sz val="11"/>
        <color theme="1"/>
        <rFont val="Noto Sans CJK SC"/>
        <family val="2"/>
      </rPr>
      <t xml:space="preserve">預估頁（</t>
    </r>
    <r>
      <rPr>
        <sz val="11"/>
        <color theme="1"/>
        <rFont val="Calibri"/>
        <family val="2"/>
        <charset val="1"/>
      </rPr>
      <t xml:space="preserve">2026-10-25 </t>
    </r>
    <r>
      <rPr>
        <sz val="11"/>
        <color theme="1"/>
        <rFont val="Noto Sans CJK SC"/>
        <family val="2"/>
      </rPr>
      <t xml:space="preserve">擷取；頁面為 </t>
    </r>
    <r>
      <rPr>
        <sz val="11"/>
        <color theme="1"/>
        <rFont val="Calibri"/>
        <family val="2"/>
        <charset val="1"/>
      </rPr>
      <t xml:space="preserve">10-23 </t>
    </r>
    <r>
      <rPr>
        <sz val="11"/>
        <color theme="1"/>
        <rFont val="Noto Sans CJK SC"/>
        <family val="2"/>
      </rPr>
      <t xml:space="preserve">收盤）</t>
    </r>
  </si>
  <si>
    <t xml:space="preserve">cons_eps28</t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</si>
  <si>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2028</t>
    </r>
  </si>
  <si>
    <t xml:space="preserve">cons_bvps28</t>
  </si>
  <si>
    <r>
      <rPr>
        <sz val="11"/>
        <color theme="1"/>
        <rFont val="Noto Sans CJK SC"/>
        <family val="2"/>
      </rPr>
      <t xml:space="preserve">共識每股淨值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</t>
    </r>
  </si>
  <si>
    <r>
      <rPr>
        <sz val="11"/>
        <color theme="1"/>
        <rFont val="Calibri"/>
        <family val="2"/>
        <charset val="1"/>
      </rPr>
      <t xml:space="preserve">Path — </t>
    </r>
    <r>
      <rPr>
        <sz val="11"/>
        <color theme="1"/>
        <rFont val="Noto Sans CJK SC"/>
        <family val="2"/>
      </rPr>
      <t xml:space="preserve">記憶體合約價指數（</t>
    </r>
    <r>
      <rPr>
        <sz val="11"/>
        <color theme="1"/>
        <rFont val="Calibri"/>
        <family val="2"/>
        <charset val="1"/>
      </rPr>
      <t xml:space="preserve">2025Q1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；季增來自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M1</t>
    </r>
    <r>
      <rPr>
        <sz val="11"/>
        <color theme="1"/>
        <rFont val="Noto Sans CJK SC"/>
        <family val="2"/>
      </rPr>
      <t xml:space="preserve">）。共用市場層：所有記憶體公司用同一條路徑，再依各自會計年度取平均</t>
    </r>
  </si>
  <si>
    <t xml:space="preserve">路徑</t>
  </si>
  <si>
    <t xml:space="preserve">情境</t>
  </si>
  <si>
    <t xml:space="preserve">2025Q1</t>
  </si>
  <si>
    <t xml:space="preserve">2025Q2</t>
  </si>
  <si>
    <t xml:space="preserve">2025Q3</t>
  </si>
  <si>
    <t xml:space="preserve">2025Q4</t>
  </si>
  <si>
    <t xml:space="preserve">2026Q1</t>
  </si>
  <si>
    <t xml:space="preserve">2026Q2</t>
  </si>
  <si>
    <t xml:space="preserve">2026Q3</t>
  </si>
  <si>
    <t xml:space="preserve">2026Q4</t>
  </si>
  <si>
    <t xml:space="preserve">2027Q1</t>
  </si>
  <si>
    <t xml:space="preserve">2027Q2</t>
  </si>
  <si>
    <t xml:space="preserve">2027Q3</t>
  </si>
  <si>
    <t xml:space="preserve">2027Q4</t>
  </si>
  <si>
    <t xml:space="preserve">2028Q1</t>
  </si>
  <si>
    <t xml:space="preserve">2028Q2</t>
  </si>
  <si>
    <t xml:space="preserve">2028Q3</t>
  </si>
  <si>
    <t xml:space="preserve">2028Q4</t>
  </si>
  <si>
    <t xml:space="preserve">2029Q1</t>
  </si>
  <si>
    <t xml:space="preserve">2029Q2</t>
  </si>
  <si>
    <t xml:space="preserve">2029Q3</t>
  </si>
  <si>
    <t xml:space="preserve">2029Q4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</si>
  <si>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</t>
    </r>
  </si>
  <si>
    <t xml:space="preserve">A</t>
  </si>
  <si>
    <t xml:space="preserve">B</t>
  </si>
  <si>
    <t xml:space="preserve">C</t>
  </si>
  <si>
    <t xml:space="preserve">NAND</t>
  </si>
  <si>
    <t xml:space="preserve">年均指數</t>
  </si>
  <si>
    <t xml:space="preserve">2025</t>
  </si>
  <si>
    <t xml:space="preserve">2026</t>
  </si>
  <si>
    <t xml:space="preserve">2027</t>
  </si>
  <si>
    <t xml:space="preserve">2028</t>
  </si>
  <si>
    <t xml:space="preserve">2029</t>
  </si>
  <si>
    <t xml:space="preserve">2026÷2025</t>
  </si>
  <si>
    <t xml:space="preserve">2027÷2026</t>
  </si>
  <si>
    <t xml:space="preserve">2028÷2027</t>
  </si>
  <si>
    <t xml:space="preserve">2029÷2028</t>
  </si>
  <si>
    <r>
      <rPr>
        <sz val="11"/>
        <color theme="1"/>
        <rFont val="Calibri"/>
        <family val="2"/>
        <charset val="1"/>
      </rPr>
      <t xml:space="preserve">Mkt — </t>
    </r>
    <r>
      <rPr>
        <sz val="11"/>
        <color theme="1"/>
        <rFont val="Noto Sans CJK SC"/>
        <family val="2"/>
      </rPr>
      <t xml:space="preserve">加速器數量層（最小版）與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市場（日曆年）。需求＝顆數 </t>
    </r>
    <r>
      <rPr>
        <sz val="11"/>
        <color theme="1"/>
        <rFont val="Calibri"/>
        <family val="2"/>
        <charset val="1"/>
      </rPr>
      <t xml:space="preserve">× GB × </t>
    </r>
    <r>
      <rPr>
        <sz val="11"/>
        <color theme="1"/>
        <rFont val="Noto Sans CJK SC"/>
        <family val="2"/>
      </rPr>
      <t xml:space="preserve">情境顆數係數（</t>
    </r>
    <r>
      <rPr>
        <sz val="11"/>
        <color theme="1"/>
        <rFont val="Calibri"/>
        <family val="2"/>
        <charset val="1"/>
      </rPr>
      <t xml:space="preserve">2028–29</t>
    </r>
    <r>
      <rPr>
        <sz val="11"/>
        <color theme="1"/>
        <rFont val="Noto Sans CJK SC"/>
        <family val="2"/>
      </rPr>
      <t xml:space="preserve">）；供給三情境相同；出貨＝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；市場＝出貨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單價（單價依情境）</t>
    </r>
  </si>
  <si>
    <t xml:space="preserve">說明</t>
  </si>
  <si>
    <r>
      <rPr>
        <b val="true"/>
        <sz val="11"/>
        <rFont val="Noto Sans CJK SC"/>
        <family val="2"/>
      </rPr>
      <t xml:space="preserve">需求：加速器裝載的 </t>
    </r>
    <r>
      <rPr>
        <b val="true"/>
        <sz val="11"/>
        <rFont val="Cambria"/>
        <family val="0"/>
        <charset val="1"/>
      </rPr>
      <t xml:space="preserve">HBM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PB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</si>
  <si>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NVIDIA Blackwell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B200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B300</t>
    </r>
    <r>
      <rPr>
        <sz val="11"/>
        <color theme="1"/>
        <rFont val="Noto Sans CJK SC"/>
        <family val="2"/>
      </rPr>
      <t xml:space="preserve">）</t>
    </r>
  </si>
  <si>
    <t xml:space="preserve">PB</t>
  </si>
  <si>
    <t xml:space="preserve">  NVIDIA Rubin</t>
  </si>
  <si>
    <t xml:space="preserve">  NVIDIA Rubin Ultra</t>
  </si>
  <si>
    <r>
      <rPr>
        <sz val="11"/>
        <color theme="1"/>
        <rFont val="Calibri"/>
        <family val="2"/>
        <charset val="1"/>
      </rPr>
      <t xml:space="preserve">  NVIDIA Hopper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H200 </t>
    </r>
    <r>
      <rPr>
        <sz val="11"/>
        <color theme="1"/>
        <rFont val="Noto Sans CJK SC"/>
        <family val="2"/>
      </rPr>
      <t xml:space="preserve">等）</t>
    </r>
  </si>
  <si>
    <t xml:space="preserve">  AMD Instinct</t>
  </si>
  <si>
    <t xml:space="preserve">  Google TPU</t>
  </si>
  <si>
    <t xml:space="preserve">  AWS Trainium</t>
  </si>
  <si>
    <r>
      <rPr>
        <sz val="11"/>
        <color theme="1"/>
        <rFont val="Noto Sans CJK SC"/>
        <family val="2"/>
      </rPr>
      <t xml:space="preserve">  其他 </t>
    </r>
    <r>
      <rPr>
        <sz val="11"/>
        <color theme="1"/>
        <rFont val="Calibri"/>
        <family val="2"/>
        <charset val="1"/>
      </rPr>
      <t xml:space="preserve">ASIC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MTIA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Maia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Ascend </t>
    </r>
    <r>
      <rPr>
        <sz val="11"/>
        <color theme="1"/>
        <rFont val="Noto Sans CJK SC"/>
        <family val="2"/>
      </rPr>
      <t xml:space="preserve">等）</t>
    </r>
  </si>
  <si>
    <t xml:space="preserve">需求合計（裝載）</t>
  </si>
  <si>
    <t xml:space="preserve">EB</t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</si>
  <si>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出貨係數（基準＝情境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</si>
  <si>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加速器顆數合計</t>
  </si>
  <si>
    <r>
      <rPr>
        <sz val="11"/>
        <color theme="1"/>
        <rFont val="Calibri"/>
        <family val="2"/>
        <charset val="1"/>
      </rPr>
      <t xml:space="preserve">JPMorgan 2027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GPU 10.9M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ASIC 12.5M</t>
    </r>
    <r>
      <rPr>
        <sz val="11"/>
        <color theme="1"/>
        <rFont val="Noto Sans CJK SC"/>
        <family val="2"/>
      </rPr>
      <t xml:space="preserve">；情境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</si>
  <si>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每顆平均 </t>
    </r>
    <r>
      <rPr>
        <sz val="11"/>
        <color theme="1"/>
        <rFont val="Calibri"/>
        <family val="2"/>
        <charset val="1"/>
      </rPr>
      <t xml:space="preserve">HBM</t>
    </r>
  </si>
  <si>
    <t xml:space="preserve">供給（三情境相同）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</si>
  <si>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供給＝需求出貨（年中已成交）；供給不隨需求情境變（產能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前已訂定）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</si>
  <si>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</si>
  <si>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Calibri"/>
        <family val="2"/>
        <charset val="1"/>
      </rPr>
      <t xml:space="preserve">2026–27 </t>
    </r>
    <r>
      <rPr>
        <sz val="11"/>
        <color theme="1"/>
        <rFont val="Noto Sans CJK SC"/>
        <family val="2"/>
      </rPr>
      <t xml:space="preserve">無情境差異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</si>
  <si>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</si>
  <si>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顆數係數（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2028–29 ÷ </t>
    </r>
    <r>
      <rPr>
        <sz val="11"/>
        <color theme="1"/>
        <rFont val="Noto Sans CJK SC"/>
        <family val="2"/>
      </rPr>
      <t xml:space="preserve">基準，與台積電、</t>
    </r>
    <r>
      <rPr>
        <sz val="11"/>
        <color theme="1"/>
        <rFont val="Calibri"/>
        <family val="2"/>
        <charset val="1"/>
      </rPr>
      <t xml:space="preserve">Advantest </t>
    </r>
    <r>
      <rPr>
        <sz val="11"/>
        <color theme="1"/>
        <rFont val="Noto Sans CJK SC"/>
        <family val="2"/>
      </rPr>
      <t xml:space="preserve">同一套）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</si>
  <si>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</si>
  <si>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</si>
  <si>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出貨係數（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</si>
  <si>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</si>
  <si>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t xml:space="preserve">需求低於供給時出貨＝需求（閒置產能）</t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</si>
  <si>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</si>
  <si>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出貨＝</t>
    </r>
    <r>
      <rPr>
        <sz val="11"/>
        <color theme="1"/>
        <rFont val="Calibri"/>
        <family val="2"/>
        <charset val="1"/>
      </rPr>
      <t xml:space="preserve">MIN(</t>
    </r>
    <r>
      <rPr>
        <sz val="11"/>
        <color theme="1"/>
        <rFont val="Noto Sans CJK SC"/>
        <family val="2"/>
      </rPr>
      <t xml:space="preserve">需求</t>
    </r>
    <r>
      <rPr>
        <sz val="11"/>
        <color theme="1"/>
        <rFont val="Calibri"/>
        <family val="2"/>
        <charset val="1"/>
      </rPr>
      <t xml:space="preserve">, </t>
    </r>
    <r>
      <rPr>
        <sz val="11"/>
        <color theme="1"/>
        <rFont val="Noto Sans CJK SC"/>
        <family val="2"/>
      </rPr>
      <t xml:space="preserve">供給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</si>
  <si>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</si>
  <si>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</si>
  <si>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Noto Sans CJK SC"/>
        <family val="2"/>
      </rPr>
      <t xml:space="preserve">需求 − 供給（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&gt;0</t>
    </r>
    <r>
      <rPr>
        <sz val="11"/>
        <color theme="1"/>
        <rFont val="Noto Sans CJK SC"/>
        <family val="2"/>
      </rPr>
      <t xml:space="preserve">＝短缺）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</si>
  <si>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</si>
  <si>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</si>
  <si>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</si>
  <si>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</si>
  <si>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</si>
  <si>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</si>
  <si>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對帳（樣板驗收 </t>
    </r>
    <r>
      <rPr>
        <b val="true"/>
        <sz val="11"/>
        <rFont val="Cambria"/>
        <family val="0"/>
        <charset val="1"/>
      </rPr>
      <t xml:space="preserve">2</t>
    </r>
    <r>
      <rPr>
        <b val="true"/>
        <sz val="1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</si>
  <si>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由下而上：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裝載 </t>
    </r>
    <r>
      <rPr>
        <sz val="11"/>
        <color theme="1"/>
        <rFont val="Calibri"/>
        <family val="2"/>
        <charset val="1"/>
      </rPr>
      <t xml:space="preserve">HBM × </t>
    </r>
    <r>
      <rPr>
        <sz val="11"/>
        <color theme="1"/>
        <rFont val="Noto Sans CJK SC"/>
        <family val="2"/>
      </rPr>
      <t xml:space="preserve">單價（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</si>
  <si>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由上而下：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資料中心營收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HBM ÷ </t>
    </r>
    <r>
      <rPr>
        <sz val="11"/>
        <color theme="1"/>
        <rFont val="Noto Sans CJK SC"/>
        <family val="2"/>
      </rPr>
      <t xml:space="preserve">每顆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內容（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</si>
  <si>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橋接表 </t>
    </r>
    <r>
      <rPr>
        <sz val="11"/>
        <color theme="1"/>
        <rFont val="Calibri"/>
        <family val="2"/>
        <charset val="1"/>
      </rPr>
      <t xml:space="preserve">v0.2</t>
    </r>
    <r>
      <rPr>
        <sz val="11"/>
        <color theme="1"/>
        <rFont val="Noto Sans CJK SC"/>
        <family val="2"/>
      </rPr>
      <t xml:space="preserve">；與顆數預測獨立</t>
    </r>
  </si>
  <si>
    <t xml:space="preserve">  差距</t>
  </si>
  <si>
    <r>
      <rPr>
        <sz val="11"/>
        <color theme="1"/>
        <rFont val="Noto Sans CJK SC"/>
        <family val="2"/>
      </rPr>
      <t xml:space="preserve">由營收推得 </t>
    </r>
    <r>
      <rPr>
        <sz val="11"/>
        <color theme="1"/>
        <rFont val="Calibri"/>
        <family val="2"/>
        <charset val="1"/>
      </rPr>
      <t xml:space="preserve">NVIDIA </t>
    </r>
    <r>
      <rPr>
        <sz val="11"/>
        <color theme="1"/>
        <rFont val="Noto Sans CJK SC"/>
        <family val="2"/>
      </rPr>
      <t xml:space="preserve">顆數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顆數預測</t>
    </r>
  </si>
  <si>
    <r>
      <rPr>
        <sz val="11"/>
        <color theme="1"/>
        <rFont val="Calibri"/>
        <family val="2"/>
        <charset val="1"/>
      </rPr>
      <t xml:space="preserve">D</t>
    </r>
    <r>
      <rPr>
        <sz val="11"/>
        <color theme="1"/>
        <rFont val="Noto Sans CJK SC"/>
        <family val="2"/>
      </rPr>
      <t xml:space="preserve">＝營收推得；</t>
    </r>
    <r>
      <rPr>
        <sz val="11"/>
        <color theme="1"/>
        <rFont val="Calibri"/>
        <family val="2"/>
        <charset val="1"/>
      </rPr>
      <t xml:space="preserve">E</t>
    </r>
    <r>
      <rPr>
        <sz val="11"/>
        <color theme="1"/>
        <rFont val="Noto Sans CJK SC"/>
        <family val="2"/>
      </rPr>
      <t xml:space="preserve">＝顆數預測（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</si>
  <si>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已發布：</t>
    </r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海力士自估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BofA 2027</t>
    </r>
  </si>
  <si>
    <r>
      <rPr>
        <sz val="11"/>
        <color theme="1"/>
        <rFont val="Noto Sans CJK SC"/>
        <family val="2"/>
      </rPr>
      <t xml:space="preserve">  本模型 </t>
    </r>
    <r>
      <rPr>
        <sz val="11"/>
        <color theme="1"/>
        <rFont val="Calibri"/>
        <family val="2"/>
        <charset val="1"/>
      </rPr>
      <t xml:space="preserve">2026 ÷ SK </t>
    </r>
    <r>
      <rPr>
        <sz val="11"/>
        <color theme="1"/>
        <rFont val="Noto Sans CJK SC"/>
        <family val="2"/>
      </rPr>
      <t xml:space="preserve">海力士自估、</t>
    </r>
    <r>
      <rPr>
        <sz val="11"/>
        <color theme="1"/>
        <rFont val="Calibri"/>
        <family val="2"/>
        <charset val="1"/>
      </rPr>
      <t xml:space="preserve">2027 ÷ BofA</t>
    </r>
  </si>
  <si>
    <r>
      <rPr>
        <sz val="11"/>
        <color theme="1"/>
        <rFont val="Calibri"/>
        <family val="2"/>
        <charset val="1"/>
      </rPr>
      <t xml:space="preserve">Q — </t>
    </r>
    <r>
      <rPr>
        <sz val="11"/>
        <color theme="1"/>
        <rFont val="Noto Sans CJK SC"/>
        <family val="2"/>
      </rPr>
      <t xml:space="preserve">季度損益（兆韓元）。實績：</t>
    </r>
    <r>
      <rPr>
        <sz val="11"/>
        <color theme="1"/>
        <rFont val="Calibri"/>
        <family val="2"/>
        <charset val="1"/>
      </rPr>
      <t xml:space="preserve">SEC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）、</t>
    </r>
    <r>
      <rPr>
        <sz val="11"/>
        <color theme="1"/>
        <rFont val="Calibri"/>
        <family val="2"/>
        <charset val="1"/>
      </rPr>
      <t xml:space="preserve">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）、公司公告；推估季：實績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公司指引 </t>
    </r>
    <r>
      <rPr>
        <sz val="11"/>
        <color theme="1"/>
        <rFont val="Calibri"/>
        <family val="2"/>
        <charset val="1"/>
      </rPr>
      <t xml:space="preserve">× TrendForce </t>
    </r>
    <r>
      <rPr>
        <sz val="11"/>
        <color theme="1"/>
        <rFont val="Noto Sans CJK SC"/>
        <family val="2"/>
      </rPr>
      <t xml:space="preserve">價格</t>
    </r>
  </si>
  <si>
    <t xml:space="preserve">2026Q3E</t>
  </si>
  <si>
    <t xml:space="preserve">2026Q4E</t>
  </si>
  <si>
    <r>
      <rPr>
        <b val="true"/>
        <sz val="11"/>
        <rFont val="Cambria"/>
        <family val="0"/>
        <charset val="1"/>
      </rPr>
      <t xml:space="preserve">2026 </t>
    </r>
    <r>
      <rPr>
        <b val="true"/>
        <sz val="11"/>
        <rFont val="Noto Sans CJK SC"/>
        <family val="2"/>
      </rPr>
      <t xml:space="preserve">合計</t>
    </r>
  </si>
  <si>
    <t xml:space="preserve">記憶體營收</t>
  </si>
  <si>
    <r>
      <rPr>
        <sz val="11"/>
        <color theme="1"/>
        <rFont val="Calibri"/>
        <family val="2"/>
        <charset val="1"/>
      </rPr>
      <t xml:space="preserve">  DRAM</t>
    </r>
    <r>
      <rPr>
        <sz val="11"/>
        <color theme="1"/>
        <rFont val="Noto Sans CJK SC"/>
        <family val="2"/>
      </rPr>
      <t xml:space="preserve">（含 </t>
    </r>
    <r>
      <rPr>
        <sz val="11"/>
        <color theme="1"/>
        <rFont val="Calibri"/>
        <family val="2"/>
        <charset val="1"/>
      </rPr>
      <t xml:space="preserve">HBM</t>
    </r>
    <r>
      <rPr>
        <sz val="11"/>
        <color theme="1"/>
        <rFont val="Noto Sans CJK SC"/>
        <family val="2"/>
      </rPr>
      <t xml:space="preserve">）</t>
    </r>
  </si>
  <si>
    <t xml:space="preserve">  NAND</t>
  </si>
  <si>
    <t xml:space="preserve">  其他</t>
  </si>
  <si>
    <t xml:space="preserve">營業成本</t>
  </si>
  <si>
    <t xml:space="preserve">營業費用</t>
  </si>
  <si>
    <t xml:space="preserve">記憶體營業利益</t>
  </si>
  <si>
    <t xml:space="preserve">記憶體營業利益率</t>
  </si>
  <si>
    <t xml:space="preserve">淨利（合併，含非記憶體事業）</t>
  </si>
  <si>
    <t xml:space="preserve">折舊攤銷</t>
  </si>
  <si>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位元指數（最後實績季＝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</si>
  <si>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位元指數</t>
    </r>
  </si>
  <si>
    <r>
      <rPr>
        <sz val="11"/>
        <color theme="1"/>
        <rFont val="Calibri"/>
        <family val="2"/>
        <charset val="1"/>
      </rPr>
      <t xml:space="preserve">2026Q1 DRAM 77.3%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22%</t>
    </r>
    <r>
      <rPr>
        <sz val="11"/>
        <color theme="1"/>
        <rFont val="Noto Sans CJK SC"/>
        <family val="2"/>
      </rPr>
      <t xml:space="preserve">、毛利率約 </t>
    </r>
    <r>
      <rPr>
        <sz val="11"/>
        <color theme="1"/>
        <rFont val="Calibri"/>
        <family val="2"/>
        <charset val="1"/>
      </rPr>
      <t xml:space="preserve">79%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Q2 DRAM 73%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NAND 27%</t>
    </r>
    <r>
      <rPr>
        <sz val="11"/>
        <color theme="1"/>
        <rFont val="Noto Sans CJK SC"/>
        <family val="2"/>
      </rPr>
      <t xml:space="preserve">、毛利率 </t>
    </r>
    <r>
      <rPr>
        <sz val="11"/>
        <color theme="1"/>
        <rFont val="Calibri"/>
        <family val="2"/>
        <charset val="1"/>
      </rPr>
      <t xml:space="preserve">83%</t>
    </r>
    <r>
      <rPr>
        <sz val="11"/>
        <color theme="1"/>
        <rFont val="Noto Sans CJK SC"/>
        <family val="2"/>
      </rPr>
      <t xml:space="preserve">（公司簡報）。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季度拆分未取得。</t>
    </r>
    <r>
      <rPr>
        <sz val="11"/>
        <color theme="1"/>
        <rFont val="Calibri"/>
        <family val="2"/>
        <charset val="1"/>
      </rPr>
      <t xml:space="preserve">2025Q3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Q4 </t>
    </r>
    <r>
      <rPr>
        <sz val="11"/>
        <color theme="1"/>
        <rFont val="Noto Sans CJK SC"/>
        <family val="2"/>
      </rPr>
      <t xml:space="preserve">折舊為合計 </t>
    </r>
    <r>
      <rPr>
        <sz val="11"/>
        <color theme="1"/>
        <rFont val="Calibri"/>
        <family val="2"/>
        <charset val="1"/>
      </rPr>
      <t xml:space="preserve">7.113 </t>
    </r>
    <r>
      <rPr>
        <sz val="11"/>
        <color theme="1"/>
        <rFont val="Noto Sans CJK SC"/>
        <family val="2"/>
      </rPr>
      <t xml:space="preserve">平均分配 </t>
    </r>
    <r>
      <rPr>
        <sz val="11"/>
        <color theme="1"/>
        <rFont val="Calibri"/>
        <family val="2"/>
        <charset val="1"/>
      </rPr>
      <t xml:space="preserve">[Derived]</t>
    </r>
  </si>
  <si>
    <r>
      <rPr>
        <sz val="11"/>
        <color theme="1"/>
        <rFont val="Calibri"/>
        <family val="2"/>
        <charset val="1"/>
      </rPr>
      <t xml:space="preserve">Y — </t>
    </r>
    <r>
      <rPr>
        <sz val="11"/>
        <color theme="1"/>
        <rFont val="Noto Sans CJK SC"/>
        <family val="2"/>
      </rPr>
      <t xml:space="preserve">年度（兆韓元；股數百萬股）。情境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2027–28 </t>
    </r>
    <r>
      <rPr>
        <sz val="11"/>
        <color theme="1"/>
        <rFont val="Noto Sans CJK SC"/>
        <family val="2"/>
      </rPr>
      <t xml:space="preserve">高檔持平、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緩降（</t>
    </r>
    <r>
      <rPr>
        <sz val="11"/>
        <color theme="1"/>
        <rFont val="Calibri"/>
        <family val="2"/>
        <charset val="1"/>
      </rPr>
      <t xml:space="preserve">BofA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TrendForce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2027 Q2 </t>
    </r>
    <r>
      <rPr>
        <sz val="11"/>
        <color theme="1"/>
        <rFont val="Noto Sans CJK SC"/>
        <family val="2"/>
      </rPr>
      <t xml:space="preserve">見頂、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回落約一半、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溫和回升（</t>
    </r>
    <r>
      <rPr>
        <sz val="11"/>
        <color theme="1"/>
        <rFont val="Calibri"/>
        <family val="2"/>
        <charset val="1"/>
      </rPr>
      <t xml:space="preserve">Citi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Bernstein </t>
    </r>
    <r>
      <rPr>
        <sz val="11"/>
        <color theme="1"/>
        <rFont val="Noto Sans CJK SC"/>
        <family val="2"/>
      </rPr>
      <t xml:space="preserve">型）；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回到 </t>
    </r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年價格水準、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自谷底回升（完整循環）</t>
    </r>
  </si>
  <si>
    <r>
      <rPr>
        <sz val="11"/>
        <color theme="1"/>
        <rFont val="Noto Sans CJK SC"/>
        <family val="2"/>
      </rPr>
      <t xml:space="preserve">灰底＝</t>
    </r>
    <r>
      <rPr>
        <sz val="11"/>
        <color theme="1"/>
        <rFont val="Calibri"/>
        <family val="2"/>
        <charset val="1"/>
      </rPr>
      <t xml:space="preserve">2030–2032 </t>
    </r>
    <r>
      <rPr>
        <sz val="11"/>
        <color theme="1"/>
        <rFont val="Noto Sans CJK SC"/>
        <family val="2"/>
      </rPr>
      <t xml:space="preserve">收斂法（上游市場層只到 </t>
    </r>
    <r>
      <rPr>
        <sz val="11"/>
        <color theme="1"/>
        <rFont val="Calibri"/>
        <family val="2"/>
        <charset val="1"/>
      </rPr>
      <t xml:space="preserve">2029</t>
    </r>
    <r>
      <rPr>
        <sz val="11"/>
        <color theme="1"/>
        <rFont val="Noto Sans CJK SC"/>
        <family val="2"/>
      </rPr>
      <t xml:space="preserve">）：合併營收年增由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頁目標價參數），股數固定；非驅動因子推導，只算營收、淨利、</t>
    </r>
    <r>
      <rPr>
        <sz val="11"/>
        <color theme="1"/>
        <rFont val="Calibri"/>
        <family val="2"/>
        <charset val="1"/>
      </rPr>
      <t xml:space="preserve">EPS</t>
    </r>
  </si>
  <si>
    <r>
      <rPr>
        <b val="true"/>
        <sz val="11"/>
        <rFont val="Cambria"/>
        <family val="0"/>
        <charset val="1"/>
      </rPr>
      <t xml:space="preserve">2025 </t>
    </r>
    <r>
      <rPr>
        <b val="true"/>
        <sz val="11"/>
        <rFont val="Noto Sans CJK SC"/>
        <family val="2"/>
      </rPr>
      <t xml:space="preserve">實績</t>
    </r>
  </si>
  <si>
    <r>
      <rPr>
        <b val="true"/>
        <sz val="11"/>
        <rFont val="Cambria"/>
        <family val="0"/>
        <charset val="1"/>
      </rPr>
      <t xml:space="preserve">2026</t>
    </r>
    <r>
      <rPr>
        <b val="true"/>
        <sz val="11"/>
        <rFont val="Noto Sans CJK SC"/>
        <family val="2"/>
      </rPr>
      <t xml:space="preserve">（基準）</t>
    </r>
  </si>
  <si>
    <t xml:space="preserve">2027 A</t>
  </si>
  <si>
    <t xml:space="preserve">2028 A</t>
  </si>
  <si>
    <t xml:space="preserve">2029 A</t>
  </si>
  <si>
    <t xml:space="preserve">2027 B</t>
  </si>
  <si>
    <t xml:space="preserve">2028 B</t>
  </si>
  <si>
    <t xml:space="preserve">2029 B</t>
  </si>
  <si>
    <t xml:space="preserve">2027 C</t>
  </si>
  <si>
    <t xml:space="preserve">2028 C</t>
  </si>
  <si>
    <t xml:space="preserve">2029 C</t>
  </si>
  <si>
    <r>
      <rPr>
        <b val="true"/>
        <sz val="11"/>
        <rFont val="Cambria"/>
        <family val="0"/>
        <charset val="1"/>
      </rPr>
      <t xml:space="preserve">2030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</si>
  <si>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</si>
  <si>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A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</si>
  <si>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</si>
  <si>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</si>
  <si>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B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</si>
  <si>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2030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</si>
  <si>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2031 C </t>
    </r>
    <r>
      <rPr>
        <b val="true"/>
        <sz val="11"/>
        <rFont val="Noto Sans CJK SC"/>
        <family val="2"/>
      </rPr>
      <t xml:space="preserve">收斂</t>
    </r>
  </si>
  <si>
    <r>
      <rPr>
        <b val="true"/>
        <sz val="11"/>
        <rFont val="Cambria"/>
        <family val="0"/>
        <charset val="1"/>
      </rPr>
      <t xml:space="preserve">2032 C </t>
    </r>
    <r>
      <rPr>
        <b val="true"/>
        <sz val="11"/>
        <rFont val="Noto Sans CJK SC"/>
        <family val="2"/>
      </rPr>
      <t xml:space="preserve">收斂</t>
    </r>
  </si>
  <si>
    <r>
      <rPr>
        <sz val="11"/>
        <color theme="1"/>
        <rFont val="Noto Sans CJK SC"/>
        <family val="2"/>
      </rPr>
      <t xml:space="preserve">  一般 </t>
    </r>
    <r>
      <rPr>
        <sz val="11"/>
        <color theme="1"/>
        <rFont val="Calibri"/>
        <family val="2"/>
        <charset val="1"/>
      </rPr>
      <t xml:space="preserve">DRAM</t>
    </r>
  </si>
  <si>
    <r>
      <rPr>
        <sz val="11"/>
        <color theme="1"/>
        <rFont val="Noto Sans CJK SC"/>
        <family val="2"/>
      </rPr>
      <t xml:space="preserve">前一年 </t>
    </r>
    <r>
      <rPr>
        <sz val="11"/>
        <color theme="1"/>
        <rFont val="Calibri"/>
        <family val="2"/>
        <charset val="1"/>
      </rPr>
      <t xml:space="preserve">× (1</t>
    </r>
    <r>
      <rPr>
        <sz val="11"/>
        <color theme="1"/>
        <rFont val="Noto Sans CJK SC"/>
        <family val="2"/>
      </rPr>
      <t xml:space="preserve">＋位元</t>
    </r>
    <r>
      <rPr>
        <sz val="11"/>
        <color theme="1"/>
        <rFont val="Calibri"/>
        <family val="2"/>
        <charset val="1"/>
      </rPr>
      <t xml:space="preserve">) × </t>
    </r>
    <r>
      <rPr>
        <sz val="11"/>
        <color theme="1"/>
        <rFont val="Noto Sans CJK SC"/>
        <family val="2"/>
      </rPr>
      <t xml:space="preserve">會計年度價格指數平均比（</t>
    </r>
    <r>
      <rPr>
        <sz val="11"/>
        <color theme="1"/>
        <rFont val="Calibri"/>
        <family val="2"/>
        <charset val="1"/>
      </rPr>
      <t xml:space="preserve">Path</t>
    </r>
    <r>
      <rPr>
        <sz val="11"/>
        <color theme="1"/>
        <rFont val="Noto Sans CJK SC"/>
        <family val="2"/>
      </rPr>
      <t xml:space="preserve">）</t>
    </r>
  </si>
  <si>
    <t xml:space="preserve">  HBM</t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</si>
  <si>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會計年度各季：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÷ 4 × </t>
    </r>
    <r>
      <rPr>
        <sz val="11"/>
        <color theme="1"/>
        <rFont val="Noto Sans CJK SC"/>
        <family val="2"/>
      </rPr>
      <t xml:space="preserve">市占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匯率（</t>
    </r>
    <r>
      <rPr>
        <sz val="11"/>
        <color theme="1"/>
        <rFont val="Calibri"/>
        <family val="2"/>
        <charset val="1"/>
      </rPr>
      <t xml:space="preserve">Mkt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</si>
  <si>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HBM ÷ </t>
    </r>
    <r>
      <rPr>
        <sz val="11"/>
        <color theme="1"/>
        <rFont val="Noto Sans CJK SC"/>
        <family val="2"/>
      </rPr>
      <t xml:space="preserve">營收</t>
    </r>
  </si>
  <si>
    <r>
      <rPr>
        <sz val="11"/>
        <color theme="1"/>
        <rFont val="Noto Sans CJK SC"/>
        <family val="2"/>
      </rPr>
      <t xml:space="preserve">成本量指數（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前一年）</t>
    </r>
  </si>
  <si>
    <r>
      <rPr>
        <sz val="11"/>
        <color theme="1"/>
        <rFont val="Noto Sans CJK SC"/>
        <family val="2"/>
      </rPr>
      <t xml:space="preserve">現金成本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量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年降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＋折舊</t>
    </r>
  </si>
  <si>
    <t xml:space="preserve">非記憶體事業營收</t>
  </si>
  <si>
    <t xml:space="preserve">非記憶體事業營業利益</t>
  </si>
  <si>
    <t xml:space="preserve">合併營收</t>
  </si>
  <si>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起為收斂法：合併營收年增由 </t>
    </r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線性收斂到 </t>
    </r>
    <r>
      <rPr>
        <sz val="11"/>
        <color theme="1"/>
        <rFont val="Calibri"/>
        <family val="2"/>
        <charset val="1"/>
      </rPr>
      <t xml:space="preserve">fade_g</t>
    </r>
    <r>
      <rPr>
        <sz val="11"/>
        <color theme="1"/>
        <rFont val="Noto Sans CJK SC"/>
        <family val="2"/>
      </rPr>
      <t xml:space="preserve">、淨利率收斂到 </t>
    </r>
    <r>
      <rPr>
        <sz val="11"/>
        <color theme="1"/>
        <rFont val="Calibri"/>
        <family val="2"/>
        <charset val="1"/>
      </rPr>
      <t xml:space="preserve">fade_m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達到），非驅動因子推導</t>
    </r>
  </si>
  <si>
    <t xml:space="preserve">合併營業利益</t>
  </si>
  <si>
    <t xml:space="preserve">淨利（合併）</t>
  </si>
  <si>
    <r>
      <rPr>
        <sz val="11"/>
        <color theme="1"/>
        <rFont val="Noto Sans CJK SC"/>
        <family val="2"/>
      </rPr>
      <t xml:space="preserve">（營業利益＋淨現金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收益率）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稅率</t>
    </r>
    <r>
      <rPr>
        <sz val="11"/>
        <color theme="1"/>
        <rFont val="Calibri"/>
        <family val="2"/>
        <charset val="1"/>
      </rPr>
      <t xml:space="preserve">)</t>
    </r>
  </si>
  <si>
    <t xml:space="preserve">資本支出</t>
  </si>
  <si>
    <t xml:space="preserve">自由現金流（淨利＋折舊 − 資本支出）</t>
  </si>
  <si>
    <t xml:space="preserve">股利</t>
  </si>
  <si>
    <t xml:space="preserve">買回</t>
  </si>
  <si>
    <r>
      <rPr>
        <sz val="11"/>
        <color theme="1"/>
        <rFont val="Noto Sans CJK SC"/>
        <family val="2"/>
      </rPr>
      <t xml:space="preserve">回饋比例 </t>
    </r>
    <r>
      <rPr>
        <sz val="11"/>
        <color theme="1"/>
        <rFont val="Calibri"/>
        <family val="2"/>
        <charset val="1"/>
      </rPr>
      <t xml:space="preserve">× FCF − </t>
    </r>
    <r>
      <rPr>
        <sz val="11"/>
        <color theme="1"/>
        <rFont val="Noto Sans CJK SC"/>
        <family val="2"/>
      </rPr>
      <t xml:space="preserve">股利</t>
    </r>
  </si>
  <si>
    <t xml:space="preserve">期末權益</t>
  </si>
  <si>
    <t xml:space="preserve">期末淨現金</t>
  </si>
  <si>
    <t xml:space="preserve">期末流通股數</t>
  </si>
  <si>
    <r>
      <rPr>
        <sz val="11"/>
        <color theme="1"/>
        <rFont val="Noto Sans CJK SC"/>
        <family val="2"/>
      </rPr>
      <t xml:space="preserve">每股淨值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</si>
  <si>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Noto Sans CJK SC"/>
        <family val="2"/>
      </rPr>
      <t xml:space="preserve">每股盈餘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（期末股數）</t>
    </r>
  </si>
  <si>
    <r>
      <rPr>
        <sz val="11"/>
        <color theme="1"/>
        <rFont val="Calibri"/>
        <family val="2"/>
        <charset val="1"/>
      </rPr>
      <t xml:space="preserve">ROE</t>
    </r>
    <r>
      <rPr>
        <sz val="11"/>
        <color theme="1"/>
        <rFont val="Noto Sans CJK SC"/>
        <family val="2"/>
      </rPr>
      <t xml:space="preserve">（期末權益）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</si>
  <si>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出貨位元（</t>
    </r>
    <r>
      <rPr>
        <sz val="11"/>
        <color theme="1"/>
        <rFont val="Calibri"/>
        <family val="2"/>
        <charset val="1"/>
      </rPr>
      <t xml:space="preserve">EB</t>
    </r>
    <r>
      <rPr>
        <sz val="11"/>
        <color theme="1"/>
        <rFont val="Noto Sans CJK SC"/>
        <family val="2"/>
      </rPr>
      <t xml:space="preserve">，公司）</t>
    </r>
  </si>
  <si>
    <t xml:space="preserve">合併營收年增</t>
  </si>
  <si>
    <r>
      <rPr>
        <sz val="11"/>
        <color theme="1"/>
        <rFont val="Noto Sans CJK SC"/>
        <family val="2"/>
      </rPr>
      <t xml:space="preserve">淨利率（淨利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合併營收）</t>
    </r>
  </si>
  <si>
    <r>
      <rPr>
        <sz val="11"/>
        <color theme="1"/>
        <rFont val="Calibri"/>
        <family val="2"/>
        <charset val="1"/>
      </rPr>
      <t xml:space="preserve">Val — </t>
    </r>
    <r>
      <rPr>
        <sz val="11"/>
        <color theme="1"/>
        <rFont val="Noto Sans CJK SC"/>
        <family val="2"/>
      </rPr>
      <t xml:space="preserve">估值（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主、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對照）。隱含股價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目前股價 − </t>
    </r>
    <r>
      <rPr>
        <sz val="11"/>
        <color theme="1"/>
        <rFont val="Calibri"/>
        <family val="2"/>
        <charset val="1"/>
      </rPr>
      <t xml:space="preserve">1</t>
    </r>
  </si>
  <si>
    <t xml:space="preserve">方法</t>
  </si>
  <si>
    <t xml:space="preserve">倍數</t>
  </si>
  <si>
    <t xml:space="preserve">每股基準</t>
  </si>
  <si>
    <t xml:space="preserve">隱含股價</t>
  </si>
  <si>
    <t xml:space="preserve">相對目前</t>
  </si>
  <si>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</si>
  <si>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共用</t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</si>
  <si>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歷史中位 </t>
    </r>
    <r>
      <rPr>
        <sz val="11"/>
        <color theme="1"/>
        <rFont val="Calibri"/>
        <family val="2"/>
        <charset val="1"/>
      </rPr>
      <t xml:space="preserve">1.6x</t>
    </r>
  </si>
  <si>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券商遠期 </t>
    </r>
    <r>
      <rPr>
        <sz val="11"/>
        <color theme="1"/>
        <rFont val="Calibri"/>
        <family val="2"/>
        <charset val="1"/>
      </rPr>
      <t xml:space="preserve">3.3x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</si>
  <si>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</si>
  <si>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</si>
  <si>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r>
      <rPr>
        <sz val="11"/>
        <color theme="1"/>
        <rFont val="Calibri"/>
        <family val="2"/>
        <charset val="1"/>
      </rPr>
      <t xml:space="preserve">2029 </t>
    </r>
    <r>
      <rPr>
        <sz val="11"/>
        <color theme="1"/>
        <rFont val="Noto Sans CJK SC"/>
        <family val="2"/>
      </rPr>
      <t xml:space="preserve">期末 </t>
    </r>
    <r>
      <rPr>
        <sz val="11"/>
        <color theme="1"/>
        <rFont val="Calibri"/>
        <family val="2"/>
        <charset val="1"/>
      </rPr>
      <t xml:space="preserve">BVPS</t>
    </r>
  </si>
  <si>
    <t xml:space="preserve">2027 EPS</t>
  </si>
  <si>
    <t xml:space="preserve">2028 EPS</t>
  </si>
  <si>
    <t xml:space="preserve">2029 EPS</t>
  </si>
  <si>
    <r>
      <rPr>
        <b val="true"/>
        <sz val="11"/>
        <rFont val="Cambria"/>
        <family val="0"/>
        <charset val="1"/>
      </rPr>
      <t xml:space="preserve">6. </t>
    </r>
    <r>
      <rPr>
        <b val="true"/>
        <sz val="11"/>
        <rFont val="Noto Sans CJK SC"/>
        <family val="2"/>
      </rPr>
      <t xml:space="preserve">十年倍數與規則值（</t>
    </r>
    <r>
      <rPr>
        <b val="true"/>
        <sz val="11"/>
        <rFont val="Cambria"/>
        <family val="0"/>
        <charset val="1"/>
      </rPr>
      <t xml:space="preserve">2016–2025 </t>
    </r>
    <r>
      <rPr>
        <b val="true"/>
        <sz val="11"/>
        <rFont val="Noto Sans CJK SC"/>
        <family val="2"/>
      </rPr>
      <t xml:space="preserve">年底；見頂年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分位、中段中位數、谷底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分位）</t>
    </r>
  </si>
  <si>
    <r>
      <rPr>
        <sz val="11"/>
        <color theme="1"/>
        <rFont val="Noto Sans CJK SC"/>
        <family val="2"/>
      </rPr>
      <t xml:space="preserve">規則（</t>
    </r>
    <r>
      <rPr>
        <sz val="11"/>
        <color theme="1"/>
        <rFont val="Calibri"/>
        <family val="2"/>
        <charset val="1"/>
      </rPr>
      <t xml:space="preserve">Andy 2026-10-13</t>
    </r>
    <r>
      <rPr>
        <sz val="11"/>
        <color theme="1"/>
        <rFont val="Noto Sans CJK SC"/>
        <family val="2"/>
      </rPr>
      <t xml:space="preserve">）：合理倍數＝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年底倍數依循環位置取分位。多個來源時各自取分位再平均、四捨五入到兩位。倍數歷史為輸入（藍字），來源與標記見各表；原放在 </t>
    </r>
    <r>
      <rPr>
        <sz val="11"/>
        <color theme="1"/>
        <rFont val="Calibri"/>
        <family val="2"/>
        <charset val="1"/>
      </rPr>
      <t xml:space="preserve">markets/overview/extract.py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2026-10-23 </t>
    </r>
    <r>
      <rPr>
        <sz val="11"/>
        <color theme="1"/>
        <rFont val="Noto Sans CJK SC"/>
        <family val="2"/>
      </rPr>
      <t xml:space="preserve">移入）。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</si>
  <si>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（主）：十年歷史倍數</t>
    </r>
  </si>
  <si>
    <t xml:space="preserve">年底</t>
  </si>
  <si>
    <t xml:space="preserve">companiesmarketcap</t>
  </si>
  <si>
    <r>
      <rPr>
        <b val="true"/>
        <sz val="11"/>
        <rFont val="Cambria"/>
        <family val="0"/>
        <charset val="1"/>
      </rPr>
      <t xml:space="preserve">marketcapof</t>
    </r>
    <r>
      <rPr>
        <b val="true"/>
        <sz val="11"/>
        <rFont val="Noto Sans CJK SC"/>
        <family val="2"/>
      </rPr>
      <t xml:space="preserve">（</t>
    </r>
    <r>
      <rPr>
        <b val="true"/>
        <sz val="11"/>
        <rFont val="Cambria"/>
        <family val="0"/>
        <charset val="1"/>
      </rPr>
      <t xml:space="preserve">2016–24</t>
    </r>
    <r>
      <rPr>
        <b val="true"/>
        <sz val="11"/>
        <rFont val="Noto Sans CJK SC"/>
        <family val="2"/>
      </rPr>
      <t xml:space="preserve">）</t>
    </r>
  </si>
  <si>
    <t xml:space="preserve">標記／說明</t>
  </si>
  <si>
    <t xml:space="preserve">2016</t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</si>
  <si>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marketcapof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2016–24</t>
    </r>
    <r>
      <rPr>
        <sz val="11"/>
        <color theme="1"/>
        <rFont val="Noto Sans CJK SC"/>
        <family val="2"/>
      </rPr>
      <t xml:space="preserve">）：</t>
    </r>
    <r>
      <rPr>
        <sz val="11"/>
        <color theme="1"/>
        <rFont val="Calibri"/>
        <family val="2"/>
        <charset val="1"/>
      </rPr>
      <t xml:space="preserve">Verified</t>
    </r>
  </si>
  <si>
    <t xml:space="preserve">2017</t>
  </si>
  <si>
    <r>
      <rPr>
        <sz val="11"/>
        <color theme="1"/>
        <rFont val="Calibri"/>
        <family val="2"/>
        <charset val="1"/>
      </rPr>
      <t xml:space="preserve">2025 </t>
    </r>
    <r>
      <rPr>
        <sz val="11"/>
        <color theme="1"/>
        <rFont val="Noto Sans CJK SC"/>
        <family val="2"/>
      </rPr>
      <t xml:space="preserve">年底未提供</t>
    </r>
  </si>
  <si>
    <t xml:space="preserve">2018</t>
  </si>
  <si>
    <t xml:space="preserve">2019</t>
  </si>
  <si>
    <t xml:space="preserve">2020</t>
  </si>
  <si>
    <t xml:space="preserve">2021</t>
  </si>
  <si>
    <t xml:space="preserve">2022</t>
  </si>
  <si>
    <t xml:space="preserve">2023</t>
  </si>
  <si>
    <t xml:space="preserve">2024</t>
  </si>
  <si>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分位（各來源）</t>
    </r>
  </si>
  <si>
    <t xml:space="preserve">中位數（各來源）</t>
  </si>
  <si>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分位（各來源）</t>
    </r>
  </si>
  <si>
    <t xml:space="preserve">最小（各來源）</t>
  </si>
  <si>
    <t xml:space="preserve">最大（各來源）</t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</si>
  <si>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</si>
  <si>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</si>
  <si>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</si>
  <si>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</si>
  <si>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</si>
  <si>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（主）：規則值</t>
    </r>
  </si>
  <si>
    <t xml:space="preserve">情形</t>
  </si>
  <si>
    <t xml:space="preserve">循環位置</t>
  </si>
  <si>
    <r>
      <rPr>
        <b val="true"/>
        <sz val="11"/>
        <rFont val="Noto Sans CJK SC"/>
        <family val="2"/>
      </rPr>
      <t xml:space="preserve">現價 </t>
    </r>
    <r>
      <rPr>
        <b val="true"/>
        <sz val="11"/>
        <rFont val="Cambria"/>
        <family val="0"/>
        <charset val="1"/>
      </rPr>
      <t xml:space="preserve">÷ </t>
    </r>
    <r>
      <rPr>
        <b val="true"/>
        <sz val="11"/>
        <rFont val="Noto Sans CJK SC"/>
        <family val="2"/>
      </rPr>
      <t xml:space="preserve">基準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</si>
  <si>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</si>
  <si>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見頂年 → 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</si>
  <si>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</si>
  <si>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</si>
  <si>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t xml:space="preserve">中段 → 中位數</t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</si>
  <si>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</si>
  <si>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谷底 → 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</t>
    </r>
  </si>
  <si>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</si>
  <si>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（對照）：十年歷史倍數</t>
    </r>
  </si>
  <si>
    <r>
      <rPr>
        <b val="true"/>
        <sz val="11"/>
        <rFont val="Cambria"/>
        <family val="0"/>
        <charset val="1"/>
      </rPr>
      <t xml:space="preserve">companiesmarketcap</t>
    </r>
    <r>
      <rPr>
        <b val="true"/>
        <sz val="11"/>
        <rFont val="Noto Sans CJK SC"/>
        <family val="2"/>
      </rPr>
      <t xml:space="preserve">（年底 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，含虧損年）</t>
    </r>
  </si>
  <si>
    <t xml:space="preserve">採用（虧損年不計）</t>
  </si>
  <si>
    <r>
      <rPr>
        <b val="true"/>
        <sz val="11"/>
        <rFont val="Cambria"/>
        <family val="0"/>
        <charset val="1"/>
      </rPr>
      <t xml:space="preserve">stockanalysis</t>
    </r>
    <r>
      <rPr>
        <b val="true"/>
        <sz val="11"/>
        <rFont val="Noto Sans CJK SC"/>
        <family val="2"/>
      </rPr>
      <t xml:space="preserve">（核對，不採用）</t>
    </r>
  </si>
  <si>
    <r>
      <rPr>
        <sz val="11"/>
        <color theme="1"/>
        <rFont val="Calibri"/>
        <family val="2"/>
        <charset val="1"/>
      </rPr>
      <t xml:space="preserve">companiesmarketcap</t>
    </r>
    <r>
      <rPr>
        <sz val="11"/>
        <color theme="1"/>
        <rFont val="Noto Sans CJK SC"/>
        <family val="2"/>
      </rPr>
      <t xml:space="preserve">（年底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，含虧損年）：</t>
    </r>
    <r>
      <rPr>
        <sz val="11"/>
        <color theme="1"/>
        <rFont val="Calibri"/>
        <family val="2"/>
        <charset val="1"/>
      </rPr>
      <t xml:space="preserve">Verified</t>
    </r>
    <r>
      <rPr>
        <sz val="11"/>
        <color theme="1"/>
        <rFont val="Noto Sans CJK SC"/>
        <family val="2"/>
      </rPr>
      <t xml:space="preserve">；採用（虧損年不計）：</t>
    </r>
    <r>
      <rPr>
        <sz val="11"/>
        <color theme="1"/>
        <rFont val="Calibri"/>
        <family val="2"/>
        <charset val="1"/>
      </rPr>
      <t xml:space="preserve">Derived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stockanalysis</t>
    </r>
    <r>
      <rPr>
        <sz val="11"/>
        <color theme="1"/>
        <rFont val="Noto Sans CJK SC"/>
        <family val="2"/>
      </rPr>
      <t xml:space="preserve">（核對，不採用）：</t>
    </r>
    <r>
      <rPr>
        <sz val="11"/>
        <color theme="1"/>
        <rFont val="Calibri"/>
        <family val="2"/>
        <charset val="1"/>
      </rPr>
      <t xml:space="preserve">Verified</t>
    </r>
  </si>
  <si>
    <r>
      <rPr>
        <sz val="11"/>
        <color theme="1"/>
        <rFont val="Calibri"/>
        <family val="2"/>
        <charset val="1"/>
      </rPr>
      <t xml:space="preserve">2023 </t>
    </r>
    <r>
      <rPr>
        <sz val="11"/>
        <color theme="1"/>
        <rFont val="Noto Sans CJK SC"/>
        <family val="2"/>
      </rPr>
      <t xml:space="preserve">年虧損（</t>
    </r>
    <r>
      <rPr>
        <sz val="11"/>
        <color theme="1"/>
        <rFont val="Calibri"/>
        <family val="2"/>
        <charset val="1"/>
      </rPr>
      <t xml:space="preserve">P/E </t>
    </r>
    <r>
      <rPr>
        <sz val="11"/>
        <color theme="1"/>
        <rFont val="Noto Sans CJK SC"/>
        <family val="2"/>
      </rPr>
      <t xml:space="preserve">為負）</t>
    </r>
  </si>
  <si>
    <t xml:space="preserve">虧損年不計入分位</t>
  </si>
  <si>
    <r>
      <rPr>
        <sz val="11"/>
        <color theme="1"/>
        <rFont val="Calibri"/>
        <family val="2"/>
        <charset val="1"/>
      </rPr>
      <t xml:space="preserve">2021–2025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companiesmarketcap </t>
    </r>
    <r>
      <rPr>
        <sz val="11"/>
        <color theme="1"/>
        <rFont val="Noto Sans CJK SC"/>
        <family val="2"/>
      </rPr>
      <t xml:space="preserve">差距 ≤ </t>
    </r>
    <r>
      <rPr>
        <sz val="11"/>
        <color theme="1"/>
        <rFont val="Calibri"/>
        <family val="2"/>
        <charset val="1"/>
      </rPr>
      <t xml:space="preserve">8%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</si>
  <si>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25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</si>
  <si>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中位數（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</si>
  <si>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</t>
    </r>
    <r>
      <rPr>
        <b val="true"/>
        <sz val="11"/>
        <rFont val="Cambria"/>
        <family val="0"/>
        <charset val="1"/>
      </rPr>
      <t xml:space="preserve">75 </t>
    </r>
    <r>
      <rPr>
        <b val="true"/>
        <sz val="11"/>
        <rFont val="Noto Sans CJK SC"/>
        <family val="2"/>
      </rPr>
      <t xml:space="preserve">分位（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</si>
  <si>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最小（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</si>
  <si>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採用 最大（</t>
    </r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</si>
  <si>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P/E</t>
    </r>
    <r>
      <rPr>
        <b val="true"/>
        <sz val="11"/>
        <rFont val="Noto Sans CJK SC"/>
        <family val="2"/>
      </rPr>
      <t xml:space="preserve">（對照）：規則值</t>
    </r>
  </si>
  <si>
    <r>
      <rPr>
        <sz val="11"/>
        <color theme="1"/>
        <rFont val="Noto Sans CJK SC"/>
        <family val="2"/>
      </rPr>
      <t xml:space="preserve">規則值：見頂（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</si>
  <si>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</si>
  <si>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規則值：中段（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</si>
  <si>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規則值：谷底（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</si>
  <si>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2028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</si>
  <si>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b val="true"/>
        <sz val="11"/>
        <rFont val="Cambria"/>
        <family val="0"/>
        <charset val="1"/>
      </rPr>
      <t xml:space="preserve">0.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</si>
  <si>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0.1 DCF</t>
    </r>
    <r>
      <rPr>
        <b val="true"/>
        <sz val="11"/>
        <rFont val="Noto Sans CJK SC"/>
        <family val="2"/>
      </rPr>
      <t xml:space="preserve">（股東權益現金流，</t>
    </r>
    <r>
      <rPr>
        <b val="true"/>
        <sz val="11"/>
        <rFont val="Cambria"/>
        <family val="0"/>
        <charset val="1"/>
      </rPr>
      <t xml:space="preserve">FY2027–FY2032 </t>
    </r>
    <r>
      <rPr>
        <b val="true"/>
        <sz val="11"/>
        <rFont val="Noto Sans CJK SC"/>
        <family val="2"/>
      </rPr>
      <t xml:space="preserve">明確期＋</t>
    </r>
    <r>
      <rPr>
        <b val="true"/>
        <sz val="11"/>
        <rFont val="Cambria"/>
        <family val="0"/>
        <charset val="1"/>
      </rPr>
      <t xml:space="preserve">FY2032 </t>
    </r>
    <r>
      <rPr>
        <b val="true"/>
        <sz val="11"/>
        <rFont val="Noto Sans CJK SC"/>
        <family val="2"/>
      </rPr>
      <t xml:space="preserve">後永續）</t>
    </r>
  </si>
  <si>
    <r>
      <rPr>
        <b val="true"/>
        <sz val="11"/>
        <rFont val="Cambria"/>
        <family val="0"/>
        <charset val="1"/>
      </rPr>
      <t xml:space="preserve">A</t>
    </r>
    <r>
      <rPr>
        <b val="true"/>
        <sz val="11"/>
        <rFont val="Noto Sans CJK SC"/>
        <family val="2"/>
      </rPr>
      <t xml:space="preserve">（順利）</t>
    </r>
  </si>
  <si>
    <r>
      <rPr>
        <b val="true"/>
        <sz val="11"/>
        <rFont val="Cambria"/>
        <family val="0"/>
        <charset val="1"/>
      </rPr>
      <t xml:space="preserve">B</t>
    </r>
    <r>
      <rPr>
        <b val="true"/>
        <sz val="11"/>
        <rFont val="Noto Sans CJK SC"/>
        <family val="2"/>
      </rPr>
      <t xml:space="preserve">（平平）</t>
    </r>
  </si>
  <si>
    <r>
      <rPr>
        <b val="true"/>
        <sz val="11"/>
        <rFont val="Cambria"/>
        <family val="0"/>
        <charset val="1"/>
      </rPr>
      <t xml:space="preserve">C</t>
    </r>
    <r>
      <rPr>
        <b val="true"/>
        <sz val="11"/>
        <rFont val="Noto Sans CJK SC"/>
        <family val="2"/>
      </rPr>
      <t xml:space="preserve">（不如預期）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</si>
  <si>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FY2027–FY2032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</si>
  <si>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頁各情境；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起為收斂法（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頁灰底）</t>
    </r>
  </si>
  <si>
    <t xml:space="preserve">  2027</t>
  </si>
  <si>
    <t xml:space="preserve">  2028</t>
  </si>
  <si>
    <t xml:space="preserve">  2029</t>
  </si>
  <si>
    <t xml:space="preserve">  2030</t>
  </si>
  <si>
    <t xml:space="preserve">  2031</t>
  </si>
  <si>
    <t xml:space="preserve">  2032</t>
  </si>
  <si>
    <r>
      <rPr>
        <sz val="11"/>
        <color theme="1"/>
        <rFont val="Noto Sans CJK SC"/>
        <family val="2"/>
      </rPr>
      <t xml:space="preserve">股東現金流＝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tp_g ÷ 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</si>
  <si>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記憶體資本密集：</t>
    </r>
    <r>
      <rPr>
        <sz val="11"/>
        <color theme="1"/>
        <rFont val="Calibri"/>
        <family val="2"/>
        <charset val="1"/>
      </rPr>
      <t xml:space="preserve">2027–2029 </t>
    </r>
    <r>
      <rPr>
        <sz val="11"/>
        <color theme="1"/>
        <rFont val="Noto Sans CJK SC"/>
        <family val="2"/>
      </rPr>
      <t xml:space="preserve">改用每股（淨利＋折舊－資本支出）＝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頁自由現金流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期末股數；收斂期（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起）沒有資本支出與折舊的推導，用 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</t>
    </r>
  </si>
  <si>
    <r>
      <rPr>
        <sz val="11"/>
        <color theme="1"/>
        <rFont val="Noto Sans CJK SC"/>
        <family val="2"/>
      </rPr>
      <t xml:space="preserve">  再投資率（</t>
    </r>
    <r>
      <rPr>
        <sz val="11"/>
        <color theme="1"/>
        <rFont val="Calibri"/>
        <family val="2"/>
        <charset val="1"/>
      </rPr>
      <t xml:space="preserve">tp_g ÷ tp_roe</t>
    </r>
    <r>
      <rPr>
        <sz val="11"/>
        <color theme="1"/>
        <rFont val="Noto Sans CJK SC"/>
        <family val="2"/>
      </rPr>
      <t xml:space="preserve">，上限 </t>
    </r>
    <r>
      <rPr>
        <sz val="11"/>
        <color theme="1"/>
        <rFont val="Calibri"/>
        <family val="2"/>
        <charset val="1"/>
      </rPr>
      <t xml:space="preserve">0.8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2030 </t>
    </r>
    <r>
      <rPr>
        <sz val="11"/>
        <color theme="1"/>
        <rFont val="Noto Sans CJK SC"/>
        <family val="2"/>
      </rPr>
      <t xml:space="preserve">起用）</t>
    </r>
  </si>
  <si>
    <r>
      <rPr>
        <sz val="11"/>
        <color theme="1"/>
        <rFont val="Calibri"/>
        <family val="2"/>
        <charset val="1"/>
      </rPr>
      <t xml:space="preserve">ROE </t>
    </r>
    <r>
      <rPr>
        <sz val="11"/>
        <color theme="1"/>
        <rFont val="Noto Sans CJK SC"/>
        <family val="2"/>
      </rPr>
      <t xml:space="preserve">為近三年平均（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tp_roe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</si>
  <si>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  2027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</si>
  <si>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2028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</si>
  <si>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2029</t>
    </r>
    <r>
      <rPr>
        <sz val="11"/>
        <color theme="1"/>
        <rFont val="Noto Sans CJK SC"/>
        <family val="2"/>
      </rPr>
      <t xml:space="preserve">（淨利＋折舊－資本支出，每股）</t>
    </r>
  </si>
  <si>
    <r>
      <rPr>
        <sz val="11"/>
        <color theme="1"/>
        <rFont val="Calibri"/>
        <family val="2"/>
        <charset val="1"/>
      </rPr>
      <t xml:space="preserve">  2030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</si>
  <si>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</si>
  <si>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  2032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EPS ×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1 − </t>
    </r>
    <r>
      <rPr>
        <sz val="11"/>
        <color theme="1"/>
        <rFont val="Noto Sans CJK SC"/>
        <family val="2"/>
      </rPr>
      <t xml:space="preserve">再投資率））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</si>
  <si>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情境每股價值（折現率 </t>
    </r>
    <r>
      <rPr>
        <sz val="11"/>
        <color theme="1"/>
        <rFont val="Calibri"/>
        <family val="2"/>
        <charset val="1"/>
      </rPr>
      <t xml:space="preserve">tp_r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</si>
  <si>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明確期現金流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r)^t </t>
    </r>
    <r>
      <rPr>
        <sz val="11"/>
        <color theme="1"/>
        <rFont val="Noto Sans CJK SC"/>
        <family val="2"/>
      </rPr>
      <t xml:space="preserve">＋ 永續價值 </t>
    </r>
    <r>
      <rPr>
        <sz val="11"/>
        <color theme="1"/>
        <rFont val="Calibri"/>
        <family val="2"/>
        <charset val="1"/>
      </rPr>
      <t xml:space="preserve">÷ 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r)^6</t>
    </r>
    <r>
      <rPr>
        <sz val="11"/>
        <color theme="1"/>
        <rFont val="Noto Sans CJK SC"/>
        <family val="2"/>
      </rPr>
      <t xml:space="preserve">；永續價值＝</t>
    </r>
    <r>
      <rPr>
        <sz val="11"/>
        <color theme="1"/>
        <rFont val="Calibri"/>
        <family val="2"/>
        <charset val="1"/>
      </rPr>
      <t xml:space="preserve">2032 </t>
    </r>
    <r>
      <rPr>
        <sz val="11"/>
        <color theme="1"/>
        <rFont val="Noto Sans CJK SC"/>
        <family val="2"/>
      </rPr>
      <t xml:space="preserve">現金流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g)÷(r−g)</t>
    </r>
    <r>
      <rPr>
        <sz val="11"/>
        <color theme="1"/>
        <rFont val="Noto Sans CJK SC"/>
        <family val="2"/>
      </rPr>
      <t xml:space="preserve">；基準日 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年底，</t>
    </r>
    <r>
      <rPr>
        <sz val="11"/>
        <color theme="1"/>
        <rFont val="Calibri"/>
        <family val="2"/>
        <charset val="1"/>
      </rPr>
      <t xml:space="preserve">t</t>
    </r>
    <r>
      <rPr>
        <sz val="11"/>
        <color theme="1"/>
        <rFont val="Noto Sans CJK SC"/>
        <family val="2"/>
      </rPr>
      <t xml:space="preserve">＝</t>
    </r>
    <r>
      <rPr>
        <sz val="11"/>
        <color theme="1"/>
        <rFont val="Calibri"/>
        <family val="2"/>
        <charset val="1"/>
      </rPr>
      <t xml:space="preserve">1 </t>
    </r>
    <r>
      <rPr>
        <sz val="11"/>
        <color theme="1"/>
        <rFont val="Noto Sans CJK SC"/>
        <family val="2"/>
      </rPr>
      <t xml:space="preserve">對 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</si>
  <si>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  DCF </t>
    </r>
    <r>
      <rPr>
        <sz val="11"/>
        <color theme="1"/>
        <rFont val="Noto Sans CJK SC"/>
        <family val="2"/>
      </rPr>
      <t xml:space="preserve">情境價值推到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tp_r)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</si>
  <si>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目標價（情境加權）</t>
    </r>
  </si>
  <si>
    <r>
      <rPr>
        <sz val="11"/>
        <color theme="1"/>
        <rFont val="Calibri"/>
        <family val="2"/>
        <charset val="1"/>
      </rPr>
      <t xml:space="preserve">Σ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情境價值 </t>
    </r>
    <r>
      <rPr>
        <sz val="11"/>
        <color theme="1"/>
        <rFont val="Calibri"/>
        <family val="2"/>
        <charset val="1"/>
      </rPr>
      <t xml:space="preserve">×(1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r)</t>
    </r>
    <r>
      <rPr>
        <sz val="11"/>
        <color theme="1"/>
        <rFont val="Noto Sans CJK SC"/>
        <family val="2"/>
      </rPr>
      <t xml:space="preserve">；權重見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</si>
  <si>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b val="true"/>
        <sz val="11"/>
        <rFont val="Cambria"/>
        <family val="0"/>
        <charset val="1"/>
      </rPr>
      <t xml:space="preserve">0.2 Comparable</t>
    </r>
    <r>
      <rPr>
        <b val="true"/>
        <sz val="11"/>
        <rFont val="Noto Sans CJK SC"/>
        <family val="2"/>
      </rPr>
      <t xml:space="preserve">（市場主流同業前瞻 </t>
    </r>
    <r>
      <rPr>
        <b val="true"/>
        <sz val="11"/>
        <rFont val="Cambria"/>
        <family val="0"/>
        <charset val="1"/>
      </rPr>
      <t xml:space="preserve">P/B</t>
    </r>
    <r>
      <rPr>
        <b val="true"/>
        <sz val="11"/>
        <rFont val="Noto Sans CJK SC"/>
        <family val="2"/>
      </rPr>
      <t xml:space="preserve">）</t>
    </r>
  </si>
  <si>
    <r>
      <rPr>
        <b val="true"/>
        <sz val="11"/>
        <rFont val="Noto Sans CJK SC"/>
        <family val="2"/>
      </rPr>
      <t xml:space="preserve">同業與前瞻 </t>
    </r>
    <r>
      <rPr>
        <b val="true"/>
        <sz val="11"/>
        <rFont val="Cambria"/>
        <family val="0"/>
        <charset val="1"/>
      </rPr>
      <t xml:space="preserve">P/B</t>
    </r>
  </si>
  <si>
    <t xml:space="preserve">代號</t>
  </si>
  <si>
    <r>
      <rPr>
        <b val="true"/>
        <sz val="11"/>
        <rFont val="Noto Sans CJK SC"/>
        <family val="2"/>
      </rPr>
      <t xml:space="preserve">前瞻 </t>
    </r>
    <r>
      <rPr>
        <b val="true"/>
        <sz val="11"/>
        <rFont val="Cambria"/>
        <family val="0"/>
        <charset val="1"/>
      </rPr>
      <t xml:space="preserve">P/B</t>
    </r>
  </si>
  <si>
    <t xml:space="preserve">日期</t>
  </si>
  <si>
    <t xml:space="preserve">來源</t>
  </si>
  <si>
    <t xml:space="preserve">三星電子</t>
  </si>
  <si>
    <t xml:space="preserve">005930.KS</t>
  </si>
  <si>
    <t xml:space="preserve">2026-10-23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</si>
  <si>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2027E </t>
    </r>
    <r>
      <rPr>
        <sz val="11"/>
        <color theme="1"/>
        <rFont val="Noto Sans CJK SC"/>
        <family val="2"/>
      </rPr>
      <t xml:space="preserve">每股淨值</t>
    </r>
  </si>
  <si>
    <t xml:space="preserve">美光</t>
  </si>
  <si>
    <t xml:space="preserve">MU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</si>
  <si>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FY2027E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2027-09</t>
    </r>
    <r>
      <rPr>
        <sz val="11"/>
        <color theme="1"/>
        <rFont val="Noto Sans CJK SC"/>
        <family val="2"/>
      </rPr>
      <t xml:space="preserve">）每股淨值</t>
    </r>
  </si>
  <si>
    <r>
      <rPr>
        <sz val="11"/>
        <color theme="1"/>
        <rFont val="Noto Sans CJK SC"/>
        <family val="2"/>
      </rPr>
      <t xml:space="preserve">鎧俠（</t>
    </r>
    <r>
      <rPr>
        <sz val="11"/>
        <color theme="1"/>
        <rFont val="Calibri"/>
        <family val="2"/>
        <charset val="1"/>
      </rPr>
      <t xml:space="preserve">Kioxia</t>
    </r>
    <r>
      <rPr>
        <sz val="11"/>
        <color theme="1"/>
        <rFont val="Noto Sans CJK SC"/>
        <family val="2"/>
      </rPr>
      <t xml:space="preserve">）</t>
    </r>
  </si>
  <si>
    <t xml:space="preserve">285A.T</t>
  </si>
  <si>
    <t xml:space="preserve">2026-10-09</t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</si>
  <si>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：現價 </t>
    </r>
    <r>
      <rPr>
        <sz val="11"/>
        <color theme="1"/>
        <rFont val="Calibri"/>
        <family val="2"/>
        <charset val="1"/>
      </rPr>
      <t xml:space="preserve">÷ FY2028E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2028-03</t>
    </r>
    <r>
      <rPr>
        <sz val="11"/>
        <color theme="1"/>
        <rFont val="Noto Sans CJK SC"/>
        <family val="2"/>
      </rPr>
      <t xml:space="preserve">）每股淨值；頁面價格為 </t>
    </r>
    <r>
      <rPr>
        <sz val="11"/>
        <color theme="1"/>
        <rFont val="Calibri"/>
        <family val="2"/>
        <charset val="1"/>
      </rPr>
      <t xml:space="preserve">10-09</t>
    </r>
  </si>
  <si>
    <t xml:space="preserve">南亞科</t>
  </si>
  <si>
    <t xml:space="preserve">2408.TW</t>
  </si>
  <si>
    <t xml:space="preserve">2026-10-22</t>
  </si>
  <si>
    <r>
      <rPr>
        <sz val="11"/>
        <color theme="1"/>
        <rFont val="Noto Sans CJK SC"/>
        <family val="2"/>
      </rPr>
      <t xml:space="preserve">同業前瞻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中位數</t>
    </r>
  </si>
  <si>
    <r>
      <rPr>
        <sz val="11"/>
        <color theme="1"/>
        <rFont val="Noto Sans CJK SC"/>
        <family val="2"/>
      </rPr>
      <t xml:space="preserve">記憶體同業（三星、美光、鎧俠、南亞科；無 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股）。前瞻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下一個會計年度末（約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年底）共識每股淨值；各家會計年度不同（美光 </t>
    </r>
    <r>
      <rPr>
        <sz val="11"/>
        <color theme="1"/>
        <rFont val="Calibri"/>
        <family val="2"/>
        <charset val="1"/>
      </rPr>
      <t xml:space="preserve">9 </t>
    </r>
    <r>
      <rPr>
        <sz val="11"/>
        <color theme="1"/>
        <rFont val="Noto Sans CJK SC"/>
        <family val="2"/>
      </rPr>
      <t xml:space="preserve">月、鎧俠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月）</t>
    </r>
  </si>
  <si>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個月後的前瞻每股淨值（情境加權）</t>
    </r>
  </si>
  <si>
    <r>
      <rPr>
        <sz val="11"/>
        <color theme="1"/>
        <rFont val="Noto Sans CJK SC"/>
        <family val="2"/>
      </rPr>
      <t xml:space="preserve">同業倍數＝現價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下一個會計年度末共識每股淨值（約 </t>
    </r>
    <r>
      <rPr>
        <sz val="11"/>
        <color theme="1"/>
        <rFont val="Calibri"/>
        <family val="2"/>
        <charset val="1"/>
      </rPr>
      <t xml:space="preserve">14 </t>
    </r>
    <r>
      <rPr>
        <sz val="11"/>
        <color theme="1"/>
        <rFont val="Noto Sans CJK SC"/>
        <family val="2"/>
      </rPr>
      <t xml:space="preserve">個月後）；對應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個月後（約 </t>
    </r>
    <r>
      <rPr>
        <sz val="11"/>
        <color theme="1"/>
        <rFont val="Calibri"/>
        <family val="2"/>
        <charset val="1"/>
      </rPr>
      <t xml:space="preserve">2027-10</t>
    </r>
    <r>
      <rPr>
        <sz val="11"/>
        <color theme="1"/>
        <rFont val="Noto Sans CJK SC"/>
        <family val="2"/>
      </rPr>
      <t xml:space="preserve">）用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</si>
  <si>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</si>
  <si>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Noto Sans CJK SC"/>
        <family val="2"/>
      </rPr>
      <t xml:space="preserve">同業中位數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前瞻每股淨值</t>
    </r>
  </si>
  <si>
    <r>
      <rPr>
        <sz val="11"/>
        <color theme="1"/>
        <rFont val="Noto Sans CJK SC"/>
        <family val="2"/>
      </rPr>
      <t xml:space="preserve">  對照：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個月後的前瞻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（情境加權）</t>
    </r>
  </si>
  <si>
    <r>
      <rPr>
        <sz val="11"/>
        <color theme="1"/>
        <rFont val="Noto Sans CJK SC"/>
        <family val="2"/>
      </rPr>
      <t xml:space="preserve">約 </t>
    </r>
    <r>
      <rPr>
        <sz val="11"/>
        <color theme="1"/>
        <rFont val="Calibri"/>
        <family val="2"/>
        <charset val="1"/>
      </rPr>
      <t xml:space="preserve">2027-10 </t>
    </r>
    <r>
      <rPr>
        <sz val="11"/>
        <color theme="1"/>
        <rFont val="Noto Sans CJK SC"/>
        <family val="2"/>
      </rPr>
      <t xml:space="preserve">時的未來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月 </t>
    </r>
    <r>
      <rPr>
        <sz val="11"/>
        <color theme="1"/>
        <rFont val="Calibri"/>
        <family val="2"/>
        <charset val="1"/>
      </rPr>
      <t xml:space="preserve">EPS ≈ 2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2027</t>
    </r>
    <r>
      <rPr>
        <sz val="11"/>
        <color theme="1"/>
        <rFont val="Noto Sans CJK SC"/>
        <family val="2"/>
      </rPr>
      <t xml:space="preserve">＋</t>
    </r>
    <r>
      <rPr>
        <sz val="11"/>
        <color theme="1"/>
        <rFont val="Calibri"/>
        <family val="2"/>
        <charset val="1"/>
      </rPr>
      <t xml:space="preserve">10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12 × 2028</t>
    </r>
    <r>
      <rPr>
        <sz val="11"/>
        <color theme="1"/>
        <rFont val="Noto Sans CJK SC"/>
        <family val="2"/>
      </rPr>
      <t xml:space="preserve">（會計年度＝日曆年）</t>
    </r>
  </si>
  <si>
    <r>
      <rPr>
        <b val="true"/>
        <sz val="11"/>
        <rFont val="Cambria"/>
        <family val="0"/>
        <charset val="1"/>
      </rPr>
      <t xml:space="preserve">0.3 </t>
    </r>
    <r>
      <rPr>
        <b val="true"/>
        <sz val="11"/>
        <rFont val="Noto Sans CJK SC"/>
        <family val="2"/>
      </rPr>
      <t xml:space="preserve">結論</t>
    </r>
  </si>
  <si>
    <t xml:space="preserve">數值</t>
  </si>
  <si>
    <r>
      <rPr>
        <sz val="11"/>
        <color theme="1"/>
        <rFont val="Noto Sans CJK SC"/>
        <family val="2"/>
      </rPr>
      <t xml:space="preserve">目標價（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</si>
  <si>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Calibri"/>
        <family val="2"/>
        <charset val="1"/>
      </rPr>
      <t xml:space="preserve">tp_w_dcf × DCF</t>
    </r>
    <r>
      <rPr>
        <sz val="11"/>
        <color theme="1"/>
        <rFont val="Noto Sans CJK SC"/>
        <family val="2"/>
      </rPr>
      <t xml:space="preserve">＋（</t>
    </r>
    <r>
      <rPr>
        <sz val="11"/>
        <color theme="1"/>
        <rFont val="Calibri"/>
        <family val="2"/>
        <charset val="1"/>
      </rPr>
      <t xml:space="preserve">1 − tp_w_dcf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× Comparable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tp_w_dcf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</t>
    </r>
  </si>
  <si>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目標價（市場主流同業法）</t>
    </r>
  </si>
  <si>
    <t xml:space="preserve">市場共識目標價</t>
  </si>
  <si>
    <t xml:space="preserve">上檔空間：加權目標價</t>
  </si>
  <si>
    <r>
      <rPr>
        <sz val="11"/>
        <color theme="1"/>
        <rFont val="Noto Sans CJK SC"/>
        <family val="2"/>
      </rPr>
      <t xml:space="preserve">現價＝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px</t>
    </r>
  </si>
  <si>
    <r>
      <rPr>
        <sz val="11"/>
        <color theme="1"/>
        <rFont val="Noto Sans CJK SC"/>
        <family val="2"/>
      </rPr>
      <t xml:space="preserve">上檔空間：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目標價</t>
    </r>
  </si>
  <si>
    <r>
      <rPr>
        <sz val="11"/>
        <color theme="1"/>
        <rFont val="Calibri"/>
        <family val="2"/>
        <charset val="1"/>
      </rPr>
      <t xml:space="preserve">DCF ÷ </t>
    </r>
    <r>
      <rPr>
        <sz val="11"/>
        <color theme="1"/>
        <rFont val="Noto Sans CJK SC"/>
        <family val="2"/>
      </rPr>
      <t xml:space="preserve">現價</t>
    </r>
  </si>
  <si>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）；任一情境高於 </t>
    </r>
    <r>
      <rPr>
        <sz val="11"/>
        <color theme="1"/>
        <rFont val="Calibri"/>
        <family val="2"/>
        <charset val="1"/>
      </rPr>
      <t xml:space="preserve">3 </t>
    </r>
    <r>
      <rPr>
        <sz val="11"/>
        <color theme="1"/>
        <rFont val="Noto Sans CJK SC"/>
        <family val="2"/>
      </rPr>
      <t xml:space="preserve">倍時，目標價方法加註</t>
    </r>
  </si>
  <si>
    <r>
      <rPr>
        <sz val="11"/>
        <color theme="1"/>
        <rFont val="Noto Sans CJK SC"/>
        <family val="2"/>
      </rPr>
      <t xml:space="preserve">與市場共識目標價的差距：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因素（記憶體以每股淨值計）</t>
    </r>
  </si>
  <si>
    <r>
      <rPr>
        <sz val="11"/>
        <color theme="1"/>
        <rFont val="Noto Sans CJK SC"/>
        <family val="2"/>
      </rPr>
      <t xml:space="preserve">本模型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年底每股淨值（情境加權）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每股淨值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用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，故以每股淨值代 </t>
    </r>
    <r>
      <rPr>
        <sz val="11"/>
        <color theme="1"/>
        <rFont val="Calibri"/>
        <family val="2"/>
        <charset val="1"/>
      </rPr>
      <t xml:space="preserve">EPS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</si>
  <si>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  對照：前瞻 </t>
    </r>
    <r>
      <rPr>
        <sz val="11"/>
        <color theme="1"/>
        <rFont val="Calibri"/>
        <family val="2"/>
        <charset val="1"/>
      </rPr>
      <t xml:space="preserve">EPS ÷ </t>
    </r>
    <r>
      <rPr>
        <sz val="11"/>
        <color theme="1"/>
        <rFont val="Noto Sans CJK SC"/>
        <family val="2"/>
      </rPr>
      <t xml:space="preserve">共識前瞻 </t>
    </r>
    <r>
      <rPr>
        <sz val="11"/>
        <color theme="1"/>
        <rFont val="Calibri"/>
        <family val="2"/>
        <charset val="1"/>
      </rPr>
      <t xml:space="preserve">EPS − 1</t>
    </r>
  </si>
  <si>
    <r>
      <rPr>
        <sz val="11"/>
        <color theme="1"/>
        <rFont val="Noto Sans CJK SC"/>
        <family val="2"/>
      </rPr>
      <t xml:space="preserve">共識 </t>
    </r>
    <r>
      <rPr>
        <sz val="11"/>
        <color theme="1"/>
        <rFont val="Calibri"/>
        <family val="2"/>
        <charset val="1"/>
      </rPr>
      <t xml:space="preserve">EPS </t>
    </r>
    <r>
      <rPr>
        <sz val="11"/>
        <color theme="1"/>
        <rFont val="Noto Sans CJK SC"/>
        <family val="2"/>
      </rPr>
      <t xml:space="preserve">見 </t>
    </r>
    <r>
      <rPr>
        <sz val="11"/>
        <color theme="1"/>
        <rFont val="Calibri"/>
        <family val="2"/>
        <charset val="1"/>
      </rPr>
      <t xml:space="preserve">In </t>
    </r>
    <r>
      <rPr>
        <sz val="11"/>
        <color theme="1"/>
        <rFont val="Noto Sans CJK SC"/>
        <family val="2"/>
      </rPr>
      <t xml:space="preserve">頁與 </t>
    </r>
    <r>
      <rPr>
        <sz val="11"/>
        <color theme="1"/>
        <rFont val="Calibri"/>
        <family val="2"/>
        <charset val="1"/>
      </rPr>
      <t xml:space="preserve">Recon </t>
    </r>
    <r>
      <rPr>
        <sz val="11"/>
        <color theme="1"/>
        <rFont val="Noto Sans CJK SC"/>
        <family val="2"/>
      </rPr>
      <t xml:space="preserve">頁</t>
    </r>
  </si>
  <si>
    <t xml:space="preserve">與市場共識目標價的差距：倍數因素</t>
  </si>
  <si>
    <r>
      <rPr>
        <sz val="11"/>
        <color theme="1"/>
        <rFont val="Noto Sans CJK SC"/>
        <family val="2"/>
      </rPr>
      <t xml:space="preserve">價格帶（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不如預期～順利）</t>
    </r>
  </si>
  <si>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情境價值～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情境價值（推到 </t>
    </r>
    <r>
      <rPr>
        <sz val="11"/>
        <color theme="1"/>
        <rFont val="Calibri"/>
        <family val="2"/>
        <charset val="1"/>
      </rPr>
      <t xml:space="preserve">12 </t>
    </r>
    <r>
      <rPr>
        <sz val="11"/>
        <color theme="1"/>
        <rFont val="Noto Sans CJK SC"/>
        <family val="2"/>
      </rPr>
      <t xml:space="preserve">個月後）</t>
    </r>
  </si>
  <si>
    <r>
      <rPr>
        <sz val="11"/>
        <color theme="1"/>
        <rFont val="Noto Sans CJK SC"/>
        <family val="2"/>
      </rPr>
      <t xml:space="preserve">歷史倍數檢查：現價隱含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的十年分位（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</si>
  <si>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現價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2028 </t>
    </r>
    <r>
      <rPr>
        <sz val="11"/>
        <color theme="1"/>
        <rFont val="Noto Sans CJK SC"/>
        <family val="2"/>
      </rPr>
      <t xml:space="preserve">年底每股淨值，在 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（第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節第一個來源）分布的分位（高於十年最大值記 </t>
    </r>
    <r>
      <rPr>
        <sz val="11"/>
        <color theme="1"/>
        <rFont val="Calibri"/>
        <family val="2"/>
        <charset val="1"/>
      </rPr>
      <t xml:space="preserve">100%</t>
    </r>
    <r>
      <rPr>
        <sz val="11"/>
        <color theme="1"/>
        <rFont val="Noto Sans CJK SC"/>
        <family val="2"/>
      </rPr>
      <t xml:space="preserve">、低於最小值記 </t>
    </r>
    <r>
      <rPr>
        <sz val="11"/>
        <color theme="1"/>
        <rFont val="Calibri"/>
        <family val="2"/>
        <charset val="1"/>
      </rPr>
      <t xml:space="preserve">0%</t>
    </r>
    <r>
      <rPr>
        <sz val="11"/>
        <color theme="1"/>
        <rFont val="Noto Sans CJK SC"/>
        <family val="2"/>
      </rPr>
      <t xml:space="preserve">）；只作檢查，不進目標價（記憶體主估值為 </t>
    </r>
    <r>
      <rPr>
        <sz val="11"/>
        <color theme="1"/>
        <rFont val="Calibri"/>
        <family val="2"/>
        <charset val="1"/>
      </rPr>
      <t xml:space="preserve">P/B</t>
    </r>
    <r>
      <rPr>
        <sz val="11"/>
        <color theme="1"/>
        <rFont val="Noto Sans CJK SC"/>
        <family val="2"/>
      </rPr>
      <t xml:space="preserve">，故以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代 </t>
    </r>
    <r>
      <rPr>
        <sz val="11"/>
        <color theme="1"/>
        <rFont val="Calibri"/>
        <family val="2"/>
        <charset val="1"/>
      </rPr>
      <t xml:space="preserve">P/E</t>
    </r>
    <r>
      <rPr>
        <sz val="11"/>
        <color theme="1"/>
        <rFont val="Noto Sans CJK SC"/>
        <family val="2"/>
      </rPr>
      <t xml:space="preserve">）</t>
    </r>
  </si>
  <si>
    <t xml:space="preserve">目標價方法</t>
  </si>
  <si>
    <t xml:space="preserve">舊法：規則值情境加權（參考）</t>
  </si>
  <si>
    <t xml:space="preserve">規則值情境加權價（參考，非目標價）</t>
  </si>
  <si>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各情境隱含價；約為年底價格、未折現。</t>
    </r>
    <r>
      <rPr>
        <sz val="11"/>
        <color theme="1"/>
        <rFont val="Calibri"/>
        <family val="2"/>
        <charset val="1"/>
      </rPr>
      <t xml:space="preserve">v0.4 </t>
    </r>
    <r>
      <rPr>
        <sz val="11"/>
        <color theme="1"/>
        <rFont val="Noto Sans CJK SC"/>
        <family val="2"/>
      </rPr>
      <t xml:space="preserve">樣板起目標價改為第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節（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與 </t>
    </r>
    <r>
      <rPr>
        <sz val="11"/>
        <color theme="1"/>
        <rFont val="Calibri"/>
        <family val="2"/>
        <charset val="1"/>
      </rPr>
      <t xml:space="preserve">Comparable </t>
    </r>
    <r>
      <rPr>
        <sz val="11"/>
        <color theme="1"/>
        <rFont val="Noto Sans CJK SC"/>
        <family val="2"/>
      </rPr>
      <t xml:space="preserve">加權）</t>
    </r>
  </si>
  <si>
    <r>
      <rPr>
        <sz val="11"/>
        <color theme="1"/>
        <rFont val="Noto Sans CJK SC"/>
        <family val="2"/>
      </rPr>
      <t xml:space="preserve">相對現價（規則值情境加權價 </t>
    </r>
    <r>
      <rPr>
        <sz val="11"/>
        <color theme="1"/>
        <rFont val="Calibri"/>
        <family val="2"/>
        <charset val="1"/>
      </rPr>
      <t xml:space="preserve">÷ </t>
    </r>
    <r>
      <rPr>
        <sz val="11"/>
        <color theme="1"/>
        <rFont val="Noto Sans CJK SC"/>
        <family val="2"/>
      </rPr>
      <t xml:space="preserve">現價 − </t>
    </r>
    <r>
      <rPr>
        <sz val="11"/>
        <color theme="1"/>
        <rFont val="Calibri"/>
        <family val="2"/>
        <charset val="1"/>
      </rPr>
      <t xml:space="preserve">1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</si>
  <si>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（順利）：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</si>
  <si>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（平平）：中位數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</si>
  <si>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 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（不如預期）：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2027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C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</si>
  <si>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Noto Sans CJK SC"/>
        <family val="2"/>
      </rPr>
      <t xml:space="preserve">情境權重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</t>
    </r>
  </si>
  <si>
    <t xml:space="preserve">舊法說明</t>
  </si>
  <si>
    <r>
      <rPr>
        <sz val="11"/>
        <color theme="1"/>
        <rFont val="Noto Sans CJK SC"/>
        <family val="2"/>
      </rPr>
      <t xml:space="preserve">十年（</t>
    </r>
    <r>
      <rPr>
        <sz val="11"/>
        <color theme="1"/>
        <rFont val="Calibri"/>
        <family val="2"/>
        <charset val="1"/>
      </rPr>
      <t xml:space="preserve">2016–2025 </t>
    </r>
    <r>
      <rPr>
        <sz val="11"/>
        <color theme="1"/>
        <rFont val="Noto Sans CJK SC"/>
        <family val="2"/>
      </rPr>
      <t xml:space="preserve">年底）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分位 </t>
    </r>
    <r>
      <rPr>
        <sz val="11"/>
        <color theme="1"/>
        <rFont val="Calibri"/>
        <family val="2"/>
        <charset val="1"/>
      </rPr>
      <t xml:space="preserve">× </t>
    </r>
    <r>
      <rPr>
        <sz val="11"/>
        <color theme="1"/>
        <rFont val="Noto Sans CJK SC"/>
        <family val="2"/>
      </rPr>
      <t xml:space="preserve">各情境 </t>
    </r>
    <r>
      <rPr>
        <sz val="11"/>
        <color theme="1"/>
        <rFont val="Calibri"/>
        <family val="2"/>
        <charset val="1"/>
      </rPr>
      <t xml:space="preserve">2027 </t>
    </r>
    <r>
      <rPr>
        <sz val="11"/>
        <color theme="1"/>
        <rFont val="Noto Sans CJK SC"/>
        <family val="2"/>
      </rPr>
      <t xml:space="preserve">年底每股淨值：</t>
    </r>
    <r>
      <rPr>
        <sz val="11"/>
        <color theme="1"/>
        <rFont val="Calibri"/>
        <family val="2"/>
        <charset val="1"/>
      </rPr>
      <t xml:space="preserve">A </t>
    </r>
    <r>
      <rPr>
        <sz val="11"/>
        <color theme="1"/>
        <rFont val="Noto Sans CJK SC"/>
        <family val="2"/>
      </rPr>
      <t xml:space="preserve">順利＝</t>
    </r>
    <r>
      <rPr>
        <sz val="11"/>
        <color theme="1"/>
        <rFont val="Calibri"/>
        <family val="2"/>
        <charset val="1"/>
      </rPr>
      <t xml:space="preserve">75 </t>
    </r>
    <r>
      <rPr>
        <sz val="11"/>
        <color theme="1"/>
        <rFont val="Noto Sans CJK SC"/>
        <family val="2"/>
      </rPr>
      <t xml:space="preserve">分位、</t>
    </r>
    <r>
      <rPr>
        <sz val="11"/>
        <color theme="1"/>
        <rFont val="Calibri"/>
        <family val="2"/>
        <charset val="1"/>
      </rPr>
      <t xml:space="preserve">B </t>
    </r>
    <r>
      <rPr>
        <sz val="11"/>
        <color theme="1"/>
        <rFont val="Noto Sans CJK SC"/>
        <family val="2"/>
      </rPr>
      <t xml:space="preserve">平平＝中位數、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不如預期＝</t>
    </r>
    <r>
      <rPr>
        <sz val="11"/>
        <color theme="1"/>
        <rFont val="Calibri"/>
        <family val="2"/>
        <charset val="1"/>
      </rPr>
      <t xml:space="preserve">25 </t>
    </r>
    <r>
      <rPr>
        <sz val="11"/>
        <color theme="1"/>
        <rFont val="Noto Sans CJK SC"/>
        <family val="2"/>
      </rPr>
      <t xml:space="preserve">分位（</t>
    </r>
    <r>
      <rPr>
        <sz val="11"/>
        <color theme="1"/>
        <rFont val="Calibri"/>
        <family val="2"/>
        <charset val="1"/>
      </rPr>
      <t xml:space="preserve">Andy 2026-10-25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一定最低）。第 </t>
    </r>
    <r>
      <rPr>
        <sz val="11"/>
        <color theme="1"/>
        <rFont val="Calibri"/>
        <family val="2"/>
        <charset val="1"/>
      </rPr>
      <t xml:space="preserve">6 </t>
    </r>
    <r>
      <rPr>
        <sz val="11"/>
        <color theme="1"/>
        <rFont val="Noto Sans CJK SC"/>
        <family val="2"/>
      </rPr>
      <t xml:space="preserve">節的見頂／中段／谷底規則值不變（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投資地圖抽數用）。十年 </t>
    </r>
    <r>
      <rPr>
        <sz val="11"/>
        <color theme="1"/>
        <rFont val="Calibri"/>
        <family val="2"/>
        <charset val="1"/>
      </rPr>
      <t xml:space="preserve">P/B </t>
    </r>
    <r>
      <rPr>
        <sz val="11"/>
        <color theme="1"/>
        <rFont val="Noto Sans CJK SC"/>
        <family val="2"/>
      </rPr>
      <t xml:space="preserve">含 </t>
    </r>
    <r>
      <rPr>
        <sz val="11"/>
        <color theme="1"/>
        <rFont val="Calibri"/>
        <family val="2"/>
        <charset val="1"/>
      </rPr>
      <t xml:space="preserve">2016–2023 </t>
    </r>
    <r>
      <rPr>
        <sz val="11"/>
        <color theme="1"/>
        <rFont val="Noto Sans CJK SC"/>
        <family val="2"/>
      </rPr>
      <t xml:space="preserve">年 </t>
    </r>
    <r>
      <rPr>
        <sz val="11"/>
        <color theme="1"/>
        <rFont val="Calibri"/>
        <family val="2"/>
        <charset val="1"/>
      </rPr>
      <t xml:space="preserve">AI </t>
    </r>
    <r>
      <rPr>
        <sz val="11"/>
        <color theme="1"/>
        <rFont val="Noto Sans CJK SC"/>
        <family val="2"/>
      </rPr>
      <t xml:space="preserve">前（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未放量）的低倍數期，偏誤方向為低估。</t>
    </r>
  </si>
  <si>
    <t xml:space="preserve">上檔空間級距</t>
  </si>
  <si>
    <r>
      <rPr>
        <sz val="11"/>
        <color theme="1"/>
        <rFont val="Noto Sans CJK SC"/>
        <family val="2"/>
      </rPr>
      <t xml:space="preserve">以「上檔空間：加權目標價」分六級（</t>
    </r>
    <r>
      <rPr>
        <sz val="11"/>
        <color theme="1"/>
        <rFont val="Calibri"/>
        <family val="2"/>
        <charset val="1"/>
      </rPr>
      <t xml:space="preserve">Andy 2026-10-25 14:00</t>
    </r>
    <r>
      <rPr>
        <sz val="11"/>
        <color theme="1"/>
        <rFont val="Noto Sans CJK SC"/>
        <family val="2"/>
      </rPr>
      <t xml:space="preserve">）</t>
    </r>
  </si>
  <si>
    <t xml:space="preserve">投資建議</t>
  </si>
  <si>
    <r>
      <rPr>
        <sz val="11"/>
        <color theme="1"/>
        <rFont val="Noto Sans CJK SC"/>
        <family val="2"/>
      </rPr>
      <t xml:space="preserve">依上檔空間固定規則（</t>
    </r>
    <r>
      <rPr>
        <sz val="11"/>
        <color theme="1"/>
        <rFont val="Calibri"/>
        <family val="2"/>
        <charset val="1"/>
      </rPr>
      <t xml:space="preserve">Andy 2026-10-25 14:17</t>
    </r>
    <r>
      <rPr>
        <sz val="11"/>
        <color theme="1"/>
        <rFont val="Noto Sans CJK SC"/>
        <family val="2"/>
      </rPr>
      <t xml:space="preserve">）：大於 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強力買進、</t>
    </r>
    <r>
      <rPr>
        <sz val="11"/>
        <color theme="1"/>
        <rFont val="Calibri"/>
        <family val="2"/>
        <charset val="1"/>
      </rPr>
      <t xml:space="preserve">+25%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+50% </t>
    </r>
    <r>
      <rPr>
        <sz val="11"/>
        <color theme="1"/>
        <rFont val="Noto Sans CJK SC"/>
        <family val="2"/>
      </rPr>
      <t xml:space="preserve">買進、−</t>
    </r>
    <r>
      <rPr>
        <sz val="11"/>
        <color theme="1"/>
        <rFont val="Calibri"/>
        <family val="2"/>
        <charset val="1"/>
      </rPr>
      <t xml:space="preserve">25%</t>
    </r>
    <r>
      <rPr>
        <sz val="11"/>
        <color theme="1"/>
        <rFont val="Noto Sans CJK SC"/>
        <family val="2"/>
      </rPr>
      <t xml:space="preserve">～</t>
    </r>
    <r>
      <rPr>
        <sz val="11"/>
        <color theme="1"/>
        <rFont val="Calibri"/>
        <family val="2"/>
        <charset val="1"/>
      </rPr>
      <t xml:space="preserve">+25% </t>
    </r>
    <r>
      <rPr>
        <sz val="11"/>
        <color theme="1"/>
        <rFont val="Noto Sans CJK SC"/>
        <family val="2"/>
      </rPr>
      <t xml:space="preserve">中立、−</t>
    </r>
    <r>
      <rPr>
        <sz val="11"/>
        <color theme="1"/>
        <rFont val="Calibri"/>
        <family val="2"/>
        <charset val="1"/>
      </rPr>
      <t xml:space="preserve">50%</t>
    </r>
    <r>
      <rPr>
        <sz val="11"/>
        <color theme="1"/>
        <rFont val="Noto Sans CJK SC"/>
        <family val="2"/>
      </rPr>
      <t xml:space="preserve">～−</t>
    </r>
    <r>
      <rPr>
        <sz val="11"/>
        <color theme="1"/>
        <rFont val="Calibri"/>
        <family val="2"/>
        <charset val="1"/>
      </rPr>
      <t xml:space="preserve">25% </t>
    </r>
    <r>
      <rPr>
        <sz val="11"/>
        <color theme="1"/>
        <rFont val="Noto Sans CJK SC"/>
        <family val="2"/>
      </rPr>
      <t xml:space="preserve">放空、小於 −</t>
    </r>
    <r>
      <rPr>
        <sz val="11"/>
        <color theme="1"/>
        <rFont val="Calibri"/>
        <family val="2"/>
        <charset val="1"/>
      </rPr>
      <t xml:space="preserve">50% </t>
    </r>
    <r>
      <rPr>
        <sz val="11"/>
        <color theme="1"/>
        <rFont val="Noto Sans CJK SC"/>
        <family val="2"/>
      </rPr>
      <t xml:space="preserve">強力放空</t>
    </r>
  </si>
  <si>
    <r>
      <rPr>
        <sz val="11"/>
        <color theme="1"/>
        <rFont val="Calibri"/>
        <family val="2"/>
        <charset val="1"/>
      </rPr>
      <t xml:space="preserve">Sens — </t>
    </r>
    <r>
      <rPr>
        <sz val="11"/>
        <color theme="1"/>
        <rFont val="Noto Sans CJK SC"/>
        <family val="2"/>
      </rPr>
      <t xml:space="preserve">一次只動一個價格或份額輸入；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營業利益＝</t>
    </r>
    <r>
      <rPr>
        <sz val="11"/>
        <color theme="1"/>
        <rFont val="Calibri"/>
        <family val="2"/>
        <charset val="1"/>
      </rPr>
      <t xml:space="preserve">Δ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× (1 − </t>
    </r>
    <r>
      <rPr>
        <sz val="11"/>
        <color theme="1"/>
        <rFont val="Noto Sans CJK SC"/>
        <family val="2"/>
      </rPr>
      <t xml:space="preserve">營業費用變動率</t>
    </r>
    <r>
      <rPr>
        <sz val="11"/>
        <color theme="1"/>
        <rFont val="Calibri"/>
        <family val="2"/>
        <charset val="1"/>
      </rPr>
      <t xml:space="preserve">)</t>
    </r>
    <r>
      <rPr>
        <sz val="11"/>
        <color theme="1"/>
        <rFont val="Noto Sans CJK SC"/>
        <family val="2"/>
      </rPr>
      <t xml:space="preserve">（成本只隨量變動，所以這是精確值，不是近似）</t>
    </r>
  </si>
  <si>
    <t xml:space="preserve">欄</t>
  </si>
  <si>
    <t xml:space="preserve">輸入變動</t>
  </si>
  <si>
    <r>
      <rPr>
        <b val="true"/>
        <sz val="11"/>
        <rFont val="Cambria"/>
        <family val="0"/>
        <charset val="1"/>
      </rPr>
      <t xml:space="preserve">Δ</t>
    </r>
    <r>
      <rPr>
        <b val="true"/>
        <sz val="11"/>
        <rFont val="Noto Sans CJK SC"/>
        <family val="2"/>
      </rPr>
      <t xml:space="preserve">營收</t>
    </r>
  </si>
  <si>
    <t xml:space="preserve">營業利益</t>
  </si>
  <si>
    <t xml:space="preserve">相對基準</t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</si>
  <si>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20%</t>
    </r>
  </si>
  <si>
    <r>
      <rPr>
        <sz val="11"/>
        <color theme="1"/>
        <rFont val="Noto Sans CJK SC"/>
        <family val="2"/>
      </rPr>
      <t xml:space="preserve">一般 </t>
    </r>
    <r>
      <rPr>
        <sz val="11"/>
        <color theme="1"/>
        <rFont val="Calibri"/>
        <family val="2"/>
        <charset val="1"/>
      </rPr>
      <t xml:space="preserve">DRAM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+20%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</si>
  <si>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  <r>
      <rPr>
        <sz val="11"/>
        <color theme="1"/>
        <rFont val="Noto Sans CJK SC"/>
        <family val="2"/>
      </rPr>
      <t xml:space="preserve">（價格或份額）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</si>
  <si>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</si>
  <si>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−</t>
    </r>
    <r>
      <rPr>
        <sz val="11"/>
        <color theme="1"/>
        <rFont val="Calibri"/>
        <family val="2"/>
        <charset val="1"/>
      </rPr>
      <t xml:space="preserve">30%</t>
    </r>
  </si>
  <si>
    <r>
      <rPr>
        <sz val="11"/>
        <color theme="1"/>
        <rFont val="Calibri"/>
        <family val="2"/>
        <charset val="1"/>
      </rPr>
      <t xml:space="preserve">NAND </t>
    </r>
    <r>
      <rPr>
        <sz val="11"/>
        <color theme="1"/>
        <rFont val="Noto Sans CJK SC"/>
        <family val="2"/>
      </rPr>
      <t xml:space="preserve">收入 </t>
    </r>
    <r>
      <rPr>
        <sz val="11"/>
        <color theme="1"/>
        <rFont val="Calibri"/>
        <family val="2"/>
        <charset val="1"/>
      </rPr>
      <t xml:space="preserve">+30%</t>
    </r>
  </si>
  <si>
    <r>
      <rPr>
        <sz val="11"/>
        <color theme="1"/>
        <rFont val="Noto Sans CJK SC"/>
        <family val="2"/>
      </rPr>
      <t xml:space="preserve">讀法：哪一條收入線的同幅變動對營業利益影響最大，就是該年度的主要驅動。價格路徑本身的情境差異見 </t>
    </r>
    <r>
      <rPr>
        <sz val="11"/>
        <color theme="1"/>
        <rFont val="Calibri"/>
        <family val="2"/>
        <charset val="1"/>
      </rPr>
      <t xml:space="preserve">Y </t>
    </r>
    <r>
      <rPr>
        <sz val="11"/>
        <color theme="1"/>
        <rFont val="Noto Sans CJK SC"/>
        <family val="2"/>
      </rPr>
      <t xml:space="preserve">頁 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B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C </t>
    </r>
    <r>
      <rPr>
        <sz val="11"/>
        <color theme="1"/>
        <rFont val="Noto Sans CJK SC"/>
        <family val="2"/>
      </rPr>
      <t xml:space="preserve">欄。</t>
    </r>
  </si>
  <si>
    <r>
      <rPr>
        <b val="true"/>
        <sz val="11"/>
        <rFont val="Noto Sans CJK SC"/>
        <family val="2"/>
      </rPr>
      <t xml:space="preserve">目標價參數（只改 </t>
    </r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參數；</t>
    </r>
    <r>
      <rPr>
        <b val="true"/>
        <sz val="11"/>
        <rFont val="Cambria"/>
        <family val="0"/>
        <charset val="1"/>
      </rPr>
      <t xml:space="preserve">Y </t>
    </r>
    <r>
      <rPr>
        <b val="true"/>
        <sz val="11"/>
        <rFont val="Noto Sans CJK SC"/>
        <family val="2"/>
      </rPr>
      <t xml:space="preserve">頁收斂法的 </t>
    </r>
    <r>
      <rPr>
        <b val="true"/>
        <sz val="11"/>
        <rFont val="Cambria"/>
        <family val="0"/>
        <charset val="1"/>
      </rPr>
      <t xml:space="preserve">fade_g </t>
    </r>
    <r>
      <rPr>
        <b val="true"/>
        <sz val="11"/>
        <rFont val="Noto Sans CJK SC"/>
        <family val="2"/>
      </rPr>
      <t xml:space="preserve">不隨 </t>
    </r>
    <r>
      <rPr>
        <b val="true"/>
        <sz val="11"/>
        <rFont val="Cambria"/>
        <family val="0"/>
        <charset val="1"/>
      </rPr>
      <t xml:space="preserve">tp_g </t>
    </r>
    <r>
      <rPr>
        <b val="true"/>
        <sz val="11"/>
        <rFont val="Noto Sans CJK SC"/>
        <family val="2"/>
      </rPr>
      <t xml:space="preserve">變動）</t>
    </r>
  </si>
  <si>
    <t xml:space="preserve">案例</t>
  </si>
  <si>
    <t xml:space="preserve">設定</t>
  </si>
  <si>
    <r>
      <rPr>
        <b val="true"/>
        <sz val="11"/>
        <rFont val="Cambria"/>
        <family val="0"/>
        <charset val="1"/>
      </rPr>
      <t xml:space="preserve">DCF </t>
    </r>
    <r>
      <rPr>
        <b val="true"/>
        <sz val="11"/>
        <rFont val="Noto Sans CJK SC"/>
        <family val="2"/>
      </rPr>
      <t xml:space="preserve">目標價</t>
    </r>
  </si>
  <si>
    <r>
      <rPr>
        <b val="true"/>
        <sz val="11"/>
        <rFont val="Cambria"/>
        <family val="0"/>
        <charset val="1"/>
      </rPr>
      <t xml:space="preserve">Comparable </t>
    </r>
    <r>
      <rPr>
        <b val="true"/>
        <sz val="11"/>
        <rFont val="Noto Sans CJK SC"/>
        <family val="2"/>
      </rPr>
      <t xml:space="preserve">目標價</t>
    </r>
  </si>
  <si>
    <t xml:space="preserve">加權目標價</t>
  </si>
  <si>
    <r>
      <rPr>
        <sz val="11"/>
        <color theme="1"/>
        <rFont val="Calibri"/>
        <family val="2"/>
        <charset val="1"/>
      </rPr>
      <t xml:space="preserve">r 10%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g 4%</t>
    </r>
    <r>
      <rPr>
        <sz val="11"/>
        <color theme="1"/>
        <rFont val="Noto Sans CJK SC"/>
        <family val="2"/>
      </rPr>
      <t xml:space="preserve">、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0.5</t>
    </r>
  </si>
  <si>
    <r>
      <rPr>
        <sz val="11"/>
        <color theme="1"/>
        <rFont val="Noto Sans CJK SC"/>
        <family val="2"/>
      </rPr>
      <t xml:space="preserve">折現率 </t>
    </r>
    <r>
      <rPr>
        <sz val="11"/>
        <color theme="1"/>
        <rFont val="Calibri"/>
        <family val="2"/>
        <charset val="1"/>
      </rPr>
      <t xml:space="preserve">+1pt</t>
    </r>
  </si>
  <si>
    <t xml:space="preserve">r 11%</t>
  </si>
  <si>
    <r>
      <rPr>
        <sz val="11"/>
        <color theme="1"/>
        <rFont val="Noto Sans CJK SC"/>
        <family val="2"/>
      </rPr>
      <t xml:space="preserve">折現率 −</t>
    </r>
    <r>
      <rPr>
        <sz val="11"/>
        <color theme="1"/>
        <rFont val="Calibri"/>
        <family val="2"/>
        <charset val="1"/>
      </rPr>
      <t xml:space="preserve">1pt</t>
    </r>
  </si>
  <si>
    <t xml:space="preserve">r 9%</t>
  </si>
  <si>
    <r>
      <rPr>
        <sz val="11"/>
        <color theme="1"/>
        <rFont val="Noto Sans CJK SC"/>
        <family val="2"/>
      </rPr>
      <t xml:space="preserve">長期成長 </t>
    </r>
    <r>
      <rPr>
        <sz val="11"/>
        <color theme="1"/>
        <rFont val="Calibri"/>
        <family val="2"/>
        <charset val="1"/>
      </rPr>
      <t xml:space="preserve">+1pt</t>
    </r>
  </si>
  <si>
    <t xml:space="preserve">g 5%</t>
  </si>
  <si>
    <r>
      <rPr>
        <sz val="11"/>
        <color theme="1"/>
        <rFont val="Noto Sans CJK SC"/>
        <family val="2"/>
      </rPr>
      <t xml:space="preserve">長期成長 −</t>
    </r>
    <r>
      <rPr>
        <sz val="11"/>
        <color theme="1"/>
        <rFont val="Calibri"/>
        <family val="2"/>
        <charset val="1"/>
      </rPr>
      <t xml:space="preserve">1pt</t>
    </r>
  </si>
  <si>
    <t xml:space="preserve">g 3%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</si>
  <si>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0.3</t>
    </r>
  </si>
  <si>
    <t xml:space="preserve">Comparable 0.7</t>
  </si>
  <si>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權重 </t>
    </r>
    <r>
      <rPr>
        <sz val="11"/>
        <color theme="1"/>
        <rFont val="Calibri"/>
        <family val="2"/>
        <charset val="1"/>
      </rPr>
      <t xml:space="preserve">0.7</t>
    </r>
  </si>
  <si>
    <t xml:space="preserve">Comparable 0.3</t>
  </si>
  <si>
    <r>
      <rPr>
        <sz val="11"/>
        <color theme="1"/>
        <rFont val="Noto Sans CJK SC"/>
        <family val="2"/>
      </rPr>
      <t xml:space="preserve">核對：基準列 </t>
    </r>
    <r>
      <rPr>
        <sz val="11"/>
        <color theme="1"/>
        <rFont val="Calibri"/>
        <family val="2"/>
        <charset val="1"/>
      </rPr>
      <t xml:space="preserve">DCF </t>
    </r>
    <r>
      <rPr>
        <sz val="11"/>
        <color theme="1"/>
        <rFont val="Noto Sans CJK SC"/>
        <family val="2"/>
      </rPr>
      <t xml:space="preserve">目標價應等於 </t>
    </r>
    <r>
      <rPr>
        <sz val="11"/>
        <color theme="1"/>
        <rFont val="Calibri"/>
        <family val="2"/>
        <charset val="1"/>
      </rPr>
      <t xml:space="preserve">Val </t>
    </r>
    <r>
      <rPr>
        <sz val="11"/>
        <color theme="1"/>
        <rFont val="Noto Sans CJK SC"/>
        <family val="2"/>
      </rPr>
      <t xml:space="preserve">頁第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</t>
    </r>
  </si>
  <si>
    <r>
      <rPr>
        <sz val="11"/>
        <color theme="1"/>
        <rFont val="Calibri"/>
        <family val="2"/>
        <charset val="1"/>
      </rPr>
      <t xml:space="preserve">Recon — </t>
    </r>
    <r>
      <rPr>
        <sz val="11"/>
        <color theme="1"/>
        <rFont val="Noto Sans CJK SC"/>
        <family val="2"/>
      </rPr>
      <t xml:space="preserve">本模型（正向推導）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共識或公司指引（只作事後對照，不用來回推參數）；兆韓元</t>
    </r>
  </si>
  <si>
    <t xml:space="preserve">本模型</t>
  </si>
  <si>
    <t xml:space="preserve">對照值</t>
  </si>
  <si>
    <t xml:space="preserve">差距</t>
  </si>
  <si>
    <t xml:space="preserve">對照來源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</si>
  <si>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</si>
  <si>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 2026-10-02</t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</si>
  <si>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</si>
  <si>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265.2</t>
    </r>
  </si>
  <si>
    <r>
      <rPr>
        <sz val="11"/>
        <color theme="1"/>
        <rFont val="Calibri"/>
        <family val="2"/>
        <charset val="1"/>
      </rPr>
      <t xml:space="preserve">2026E </t>
    </r>
    <r>
      <rPr>
        <sz val="11"/>
        <color theme="1"/>
        <rFont val="Noto Sans CJK SC"/>
        <family val="2"/>
      </rPr>
      <t xml:space="preserve">淨利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</si>
  <si>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MarketScreener</t>
  </si>
  <si>
    <r>
      <rPr>
        <sz val="11"/>
        <color theme="1"/>
        <rFont val="Calibri"/>
        <family val="2"/>
        <charset val="1"/>
      </rPr>
      <t xml:space="preserve">2026E HBM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BofA</t>
    </r>
  </si>
  <si>
    <r>
      <rPr>
        <sz val="11"/>
        <color theme="1"/>
        <rFont val="Calibri"/>
        <family val="2"/>
        <charset val="1"/>
      </rPr>
      <t xml:space="preserve">BofA 2026-09-13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CLSA 49.4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</si>
  <si>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營收（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</si>
  <si>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</si>
  <si>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391.8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08-14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</si>
  <si>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2027E </t>
    </r>
    <r>
      <rPr>
        <sz val="11"/>
        <color theme="1"/>
        <rFont val="Noto Sans CJK SC"/>
        <family val="2"/>
      </rPr>
      <t xml:space="preserve">淨利（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</si>
  <si>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營業利益（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</si>
  <si>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sz val="11"/>
        <color theme="1"/>
        <rFont val="Calibri"/>
        <family val="2"/>
        <charset val="1"/>
      </rPr>
      <t xml:space="preserve">MarketScreener</t>
    </r>
    <r>
      <rPr>
        <sz val="11"/>
        <color theme="1"/>
        <rFont val="Noto Sans CJK SC"/>
        <family val="2"/>
      </rPr>
      <t xml:space="preserve">；</t>
    </r>
    <r>
      <rPr>
        <sz val="11"/>
        <color theme="1"/>
        <rFont val="Calibri"/>
        <family val="2"/>
        <charset val="1"/>
      </rPr>
      <t xml:space="preserve">FnGuide 399.1</t>
    </r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</si>
  <si>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營收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</si>
  <si>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FnGuide 2026-09-25</t>
  </si>
  <si>
    <r>
      <rPr>
        <sz val="11"/>
        <color theme="1"/>
        <rFont val="Calibri"/>
        <family val="2"/>
        <charset val="1"/>
      </rPr>
      <t xml:space="preserve">2026Q3E </t>
    </r>
    <r>
      <rPr>
        <sz val="11"/>
        <color theme="1"/>
        <rFont val="Noto Sans CJK SC"/>
        <family val="2"/>
      </rPr>
      <t xml:space="preserve">營業利益 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</si>
  <si>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t xml:space="preserve">FnGuide 74.1–78.1</t>
  </si>
  <si>
    <r>
      <rPr>
        <sz val="11"/>
        <color theme="1"/>
        <rFont val="Calibri"/>
        <family val="2"/>
        <charset val="1"/>
      </rPr>
      <t xml:space="preserve">2027E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</si>
  <si>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EPS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共識（第 </t>
    </r>
    <r>
      <rPr>
        <sz val="11"/>
        <color theme="1"/>
        <rFont val="Calibri"/>
        <family val="2"/>
        <charset val="1"/>
      </rPr>
      <t xml:space="preserve">0 </t>
    </r>
    <r>
      <rPr>
        <sz val="11"/>
        <color theme="1"/>
        <rFont val="Noto Sans CJK SC"/>
        <family val="2"/>
      </rPr>
      <t xml:space="preserve">節差距拆解用）</t>
    </r>
  </si>
  <si>
    <r>
      <rPr>
        <sz val="11"/>
        <color theme="1"/>
        <rFont val="Calibri"/>
        <family val="2"/>
        <charset val="1"/>
      </rPr>
      <t xml:space="preserve">2028E </t>
    </r>
    <r>
      <rPr>
        <sz val="11"/>
        <color theme="1"/>
        <rFont val="Noto Sans CJK SC"/>
        <family val="2"/>
      </rPr>
      <t xml:space="preserve">年底每股淨值（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  <r>
      <rPr>
        <sz val="11"/>
        <color theme="1"/>
        <rFont val="Calibri"/>
        <family val="2"/>
        <charset val="1"/>
      </rPr>
      <t xml:space="preserve">vs </t>
    </r>
    <r>
      <rPr>
        <sz val="11"/>
        <color theme="1"/>
        <rFont val="Noto Sans CJK SC"/>
        <family val="2"/>
      </rPr>
      <t xml:space="preserve">共識</t>
    </r>
  </si>
  <si>
    <r>
      <rPr>
        <b val="true"/>
        <sz val="11"/>
        <rFont val="Cambria"/>
        <family val="0"/>
        <charset val="1"/>
      </rPr>
      <t xml:space="preserve">Feedback — </t>
    </r>
    <r>
      <rPr>
        <b val="true"/>
        <sz val="11"/>
        <rFont val="Noto Sans CJK SC"/>
        <family val="2"/>
      </rPr>
      <t xml:space="preserve">回饋算力收支</t>
    </r>
  </si>
  <si>
    <r>
      <rPr>
        <sz val="11"/>
        <color theme="1"/>
        <rFont val="Noto Sans CJK SC"/>
        <family val="2"/>
      </rPr>
      <t xml:space="preserve">每顆加速器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金額（</t>
    </r>
    <r>
      <rPr>
        <sz val="11"/>
        <color theme="1"/>
        <rFont val="Calibri"/>
        <family val="2"/>
        <charset val="1"/>
      </rPr>
      <t xml:space="preserve">GB300</t>
    </r>
    <r>
      <rPr>
        <sz val="11"/>
        <color theme="1"/>
        <rFont val="Noto Sans CJK SC"/>
        <family val="2"/>
      </rPr>
      <t xml:space="preserve">，</t>
    </r>
    <r>
      <rPr>
        <sz val="11"/>
        <color theme="1"/>
        <rFont val="Calibri"/>
        <family val="2"/>
        <charset val="1"/>
      </rPr>
      <t xml:space="preserve">2026 </t>
    </r>
    <r>
      <rPr>
        <sz val="11"/>
        <color theme="1"/>
        <rFont val="Noto Sans CJK SC"/>
        <family val="2"/>
      </rPr>
      <t xml:space="preserve">價）</t>
    </r>
  </si>
  <si>
    <r>
      <rPr>
        <sz val="11"/>
        <color theme="1"/>
        <rFont val="Noto Sans CJK SC"/>
        <family val="2"/>
      </rPr>
      <t xml:space="preserve">全市場每顆加速器平均 </t>
    </r>
    <r>
      <rPr>
        <sz val="11"/>
        <color theme="1"/>
        <rFont val="Calibri"/>
        <family val="2"/>
        <charset val="1"/>
      </rPr>
      <t xml:space="preserve">HBM 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</si>
  <si>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市場 </t>
    </r>
    <r>
      <rPr>
        <sz val="11"/>
        <color theme="1"/>
        <rFont val="Calibri"/>
        <family val="2"/>
        <charset val="1"/>
      </rPr>
      <t xml:space="preserve">2026</t>
    </r>
    <r>
      <rPr>
        <sz val="11"/>
        <color theme="1"/>
        <rFont val="Noto Sans CJK SC"/>
        <family val="2"/>
      </rPr>
      <t xml:space="preserve">／</t>
    </r>
    <r>
      <rPr>
        <sz val="11"/>
        <color theme="1"/>
        <rFont val="Calibri"/>
        <family val="2"/>
        <charset val="1"/>
      </rPr>
      <t xml:space="preserve">2027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A</t>
    </r>
    <r>
      <rPr>
        <sz val="11"/>
        <color theme="1"/>
        <rFont val="Noto Sans CJK SC"/>
        <family val="2"/>
      </rPr>
      <t xml:space="preserve">）</t>
    </r>
  </si>
  <si>
    <r>
      <rPr>
        <sz val="11"/>
        <color theme="1"/>
        <rFont val="Calibri"/>
        <family val="2"/>
        <charset val="1"/>
      </rPr>
      <t xml:space="preserve">2027 HBM </t>
    </r>
    <r>
      <rPr>
        <sz val="11"/>
        <color theme="1"/>
        <rFont val="Noto Sans CJK SC"/>
        <family val="2"/>
      </rPr>
      <t xml:space="preserve">需求缺口（三情境相同）</t>
    </r>
  </si>
  <si>
    <r>
      <rPr>
        <sz val="11"/>
        <color theme="1"/>
        <rFont val="Calibri"/>
        <family val="2"/>
        <charset val="1"/>
      </rPr>
      <t xml:space="preserve">SK </t>
    </r>
    <r>
      <rPr>
        <sz val="11"/>
        <color theme="1"/>
        <rFont val="Noto Sans CJK SC"/>
        <family val="2"/>
      </rPr>
      <t xml:space="preserve">海力士 </t>
    </r>
    <r>
      <rPr>
        <sz val="11"/>
        <color theme="1"/>
        <rFont val="Calibri"/>
        <family val="2"/>
        <charset val="1"/>
      </rPr>
      <t xml:space="preserve">HBM </t>
    </r>
    <r>
      <rPr>
        <sz val="11"/>
        <color theme="1"/>
        <rFont val="Noto Sans CJK SC"/>
        <family val="2"/>
      </rPr>
      <t xml:space="preserve">毛利率</t>
    </r>
  </si>
  <si>
    <t xml:space="preserve">無法由公開資料分離</t>
  </si>
  <si>
    <r>
      <rPr>
        <sz val="11"/>
        <color theme="1"/>
        <rFont val="Calibri"/>
        <family val="2"/>
        <charset val="1"/>
      </rPr>
      <t xml:space="preserve">SK hynix 424B4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2026-07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</si>
  <si>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https://www.sec.gov/Archives/edgar/data/2120882/000119312526299963/d32785d424b4.htm</t>
  </si>
  <si>
    <r>
      <rPr>
        <sz val="11"/>
        <color theme="1"/>
        <rFont val="Calibri"/>
        <family val="2"/>
        <charset val="1"/>
      </rPr>
      <t xml:space="preserve">SK hynix 6-K </t>
    </r>
    <r>
      <rPr>
        <sz val="11"/>
        <color theme="1"/>
        <rFont val="Noto Sans CJK SC"/>
        <family val="2"/>
      </rPr>
      <t xml:space="preserve">半年報（</t>
    </r>
    <r>
      <rPr>
        <sz val="11"/>
        <color theme="1"/>
        <rFont val="Calibri"/>
        <family val="2"/>
        <charset val="1"/>
      </rPr>
      <t xml:space="preserve">2026-08-18</t>
    </r>
    <r>
      <rPr>
        <sz val="11"/>
        <color theme="1"/>
        <rFont val="Noto Sans CJK SC"/>
        <family val="2"/>
      </rPr>
      <t xml:space="preserve">）</t>
    </r>
  </si>
  <si>
    <t xml:space="preserve">https://www.sec.gov/Archives/edgar/data/2120882/000119312526354777/d147827d6k.htm</t>
  </si>
  <si>
    <r>
      <rPr>
        <sz val="11"/>
        <color theme="1"/>
        <rFont val="Calibri"/>
        <family val="2"/>
        <charset val="1"/>
      </rPr>
      <t xml:space="preserve">Q2 2026 </t>
    </r>
    <r>
      <rPr>
        <sz val="11"/>
        <color theme="1"/>
        <rFont val="Noto Sans CJK SC"/>
        <family val="2"/>
      </rPr>
      <t xml:space="preserve">法說逐字稿</t>
    </r>
  </si>
  <si>
    <t xml:space="preserve">https://ng.investing.com/news/transcripts/earnings-call-transcript-sk-hynix-posts-record-q2-2026-results-as-shares-fall-93CH-2622277</t>
  </si>
  <si>
    <t xml:space="preserve">https://www.marketscreener.com/quote/stock/SK-HYNIX-INC-6494929/finances/</t>
  </si>
  <si>
    <r>
      <rPr>
        <sz val="11"/>
        <color theme="1"/>
        <rFont val="Calibri"/>
        <family val="2"/>
        <charset val="1"/>
      </rPr>
      <t xml:space="preserve">Herald Business</t>
    </r>
    <r>
      <rPr>
        <sz val="11"/>
        <color theme="1"/>
        <rFont val="Noto Sans CJK SC"/>
        <family val="2"/>
      </rPr>
      <t xml:space="preserve">：</t>
    </r>
    <r>
      <rPr>
        <sz val="11"/>
        <color theme="1"/>
        <rFont val="Calibri"/>
        <family val="2"/>
        <charset val="1"/>
      </rPr>
      <t xml:space="preserve">FnGuide</t>
    </r>
    <r>
      <rPr>
        <sz val="11"/>
        <color theme="1"/>
        <rFont val="Noto Sans CJK SC"/>
        <family val="2"/>
      </rPr>
      <t xml:space="preserve">、目標價</t>
    </r>
  </si>
  <si>
    <t xml:space="preserve">https://biz.heraldcorp.com/article/10841314</t>
  </si>
  <si>
    <r>
      <rPr>
        <sz val="11"/>
        <color theme="1"/>
        <rFont val="Calibri"/>
        <family val="2"/>
        <charset val="1"/>
      </rPr>
      <t xml:space="preserve">BofA HBM</t>
    </r>
    <r>
      <rPr>
        <sz val="11"/>
        <color theme="1"/>
        <rFont val="Noto Sans CJK SC"/>
        <family val="2"/>
      </rPr>
      <t xml:space="preserve">（</t>
    </r>
    <r>
      <rPr>
        <sz val="11"/>
        <color theme="1"/>
        <rFont val="Calibri"/>
        <family val="2"/>
        <charset val="1"/>
      </rPr>
      <t xml:space="preserve">Economy Tribune</t>
    </r>
    <r>
      <rPr>
        <sz val="11"/>
        <color theme="1"/>
        <rFont val="Noto Sans CJK SC"/>
        <family val="2"/>
      </rPr>
      <t xml:space="preserve">）</t>
    </r>
  </si>
  <si>
    <t xml:space="preserve">https://www.economytribune.co.kr/news/articleView.html?idxno=3903874</t>
  </si>
  <si>
    <r>
      <rPr>
        <sz val="11"/>
        <color theme="1"/>
        <rFont val="Calibri"/>
        <family val="2"/>
        <charset val="1"/>
      </rPr>
      <t xml:space="preserve">40 </t>
    </r>
    <r>
      <rPr>
        <sz val="11"/>
        <color theme="1"/>
        <rFont val="Noto Sans CJK SC"/>
        <family val="2"/>
      </rPr>
      <t xml:space="preserve">兆買回（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</si>
  <si>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https://www.koreaherald.com/article/10845792</t>
  </si>
  <si>
    <r>
      <rPr>
        <sz val="11"/>
        <color theme="1"/>
        <rFont val="Calibri"/>
        <family val="2"/>
        <charset val="1"/>
      </rPr>
      <t xml:space="preserve">UBS 2027 HBM </t>
    </r>
    <r>
      <rPr>
        <sz val="11"/>
        <color theme="1"/>
        <rFont val="Noto Sans CJK SC"/>
        <family val="2"/>
      </rPr>
      <t xml:space="preserve">市占（</t>
    </r>
    <r>
      <rPr>
        <sz val="11"/>
        <color theme="1"/>
        <rFont val="Calibri"/>
        <family val="2"/>
        <charset val="1"/>
      </rPr>
      <t xml:space="preserve">Korea Herald</t>
    </r>
    <r>
      <rPr>
        <sz val="11"/>
        <color theme="1"/>
        <rFont val="Noto Sans CJK SC"/>
        <family val="2"/>
      </rPr>
      <t xml:space="preserve">）</t>
    </r>
  </si>
  <si>
    <t xml:space="preserve">https://www.koreaherald.com/article/10828143</t>
  </si>
  <si>
    <t xml:space="preserve">companiesmarketcap P/B</t>
  </si>
  <si>
    <t xml:space="preserve">https://companiesmarketcap.com/sk-hynix/pb-ratio/</t>
  </si>
  <si>
    <r>
      <rPr>
        <sz val="11"/>
        <color theme="1"/>
        <rFont val="Calibri"/>
        <family val="2"/>
        <charset val="1"/>
      </rPr>
      <t xml:space="preserve">TrendForce 4Q26 </t>
    </r>
    <r>
      <rPr>
        <sz val="11"/>
        <color theme="1"/>
        <rFont val="Noto Sans CJK SC"/>
        <family val="2"/>
      </rPr>
      <t xml:space="preserve">價格</t>
    </r>
  </si>
  <si>
    <t xml:space="preserve">https://www.trendforce.com/presscenter/news/20260930-13258.html</t>
  </si>
  <si>
    <r>
      <rPr>
        <sz val="11"/>
        <color theme="1"/>
        <rFont val="Calibri"/>
        <family val="2"/>
        <charset val="1"/>
      </rPr>
      <t xml:space="preserve">Citi 2027 </t>
    </r>
    <r>
      <rPr>
        <sz val="11"/>
        <color theme="1"/>
        <rFont val="Noto Sans CJK SC"/>
        <family val="2"/>
      </rPr>
      <t xml:space="preserve">見頂</t>
    </r>
  </si>
  <si>
    <t xml:space="preserve">https://www.tipranks.com/news/memory-prices-will-peak-next-year-warns-citi-as-it-cuts-micron-mu-price-target-by-18</t>
  </si>
  <si>
    <t xml:space="preserve">Bernstein 2028</t>
  </si>
  <si>
    <t xml:space="preserve">https://www.notebookcheck.net/DRAM-crisis-Analysts-expect-drastic-price-drop-in-2028.1337992.0.html</t>
  </si>
  <si>
    <r>
      <rPr>
        <sz val="11"/>
        <color theme="1"/>
        <rFont val="Calibri"/>
        <family val="2"/>
        <charset val="1"/>
      </rPr>
      <t xml:space="preserve">markets/memory/market.py</t>
    </r>
    <r>
      <rPr>
        <sz val="11"/>
        <color theme="1"/>
        <rFont val="Noto Sans CJK SC"/>
        <family val="2"/>
      </rPr>
      <t xml:space="preserve">（共用市場層）</t>
    </r>
  </si>
  <si>
    <r>
      <rPr>
        <sz val="11"/>
        <color theme="1"/>
        <rFont val="Noto Sans CJK SC"/>
        <family val="2"/>
      </rPr>
      <t xml:space="preserve">本 </t>
    </r>
    <r>
      <rPr>
        <sz val="11"/>
        <color theme="1"/>
        <rFont val="Calibri"/>
        <family val="2"/>
        <charset val="1"/>
      </rPr>
      <t xml:space="preserve">repo</t>
    </r>
  </si>
  <si>
    <t xml:space="preserve">markets/chip_bridge v0.2</t>
  </si>
</sst>
</file>

<file path=xl/styles.xml><?xml version="1.0" encoding="utf-8"?>
<styleSheet xmlns="http://schemas.openxmlformats.org/spreadsheetml/2006/main">
  <numFmts count="12">
    <numFmt numFmtId="164" formatCode="General"/>
    <numFmt numFmtId="165" formatCode="General"/>
    <numFmt numFmtId="166" formatCode="0.00"/>
    <numFmt numFmtId="167" formatCode="0%"/>
    <numFmt numFmtId="168" formatCode="0"/>
    <numFmt numFmtId="169" formatCode="0.0"/>
    <numFmt numFmtId="170" formatCode="0.0%"/>
    <numFmt numFmtId="171" formatCode="#,##0"/>
    <numFmt numFmtId="172" formatCode="#,##0.0"/>
    <numFmt numFmtId="173" formatCode="0.00\x"/>
    <numFmt numFmtId="174" formatCode="@"/>
    <numFmt numFmtId="175" formatCode="0.000000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Cambria"/>
      <family val="0"/>
      <charset val="1"/>
    </font>
    <font>
      <b val="true"/>
      <sz val="11"/>
      <name val="Noto Sans CJK SC"/>
      <family val="2"/>
    </font>
    <font>
      <sz val="11"/>
      <name val="Noto Sans CJK SC"/>
      <family val="2"/>
    </font>
    <font>
      <sz val="11"/>
      <name val="Cambria"/>
      <family val="0"/>
      <charset val="1"/>
    </font>
    <font>
      <sz val="11"/>
      <color theme="1"/>
      <name val="Noto Sans CJK SC"/>
      <family val="2"/>
    </font>
    <font>
      <sz val="11"/>
      <color rgb="FF0000FF"/>
      <name val="Cambria"/>
      <family val="0"/>
      <charset val="1"/>
    </font>
    <font>
      <sz val="11"/>
      <color rgb="FF000000"/>
      <name val="Cambria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E7E6E6"/>
      </patternFill>
    </fill>
    <fill>
      <patternFill patternType="solid">
        <fgColor rgb="FFFFF2CC"/>
        <bgColor rgb="FFE7E6E6"/>
      </patternFill>
    </fill>
    <fill>
      <patternFill patternType="solid">
        <fgColor rgb="FFE7E6E6"/>
        <bgColor rgb="FFDDEBF7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0" fillId="4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E7E6E6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70"/>
  </cols>
  <sheetData>
    <row r="1" customFormat="false" ht="17.15" hidden="false" customHeight="false" outlineLevel="0" collapsed="false">
      <c r="A1" s="1" t="s">
        <v>0</v>
      </c>
    </row>
    <row r="2" customFormat="false" ht="17.15" hidden="false" customHeight="false" outlineLevel="0" collapsed="false">
      <c r="A2" s="2" t="s">
        <v>1</v>
      </c>
    </row>
    <row r="3" customFormat="false" ht="15" hidden="false" customHeight="false" outlineLevel="0" collapsed="false">
      <c r="A3" s="2"/>
    </row>
    <row r="4" customFormat="false" ht="15" hidden="false" customHeight="false" outlineLevel="0" collapsed="false">
      <c r="A4" s="3" t="s">
        <v>2</v>
      </c>
    </row>
    <row r="5" customFormat="false" ht="17.15" hidden="false" customHeight="false" outlineLevel="0" collapsed="false">
      <c r="A5" s="4" t="s">
        <v>3</v>
      </c>
    </row>
    <row r="6" customFormat="false" ht="17.15" hidden="false" customHeight="false" outlineLevel="0" collapsed="false">
      <c r="A6" s="4" t="s">
        <v>4</v>
      </c>
    </row>
    <row r="7" customFormat="false" ht="17.15" hidden="false" customHeight="false" outlineLevel="0" collapsed="false">
      <c r="A7" s="4" t="s">
        <v>5</v>
      </c>
    </row>
    <row r="8" customFormat="false" ht="17.15" hidden="false" customHeight="false" outlineLevel="0" collapsed="false">
      <c r="A8" s="4" t="s">
        <v>6</v>
      </c>
    </row>
    <row r="9" customFormat="false" ht="17.15" hidden="false" customHeight="false" outlineLevel="0" collapsed="false">
      <c r="A9" s="4" t="s">
        <v>7</v>
      </c>
    </row>
    <row r="10" customFormat="false" ht="17.15" hidden="false" customHeight="false" outlineLevel="0" collapsed="false">
      <c r="A10" s="4" t="s">
        <v>8</v>
      </c>
    </row>
    <row r="11" customFormat="false" ht="15" hidden="false" customHeight="false" outlineLevel="0" collapsed="false">
      <c r="A11" s="2" t="s">
        <v>9</v>
      </c>
    </row>
    <row r="12" customFormat="false" ht="17.15" hidden="false" customHeight="false" outlineLevel="0" collapsed="false">
      <c r="A12" s="4" t="s">
        <v>10</v>
      </c>
    </row>
    <row r="13" customFormat="false" ht="15" hidden="false" customHeight="false" outlineLevel="0" collapsed="false">
      <c r="A13" s="2"/>
    </row>
    <row r="14" customFormat="false" ht="17.15" hidden="false" customHeight="false" outlineLevel="0" collapsed="false">
      <c r="A14" s="2" t="s">
        <v>11</v>
      </c>
    </row>
    <row r="15" customFormat="false" ht="17.15" hidden="false" customHeight="false" outlineLevel="0" collapsed="false">
      <c r="A15" s="2" t="s">
        <v>12</v>
      </c>
    </row>
    <row r="16" customFormat="false" ht="17.15" hidden="false" customHeight="false" outlineLevel="0" collapsed="false">
      <c r="A16" s="2" t="s">
        <v>13</v>
      </c>
    </row>
    <row r="17" customFormat="false" ht="15" hidden="false" customHeight="false" outlineLevel="0" collapsed="false">
      <c r="A17" s="2"/>
    </row>
    <row r="18" customFormat="false" ht="17.15" hidden="false" customHeight="false" outlineLevel="0" collapsed="false">
      <c r="A18" s="4" t="s">
        <v>14</v>
      </c>
    </row>
    <row r="19" customFormat="false" ht="17.15" hidden="false" customHeight="false" outlineLevel="0" collapsed="false">
      <c r="A19" s="4" t="s">
        <v>15</v>
      </c>
    </row>
    <row r="20" customFormat="false" ht="17.15" hidden="false" customHeight="false" outlineLevel="0" collapsed="false">
      <c r="A20" s="4" t="s">
        <v>16</v>
      </c>
    </row>
    <row r="21" customFormat="false" ht="17.15" hidden="false" customHeight="false" outlineLevel="0" collapsed="false">
      <c r="A21" s="4" t="s">
        <v>17</v>
      </c>
    </row>
    <row r="22" customFormat="false" ht="17.15" hidden="false" customHeight="false" outlineLevel="0" collapsed="false">
      <c r="A22" s="4" t="s">
        <v>18</v>
      </c>
    </row>
    <row r="23" customFormat="false" ht="17.15" hidden="false" customHeight="false" outlineLevel="0" collapsed="false">
      <c r="A23" s="2" t="s">
        <v>19</v>
      </c>
    </row>
    <row r="24" customFormat="false" ht="17.15" hidden="false" customHeight="false" outlineLevel="0" collapsed="false">
      <c r="A24" s="4" t="s">
        <v>20</v>
      </c>
    </row>
    <row r="25" customFormat="false" ht="17.15" hidden="false" customHeight="false" outlineLevel="0" collapsed="false">
      <c r="A25" s="4" t="s">
        <v>21</v>
      </c>
    </row>
    <row r="26" customFormat="false" ht="17.15" hidden="false" customHeight="false" outlineLevel="0" collapsed="false">
      <c r="A26" s="4" t="s">
        <v>22</v>
      </c>
    </row>
    <row r="27" customFormat="false" ht="15" hidden="false" customHeight="false" outlineLevel="0" collapsed="false">
      <c r="A27" s="0" t="str">
        <f aca="false">"投資建議："&amp;Val!B185&amp;"（依上檔空間固定規則）"</f>
        <v>投資建議：強力買進（依上檔空間固定規則）</v>
      </c>
    </row>
    <row r="28" customFormat="false" ht="17.15" hidden="false" customHeight="false" outlineLevel="0" collapsed="false">
      <c r="A28" s="5" t="s">
        <v>23</v>
      </c>
    </row>
    <row r="29" customFormat="false" ht="17.15" hidden="false" customHeight="false" outlineLevel="0" collapsed="false">
      <c r="A29" s="5" t="s">
        <v>24</v>
      </c>
    </row>
    <row r="30" customFormat="false" ht="17.15" hidden="false" customHeight="false" outlineLevel="0" collapsed="false">
      <c r="A30" s="5" t="s">
        <v>25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6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3" topLeftCell="D4" activePane="bottomRight" state="frozen"/>
      <selection pane="topLeft" activeCell="A1" activeCellId="0" sqref="A1"/>
      <selection pane="topRight" activeCell="D1" activeCellId="0" sqref="D1"/>
      <selection pane="bottomLeft" activeCell="A4" activeCellId="0" sqref="A4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46"/>
    <col collapsed="false" customWidth="true" hidden="false" outlineLevel="0" max="3" min="3" style="0" width="11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8"/>
    <col collapsed="false" customWidth="true" hidden="false" outlineLevel="0" max="7" min="7" style="0" width="20"/>
    <col collapsed="false" customWidth="true" hidden="false" outlineLevel="0" max="8" min="8" style="0" width="120"/>
  </cols>
  <sheetData>
    <row r="1" customFormat="false" ht="17.15" hidden="false" customHeight="false" outlineLevel="0" collapsed="false">
      <c r="A1" s="0" t="s">
        <v>26</v>
      </c>
    </row>
    <row r="3" customFormat="false" ht="15" hidden="false" customHeight="false" outlineLevel="0" collapsed="false">
      <c r="A3" s="6" t="s">
        <v>27</v>
      </c>
      <c r="B3" s="6" t="s">
        <v>28</v>
      </c>
      <c r="C3" s="6" t="s">
        <v>29</v>
      </c>
      <c r="D3" s="6" t="s">
        <v>30</v>
      </c>
      <c r="E3" s="6" t="s">
        <v>31</v>
      </c>
      <c r="F3" s="6" t="s">
        <v>32</v>
      </c>
      <c r="G3" s="6" t="s">
        <v>33</v>
      </c>
      <c r="H3" s="6" t="s">
        <v>34</v>
      </c>
    </row>
    <row r="4" customFormat="false" ht="17.15" hidden="false" customHeight="false" outlineLevel="0" collapsed="false">
      <c r="A4" s="1" t="s">
        <v>35</v>
      </c>
    </row>
    <row r="5" customFormat="false" ht="17.15" hidden="false" customHeight="false" outlineLevel="0" collapsed="false">
      <c r="A5" s="0" t="s">
        <v>36</v>
      </c>
      <c r="B5" s="5" t="s">
        <v>37</v>
      </c>
      <c r="C5" s="0" t="s">
        <v>38</v>
      </c>
      <c r="D5" s="7" t="n">
        <v>1350</v>
      </c>
      <c r="E5" s="7" t="n">
        <v>1420</v>
      </c>
      <c r="F5" s="7" t="n">
        <v>1500</v>
      </c>
      <c r="G5" s="8" t="s">
        <v>39</v>
      </c>
      <c r="H5" s="8" t="s">
        <v>40</v>
      </c>
    </row>
    <row r="6" customFormat="false" ht="17.15" hidden="false" customHeight="false" outlineLevel="0" collapsed="false">
      <c r="A6" s="0" t="s">
        <v>41</v>
      </c>
      <c r="B6" s="5" t="s">
        <v>42</v>
      </c>
      <c r="C6" s="0" t="s">
        <v>43</v>
      </c>
      <c r="E6" s="7" t="n">
        <v>1277000</v>
      </c>
      <c r="G6" s="8" t="s">
        <v>44</v>
      </c>
      <c r="H6" s="8" t="s">
        <v>45</v>
      </c>
    </row>
    <row r="7" customFormat="false" ht="17.15" hidden="false" customHeight="false" outlineLevel="0" collapsed="false">
      <c r="A7" s="1" t="s">
        <v>46</v>
      </c>
    </row>
    <row r="8" customFormat="false" ht="17.15" hidden="false" customHeight="false" outlineLevel="0" collapsed="false">
      <c r="A8" s="0" t="s">
        <v>47</v>
      </c>
      <c r="B8" s="0" t="s">
        <v>48</v>
      </c>
      <c r="C8" s="0" t="s">
        <v>49</v>
      </c>
      <c r="D8" s="7" t="n">
        <v>0.08</v>
      </c>
      <c r="E8" s="7" t="n">
        <v>0.1</v>
      </c>
      <c r="F8" s="7" t="n">
        <v>0.12</v>
      </c>
      <c r="G8" s="8" t="s">
        <v>44</v>
      </c>
      <c r="H8" s="5" t="s">
        <v>50</v>
      </c>
    </row>
    <row r="9" customFormat="false" ht="17.15" hidden="false" customHeight="false" outlineLevel="0" collapsed="false">
      <c r="A9" s="0" t="s">
        <v>51</v>
      </c>
      <c r="B9" s="0" t="s">
        <v>52</v>
      </c>
      <c r="C9" s="0" t="s">
        <v>49</v>
      </c>
      <c r="D9" s="7" t="n">
        <v>0.08</v>
      </c>
      <c r="E9" s="7" t="n">
        <v>0.12</v>
      </c>
      <c r="F9" s="7" t="n">
        <v>0.16</v>
      </c>
      <c r="G9" s="8" t="s">
        <v>39</v>
      </c>
      <c r="H9" s="8" t="s">
        <v>53</v>
      </c>
    </row>
    <row r="10" customFormat="false" ht="17.15" hidden="false" customHeight="false" outlineLevel="0" collapsed="false">
      <c r="A10" s="0" t="s">
        <v>54</v>
      </c>
      <c r="B10" s="0" t="s">
        <v>55</v>
      </c>
      <c r="C10" s="0" t="s">
        <v>49</v>
      </c>
      <c r="D10" s="7" t="n">
        <v>0</v>
      </c>
      <c r="E10" s="7" t="n">
        <v>0.02</v>
      </c>
      <c r="F10" s="7" t="n">
        <v>0.04</v>
      </c>
      <c r="G10" s="8" t="s">
        <v>44</v>
      </c>
      <c r="H10" s="5" t="s">
        <v>56</v>
      </c>
    </row>
    <row r="11" customFormat="false" ht="17.15" hidden="false" customHeight="false" outlineLevel="0" collapsed="false">
      <c r="A11" s="0" t="s">
        <v>57</v>
      </c>
      <c r="B11" s="0" t="s">
        <v>58</v>
      </c>
      <c r="C11" s="0" t="s">
        <v>49</v>
      </c>
      <c r="D11" s="7" t="n">
        <v>0.1</v>
      </c>
      <c r="E11" s="7" t="n">
        <v>0.125</v>
      </c>
      <c r="F11" s="7" t="n">
        <v>0.2</v>
      </c>
      <c r="G11" s="8" t="s">
        <v>59</v>
      </c>
      <c r="H11" s="8" t="s">
        <v>60</v>
      </c>
    </row>
    <row r="12" customFormat="false" ht="17.15" hidden="false" customHeight="false" outlineLevel="0" collapsed="false">
      <c r="A12" s="0" t="s">
        <v>61</v>
      </c>
      <c r="B12" s="0" t="s">
        <v>62</v>
      </c>
      <c r="C12" s="0" t="s">
        <v>49</v>
      </c>
      <c r="D12" s="7" t="n">
        <v>0</v>
      </c>
      <c r="E12" s="7" t="n">
        <v>0.05</v>
      </c>
      <c r="F12" s="7" t="n">
        <v>0.08</v>
      </c>
      <c r="G12" s="8" t="s">
        <v>63</v>
      </c>
      <c r="H12" s="5" t="s">
        <v>64</v>
      </c>
    </row>
    <row r="13" customFormat="false" ht="17.15" hidden="false" customHeight="false" outlineLevel="0" collapsed="false">
      <c r="A13" s="0" t="s">
        <v>65</v>
      </c>
      <c r="B13" s="0" t="s">
        <v>66</v>
      </c>
      <c r="C13" s="0" t="s">
        <v>49</v>
      </c>
      <c r="D13" s="7" t="n">
        <v>0.05</v>
      </c>
      <c r="E13" s="7" t="n">
        <v>0.1</v>
      </c>
      <c r="F13" s="7" t="n">
        <v>0.15</v>
      </c>
      <c r="G13" s="8" t="s">
        <v>39</v>
      </c>
      <c r="H13" s="8" t="s">
        <v>67</v>
      </c>
    </row>
    <row r="14" customFormat="false" ht="17.15" hidden="false" customHeight="false" outlineLevel="0" collapsed="false">
      <c r="A14" s="0" t="s">
        <v>68</v>
      </c>
      <c r="B14" s="0" t="s">
        <v>69</v>
      </c>
      <c r="C14" s="0" t="s">
        <v>49</v>
      </c>
      <c r="D14" s="7" t="n">
        <v>0</v>
      </c>
      <c r="E14" s="7" t="n">
        <v>0.05</v>
      </c>
      <c r="F14" s="7" t="n">
        <v>0.08</v>
      </c>
      <c r="G14" s="8" t="s">
        <v>63</v>
      </c>
    </row>
    <row r="15" customFormat="false" ht="17.15" hidden="false" customHeight="false" outlineLevel="0" collapsed="false">
      <c r="A15" s="0" t="s">
        <v>70</v>
      </c>
      <c r="B15" s="0" t="s">
        <v>71</v>
      </c>
      <c r="C15" s="0" t="s">
        <v>49</v>
      </c>
      <c r="D15" s="7" t="n">
        <v>0.1</v>
      </c>
      <c r="E15" s="7" t="n">
        <v>0.175</v>
      </c>
      <c r="F15" s="7" t="n">
        <v>0.2</v>
      </c>
      <c r="G15" s="8" t="s">
        <v>59</v>
      </c>
      <c r="H15" s="8" t="s">
        <v>72</v>
      </c>
    </row>
    <row r="16" customFormat="false" ht="17.15" hidden="false" customHeight="false" outlineLevel="0" collapsed="false">
      <c r="A16" s="0" t="s">
        <v>73</v>
      </c>
      <c r="B16" s="0" t="s">
        <v>74</v>
      </c>
      <c r="C16" s="5" t="s">
        <v>75</v>
      </c>
      <c r="E16" s="7" t="n">
        <v>4.3</v>
      </c>
      <c r="G16" s="8" t="s">
        <v>63</v>
      </c>
      <c r="H16" s="8" t="s">
        <v>76</v>
      </c>
    </row>
    <row r="17" customFormat="false" ht="17.15" hidden="false" customHeight="false" outlineLevel="0" collapsed="false">
      <c r="A17" s="0" t="s">
        <v>77</v>
      </c>
      <c r="B17" s="0" t="s">
        <v>78</v>
      </c>
      <c r="C17" s="5" t="s">
        <v>75</v>
      </c>
      <c r="E17" s="7" t="n">
        <v>4.6</v>
      </c>
      <c r="G17" s="8" t="s">
        <v>63</v>
      </c>
    </row>
    <row r="18" customFormat="false" ht="15" hidden="false" customHeight="false" outlineLevel="0" collapsed="false">
      <c r="A18" s="0" t="s">
        <v>79</v>
      </c>
      <c r="B18" s="5" t="s">
        <v>80</v>
      </c>
      <c r="C18" s="0" t="s">
        <v>49</v>
      </c>
      <c r="D18" s="7" t="n">
        <v>0.01</v>
      </c>
      <c r="E18" s="7" t="n">
        <v>0.03</v>
      </c>
      <c r="F18" s="7" t="n">
        <v>0.05</v>
      </c>
      <c r="G18" s="8" t="s">
        <v>63</v>
      </c>
    </row>
    <row r="19" customFormat="false" ht="17.15" hidden="false" customHeight="false" outlineLevel="0" collapsed="false">
      <c r="A19" s="0" t="s">
        <v>81</v>
      </c>
      <c r="B19" s="5" t="s">
        <v>82</v>
      </c>
      <c r="C19" s="5" t="s">
        <v>75</v>
      </c>
      <c r="E19" s="7" t="n">
        <v>1.5</v>
      </c>
      <c r="G19" s="8" t="s">
        <v>39</v>
      </c>
      <c r="H19" s="8" t="s">
        <v>83</v>
      </c>
    </row>
    <row r="20" customFormat="false" ht="17.15" hidden="false" customHeight="false" outlineLevel="0" collapsed="false">
      <c r="A20" s="0" t="s">
        <v>84</v>
      </c>
      <c r="B20" s="5" t="s">
        <v>85</v>
      </c>
      <c r="C20" s="5" t="s">
        <v>75</v>
      </c>
      <c r="D20" s="7" t="n">
        <v>0.5</v>
      </c>
      <c r="E20" s="7" t="n">
        <v>1</v>
      </c>
      <c r="F20" s="7" t="n">
        <v>2</v>
      </c>
      <c r="G20" s="8" t="s">
        <v>63</v>
      </c>
      <c r="H20" s="5" t="s">
        <v>86</v>
      </c>
    </row>
    <row r="21" customFormat="false" ht="17.15" hidden="false" customHeight="false" outlineLevel="0" collapsed="false">
      <c r="A21" s="1" t="s">
        <v>87</v>
      </c>
    </row>
    <row r="22" customFormat="false" ht="17.15" hidden="false" customHeight="false" outlineLevel="0" collapsed="false">
      <c r="A22" s="0" t="s">
        <v>88</v>
      </c>
      <c r="B22" s="5" t="s">
        <v>89</v>
      </c>
      <c r="C22" s="0" t="s">
        <v>49</v>
      </c>
      <c r="D22" s="7" t="n">
        <v>0.05</v>
      </c>
      <c r="E22" s="7" t="n">
        <v>0.1</v>
      </c>
      <c r="F22" s="7" t="n">
        <v>0.15</v>
      </c>
      <c r="G22" s="8" t="s">
        <v>39</v>
      </c>
      <c r="H22" s="8" t="s">
        <v>90</v>
      </c>
    </row>
    <row r="23" customFormat="false" ht="17.15" hidden="false" customHeight="false" outlineLevel="0" collapsed="false">
      <c r="A23" s="0" t="s">
        <v>91</v>
      </c>
      <c r="B23" s="5" t="s">
        <v>92</v>
      </c>
      <c r="C23" s="0" t="s">
        <v>49</v>
      </c>
      <c r="D23" s="7" t="n">
        <v>0.1</v>
      </c>
      <c r="E23" s="7" t="n">
        <v>0.15</v>
      </c>
      <c r="F23" s="7" t="n">
        <v>0.19</v>
      </c>
      <c r="G23" s="8" t="s">
        <v>59</v>
      </c>
      <c r="H23" s="8" t="s">
        <v>93</v>
      </c>
    </row>
    <row r="24" customFormat="false" ht="17.15" hidden="false" customHeight="false" outlineLevel="0" collapsed="false">
      <c r="A24" s="0" t="s">
        <v>94</v>
      </c>
      <c r="B24" s="0" t="s">
        <v>95</v>
      </c>
      <c r="C24" s="0" t="s">
        <v>49</v>
      </c>
      <c r="D24" s="7" t="n">
        <v>0.15</v>
      </c>
      <c r="E24" s="7" t="n">
        <v>0.2</v>
      </c>
      <c r="F24" s="7" t="n">
        <v>0.25</v>
      </c>
      <c r="G24" s="8" t="s">
        <v>39</v>
      </c>
      <c r="H24" s="5" t="s">
        <v>96</v>
      </c>
    </row>
    <row r="25" customFormat="false" ht="17.15" hidden="false" customHeight="false" outlineLevel="0" collapsed="false">
      <c r="A25" s="0" t="s">
        <v>97</v>
      </c>
      <c r="B25" s="0" t="s">
        <v>98</v>
      </c>
      <c r="C25" s="0" t="s">
        <v>49</v>
      </c>
      <c r="D25" s="7" t="n">
        <v>0.15</v>
      </c>
      <c r="E25" s="7" t="n">
        <v>0.2</v>
      </c>
      <c r="F25" s="7" t="n">
        <v>0.25</v>
      </c>
      <c r="G25" s="8" t="s">
        <v>39</v>
      </c>
      <c r="H25" s="5" t="s">
        <v>99</v>
      </c>
    </row>
    <row r="26" customFormat="false" ht="17.15" hidden="false" customHeight="false" outlineLevel="0" collapsed="false">
      <c r="A26" s="0" t="s">
        <v>100</v>
      </c>
      <c r="B26" s="0" t="s">
        <v>101</v>
      </c>
      <c r="C26" s="0" t="s">
        <v>49</v>
      </c>
      <c r="D26" s="7" t="n">
        <v>0.55</v>
      </c>
      <c r="E26" s="7" t="n">
        <v>0.58</v>
      </c>
      <c r="F26" s="7" t="n">
        <v>0.62</v>
      </c>
      <c r="G26" s="8" t="s">
        <v>59</v>
      </c>
      <c r="H26" s="8" t="s">
        <v>102</v>
      </c>
    </row>
    <row r="27" customFormat="false" ht="17.15" hidden="false" customHeight="false" outlineLevel="0" collapsed="false">
      <c r="A27" s="0" t="s">
        <v>103</v>
      </c>
      <c r="B27" s="0" t="s">
        <v>104</v>
      </c>
      <c r="C27" s="0" t="s">
        <v>49</v>
      </c>
      <c r="D27" s="7" t="n">
        <v>0.48</v>
      </c>
      <c r="E27" s="7" t="n">
        <v>0.52</v>
      </c>
      <c r="F27" s="7" t="n">
        <v>0.56</v>
      </c>
      <c r="G27" s="8" t="s">
        <v>59</v>
      </c>
      <c r="H27" s="8" t="s">
        <v>105</v>
      </c>
    </row>
    <row r="28" customFormat="false" ht="17.15" hidden="false" customHeight="false" outlineLevel="0" collapsed="false">
      <c r="A28" s="0" t="s">
        <v>106</v>
      </c>
      <c r="B28" s="0" t="s">
        <v>107</v>
      </c>
      <c r="C28" s="0" t="s">
        <v>49</v>
      </c>
      <c r="D28" s="7" t="n">
        <v>0.38</v>
      </c>
      <c r="E28" s="7" t="n">
        <v>0.42</v>
      </c>
      <c r="F28" s="7" t="n">
        <v>0.48</v>
      </c>
      <c r="G28" s="8" t="s">
        <v>59</v>
      </c>
      <c r="H28" s="8" t="s">
        <v>108</v>
      </c>
    </row>
    <row r="29" customFormat="false" ht="17.15" hidden="false" customHeight="false" outlineLevel="0" collapsed="false">
      <c r="A29" s="0" t="s">
        <v>109</v>
      </c>
      <c r="B29" s="0" t="s">
        <v>110</v>
      </c>
      <c r="C29" s="0" t="s">
        <v>49</v>
      </c>
      <c r="D29" s="7" t="n">
        <v>0.35</v>
      </c>
      <c r="E29" s="7" t="n">
        <v>0.4</v>
      </c>
      <c r="F29" s="7" t="n">
        <v>0.45</v>
      </c>
      <c r="G29" s="8" t="s">
        <v>63</v>
      </c>
    </row>
    <row r="30" customFormat="false" ht="15" hidden="false" customHeight="false" outlineLevel="0" collapsed="false">
      <c r="A30" s="0" t="s">
        <v>111</v>
      </c>
      <c r="B30" s="5" t="s">
        <v>112</v>
      </c>
      <c r="C30" s="5" t="s">
        <v>75</v>
      </c>
      <c r="E30" s="7" t="n">
        <v>1.6</v>
      </c>
      <c r="G30" s="8" t="s">
        <v>44</v>
      </c>
    </row>
    <row r="31" customFormat="false" ht="17.15" hidden="false" customHeight="false" outlineLevel="0" collapsed="false">
      <c r="A31" s="0" t="s">
        <v>113</v>
      </c>
      <c r="B31" s="5" t="s">
        <v>114</v>
      </c>
      <c r="C31" s="0" t="s">
        <v>49</v>
      </c>
      <c r="E31" s="7" t="n">
        <v>0.45</v>
      </c>
      <c r="G31" s="8" t="s">
        <v>63</v>
      </c>
    </row>
    <row r="32" customFormat="false" ht="17.15" hidden="false" customHeight="false" outlineLevel="0" collapsed="false">
      <c r="A32" s="0" t="s">
        <v>115</v>
      </c>
      <c r="B32" s="5" t="s">
        <v>116</v>
      </c>
      <c r="C32" s="0" t="s">
        <v>49</v>
      </c>
      <c r="E32" s="7" t="n">
        <v>0.3</v>
      </c>
      <c r="G32" s="8" t="s">
        <v>63</v>
      </c>
      <c r="H32" s="8" t="s">
        <v>117</v>
      </c>
    </row>
    <row r="33" customFormat="false" ht="17.15" hidden="false" customHeight="false" outlineLevel="0" collapsed="false">
      <c r="A33" s="0" t="s">
        <v>118</v>
      </c>
      <c r="B33" s="5" t="s">
        <v>119</v>
      </c>
      <c r="C33" s="0" t="s">
        <v>49</v>
      </c>
      <c r="E33" s="7" t="n">
        <v>0.25</v>
      </c>
      <c r="G33" s="8" t="s">
        <v>63</v>
      </c>
    </row>
    <row r="34" customFormat="false" ht="15" hidden="false" customHeight="false" outlineLevel="0" collapsed="false">
      <c r="A34" s="0" t="s">
        <v>120</v>
      </c>
      <c r="B34" s="5" t="s">
        <v>121</v>
      </c>
      <c r="C34" s="0" t="s">
        <v>49</v>
      </c>
      <c r="D34" s="7" t="n">
        <v>0.05</v>
      </c>
      <c r="E34" s="7" t="n">
        <v>0.1</v>
      </c>
      <c r="F34" s="7" t="n">
        <v>0.15</v>
      </c>
      <c r="G34" s="8" t="s">
        <v>63</v>
      </c>
    </row>
    <row r="35" customFormat="false" ht="15" hidden="false" customHeight="false" outlineLevel="0" collapsed="false">
      <c r="A35" s="0" t="s">
        <v>122</v>
      </c>
      <c r="B35" s="5" t="s">
        <v>123</v>
      </c>
      <c r="C35" s="5" t="s">
        <v>124</v>
      </c>
      <c r="D35" s="7" t="n">
        <v>4</v>
      </c>
      <c r="E35" s="7" t="n">
        <v>5</v>
      </c>
      <c r="F35" s="7" t="n">
        <v>6</v>
      </c>
      <c r="G35" s="8" t="s">
        <v>63</v>
      </c>
    </row>
    <row r="36" customFormat="false" ht="15" hidden="false" customHeight="false" outlineLevel="0" collapsed="false">
      <c r="A36" s="0" t="s">
        <v>125</v>
      </c>
      <c r="B36" s="5" t="s">
        <v>126</v>
      </c>
      <c r="C36" s="0" t="s">
        <v>49</v>
      </c>
      <c r="E36" s="7" t="n">
        <v>0.9</v>
      </c>
      <c r="G36" s="8" t="s">
        <v>63</v>
      </c>
    </row>
    <row r="37" customFormat="false" ht="17.15" hidden="false" customHeight="false" outlineLevel="0" collapsed="false">
      <c r="A37" s="0" t="s">
        <v>127</v>
      </c>
      <c r="B37" s="5" t="s">
        <v>128</v>
      </c>
      <c r="C37" s="5" t="s">
        <v>75</v>
      </c>
      <c r="E37" s="7" t="n">
        <v>6</v>
      </c>
      <c r="G37" s="8" t="s">
        <v>39</v>
      </c>
      <c r="H37" s="5" t="s">
        <v>129</v>
      </c>
    </row>
    <row r="38" customFormat="false" ht="17.15" hidden="false" customHeight="false" outlineLevel="0" collapsed="false">
      <c r="A38" s="0" t="s">
        <v>130</v>
      </c>
      <c r="B38" s="5" t="s">
        <v>131</v>
      </c>
      <c r="C38" s="0" t="s">
        <v>132</v>
      </c>
      <c r="D38" s="7" t="n">
        <v>0.04</v>
      </c>
      <c r="E38" s="7" t="n">
        <v>0.047</v>
      </c>
      <c r="F38" s="7" t="n">
        <v>0.06</v>
      </c>
      <c r="G38" s="8" t="s">
        <v>39</v>
      </c>
      <c r="H38" s="5" t="s">
        <v>133</v>
      </c>
    </row>
    <row r="39" customFormat="false" ht="15" hidden="false" customHeight="false" outlineLevel="0" collapsed="false">
      <c r="A39" s="0" t="s">
        <v>134</v>
      </c>
      <c r="B39" s="5" t="s">
        <v>135</v>
      </c>
      <c r="C39" s="0" t="s">
        <v>49</v>
      </c>
      <c r="E39" s="7" t="n">
        <v>0.1</v>
      </c>
      <c r="G39" s="8" t="s">
        <v>63</v>
      </c>
    </row>
    <row r="40" customFormat="false" ht="17.15" hidden="false" customHeight="false" outlineLevel="0" collapsed="false">
      <c r="A40" s="0" t="s">
        <v>136</v>
      </c>
      <c r="B40" s="5" t="s">
        <v>137</v>
      </c>
      <c r="C40" s="0" t="s">
        <v>49</v>
      </c>
      <c r="D40" s="7" t="n">
        <v>0.2</v>
      </c>
      <c r="E40" s="7" t="n">
        <v>0.23</v>
      </c>
      <c r="F40" s="7" t="n">
        <v>0.25</v>
      </c>
      <c r="G40" s="8" t="s">
        <v>44</v>
      </c>
      <c r="H40" s="8" t="s">
        <v>138</v>
      </c>
    </row>
    <row r="41" customFormat="false" ht="15" hidden="false" customHeight="false" outlineLevel="0" collapsed="false">
      <c r="A41" s="0" t="s">
        <v>139</v>
      </c>
      <c r="B41" s="5" t="s">
        <v>140</v>
      </c>
      <c r="C41" s="0" t="s">
        <v>49</v>
      </c>
      <c r="E41" s="7" t="n">
        <v>0.02</v>
      </c>
      <c r="G41" s="8" t="s">
        <v>63</v>
      </c>
    </row>
    <row r="42" customFormat="false" ht="17.15" hidden="false" customHeight="false" outlineLevel="0" collapsed="false">
      <c r="A42" s="0" t="s">
        <v>141</v>
      </c>
      <c r="B42" s="5" t="s">
        <v>142</v>
      </c>
      <c r="C42" s="5" t="s">
        <v>75</v>
      </c>
      <c r="D42" s="7" t="n">
        <v>45</v>
      </c>
      <c r="E42" s="7" t="n">
        <v>48.7</v>
      </c>
      <c r="F42" s="7" t="n">
        <v>50</v>
      </c>
      <c r="G42" s="8" t="s">
        <v>143</v>
      </c>
      <c r="H42" s="5" t="s">
        <v>144</v>
      </c>
    </row>
    <row r="43" customFormat="false" ht="17.15" hidden="false" customHeight="false" outlineLevel="0" collapsed="false">
      <c r="A43" s="0" t="s">
        <v>145</v>
      </c>
      <c r="B43" s="5" t="s">
        <v>146</v>
      </c>
      <c r="C43" s="5" t="s">
        <v>75</v>
      </c>
      <c r="D43" s="7" t="n">
        <v>55</v>
      </c>
      <c r="E43" s="7" t="n">
        <v>62.3</v>
      </c>
      <c r="F43" s="7" t="n">
        <v>75</v>
      </c>
      <c r="G43" s="8" t="s">
        <v>59</v>
      </c>
      <c r="H43" s="8" t="s">
        <v>147</v>
      </c>
    </row>
    <row r="44" customFormat="false" ht="17.15" hidden="false" customHeight="false" outlineLevel="0" collapsed="false">
      <c r="A44" s="0" t="s">
        <v>148</v>
      </c>
      <c r="B44" s="5" t="s">
        <v>149</v>
      </c>
      <c r="C44" s="5" t="s">
        <v>75</v>
      </c>
      <c r="D44" s="7" t="n">
        <v>60</v>
      </c>
      <c r="E44" s="7" t="n">
        <v>71.2</v>
      </c>
      <c r="F44" s="7" t="n">
        <v>85</v>
      </c>
      <c r="G44" s="8" t="s">
        <v>59</v>
      </c>
      <c r="H44" s="8" t="s">
        <v>150</v>
      </c>
    </row>
    <row r="45" customFormat="false" ht="17.15" hidden="false" customHeight="false" outlineLevel="0" collapsed="false">
      <c r="A45" s="0" t="s">
        <v>151</v>
      </c>
      <c r="B45" s="5" t="s">
        <v>152</v>
      </c>
      <c r="C45" s="0" t="s">
        <v>49</v>
      </c>
      <c r="D45" s="7" t="n">
        <v>0.1</v>
      </c>
      <c r="E45" s="7" t="n">
        <v>0.15</v>
      </c>
      <c r="F45" s="7" t="n">
        <v>0.2</v>
      </c>
      <c r="G45" s="8" t="s">
        <v>63</v>
      </c>
      <c r="H45" s="5" t="s">
        <v>153</v>
      </c>
    </row>
    <row r="46" customFormat="false" ht="17.15" hidden="false" customHeight="false" outlineLevel="0" collapsed="false">
      <c r="A46" s="0" t="s">
        <v>154</v>
      </c>
      <c r="B46" s="0" t="s">
        <v>155</v>
      </c>
      <c r="C46" s="0" t="s">
        <v>49</v>
      </c>
      <c r="D46" s="7" t="n">
        <v>0.15</v>
      </c>
      <c r="E46" s="7" t="n">
        <v>0.2</v>
      </c>
      <c r="F46" s="7" t="n">
        <v>0.25</v>
      </c>
      <c r="G46" s="8" t="s">
        <v>63</v>
      </c>
    </row>
    <row r="47" customFormat="false" ht="17.15" hidden="false" customHeight="false" outlineLevel="0" collapsed="false">
      <c r="A47" s="0" t="s">
        <v>156</v>
      </c>
      <c r="B47" s="0" t="s">
        <v>157</v>
      </c>
      <c r="C47" s="0" t="s">
        <v>49</v>
      </c>
      <c r="D47" s="7" t="n">
        <v>0.35</v>
      </c>
      <c r="E47" s="7" t="n">
        <v>0.4</v>
      </c>
      <c r="F47" s="7" t="n">
        <v>0.45</v>
      </c>
      <c r="G47" s="8" t="s">
        <v>63</v>
      </c>
    </row>
    <row r="48" customFormat="false" ht="17.15" hidden="false" customHeight="false" outlineLevel="0" collapsed="false">
      <c r="A48" s="0" t="s">
        <v>158</v>
      </c>
      <c r="B48" s="5" t="s">
        <v>159</v>
      </c>
      <c r="C48" s="5" t="s">
        <v>75</v>
      </c>
      <c r="D48" s="7" t="n">
        <v>60</v>
      </c>
      <c r="E48" s="7" t="n">
        <v>75</v>
      </c>
      <c r="F48" s="7" t="n">
        <v>90</v>
      </c>
      <c r="G48" s="8" t="s">
        <v>63</v>
      </c>
      <c r="H48" s="5" t="s">
        <v>160</v>
      </c>
    </row>
    <row r="49" customFormat="false" ht="17.15" hidden="false" customHeight="false" outlineLevel="0" collapsed="false">
      <c r="A49" s="0" t="s">
        <v>161</v>
      </c>
      <c r="B49" s="5" t="s">
        <v>162</v>
      </c>
      <c r="C49" s="0" t="s">
        <v>43</v>
      </c>
      <c r="E49" s="7" t="n">
        <v>5800</v>
      </c>
      <c r="G49" s="8" t="s">
        <v>63</v>
      </c>
      <c r="H49" s="5" t="s">
        <v>163</v>
      </c>
    </row>
    <row r="50" customFormat="false" ht="15" hidden="false" customHeight="false" outlineLevel="0" collapsed="false">
      <c r="A50" s="0" t="s">
        <v>164</v>
      </c>
      <c r="B50" s="5" t="s">
        <v>165</v>
      </c>
      <c r="C50" s="0" t="s">
        <v>166</v>
      </c>
      <c r="E50" s="7" t="n">
        <v>0</v>
      </c>
      <c r="G50" s="8" t="s">
        <v>44</v>
      </c>
      <c r="H50" s="5" t="s">
        <v>167</v>
      </c>
    </row>
    <row r="51" customFormat="false" ht="17.15" hidden="false" customHeight="false" outlineLevel="0" collapsed="false">
      <c r="A51" s="0" t="s">
        <v>168</v>
      </c>
      <c r="B51" s="5" t="s">
        <v>169</v>
      </c>
      <c r="C51" s="0" t="s">
        <v>166</v>
      </c>
      <c r="E51" s="7" t="n">
        <v>0</v>
      </c>
      <c r="G51" s="8" t="s">
        <v>44</v>
      </c>
      <c r="H51" s="5" t="s">
        <v>170</v>
      </c>
    </row>
    <row r="52" customFormat="false" ht="17.15" hidden="false" customHeight="false" outlineLevel="0" collapsed="false">
      <c r="A52" s="0" t="s">
        <v>171</v>
      </c>
      <c r="B52" s="5" t="s">
        <v>172</v>
      </c>
      <c r="C52" s="0" t="s">
        <v>166</v>
      </c>
      <c r="E52" s="7" t="n">
        <v>0</v>
      </c>
      <c r="G52" s="8" t="s">
        <v>44</v>
      </c>
      <c r="H52" s="5" t="s">
        <v>170</v>
      </c>
    </row>
    <row r="53" customFormat="false" ht="17.15" hidden="false" customHeight="false" outlineLevel="0" collapsed="false">
      <c r="A53" s="0" t="s">
        <v>173</v>
      </c>
      <c r="B53" s="5" t="s">
        <v>174</v>
      </c>
      <c r="C53" s="0" t="s">
        <v>166</v>
      </c>
      <c r="E53" s="7" t="n">
        <v>0</v>
      </c>
      <c r="G53" s="8" t="s">
        <v>44</v>
      </c>
      <c r="H53" s="5" t="s">
        <v>170</v>
      </c>
    </row>
    <row r="54" customFormat="false" ht="17.15" hidden="false" customHeight="false" outlineLevel="0" collapsed="false">
      <c r="A54" s="0" t="s">
        <v>175</v>
      </c>
      <c r="B54" s="5" t="s">
        <v>176</v>
      </c>
      <c r="C54" s="0" t="s">
        <v>166</v>
      </c>
      <c r="E54" s="7" t="n">
        <v>0</v>
      </c>
      <c r="G54" s="8" t="s">
        <v>44</v>
      </c>
      <c r="H54" s="5" t="s">
        <v>170</v>
      </c>
    </row>
    <row r="55" customFormat="false" ht="17.15" hidden="false" customHeight="false" outlineLevel="0" collapsed="false">
      <c r="A55" s="0" t="s">
        <v>177</v>
      </c>
      <c r="B55" s="5" t="s">
        <v>178</v>
      </c>
      <c r="C55" s="0" t="s">
        <v>166</v>
      </c>
      <c r="E55" s="7" t="n">
        <v>0</v>
      </c>
      <c r="G55" s="8" t="s">
        <v>44</v>
      </c>
      <c r="H55" s="5" t="s">
        <v>170</v>
      </c>
    </row>
    <row r="56" customFormat="false" ht="17.15" hidden="false" customHeight="false" outlineLevel="0" collapsed="false">
      <c r="A56" s="0" t="s">
        <v>179</v>
      </c>
      <c r="B56" s="5" t="s">
        <v>180</v>
      </c>
      <c r="C56" s="0" t="s">
        <v>166</v>
      </c>
      <c r="E56" s="7" t="n">
        <v>0</v>
      </c>
      <c r="G56" s="8" t="s">
        <v>44</v>
      </c>
      <c r="H56" s="5" t="s">
        <v>170</v>
      </c>
    </row>
    <row r="57" customFormat="false" ht="17.15" hidden="false" customHeight="false" outlineLevel="0" collapsed="false">
      <c r="A57" s="0" t="s">
        <v>181</v>
      </c>
      <c r="B57" s="5" t="s">
        <v>182</v>
      </c>
      <c r="C57" s="0" t="s">
        <v>166</v>
      </c>
      <c r="E57" s="7" t="n">
        <v>0</v>
      </c>
      <c r="G57" s="8" t="s">
        <v>44</v>
      </c>
      <c r="H57" s="5" t="s">
        <v>170</v>
      </c>
    </row>
    <row r="58" customFormat="false" ht="17.15" hidden="false" customHeight="false" outlineLevel="0" collapsed="false">
      <c r="A58" s="0" t="s">
        <v>183</v>
      </c>
      <c r="B58" s="5" t="s">
        <v>184</v>
      </c>
      <c r="C58" s="0" t="s">
        <v>166</v>
      </c>
      <c r="E58" s="7" t="n">
        <v>0</v>
      </c>
      <c r="G58" s="8" t="s">
        <v>44</v>
      </c>
      <c r="H58" s="5" t="s">
        <v>170</v>
      </c>
    </row>
    <row r="59" customFormat="false" ht="17.15" hidden="false" customHeight="false" outlineLevel="0" collapsed="false">
      <c r="A59" s="1" t="s">
        <v>185</v>
      </c>
    </row>
    <row r="60" customFormat="false" ht="17.15" hidden="false" customHeight="false" outlineLevel="0" collapsed="false">
      <c r="A60" s="0" t="s">
        <v>186</v>
      </c>
      <c r="B60" s="5" t="s">
        <v>187</v>
      </c>
      <c r="C60" s="5" t="s">
        <v>75</v>
      </c>
      <c r="E60" s="7" t="n">
        <v>262.693</v>
      </c>
      <c r="G60" s="8" t="s">
        <v>44</v>
      </c>
      <c r="H60" s="8" t="s">
        <v>188</v>
      </c>
    </row>
    <row r="61" customFormat="false" ht="17.15" hidden="false" customHeight="false" outlineLevel="0" collapsed="false">
      <c r="A61" s="0" t="s">
        <v>189</v>
      </c>
      <c r="B61" s="5" t="s">
        <v>190</v>
      </c>
      <c r="C61" s="5" t="s">
        <v>75</v>
      </c>
      <c r="E61" s="7" t="n">
        <v>69.4</v>
      </c>
      <c r="G61" s="8" t="s">
        <v>44</v>
      </c>
      <c r="H61" s="8" t="s">
        <v>191</v>
      </c>
    </row>
    <row r="62" customFormat="false" ht="15" hidden="false" customHeight="false" outlineLevel="0" collapsed="false">
      <c r="A62" s="0" t="s">
        <v>192</v>
      </c>
      <c r="B62" s="5" t="s">
        <v>193</v>
      </c>
      <c r="C62" s="5" t="s">
        <v>194</v>
      </c>
      <c r="E62" s="7" t="n">
        <v>711.0755</v>
      </c>
      <c r="G62" s="8" t="s">
        <v>44</v>
      </c>
      <c r="H62" s="8" t="s">
        <v>188</v>
      </c>
    </row>
    <row r="63" customFormat="false" ht="17.15" hidden="false" customHeight="false" outlineLevel="0" collapsed="false">
      <c r="A63" s="0" t="s">
        <v>195</v>
      </c>
      <c r="B63" s="5" t="s">
        <v>196</v>
      </c>
      <c r="C63" s="5" t="s">
        <v>75</v>
      </c>
      <c r="E63" s="7" t="n">
        <v>40.4</v>
      </c>
      <c r="G63" s="8" t="s">
        <v>39</v>
      </c>
      <c r="H63" s="8" t="s">
        <v>197</v>
      </c>
    </row>
    <row r="64" customFormat="false" ht="17.15" hidden="false" customHeight="false" outlineLevel="0" collapsed="false">
      <c r="A64" s="0" t="s">
        <v>198</v>
      </c>
      <c r="B64" s="5" t="s">
        <v>199</v>
      </c>
      <c r="C64" s="5" t="s">
        <v>194</v>
      </c>
      <c r="E64" s="7" t="n">
        <v>17.79</v>
      </c>
      <c r="G64" s="8" t="s">
        <v>44</v>
      </c>
      <c r="H64" s="8" t="s">
        <v>200</v>
      </c>
    </row>
    <row r="65" customFormat="false" ht="17.15" hidden="false" customHeight="false" outlineLevel="0" collapsed="false">
      <c r="A65" s="0" t="s">
        <v>201</v>
      </c>
      <c r="B65" s="5" t="s">
        <v>202</v>
      </c>
      <c r="C65" s="5" t="s">
        <v>75</v>
      </c>
      <c r="E65" s="7" t="n">
        <v>40</v>
      </c>
      <c r="G65" s="8" t="s">
        <v>44</v>
      </c>
      <c r="H65" s="8" t="s">
        <v>203</v>
      </c>
    </row>
    <row r="66" customFormat="false" ht="15" hidden="false" customHeight="false" outlineLevel="0" collapsed="false">
      <c r="A66" s="0" t="s">
        <v>204</v>
      </c>
      <c r="B66" s="5" t="s">
        <v>205</v>
      </c>
      <c r="C66" s="5" t="s">
        <v>194</v>
      </c>
      <c r="E66" s="7" t="n">
        <v>24.07</v>
      </c>
      <c r="G66" s="8" t="s">
        <v>44</v>
      </c>
    </row>
    <row r="67" customFormat="false" ht="17.15" hidden="false" customHeight="false" outlineLevel="0" collapsed="false">
      <c r="A67" s="0" t="s">
        <v>206</v>
      </c>
      <c r="B67" s="5" t="s">
        <v>207</v>
      </c>
      <c r="C67" s="5" t="s">
        <v>75</v>
      </c>
      <c r="E67" s="7" t="n">
        <v>0.54</v>
      </c>
      <c r="G67" s="8" t="s">
        <v>39</v>
      </c>
      <c r="H67" s="5" t="s">
        <v>208</v>
      </c>
    </row>
    <row r="68" customFormat="false" ht="17.15" hidden="false" customHeight="false" outlineLevel="0" collapsed="false">
      <c r="A68" s="0" t="s">
        <v>209</v>
      </c>
      <c r="B68" s="5" t="s">
        <v>210</v>
      </c>
      <c r="C68" s="5" t="s">
        <v>75</v>
      </c>
      <c r="E68" s="7" t="n">
        <v>29.2</v>
      </c>
      <c r="G68" s="8" t="s">
        <v>39</v>
      </c>
      <c r="H68" s="5" t="s">
        <v>211</v>
      </c>
    </row>
    <row r="69" customFormat="false" ht="17.15" hidden="false" customHeight="false" outlineLevel="0" collapsed="false">
      <c r="A69" s="0" t="s">
        <v>212</v>
      </c>
      <c r="B69" s="5" t="s">
        <v>213</v>
      </c>
      <c r="C69" s="0" t="s">
        <v>43</v>
      </c>
      <c r="E69" s="7" t="n">
        <v>4541</v>
      </c>
      <c r="G69" s="8" t="s">
        <v>59</v>
      </c>
      <c r="H69" s="8" t="s">
        <v>214</v>
      </c>
    </row>
    <row r="70" customFormat="false" ht="17.15" hidden="false" customHeight="false" outlineLevel="0" collapsed="false">
      <c r="A70" s="0" t="s">
        <v>215</v>
      </c>
      <c r="B70" s="5" t="s">
        <v>216</v>
      </c>
      <c r="C70" s="0" t="s">
        <v>43</v>
      </c>
      <c r="E70" s="7" t="n">
        <v>5249</v>
      </c>
      <c r="G70" s="8" t="s">
        <v>59</v>
      </c>
      <c r="H70" s="5" t="s">
        <v>99</v>
      </c>
    </row>
    <row r="71" customFormat="false" ht="17.15" hidden="false" customHeight="false" outlineLevel="0" collapsed="false">
      <c r="A71" s="0" t="s">
        <v>217</v>
      </c>
      <c r="B71" s="5" t="s">
        <v>218</v>
      </c>
      <c r="C71" s="0" t="s">
        <v>49</v>
      </c>
      <c r="D71" s="7" t="n">
        <v>0.3</v>
      </c>
      <c r="E71" s="7" t="n">
        <v>0.5</v>
      </c>
      <c r="F71" s="7" t="n">
        <v>0.7</v>
      </c>
      <c r="G71" s="8" t="s">
        <v>44</v>
      </c>
      <c r="H71" s="5" t="s">
        <v>219</v>
      </c>
    </row>
    <row r="72" customFormat="false" ht="15" hidden="false" customHeight="false" outlineLevel="0" collapsed="false">
      <c r="A72" s="0" t="s">
        <v>220</v>
      </c>
      <c r="B72" s="5" t="s">
        <v>221</v>
      </c>
      <c r="C72" s="0" t="s">
        <v>43</v>
      </c>
      <c r="E72" s="7" t="n">
        <v>1723000</v>
      </c>
      <c r="G72" s="8" t="s">
        <v>63</v>
      </c>
      <c r="H72" s="5" t="s">
        <v>222</v>
      </c>
    </row>
    <row r="73" customFormat="false" ht="17.15" hidden="false" customHeight="false" outlineLevel="0" collapsed="false">
      <c r="A73" s="1" t="s">
        <v>223</v>
      </c>
    </row>
    <row r="74" customFormat="false" ht="15" hidden="false" customHeight="false" outlineLevel="0" collapsed="false">
      <c r="A74" s="0" t="s">
        <v>224</v>
      </c>
      <c r="B74" s="0" t="s">
        <v>225</v>
      </c>
      <c r="C74" s="0" t="s">
        <v>226</v>
      </c>
      <c r="E74" s="7" t="n">
        <v>1</v>
      </c>
      <c r="G74" s="8" t="s">
        <v>63</v>
      </c>
      <c r="H74" s="5" t="s">
        <v>227</v>
      </c>
    </row>
    <row r="75" customFormat="false" ht="17.15" hidden="false" customHeight="false" outlineLevel="0" collapsed="false">
      <c r="A75" s="0" t="s">
        <v>228</v>
      </c>
      <c r="B75" s="0" t="s">
        <v>229</v>
      </c>
      <c r="C75" s="0" t="s">
        <v>226</v>
      </c>
      <c r="E75" s="7" t="n">
        <v>1.6</v>
      </c>
      <c r="G75" s="8" t="s">
        <v>59</v>
      </c>
      <c r="H75" s="8" t="s">
        <v>230</v>
      </c>
    </row>
    <row r="76" customFormat="false" ht="17.15" hidden="false" customHeight="false" outlineLevel="0" collapsed="false">
      <c r="A76" s="0" t="s">
        <v>231</v>
      </c>
      <c r="B76" s="0" t="s">
        <v>232</v>
      </c>
      <c r="C76" s="0" t="s">
        <v>226</v>
      </c>
      <c r="E76" s="7" t="n">
        <v>3.3</v>
      </c>
      <c r="G76" s="8" t="s">
        <v>59</v>
      </c>
      <c r="H76" s="8" t="s">
        <v>233</v>
      </c>
    </row>
    <row r="77" customFormat="false" ht="17.15" hidden="false" customHeight="false" outlineLevel="0" collapsed="false">
      <c r="A77" s="0" t="s">
        <v>234</v>
      </c>
      <c r="B77" s="0" t="s">
        <v>235</v>
      </c>
      <c r="C77" s="0" t="s">
        <v>226</v>
      </c>
      <c r="E77" s="7" t="n">
        <v>4</v>
      </c>
      <c r="G77" s="8" t="s">
        <v>63</v>
      </c>
      <c r="H77" s="5" t="s">
        <v>236</v>
      </c>
    </row>
    <row r="78" customFormat="false" ht="15" hidden="false" customHeight="false" outlineLevel="0" collapsed="false">
      <c r="A78" s="0" t="s">
        <v>237</v>
      </c>
      <c r="B78" s="0" t="s">
        <v>238</v>
      </c>
      <c r="C78" s="0" t="s">
        <v>226</v>
      </c>
      <c r="E78" s="7" t="n">
        <v>8</v>
      </c>
      <c r="G78" s="8" t="s">
        <v>63</v>
      </c>
    </row>
    <row r="79" customFormat="false" ht="15" hidden="false" customHeight="false" outlineLevel="0" collapsed="false">
      <c r="A79" s="0" t="s">
        <v>239</v>
      </c>
      <c r="B79" s="0" t="s">
        <v>240</v>
      </c>
      <c r="C79" s="0" t="s">
        <v>226</v>
      </c>
      <c r="E79" s="7" t="n">
        <v>12</v>
      </c>
      <c r="G79" s="8" t="s">
        <v>63</v>
      </c>
    </row>
    <row r="80" customFormat="false" ht="17.15" hidden="false" customHeight="false" outlineLevel="0" collapsed="false">
      <c r="A80" s="1" t="s">
        <v>241</v>
      </c>
    </row>
    <row r="81" customFormat="false" ht="17.15" hidden="false" customHeight="false" outlineLevel="0" collapsed="false">
      <c r="A81" s="0" t="s">
        <v>242</v>
      </c>
      <c r="B81" s="5" t="s">
        <v>243</v>
      </c>
      <c r="C81" s="0" t="s">
        <v>49</v>
      </c>
      <c r="E81" s="7" t="n">
        <v>-0.025</v>
      </c>
      <c r="G81" s="8" t="s">
        <v>59</v>
      </c>
      <c r="H81" s="8" t="s">
        <v>244</v>
      </c>
    </row>
    <row r="82" customFormat="false" ht="17.15" hidden="false" customHeight="false" outlineLevel="0" collapsed="false">
      <c r="A82" s="0" t="s">
        <v>245</v>
      </c>
      <c r="B82" s="5" t="s">
        <v>246</v>
      </c>
      <c r="C82" s="0" t="s">
        <v>49</v>
      </c>
      <c r="E82" s="7" t="n">
        <v>0.125</v>
      </c>
      <c r="G82" s="8" t="s">
        <v>59</v>
      </c>
      <c r="H82" s="5" t="s">
        <v>99</v>
      </c>
    </row>
    <row r="83" customFormat="false" ht="17.15" hidden="false" customHeight="false" outlineLevel="0" collapsed="false">
      <c r="A83" s="0" t="s">
        <v>247</v>
      </c>
      <c r="B83" s="5" t="s">
        <v>248</v>
      </c>
      <c r="C83" s="0" t="s">
        <v>49</v>
      </c>
      <c r="E83" s="7" t="n">
        <v>0.475</v>
      </c>
      <c r="G83" s="8" t="s">
        <v>59</v>
      </c>
      <c r="H83" s="5" t="s">
        <v>99</v>
      </c>
    </row>
    <row r="84" customFormat="false" ht="17.15" hidden="false" customHeight="false" outlineLevel="0" collapsed="false">
      <c r="A84" s="0" t="s">
        <v>249</v>
      </c>
      <c r="B84" s="5" t="s">
        <v>250</v>
      </c>
      <c r="C84" s="0" t="s">
        <v>49</v>
      </c>
      <c r="E84" s="7" t="n">
        <v>0.95</v>
      </c>
      <c r="G84" s="8" t="s">
        <v>59</v>
      </c>
      <c r="H84" s="5" t="s">
        <v>99</v>
      </c>
    </row>
    <row r="85" customFormat="false" ht="17.15" hidden="false" customHeight="false" outlineLevel="0" collapsed="false">
      <c r="A85" s="0" t="s">
        <v>251</v>
      </c>
      <c r="B85" s="5" t="s">
        <v>252</v>
      </c>
      <c r="C85" s="0" t="s">
        <v>49</v>
      </c>
      <c r="E85" s="7" t="n">
        <v>0.605</v>
      </c>
      <c r="G85" s="8" t="s">
        <v>59</v>
      </c>
      <c r="H85" s="5" t="s">
        <v>99</v>
      </c>
    </row>
    <row r="86" customFormat="false" ht="17.15" hidden="false" customHeight="false" outlineLevel="0" collapsed="false">
      <c r="A86" s="0" t="s">
        <v>253</v>
      </c>
      <c r="B86" s="5" t="s">
        <v>254</v>
      </c>
      <c r="C86" s="0" t="s">
        <v>49</v>
      </c>
      <c r="E86" s="7" t="n">
        <v>0.155</v>
      </c>
      <c r="G86" s="8" t="s">
        <v>59</v>
      </c>
      <c r="H86" s="5" t="s">
        <v>99</v>
      </c>
    </row>
    <row r="87" customFormat="false" ht="17.15" hidden="false" customHeight="false" outlineLevel="0" collapsed="false">
      <c r="A87" s="0" t="s">
        <v>255</v>
      </c>
      <c r="B87" s="5" t="s">
        <v>256</v>
      </c>
      <c r="C87" s="0" t="s">
        <v>49</v>
      </c>
      <c r="E87" s="7" t="n">
        <v>0.125</v>
      </c>
      <c r="G87" s="8" t="s">
        <v>59</v>
      </c>
      <c r="H87" s="5" t="s">
        <v>99</v>
      </c>
    </row>
    <row r="88" customFormat="false" ht="17.15" hidden="false" customHeight="false" outlineLevel="0" collapsed="false">
      <c r="A88" s="0" t="s">
        <v>257</v>
      </c>
      <c r="B88" s="5" t="s">
        <v>258</v>
      </c>
      <c r="C88" s="0" t="s">
        <v>49</v>
      </c>
      <c r="E88" s="7" t="n">
        <v>0.03</v>
      </c>
      <c r="G88" s="8" t="s">
        <v>39</v>
      </c>
      <c r="H88" s="5" t="s">
        <v>259</v>
      </c>
    </row>
    <row r="89" customFormat="false" ht="17.15" hidden="false" customHeight="false" outlineLevel="0" collapsed="false">
      <c r="A89" s="0" t="s">
        <v>260</v>
      </c>
      <c r="B89" s="5" t="s">
        <v>261</v>
      </c>
      <c r="C89" s="0" t="s">
        <v>49</v>
      </c>
      <c r="E89" s="7" t="n">
        <v>0</v>
      </c>
      <c r="G89" s="8" t="s">
        <v>39</v>
      </c>
      <c r="H89" s="5" t="s">
        <v>99</v>
      </c>
    </row>
    <row r="90" customFormat="false" ht="17.15" hidden="false" customHeight="false" outlineLevel="0" collapsed="false">
      <c r="A90" s="0" t="s">
        <v>262</v>
      </c>
      <c r="B90" s="5" t="s">
        <v>263</v>
      </c>
      <c r="C90" s="0" t="s">
        <v>49</v>
      </c>
      <c r="E90" s="7" t="n">
        <v>-0.02</v>
      </c>
      <c r="G90" s="8" t="s">
        <v>39</v>
      </c>
      <c r="H90" s="5" t="s">
        <v>99</v>
      </c>
    </row>
    <row r="91" customFormat="false" ht="17.15" hidden="false" customHeight="false" outlineLevel="0" collapsed="false">
      <c r="A91" s="0" t="s">
        <v>264</v>
      </c>
      <c r="B91" s="5" t="s">
        <v>265</v>
      </c>
      <c r="C91" s="0" t="s">
        <v>49</v>
      </c>
      <c r="E91" s="7" t="n">
        <v>-0.03</v>
      </c>
      <c r="G91" s="8" t="s">
        <v>39</v>
      </c>
      <c r="H91" s="5" t="s">
        <v>99</v>
      </c>
    </row>
    <row r="92" customFormat="false" ht="17.15" hidden="false" customHeight="false" outlineLevel="0" collapsed="false">
      <c r="A92" s="0" t="s">
        <v>266</v>
      </c>
      <c r="B92" s="5" t="s">
        <v>267</v>
      </c>
      <c r="C92" s="0" t="s">
        <v>49</v>
      </c>
      <c r="E92" s="7" t="n">
        <v>-0.03</v>
      </c>
      <c r="G92" s="8" t="s">
        <v>39</v>
      </c>
      <c r="H92" s="5" t="s">
        <v>99</v>
      </c>
    </row>
    <row r="93" customFormat="false" ht="17.15" hidden="false" customHeight="false" outlineLevel="0" collapsed="false">
      <c r="A93" s="0" t="s">
        <v>268</v>
      </c>
      <c r="B93" s="5" t="s">
        <v>269</v>
      </c>
      <c r="C93" s="0" t="s">
        <v>49</v>
      </c>
      <c r="E93" s="7" t="n">
        <v>-0.03</v>
      </c>
      <c r="G93" s="8" t="s">
        <v>39</v>
      </c>
      <c r="H93" s="5" t="s">
        <v>99</v>
      </c>
    </row>
    <row r="94" customFormat="false" ht="17.15" hidden="false" customHeight="false" outlineLevel="0" collapsed="false">
      <c r="A94" s="0" t="s">
        <v>270</v>
      </c>
      <c r="B94" s="5" t="s">
        <v>271</v>
      </c>
      <c r="C94" s="0" t="s">
        <v>49</v>
      </c>
      <c r="E94" s="7" t="n">
        <v>-0.02</v>
      </c>
      <c r="G94" s="8" t="s">
        <v>39</v>
      </c>
      <c r="H94" s="5" t="s">
        <v>99</v>
      </c>
    </row>
    <row r="95" customFormat="false" ht="17.15" hidden="false" customHeight="false" outlineLevel="0" collapsed="false">
      <c r="A95" s="0" t="s">
        <v>272</v>
      </c>
      <c r="B95" s="5" t="s">
        <v>273</v>
      </c>
      <c r="C95" s="0" t="s">
        <v>49</v>
      </c>
      <c r="E95" s="7" t="n">
        <v>-0.02</v>
      </c>
      <c r="G95" s="8" t="s">
        <v>39</v>
      </c>
      <c r="H95" s="5" t="s">
        <v>99</v>
      </c>
    </row>
    <row r="96" customFormat="false" ht="17.15" hidden="false" customHeight="false" outlineLevel="0" collapsed="false">
      <c r="A96" s="0" t="s">
        <v>274</v>
      </c>
      <c r="B96" s="5" t="s">
        <v>275</v>
      </c>
      <c r="C96" s="0" t="s">
        <v>49</v>
      </c>
      <c r="D96" s="7" t="n">
        <v>-0.03</v>
      </c>
      <c r="E96" s="7" t="n">
        <v>-0.03</v>
      </c>
      <c r="F96" s="7" t="n">
        <v>0.05</v>
      </c>
      <c r="G96" s="8" t="s">
        <v>63</v>
      </c>
      <c r="H96" s="8" t="s">
        <v>276</v>
      </c>
    </row>
    <row r="97" customFormat="false" ht="17.15" hidden="false" customHeight="false" outlineLevel="0" collapsed="false">
      <c r="A97" s="0" t="s">
        <v>277</v>
      </c>
      <c r="B97" s="5" t="s">
        <v>278</v>
      </c>
      <c r="C97" s="0" t="s">
        <v>49</v>
      </c>
      <c r="D97" s="7" t="n">
        <v>-0.03</v>
      </c>
      <c r="E97" s="7" t="n">
        <v>-0.03</v>
      </c>
      <c r="F97" s="7" t="n">
        <v>0.05</v>
      </c>
      <c r="G97" s="8" t="s">
        <v>63</v>
      </c>
      <c r="H97" s="5" t="s">
        <v>99</v>
      </c>
    </row>
    <row r="98" customFormat="false" ht="17.15" hidden="false" customHeight="false" outlineLevel="0" collapsed="false">
      <c r="A98" s="0" t="s">
        <v>279</v>
      </c>
      <c r="B98" s="5" t="s">
        <v>280</v>
      </c>
      <c r="C98" s="0" t="s">
        <v>49</v>
      </c>
      <c r="D98" s="7" t="n">
        <v>-0.02</v>
      </c>
      <c r="E98" s="7" t="n">
        <v>-0.02</v>
      </c>
      <c r="F98" s="7" t="n">
        <v>0.03</v>
      </c>
      <c r="G98" s="8" t="s">
        <v>63</v>
      </c>
      <c r="H98" s="5" t="s">
        <v>99</v>
      </c>
    </row>
    <row r="99" customFormat="false" ht="17.15" hidden="false" customHeight="false" outlineLevel="0" collapsed="false">
      <c r="A99" s="0" t="s">
        <v>281</v>
      </c>
      <c r="B99" s="5" t="s">
        <v>282</v>
      </c>
      <c r="C99" s="0" t="s">
        <v>49</v>
      </c>
      <c r="D99" s="7" t="n">
        <v>-0.02</v>
      </c>
      <c r="E99" s="7" t="n">
        <v>-0.02</v>
      </c>
      <c r="F99" s="7" t="n">
        <v>0.03</v>
      </c>
      <c r="G99" s="8" t="s">
        <v>63</v>
      </c>
      <c r="H99" s="5" t="s">
        <v>99</v>
      </c>
    </row>
    <row r="100" customFormat="false" ht="17.15" hidden="false" customHeight="false" outlineLevel="0" collapsed="false">
      <c r="A100" s="0" t="s">
        <v>283</v>
      </c>
      <c r="B100" s="5" t="s">
        <v>284</v>
      </c>
      <c r="C100" s="0" t="s">
        <v>49</v>
      </c>
      <c r="E100" s="7" t="n">
        <v>0.05</v>
      </c>
      <c r="G100" s="8" t="s">
        <v>39</v>
      </c>
      <c r="H100" s="5" t="s">
        <v>285</v>
      </c>
    </row>
    <row r="101" customFormat="false" ht="17.15" hidden="false" customHeight="false" outlineLevel="0" collapsed="false">
      <c r="A101" s="0" t="s">
        <v>286</v>
      </c>
      <c r="B101" s="5" t="s">
        <v>287</v>
      </c>
      <c r="C101" s="0" t="s">
        <v>49</v>
      </c>
      <c r="E101" s="7" t="n">
        <v>0.02</v>
      </c>
      <c r="G101" s="8" t="s">
        <v>39</v>
      </c>
      <c r="H101" s="5" t="s">
        <v>99</v>
      </c>
    </row>
    <row r="102" customFormat="false" ht="17.15" hidden="false" customHeight="false" outlineLevel="0" collapsed="false">
      <c r="A102" s="0" t="s">
        <v>288</v>
      </c>
      <c r="B102" s="5" t="s">
        <v>289</v>
      </c>
      <c r="C102" s="0" t="s">
        <v>49</v>
      </c>
      <c r="E102" s="7" t="n">
        <v>-0.08</v>
      </c>
      <c r="G102" s="8" t="s">
        <v>39</v>
      </c>
      <c r="H102" s="5" t="s">
        <v>99</v>
      </c>
    </row>
    <row r="103" customFormat="false" ht="17.15" hidden="false" customHeight="false" outlineLevel="0" collapsed="false">
      <c r="A103" s="0" t="s">
        <v>290</v>
      </c>
      <c r="B103" s="5" t="s">
        <v>291</v>
      </c>
      <c r="C103" s="0" t="s">
        <v>49</v>
      </c>
      <c r="E103" s="7" t="n">
        <v>-0.15</v>
      </c>
      <c r="G103" s="8" t="s">
        <v>39</v>
      </c>
      <c r="H103" s="5" t="s">
        <v>99</v>
      </c>
    </row>
    <row r="104" customFormat="false" ht="17.15" hidden="false" customHeight="false" outlineLevel="0" collapsed="false">
      <c r="A104" s="0" t="s">
        <v>292</v>
      </c>
      <c r="B104" s="5" t="s">
        <v>293</v>
      </c>
      <c r="C104" s="0" t="s">
        <v>49</v>
      </c>
      <c r="E104" s="7" t="n">
        <v>-0.25</v>
      </c>
      <c r="G104" s="8" t="s">
        <v>39</v>
      </c>
      <c r="H104" s="5" t="s">
        <v>99</v>
      </c>
    </row>
    <row r="105" customFormat="false" ht="17.15" hidden="false" customHeight="false" outlineLevel="0" collapsed="false">
      <c r="A105" s="0" t="s">
        <v>294</v>
      </c>
      <c r="B105" s="5" t="s">
        <v>295</v>
      </c>
      <c r="C105" s="0" t="s">
        <v>49</v>
      </c>
      <c r="E105" s="7" t="n">
        <v>-0.15</v>
      </c>
      <c r="G105" s="8" t="s">
        <v>39</v>
      </c>
      <c r="H105" s="5" t="s">
        <v>99</v>
      </c>
    </row>
    <row r="106" customFormat="false" ht="17.15" hidden="false" customHeight="false" outlineLevel="0" collapsed="false">
      <c r="A106" s="0" t="s">
        <v>296</v>
      </c>
      <c r="B106" s="5" t="s">
        <v>297</v>
      </c>
      <c r="C106" s="0" t="s">
        <v>49</v>
      </c>
      <c r="E106" s="7" t="n">
        <v>-0.1</v>
      </c>
      <c r="G106" s="8" t="s">
        <v>39</v>
      </c>
      <c r="H106" s="5" t="s">
        <v>99</v>
      </c>
    </row>
    <row r="107" customFormat="false" ht="17.15" hidden="false" customHeight="false" outlineLevel="0" collapsed="false">
      <c r="A107" s="0" t="s">
        <v>298</v>
      </c>
      <c r="B107" s="5" t="s">
        <v>299</v>
      </c>
      <c r="C107" s="0" t="s">
        <v>49</v>
      </c>
      <c r="E107" s="7" t="n">
        <v>-0.05</v>
      </c>
      <c r="G107" s="8" t="s">
        <v>39</v>
      </c>
      <c r="H107" s="5" t="s">
        <v>99</v>
      </c>
    </row>
    <row r="108" customFormat="false" ht="17.15" hidden="false" customHeight="false" outlineLevel="0" collapsed="false">
      <c r="A108" s="0" t="s">
        <v>300</v>
      </c>
      <c r="B108" s="5" t="s">
        <v>301</v>
      </c>
      <c r="C108" s="0" t="s">
        <v>49</v>
      </c>
      <c r="D108" s="7" t="n">
        <v>-0.03</v>
      </c>
      <c r="E108" s="7" t="n">
        <v>0.05</v>
      </c>
      <c r="F108" s="7" t="n">
        <v>0.05</v>
      </c>
      <c r="G108" s="8" t="s">
        <v>63</v>
      </c>
      <c r="H108" s="8" t="s">
        <v>276</v>
      </c>
    </row>
    <row r="109" customFormat="false" ht="17.15" hidden="false" customHeight="false" outlineLevel="0" collapsed="false">
      <c r="A109" s="0" t="s">
        <v>302</v>
      </c>
      <c r="B109" s="5" t="s">
        <v>303</v>
      </c>
      <c r="C109" s="0" t="s">
        <v>49</v>
      </c>
      <c r="D109" s="7" t="n">
        <v>-0.03</v>
      </c>
      <c r="E109" s="7" t="n">
        <v>0.05</v>
      </c>
      <c r="F109" s="7" t="n">
        <v>0.05</v>
      </c>
      <c r="G109" s="8" t="s">
        <v>63</v>
      </c>
      <c r="H109" s="5" t="s">
        <v>99</v>
      </c>
    </row>
    <row r="110" customFormat="false" ht="17.15" hidden="false" customHeight="false" outlineLevel="0" collapsed="false">
      <c r="A110" s="0" t="s">
        <v>304</v>
      </c>
      <c r="B110" s="5" t="s">
        <v>305</v>
      </c>
      <c r="C110" s="0" t="s">
        <v>49</v>
      </c>
      <c r="D110" s="7" t="n">
        <v>-0.02</v>
      </c>
      <c r="E110" s="7" t="n">
        <v>0.03</v>
      </c>
      <c r="F110" s="7" t="n">
        <v>0.03</v>
      </c>
      <c r="G110" s="8" t="s">
        <v>63</v>
      </c>
      <c r="H110" s="5" t="s">
        <v>99</v>
      </c>
    </row>
    <row r="111" customFormat="false" ht="17.15" hidden="false" customHeight="false" outlineLevel="0" collapsed="false">
      <c r="A111" s="0" t="s">
        <v>306</v>
      </c>
      <c r="B111" s="5" t="s">
        <v>307</v>
      </c>
      <c r="C111" s="0" t="s">
        <v>49</v>
      </c>
      <c r="D111" s="7" t="n">
        <v>-0.02</v>
      </c>
      <c r="E111" s="7" t="n">
        <v>0.03</v>
      </c>
      <c r="F111" s="7" t="n">
        <v>0.03</v>
      </c>
      <c r="G111" s="8" t="s">
        <v>63</v>
      </c>
      <c r="H111" s="5" t="s">
        <v>99</v>
      </c>
    </row>
    <row r="112" customFormat="false" ht="17.15" hidden="false" customHeight="false" outlineLevel="0" collapsed="false">
      <c r="A112" s="0" t="s">
        <v>308</v>
      </c>
      <c r="B112" s="5" t="s">
        <v>309</v>
      </c>
      <c r="C112" s="0" t="s">
        <v>49</v>
      </c>
      <c r="D112" s="7" t="n">
        <v>0</v>
      </c>
      <c r="E112" s="7" t="n">
        <v>0.05</v>
      </c>
      <c r="F112" s="7" t="n">
        <v>0.1</v>
      </c>
      <c r="G112" s="8" t="s">
        <v>63</v>
      </c>
      <c r="H112" s="8" t="s">
        <v>310</v>
      </c>
    </row>
    <row r="113" customFormat="false" ht="17.15" hidden="false" customHeight="false" outlineLevel="0" collapsed="false">
      <c r="A113" s="0" t="s">
        <v>311</v>
      </c>
      <c r="B113" s="5" t="s">
        <v>312</v>
      </c>
      <c r="C113" s="0" t="s">
        <v>49</v>
      </c>
      <c r="D113" s="7" t="n">
        <v>-0.03</v>
      </c>
      <c r="E113" s="7" t="n">
        <v>0.02</v>
      </c>
      <c r="F113" s="7" t="n">
        <v>0.07</v>
      </c>
      <c r="G113" s="8" t="s">
        <v>63</v>
      </c>
      <c r="H113" s="5" t="s">
        <v>99</v>
      </c>
    </row>
    <row r="114" customFormat="false" ht="17.15" hidden="false" customHeight="false" outlineLevel="0" collapsed="false">
      <c r="A114" s="0" t="s">
        <v>313</v>
      </c>
      <c r="B114" s="5" t="s">
        <v>314</v>
      </c>
      <c r="C114" s="0" t="s">
        <v>49</v>
      </c>
      <c r="D114" s="7" t="n">
        <v>-0.13</v>
      </c>
      <c r="E114" s="7" t="n">
        <v>-0.08</v>
      </c>
      <c r="F114" s="7" t="n">
        <v>-0.03</v>
      </c>
      <c r="G114" s="8" t="s">
        <v>63</v>
      </c>
      <c r="H114" s="5" t="s">
        <v>99</v>
      </c>
    </row>
    <row r="115" customFormat="false" ht="17.15" hidden="false" customHeight="false" outlineLevel="0" collapsed="false">
      <c r="A115" s="0" t="s">
        <v>315</v>
      </c>
      <c r="B115" s="5" t="s">
        <v>316</v>
      </c>
      <c r="C115" s="0" t="s">
        <v>49</v>
      </c>
      <c r="D115" s="7" t="n">
        <v>-0.2</v>
      </c>
      <c r="E115" s="7" t="n">
        <v>-0.15</v>
      </c>
      <c r="F115" s="7" t="n">
        <v>-0.1</v>
      </c>
      <c r="G115" s="8" t="s">
        <v>63</v>
      </c>
      <c r="H115" s="5" t="s">
        <v>99</v>
      </c>
    </row>
    <row r="116" customFormat="false" ht="17.15" hidden="false" customHeight="false" outlineLevel="0" collapsed="false">
      <c r="A116" s="0" t="s">
        <v>317</v>
      </c>
      <c r="B116" s="5" t="s">
        <v>318</v>
      </c>
      <c r="C116" s="0" t="s">
        <v>49</v>
      </c>
      <c r="D116" s="7" t="n">
        <v>-0.45</v>
      </c>
      <c r="E116" s="7" t="n">
        <v>-0.35</v>
      </c>
      <c r="F116" s="7" t="n">
        <v>-0.25</v>
      </c>
      <c r="G116" s="8" t="s">
        <v>63</v>
      </c>
      <c r="H116" s="5" t="s">
        <v>99</v>
      </c>
    </row>
    <row r="117" customFormat="false" ht="17.15" hidden="false" customHeight="false" outlineLevel="0" collapsed="false">
      <c r="A117" s="0" t="s">
        <v>319</v>
      </c>
      <c r="B117" s="5" t="s">
        <v>320</v>
      </c>
      <c r="C117" s="0" t="s">
        <v>49</v>
      </c>
      <c r="D117" s="7" t="n">
        <v>-0.4</v>
      </c>
      <c r="E117" s="7" t="n">
        <v>-0.3</v>
      </c>
      <c r="F117" s="7" t="n">
        <v>-0.2</v>
      </c>
      <c r="G117" s="8" t="s">
        <v>63</v>
      </c>
      <c r="H117" s="5" t="s">
        <v>99</v>
      </c>
    </row>
    <row r="118" customFormat="false" ht="17.15" hidden="false" customHeight="false" outlineLevel="0" collapsed="false">
      <c r="A118" s="0" t="s">
        <v>321</v>
      </c>
      <c r="B118" s="5" t="s">
        <v>322</v>
      </c>
      <c r="C118" s="0" t="s">
        <v>49</v>
      </c>
      <c r="D118" s="7" t="n">
        <v>-0.35</v>
      </c>
      <c r="E118" s="7" t="n">
        <v>-0.25</v>
      </c>
      <c r="F118" s="7" t="n">
        <v>-0.15</v>
      </c>
      <c r="G118" s="8" t="s">
        <v>63</v>
      </c>
      <c r="H118" s="5" t="s">
        <v>99</v>
      </c>
    </row>
    <row r="119" customFormat="false" ht="17.15" hidden="false" customHeight="false" outlineLevel="0" collapsed="false">
      <c r="A119" s="0" t="s">
        <v>323</v>
      </c>
      <c r="B119" s="5" t="s">
        <v>324</v>
      </c>
      <c r="C119" s="0" t="s">
        <v>49</v>
      </c>
      <c r="D119" s="7" t="n">
        <v>-0.3</v>
      </c>
      <c r="E119" s="7" t="n">
        <v>-0.2</v>
      </c>
      <c r="F119" s="7" t="n">
        <v>-0.1</v>
      </c>
      <c r="G119" s="8" t="s">
        <v>63</v>
      </c>
      <c r="H119" s="5" t="s">
        <v>99</v>
      </c>
    </row>
    <row r="120" customFormat="false" ht="17.15" hidden="false" customHeight="false" outlineLevel="0" collapsed="false">
      <c r="A120" s="0" t="s">
        <v>325</v>
      </c>
      <c r="B120" s="5" t="s">
        <v>326</v>
      </c>
      <c r="C120" s="0" t="s">
        <v>49</v>
      </c>
      <c r="D120" s="7" t="n">
        <v>-0.1</v>
      </c>
      <c r="E120" s="7" t="n">
        <v>0</v>
      </c>
      <c r="F120" s="7" t="n">
        <v>0.1</v>
      </c>
      <c r="G120" s="8" t="s">
        <v>63</v>
      </c>
      <c r="H120" s="5" t="s">
        <v>99</v>
      </c>
    </row>
    <row r="121" customFormat="false" ht="17.15" hidden="false" customHeight="false" outlineLevel="0" collapsed="false">
      <c r="A121" s="0" t="s">
        <v>327</v>
      </c>
      <c r="B121" s="5" t="s">
        <v>328</v>
      </c>
      <c r="C121" s="0" t="s">
        <v>49</v>
      </c>
      <c r="D121" s="7" t="n">
        <v>-0.05</v>
      </c>
      <c r="E121" s="7" t="n">
        <v>0.05</v>
      </c>
      <c r="F121" s="7" t="n">
        <v>0.15</v>
      </c>
      <c r="G121" s="8" t="s">
        <v>63</v>
      </c>
      <c r="H121" s="5" t="s">
        <v>99</v>
      </c>
    </row>
    <row r="122" customFormat="false" ht="17.15" hidden="false" customHeight="false" outlineLevel="0" collapsed="false">
      <c r="A122" s="0" t="s">
        <v>329</v>
      </c>
      <c r="B122" s="5" t="s">
        <v>330</v>
      </c>
      <c r="C122" s="0" t="s">
        <v>49</v>
      </c>
      <c r="D122" s="7" t="n">
        <v>-0.02</v>
      </c>
      <c r="E122" s="7" t="n">
        <v>0.08</v>
      </c>
      <c r="F122" s="7" t="n">
        <v>0.18</v>
      </c>
      <c r="G122" s="8" t="s">
        <v>63</v>
      </c>
      <c r="H122" s="5" t="s">
        <v>99</v>
      </c>
    </row>
    <row r="123" customFormat="false" ht="17.15" hidden="false" customHeight="false" outlineLevel="0" collapsed="false">
      <c r="A123" s="0" t="s">
        <v>331</v>
      </c>
      <c r="B123" s="5" t="s">
        <v>332</v>
      </c>
      <c r="C123" s="0" t="s">
        <v>49</v>
      </c>
      <c r="D123" s="7" t="n">
        <v>0</v>
      </c>
      <c r="E123" s="7" t="n">
        <v>0.1</v>
      </c>
      <c r="F123" s="7" t="n">
        <v>0.2</v>
      </c>
      <c r="G123" s="8" t="s">
        <v>63</v>
      </c>
      <c r="H123" s="5" t="s">
        <v>99</v>
      </c>
    </row>
    <row r="124" customFormat="false" ht="17.15" hidden="false" customHeight="false" outlineLevel="0" collapsed="false">
      <c r="A124" s="0" t="s">
        <v>333</v>
      </c>
      <c r="B124" s="0" t="s">
        <v>334</v>
      </c>
      <c r="C124" s="0" t="s">
        <v>49</v>
      </c>
      <c r="E124" s="7" t="n">
        <v>0</v>
      </c>
      <c r="G124" s="8" t="s">
        <v>59</v>
      </c>
      <c r="H124" s="8" t="s">
        <v>335</v>
      </c>
    </row>
    <row r="125" customFormat="false" ht="17.15" hidden="false" customHeight="false" outlineLevel="0" collapsed="false">
      <c r="A125" s="0" t="s">
        <v>336</v>
      </c>
      <c r="B125" s="0" t="s">
        <v>337</v>
      </c>
      <c r="C125" s="0" t="s">
        <v>49</v>
      </c>
      <c r="E125" s="7" t="n">
        <v>0.05</v>
      </c>
      <c r="G125" s="8" t="s">
        <v>59</v>
      </c>
      <c r="H125" s="5" t="s">
        <v>99</v>
      </c>
    </row>
    <row r="126" customFormat="false" ht="17.15" hidden="false" customHeight="false" outlineLevel="0" collapsed="false">
      <c r="A126" s="0" t="s">
        <v>338</v>
      </c>
      <c r="B126" s="0" t="s">
        <v>339</v>
      </c>
      <c r="C126" s="0" t="s">
        <v>49</v>
      </c>
      <c r="E126" s="7" t="n">
        <v>0.3</v>
      </c>
      <c r="G126" s="8" t="s">
        <v>59</v>
      </c>
      <c r="H126" s="5" t="s">
        <v>99</v>
      </c>
    </row>
    <row r="127" customFormat="false" ht="17.15" hidden="false" customHeight="false" outlineLevel="0" collapsed="false">
      <c r="A127" s="0" t="s">
        <v>340</v>
      </c>
      <c r="B127" s="0" t="s">
        <v>341</v>
      </c>
      <c r="C127" s="0" t="s">
        <v>49</v>
      </c>
      <c r="E127" s="7" t="n">
        <v>0.875</v>
      </c>
      <c r="G127" s="8" t="s">
        <v>59</v>
      </c>
      <c r="H127" s="5" t="s">
        <v>99</v>
      </c>
    </row>
    <row r="128" customFormat="false" ht="17.15" hidden="false" customHeight="false" outlineLevel="0" collapsed="false">
      <c r="A128" s="0" t="s">
        <v>342</v>
      </c>
      <c r="B128" s="0" t="s">
        <v>343</v>
      </c>
      <c r="C128" s="0" t="s">
        <v>49</v>
      </c>
      <c r="E128" s="7" t="n">
        <v>0.725</v>
      </c>
      <c r="G128" s="8" t="s">
        <v>59</v>
      </c>
      <c r="H128" s="5" t="s">
        <v>99</v>
      </c>
    </row>
    <row r="129" customFormat="false" ht="17.15" hidden="false" customHeight="false" outlineLevel="0" collapsed="false">
      <c r="A129" s="0" t="s">
        <v>344</v>
      </c>
      <c r="B129" s="0" t="s">
        <v>345</v>
      </c>
      <c r="C129" s="0" t="s">
        <v>49</v>
      </c>
      <c r="E129" s="7" t="n">
        <v>0.15</v>
      </c>
      <c r="G129" s="8" t="s">
        <v>59</v>
      </c>
      <c r="H129" s="5" t="s">
        <v>99</v>
      </c>
    </row>
    <row r="130" customFormat="false" ht="17.15" hidden="false" customHeight="false" outlineLevel="0" collapsed="false">
      <c r="A130" s="0" t="s">
        <v>346</v>
      </c>
      <c r="B130" s="0" t="s">
        <v>347</v>
      </c>
      <c r="C130" s="0" t="s">
        <v>49</v>
      </c>
      <c r="E130" s="7" t="n">
        <v>0.175</v>
      </c>
      <c r="G130" s="8" t="s">
        <v>59</v>
      </c>
      <c r="H130" s="5" t="s">
        <v>99</v>
      </c>
    </row>
    <row r="131" customFormat="false" ht="17.15" hidden="false" customHeight="false" outlineLevel="0" collapsed="false">
      <c r="A131" s="0" t="s">
        <v>348</v>
      </c>
      <c r="B131" s="0" t="s">
        <v>349</v>
      </c>
      <c r="C131" s="0" t="s">
        <v>49</v>
      </c>
      <c r="E131" s="7" t="n">
        <v>0.03</v>
      </c>
      <c r="G131" s="8" t="s">
        <v>39</v>
      </c>
      <c r="H131" s="5" t="s">
        <v>350</v>
      </c>
    </row>
    <row r="132" customFormat="false" ht="17.15" hidden="false" customHeight="false" outlineLevel="0" collapsed="false">
      <c r="A132" s="0" t="s">
        <v>351</v>
      </c>
      <c r="B132" s="0" t="s">
        <v>352</v>
      </c>
      <c r="C132" s="0" t="s">
        <v>49</v>
      </c>
      <c r="E132" s="7" t="n">
        <v>0</v>
      </c>
      <c r="G132" s="8" t="s">
        <v>39</v>
      </c>
      <c r="H132" s="5" t="s">
        <v>99</v>
      </c>
    </row>
    <row r="133" customFormat="false" ht="17.15" hidden="false" customHeight="false" outlineLevel="0" collapsed="false">
      <c r="A133" s="0" t="s">
        <v>353</v>
      </c>
      <c r="B133" s="0" t="s">
        <v>354</v>
      </c>
      <c r="C133" s="0" t="s">
        <v>49</v>
      </c>
      <c r="E133" s="7" t="n">
        <v>-0.05</v>
      </c>
      <c r="G133" s="8" t="s">
        <v>39</v>
      </c>
      <c r="H133" s="5" t="s">
        <v>99</v>
      </c>
    </row>
    <row r="134" customFormat="false" ht="17.15" hidden="false" customHeight="false" outlineLevel="0" collapsed="false">
      <c r="A134" s="0" t="s">
        <v>355</v>
      </c>
      <c r="B134" s="0" t="s">
        <v>356</v>
      </c>
      <c r="C134" s="0" t="s">
        <v>49</v>
      </c>
      <c r="E134" s="7" t="n">
        <v>-0.07</v>
      </c>
      <c r="G134" s="8" t="s">
        <v>39</v>
      </c>
      <c r="H134" s="5" t="s">
        <v>99</v>
      </c>
    </row>
    <row r="135" customFormat="false" ht="17.15" hidden="false" customHeight="false" outlineLevel="0" collapsed="false">
      <c r="A135" s="0" t="s">
        <v>357</v>
      </c>
      <c r="B135" s="0" t="s">
        <v>358</v>
      </c>
      <c r="C135" s="0" t="s">
        <v>49</v>
      </c>
      <c r="E135" s="7" t="n">
        <v>-0.05</v>
      </c>
      <c r="G135" s="8" t="s">
        <v>39</v>
      </c>
      <c r="H135" s="5" t="s">
        <v>99</v>
      </c>
    </row>
    <row r="136" customFormat="false" ht="17.15" hidden="false" customHeight="false" outlineLevel="0" collapsed="false">
      <c r="A136" s="0" t="s">
        <v>359</v>
      </c>
      <c r="B136" s="0" t="s">
        <v>360</v>
      </c>
      <c r="C136" s="0" t="s">
        <v>49</v>
      </c>
      <c r="E136" s="7" t="n">
        <v>-0.05</v>
      </c>
      <c r="G136" s="8" t="s">
        <v>39</v>
      </c>
      <c r="H136" s="5" t="s">
        <v>99</v>
      </c>
    </row>
    <row r="137" customFormat="false" ht="17.15" hidden="false" customHeight="false" outlineLevel="0" collapsed="false">
      <c r="A137" s="0" t="s">
        <v>361</v>
      </c>
      <c r="B137" s="0" t="s">
        <v>362</v>
      </c>
      <c r="C137" s="0" t="s">
        <v>49</v>
      </c>
      <c r="E137" s="7" t="n">
        <v>-0.05</v>
      </c>
      <c r="G137" s="8" t="s">
        <v>39</v>
      </c>
      <c r="H137" s="5" t="s">
        <v>99</v>
      </c>
    </row>
    <row r="138" customFormat="false" ht="17.15" hidden="false" customHeight="false" outlineLevel="0" collapsed="false">
      <c r="A138" s="0" t="s">
        <v>363</v>
      </c>
      <c r="B138" s="0" t="s">
        <v>364</v>
      </c>
      <c r="C138" s="0" t="s">
        <v>49</v>
      </c>
      <c r="E138" s="7" t="n">
        <v>-0.05</v>
      </c>
      <c r="G138" s="8" t="s">
        <v>39</v>
      </c>
      <c r="H138" s="5" t="s">
        <v>99</v>
      </c>
    </row>
    <row r="139" customFormat="false" ht="17.15" hidden="false" customHeight="false" outlineLevel="0" collapsed="false">
      <c r="A139" s="0" t="s">
        <v>365</v>
      </c>
      <c r="B139" s="0" t="s">
        <v>366</v>
      </c>
      <c r="C139" s="0" t="s">
        <v>49</v>
      </c>
      <c r="D139" s="7" t="n">
        <v>-0.03</v>
      </c>
      <c r="E139" s="7" t="n">
        <v>-0.03</v>
      </c>
      <c r="F139" s="7" t="n">
        <v>0.05</v>
      </c>
      <c r="G139" s="8" t="s">
        <v>63</v>
      </c>
      <c r="H139" s="8" t="s">
        <v>276</v>
      </c>
    </row>
    <row r="140" customFormat="false" ht="17.15" hidden="false" customHeight="false" outlineLevel="0" collapsed="false">
      <c r="A140" s="0" t="s">
        <v>367</v>
      </c>
      <c r="B140" s="0" t="s">
        <v>368</v>
      </c>
      <c r="C140" s="0" t="s">
        <v>49</v>
      </c>
      <c r="D140" s="7" t="n">
        <v>-0.03</v>
      </c>
      <c r="E140" s="7" t="n">
        <v>-0.03</v>
      </c>
      <c r="F140" s="7" t="n">
        <v>0.05</v>
      </c>
      <c r="G140" s="8" t="s">
        <v>63</v>
      </c>
      <c r="H140" s="5" t="s">
        <v>99</v>
      </c>
    </row>
    <row r="141" customFormat="false" ht="17.15" hidden="false" customHeight="false" outlineLevel="0" collapsed="false">
      <c r="A141" s="0" t="s">
        <v>369</v>
      </c>
      <c r="B141" s="0" t="s">
        <v>370</v>
      </c>
      <c r="C141" s="0" t="s">
        <v>49</v>
      </c>
      <c r="D141" s="7" t="n">
        <v>-0.03</v>
      </c>
      <c r="E141" s="7" t="n">
        <v>-0.03</v>
      </c>
      <c r="F141" s="7" t="n">
        <v>0.03</v>
      </c>
      <c r="G141" s="8" t="s">
        <v>63</v>
      </c>
      <c r="H141" s="5" t="s">
        <v>99</v>
      </c>
    </row>
    <row r="142" customFormat="false" ht="17.15" hidden="false" customHeight="false" outlineLevel="0" collapsed="false">
      <c r="A142" s="0" t="s">
        <v>371</v>
      </c>
      <c r="B142" s="0" t="s">
        <v>372</v>
      </c>
      <c r="C142" s="0" t="s">
        <v>49</v>
      </c>
      <c r="D142" s="7" t="n">
        <v>-0.03</v>
      </c>
      <c r="E142" s="7" t="n">
        <v>-0.03</v>
      </c>
      <c r="F142" s="7" t="n">
        <v>0.03</v>
      </c>
      <c r="G142" s="8" t="s">
        <v>63</v>
      </c>
      <c r="H142" s="5" t="s">
        <v>99</v>
      </c>
    </row>
    <row r="143" customFormat="false" ht="17.15" hidden="false" customHeight="false" outlineLevel="0" collapsed="false">
      <c r="A143" s="0" t="s">
        <v>373</v>
      </c>
      <c r="B143" s="0" t="s">
        <v>374</v>
      </c>
      <c r="C143" s="0" t="s">
        <v>49</v>
      </c>
      <c r="E143" s="7" t="n">
        <v>0.05</v>
      </c>
      <c r="G143" s="8" t="s">
        <v>39</v>
      </c>
      <c r="H143" s="5" t="s">
        <v>375</v>
      </c>
    </row>
    <row r="144" customFormat="false" ht="17.15" hidden="false" customHeight="false" outlineLevel="0" collapsed="false">
      <c r="A144" s="0" t="s">
        <v>376</v>
      </c>
      <c r="B144" s="0" t="s">
        <v>377</v>
      </c>
      <c r="C144" s="0" t="s">
        <v>49</v>
      </c>
      <c r="E144" s="7" t="n">
        <v>0.02</v>
      </c>
      <c r="G144" s="8" t="s">
        <v>39</v>
      </c>
      <c r="H144" s="5" t="s">
        <v>99</v>
      </c>
    </row>
    <row r="145" customFormat="false" ht="17.15" hidden="false" customHeight="false" outlineLevel="0" collapsed="false">
      <c r="A145" s="0" t="s">
        <v>378</v>
      </c>
      <c r="B145" s="0" t="s">
        <v>379</v>
      </c>
      <c r="C145" s="0" t="s">
        <v>49</v>
      </c>
      <c r="E145" s="7" t="n">
        <v>-0.1</v>
      </c>
      <c r="G145" s="8" t="s">
        <v>39</v>
      </c>
      <c r="H145" s="5" t="s">
        <v>99</v>
      </c>
    </row>
    <row r="146" customFormat="false" ht="17.15" hidden="false" customHeight="false" outlineLevel="0" collapsed="false">
      <c r="A146" s="0" t="s">
        <v>380</v>
      </c>
      <c r="B146" s="0" t="s">
        <v>381</v>
      </c>
      <c r="C146" s="0" t="s">
        <v>49</v>
      </c>
      <c r="E146" s="7" t="n">
        <v>-0.2</v>
      </c>
      <c r="G146" s="8" t="s">
        <v>39</v>
      </c>
      <c r="H146" s="5" t="s">
        <v>99</v>
      </c>
    </row>
    <row r="147" customFormat="false" ht="17.15" hidden="false" customHeight="false" outlineLevel="0" collapsed="false">
      <c r="A147" s="0" t="s">
        <v>382</v>
      </c>
      <c r="B147" s="0" t="s">
        <v>383</v>
      </c>
      <c r="C147" s="0" t="s">
        <v>49</v>
      </c>
      <c r="E147" s="7" t="n">
        <v>-0.3</v>
      </c>
      <c r="G147" s="8" t="s">
        <v>39</v>
      </c>
      <c r="H147" s="5" t="s">
        <v>99</v>
      </c>
    </row>
    <row r="148" customFormat="false" ht="17.15" hidden="false" customHeight="false" outlineLevel="0" collapsed="false">
      <c r="A148" s="0" t="s">
        <v>384</v>
      </c>
      <c r="B148" s="0" t="s">
        <v>385</v>
      </c>
      <c r="C148" s="0" t="s">
        <v>49</v>
      </c>
      <c r="E148" s="7" t="n">
        <v>-0.25</v>
      </c>
      <c r="G148" s="8" t="s">
        <v>39</v>
      </c>
      <c r="H148" s="5" t="s">
        <v>99</v>
      </c>
    </row>
    <row r="149" customFormat="false" ht="17.15" hidden="false" customHeight="false" outlineLevel="0" collapsed="false">
      <c r="A149" s="0" t="s">
        <v>386</v>
      </c>
      <c r="B149" s="0" t="s">
        <v>387</v>
      </c>
      <c r="C149" s="0" t="s">
        <v>49</v>
      </c>
      <c r="E149" s="7" t="n">
        <v>-0.2</v>
      </c>
      <c r="G149" s="8" t="s">
        <v>39</v>
      </c>
      <c r="H149" s="5" t="s">
        <v>99</v>
      </c>
    </row>
    <row r="150" customFormat="false" ht="17.15" hidden="false" customHeight="false" outlineLevel="0" collapsed="false">
      <c r="A150" s="0" t="s">
        <v>388</v>
      </c>
      <c r="B150" s="0" t="s">
        <v>389</v>
      </c>
      <c r="C150" s="0" t="s">
        <v>49</v>
      </c>
      <c r="E150" s="7" t="n">
        <v>-0.1</v>
      </c>
      <c r="G150" s="8" t="s">
        <v>39</v>
      </c>
      <c r="H150" s="5" t="s">
        <v>99</v>
      </c>
    </row>
    <row r="151" customFormat="false" ht="17.15" hidden="false" customHeight="false" outlineLevel="0" collapsed="false">
      <c r="A151" s="0" t="s">
        <v>390</v>
      </c>
      <c r="B151" s="0" t="s">
        <v>391</v>
      </c>
      <c r="C151" s="0" t="s">
        <v>49</v>
      </c>
      <c r="D151" s="7" t="n">
        <v>-0.03</v>
      </c>
      <c r="E151" s="7" t="n">
        <v>0.05</v>
      </c>
      <c r="F151" s="7" t="n">
        <v>0.05</v>
      </c>
      <c r="G151" s="8" t="s">
        <v>63</v>
      </c>
      <c r="H151" s="8" t="s">
        <v>276</v>
      </c>
    </row>
    <row r="152" customFormat="false" ht="17.15" hidden="false" customHeight="false" outlineLevel="0" collapsed="false">
      <c r="A152" s="0" t="s">
        <v>392</v>
      </c>
      <c r="B152" s="0" t="s">
        <v>393</v>
      </c>
      <c r="C152" s="0" t="s">
        <v>49</v>
      </c>
      <c r="D152" s="7" t="n">
        <v>-0.03</v>
      </c>
      <c r="E152" s="7" t="n">
        <v>0.05</v>
      </c>
      <c r="F152" s="7" t="n">
        <v>0.05</v>
      </c>
      <c r="G152" s="8" t="s">
        <v>63</v>
      </c>
      <c r="H152" s="5" t="s">
        <v>99</v>
      </c>
    </row>
    <row r="153" customFormat="false" ht="17.15" hidden="false" customHeight="false" outlineLevel="0" collapsed="false">
      <c r="A153" s="0" t="s">
        <v>394</v>
      </c>
      <c r="B153" s="0" t="s">
        <v>395</v>
      </c>
      <c r="C153" s="0" t="s">
        <v>49</v>
      </c>
      <c r="D153" s="7" t="n">
        <v>-0.03</v>
      </c>
      <c r="E153" s="7" t="n">
        <v>0.03</v>
      </c>
      <c r="F153" s="7" t="n">
        <v>0.03</v>
      </c>
      <c r="G153" s="8" t="s">
        <v>63</v>
      </c>
      <c r="H153" s="5" t="s">
        <v>99</v>
      </c>
    </row>
    <row r="154" customFormat="false" ht="17.15" hidden="false" customHeight="false" outlineLevel="0" collapsed="false">
      <c r="A154" s="0" t="s">
        <v>396</v>
      </c>
      <c r="B154" s="0" t="s">
        <v>397</v>
      </c>
      <c r="C154" s="0" t="s">
        <v>49</v>
      </c>
      <c r="D154" s="7" t="n">
        <v>-0.03</v>
      </c>
      <c r="E154" s="7" t="n">
        <v>0.03</v>
      </c>
      <c r="F154" s="7" t="n">
        <v>0.03</v>
      </c>
      <c r="G154" s="8" t="s">
        <v>63</v>
      </c>
      <c r="H154" s="5" t="s">
        <v>99</v>
      </c>
    </row>
    <row r="155" customFormat="false" ht="17.15" hidden="false" customHeight="false" outlineLevel="0" collapsed="false">
      <c r="A155" s="0" t="s">
        <v>398</v>
      </c>
      <c r="B155" s="0" t="s">
        <v>399</v>
      </c>
      <c r="C155" s="0" t="s">
        <v>49</v>
      </c>
      <c r="D155" s="7" t="n">
        <v>0</v>
      </c>
      <c r="E155" s="7" t="n">
        <v>0.05</v>
      </c>
      <c r="F155" s="7" t="n">
        <v>0.1</v>
      </c>
      <c r="G155" s="8" t="s">
        <v>63</v>
      </c>
      <c r="H155" s="8" t="s">
        <v>400</v>
      </c>
    </row>
    <row r="156" customFormat="false" ht="17.15" hidden="false" customHeight="false" outlineLevel="0" collapsed="false">
      <c r="A156" s="0" t="s">
        <v>401</v>
      </c>
      <c r="B156" s="0" t="s">
        <v>402</v>
      </c>
      <c r="C156" s="0" t="s">
        <v>49</v>
      </c>
      <c r="D156" s="7" t="n">
        <v>-0.03</v>
      </c>
      <c r="E156" s="7" t="n">
        <v>0.02</v>
      </c>
      <c r="F156" s="7" t="n">
        <v>0.07</v>
      </c>
      <c r="G156" s="8" t="s">
        <v>63</v>
      </c>
      <c r="H156" s="5" t="s">
        <v>99</v>
      </c>
    </row>
    <row r="157" customFormat="false" ht="17.15" hidden="false" customHeight="false" outlineLevel="0" collapsed="false">
      <c r="A157" s="0" t="s">
        <v>403</v>
      </c>
      <c r="B157" s="0" t="s">
        <v>404</v>
      </c>
      <c r="C157" s="0" t="s">
        <v>49</v>
      </c>
      <c r="D157" s="7" t="n">
        <v>-0.15</v>
      </c>
      <c r="E157" s="7" t="n">
        <v>-0.1</v>
      </c>
      <c r="F157" s="7" t="n">
        <v>-0.05</v>
      </c>
      <c r="G157" s="8" t="s">
        <v>63</v>
      </c>
      <c r="H157" s="5" t="s">
        <v>99</v>
      </c>
    </row>
    <row r="158" customFormat="false" ht="17.15" hidden="false" customHeight="false" outlineLevel="0" collapsed="false">
      <c r="A158" s="0" t="s">
        <v>405</v>
      </c>
      <c r="B158" s="0" t="s">
        <v>406</v>
      </c>
      <c r="C158" s="0" t="s">
        <v>49</v>
      </c>
      <c r="D158" s="7" t="n">
        <v>-0.25</v>
      </c>
      <c r="E158" s="7" t="n">
        <v>-0.2</v>
      </c>
      <c r="F158" s="7" t="n">
        <v>-0.15</v>
      </c>
      <c r="G158" s="8" t="s">
        <v>63</v>
      </c>
      <c r="H158" s="5" t="s">
        <v>99</v>
      </c>
    </row>
    <row r="159" customFormat="false" ht="17.15" hidden="false" customHeight="false" outlineLevel="0" collapsed="false">
      <c r="A159" s="0" t="s">
        <v>407</v>
      </c>
      <c r="B159" s="0" t="s">
        <v>408</v>
      </c>
      <c r="C159" s="0" t="s">
        <v>49</v>
      </c>
      <c r="D159" s="7" t="n">
        <v>-0.45</v>
      </c>
      <c r="E159" s="7" t="n">
        <v>-0.35</v>
      </c>
      <c r="F159" s="7" t="n">
        <v>-0.25</v>
      </c>
      <c r="G159" s="8" t="s">
        <v>63</v>
      </c>
      <c r="H159" s="5" t="s">
        <v>99</v>
      </c>
    </row>
    <row r="160" customFormat="false" ht="17.15" hidden="false" customHeight="false" outlineLevel="0" collapsed="false">
      <c r="A160" s="0" t="s">
        <v>409</v>
      </c>
      <c r="B160" s="0" t="s">
        <v>410</v>
      </c>
      <c r="C160" s="0" t="s">
        <v>49</v>
      </c>
      <c r="D160" s="7" t="n">
        <v>-0.45</v>
      </c>
      <c r="E160" s="7" t="n">
        <v>-0.35</v>
      </c>
      <c r="F160" s="7" t="n">
        <v>-0.25</v>
      </c>
      <c r="G160" s="8" t="s">
        <v>63</v>
      </c>
      <c r="H160" s="5" t="s">
        <v>99</v>
      </c>
    </row>
    <row r="161" customFormat="false" ht="17.15" hidden="false" customHeight="false" outlineLevel="0" collapsed="false">
      <c r="A161" s="0" t="s">
        <v>411</v>
      </c>
      <c r="B161" s="0" t="s">
        <v>412</v>
      </c>
      <c r="C161" s="0" t="s">
        <v>49</v>
      </c>
      <c r="D161" s="7" t="n">
        <v>-0.35</v>
      </c>
      <c r="E161" s="7" t="n">
        <v>-0.25</v>
      </c>
      <c r="F161" s="7" t="n">
        <v>-0.15</v>
      </c>
      <c r="G161" s="8" t="s">
        <v>63</v>
      </c>
      <c r="H161" s="5" t="s">
        <v>99</v>
      </c>
    </row>
    <row r="162" customFormat="false" ht="17.15" hidden="false" customHeight="false" outlineLevel="0" collapsed="false">
      <c r="A162" s="0" t="s">
        <v>413</v>
      </c>
      <c r="B162" s="0" t="s">
        <v>414</v>
      </c>
      <c r="C162" s="0" t="s">
        <v>49</v>
      </c>
      <c r="D162" s="7" t="n">
        <v>-0.3</v>
      </c>
      <c r="E162" s="7" t="n">
        <v>-0.2</v>
      </c>
      <c r="F162" s="7" t="n">
        <v>-0.1</v>
      </c>
      <c r="G162" s="8" t="s">
        <v>63</v>
      </c>
      <c r="H162" s="5" t="s">
        <v>99</v>
      </c>
    </row>
    <row r="163" customFormat="false" ht="17.15" hidden="false" customHeight="false" outlineLevel="0" collapsed="false">
      <c r="A163" s="0" t="s">
        <v>415</v>
      </c>
      <c r="B163" s="0" t="s">
        <v>416</v>
      </c>
      <c r="C163" s="0" t="s">
        <v>49</v>
      </c>
      <c r="D163" s="7" t="n">
        <v>-0.1</v>
      </c>
      <c r="E163" s="7" t="n">
        <v>0</v>
      </c>
      <c r="F163" s="7" t="n">
        <v>0.1</v>
      </c>
      <c r="G163" s="8" t="s">
        <v>63</v>
      </c>
      <c r="H163" s="5" t="s">
        <v>99</v>
      </c>
    </row>
    <row r="164" customFormat="false" ht="17.15" hidden="false" customHeight="false" outlineLevel="0" collapsed="false">
      <c r="A164" s="0" t="s">
        <v>417</v>
      </c>
      <c r="B164" s="0" t="s">
        <v>418</v>
      </c>
      <c r="C164" s="0" t="s">
        <v>49</v>
      </c>
      <c r="D164" s="7" t="n">
        <v>-0.05</v>
      </c>
      <c r="E164" s="7" t="n">
        <v>0.05</v>
      </c>
      <c r="F164" s="7" t="n">
        <v>0.15</v>
      </c>
      <c r="G164" s="8" t="s">
        <v>63</v>
      </c>
      <c r="H164" s="5" t="s">
        <v>99</v>
      </c>
    </row>
    <row r="165" customFormat="false" ht="17.15" hidden="false" customHeight="false" outlineLevel="0" collapsed="false">
      <c r="A165" s="0" t="s">
        <v>419</v>
      </c>
      <c r="B165" s="0" t="s">
        <v>420</v>
      </c>
      <c r="C165" s="0" t="s">
        <v>49</v>
      </c>
      <c r="D165" s="7" t="n">
        <v>-0.02</v>
      </c>
      <c r="E165" s="7" t="n">
        <v>0.08</v>
      </c>
      <c r="F165" s="7" t="n">
        <v>0.18</v>
      </c>
      <c r="G165" s="8" t="s">
        <v>63</v>
      </c>
      <c r="H165" s="5" t="s">
        <v>99</v>
      </c>
    </row>
    <row r="166" customFormat="false" ht="17.15" hidden="false" customHeight="false" outlineLevel="0" collapsed="false">
      <c r="A166" s="0" t="s">
        <v>421</v>
      </c>
      <c r="B166" s="0" t="s">
        <v>422</v>
      </c>
      <c r="C166" s="0" t="s">
        <v>49</v>
      </c>
      <c r="D166" s="7" t="n">
        <v>0</v>
      </c>
      <c r="E166" s="7" t="n">
        <v>0.1</v>
      </c>
      <c r="F166" s="7" t="n">
        <v>0.2</v>
      </c>
      <c r="G166" s="8" t="s">
        <v>63</v>
      </c>
      <c r="H166" s="5" t="s">
        <v>99</v>
      </c>
    </row>
    <row r="167" customFormat="false" ht="17.15" hidden="false" customHeight="false" outlineLevel="0" collapsed="false">
      <c r="A167" s="1" t="s">
        <v>423</v>
      </c>
    </row>
    <row r="168" customFormat="false" ht="17.15" hidden="false" customHeight="false" outlineLevel="0" collapsed="false">
      <c r="A168" s="0" t="s">
        <v>424</v>
      </c>
      <c r="B168" s="0" t="s">
        <v>425</v>
      </c>
      <c r="C168" s="5" t="s">
        <v>426</v>
      </c>
      <c r="E168" s="7" t="n">
        <v>5.4</v>
      </c>
      <c r="G168" s="8" t="s">
        <v>59</v>
      </c>
      <c r="H168" s="5" t="s">
        <v>427</v>
      </c>
    </row>
    <row r="169" customFormat="false" ht="17.15" hidden="false" customHeight="false" outlineLevel="0" collapsed="false">
      <c r="A169" s="0" t="s">
        <v>428</v>
      </c>
      <c r="B169" s="0" t="s">
        <v>429</v>
      </c>
      <c r="C169" s="5" t="s">
        <v>426</v>
      </c>
      <c r="E169" s="7" t="n">
        <v>2.4</v>
      </c>
      <c r="G169" s="8" t="s">
        <v>59</v>
      </c>
      <c r="H169" s="5" t="s">
        <v>99</v>
      </c>
    </row>
    <row r="170" customFormat="false" ht="17.15" hidden="false" customHeight="false" outlineLevel="0" collapsed="false">
      <c r="A170" s="0" t="s">
        <v>430</v>
      </c>
      <c r="B170" s="0" t="s">
        <v>431</v>
      </c>
      <c r="C170" s="5" t="s">
        <v>426</v>
      </c>
      <c r="E170" s="7" t="n">
        <v>0.5</v>
      </c>
      <c r="G170" s="8" t="s">
        <v>59</v>
      </c>
      <c r="H170" s="5" t="s">
        <v>99</v>
      </c>
    </row>
    <row r="171" customFormat="false" ht="17.15" hidden="false" customHeight="false" outlineLevel="0" collapsed="false">
      <c r="A171" s="0" t="s">
        <v>432</v>
      </c>
      <c r="B171" s="0" t="s">
        <v>433</v>
      </c>
      <c r="C171" s="0" t="s">
        <v>434</v>
      </c>
      <c r="E171" s="7" t="n">
        <v>260</v>
      </c>
      <c r="G171" s="8" t="s">
        <v>59</v>
      </c>
      <c r="H171" s="5" t="s">
        <v>99</v>
      </c>
    </row>
    <row r="172" customFormat="false" ht="17.15" hidden="false" customHeight="false" outlineLevel="0" collapsed="false">
      <c r="A172" s="0" t="s">
        <v>435</v>
      </c>
      <c r="B172" s="0" t="s">
        <v>436</v>
      </c>
      <c r="C172" s="0" t="s">
        <v>434</v>
      </c>
      <c r="E172" s="7" t="n">
        <v>280</v>
      </c>
      <c r="G172" s="8" t="s">
        <v>59</v>
      </c>
      <c r="H172" s="5" t="s">
        <v>99</v>
      </c>
    </row>
    <row r="173" customFormat="false" ht="17.15" hidden="false" customHeight="false" outlineLevel="0" collapsed="false">
      <c r="A173" s="0" t="s">
        <v>437</v>
      </c>
      <c r="B173" s="0" t="s">
        <v>438</v>
      </c>
      <c r="C173" s="0" t="s">
        <v>434</v>
      </c>
      <c r="E173" s="7" t="n">
        <v>288</v>
      </c>
      <c r="G173" s="8" t="s">
        <v>59</v>
      </c>
      <c r="H173" s="5" t="s">
        <v>99</v>
      </c>
    </row>
    <row r="174" customFormat="false" ht="17.15" hidden="false" customHeight="false" outlineLevel="0" collapsed="false">
      <c r="A174" s="0" t="s">
        <v>439</v>
      </c>
      <c r="B174" s="0" t="s">
        <v>440</v>
      </c>
      <c r="C174" s="5" t="s">
        <v>426</v>
      </c>
      <c r="E174" s="7" t="n">
        <v>1.7</v>
      </c>
      <c r="G174" s="8" t="s">
        <v>59</v>
      </c>
      <c r="H174" s="8" t="s">
        <v>441</v>
      </c>
    </row>
    <row r="175" customFormat="false" ht="17.15" hidden="false" customHeight="false" outlineLevel="0" collapsed="false">
      <c r="A175" s="0" t="s">
        <v>442</v>
      </c>
      <c r="B175" s="0" t="s">
        <v>443</v>
      </c>
      <c r="C175" s="5" t="s">
        <v>426</v>
      </c>
      <c r="E175" s="7" t="n">
        <v>7</v>
      </c>
      <c r="G175" s="8" t="s">
        <v>59</v>
      </c>
      <c r="H175" s="5" t="s">
        <v>99</v>
      </c>
    </row>
    <row r="176" customFormat="false" ht="17.15" hidden="false" customHeight="false" outlineLevel="0" collapsed="false">
      <c r="A176" s="0" t="s">
        <v>444</v>
      </c>
      <c r="B176" s="0" t="s">
        <v>445</v>
      </c>
      <c r="C176" s="5" t="s">
        <v>426</v>
      </c>
      <c r="E176" s="7" t="n">
        <v>7</v>
      </c>
      <c r="G176" s="8" t="s">
        <v>59</v>
      </c>
      <c r="H176" s="5" t="s">
        <v>99</v>
      </c>
    </row>
    <row r="177" customFormat="false" ht="17.15" hidden="false" customHeight="false" outlineLevel="0" collapsed="false">
      <c r="A177" s="0" t="s">
        <v>446</v>
      </c>
      <c r="B177" s="0" t="s">
        <v>447</v>
      </c>
      <c r="C177" s="0" t="s">
        <v>434</v>
      </c>
      <c r="E177" s="7" t="n">
        <v>288</v>
      </c>
      <c r="G177" s="8" t="s">
        <v>59</v>
      </c>
      <c r="H177" s="5" t="s">
        <v>99</v>
      </c>
    </row>
    <row r="178" customFormat="false" ht="17.15" hidden="false" customHeight="false" outlineLevel="0" collapsed="false">
      <c r="A178" s="0" t="s">
        <v>448</v>
      </c>
      <c r="B178" s="0" t="s">
        <v>449</v>
      </c>
      <c r="C178" s="0" t="s">
        <v>434</v>
      </c>
      <c r="E178" s="7" t="n">
        <v>288</v>
      </c>
      <c r="G178" s="8" t="s">
        <v>59</v>
      </c>
      <c r="H178" s="5" t="s">
        <v>99</v>
      </c>
    </row>
    <row r="179" customFormat="false" ht="17.15" hidden="false" customHeight="false" outlineLevel="0" collapsed="false">
      <c r="A179" s="0" t="s">
        <v>450</v>
      </c>
      <c r="B179" s="0" t="s">
        <v>451</v>
      </c>
      <c r="C179" s="0" t="s">
        <v>434</v>
      </c>
      <c r="E179" s="7" t="n">
        <v>288</v>
      </c>
      <c r="G179" s="8" t="s">
        <v>59</v>
      </c>
      <c r="H179" s="5" t="s">
        <v>99</v>
      </c>
    </row>
    <row r="180" customFormat="false" ht="17.15" hidden="false" customHeight="false" outlineLevel="0" collapsed="false">
      <c r="A180" s="0" t="s">
        <v>452</v>
      </c>
      <c r="B180" s="0" t="s">
        <v>453</v>
      </c>
      <c r="C180" s="5" t="s">
        <v>426</v>
      </c>
      <c r="D180" s="7" t="n">
        <v>0</v>
      </c>
      <c r="E180" s="7" t="n">
        <v>0</v>
      </c>
      <c r="F180" s="7" t="n">
        <v>0</v>
      </c>
      <c r="G180" s="8" t="s">
        <v>63</v>
      </c>
      <c r="H180" s="5" t="s">
        <v>454</v>
      </c>
    </row>
    <row r="181" customFormat="false" ht="17.15" hidden="false" customHeight="false" outlineLevel="0" collapsed="false">
      <c r="A181" s="0" t="s">
        <v>455</v>
      </c>
      <c r="B181" s="0" t="s">
        <v>456</v>
      </c>
      <c r="C181" s="5" t="s">
        <v>426</v>
      </c>
      <c r="D181" s="7" t="n">
        <v>0</v>
      </c>
      <c r="E181" s="7" t="n">
        <v>0.3</v>
      </c>
      <c r="F181" s="7" t="n">
        <v>0.6</v>
      </c>
      <c r="G181" s="8" t="s">
        <v>63</v>
      </c>
      <c r="H181" s="5" t="s">
        <v>99</v>
      </c>
    </row>
    <row r="182" customFormat="false" ht="17.15" hidden="false" customHeight="false" outlineLevel="0" collapsed="false">
      <c r="A182" s="0" t="s">
        <v>457</v>
      </c>
      <c r="B182" s="0" t="s">
        <v>458</v>
      </c>
      <c r="C182" s="5" t="s">
        <v>426</v>
      </c>
      <c r="D182" s="7" t="n">
        <v>1</v>
      </c>
      <c r="E182" s="7" t="n">
        <v>2</v>
      </c>
      <c r="F182" s="7" t="n">
        <v>3</v>
      </c>
      <c r="G182" s="8" t="s">
        <v>63</v>
      </c>
      <c r="H182" s="5" t="s">
        <v>99</v>
      </c>
    </row>
    <row r="183" customFormat="false" ht="17.15" hidden="false" customHeight="false" outlineLevel="0" collapsed="false">
      <c r="A183" s="0" t="s">
        <v>459</v>
      </c>
      <c r="B183" s="0" t="s">
        <v>460</v>
      </c>
      <c r="C183" s="0" t="s">
        <v>434</v>
      </c>
      <c r="E183" s="7" t="n">
        <v>1024</v>
      </c>
      <c r="G183" s="8" t="s">
        <v>59</v>
      </c>
      <c r="H183" s="8" t="s">
        <v>461</v>
      </c>
    </row>
    <row r="184" customFormat="false" ht="17.15" hidden="false" customHeight="false" outlineLevel="0" collapsed="false">
      <c r="A184" s="0" t="s">
        <v>462</v>
      </c>
      <c r="B184" s="0" t="s">
        <v>463</v>
      </c>
      <c r="C184" s="0" t="s">
        <v>434</v>
      </c>
      <c r="E184" s="7" t="n">
        <v>1024</v>
      </c>
      <c r="G184" s="8" t="s">
        <v>59</v>
      </c>
      <c r="H184" s="5" t="s">
        <v>99</v>
      </c>
    </row>
    <row r="185" customFormat="false" ht="17.15" hidden="false" customHeight="false" outlineLevel="0" collapsed="false">
      <c r="A185" s="0" t="s">
        <v>464</v>
      </c>
      <c r="B185" s="0" t="s">
        <v>465</v>
      </c>
      <c r="C185" s="0" t="s">
        <v>434</v>
      </c>
      <c r="E185" s="7" t="n">
        <v>1024</v>
      </c>
      <c r="G185" s="8" t="s">
        <v>59</v>
      </c>
      <c r="H185" s="5" t="s">
        <v>99</v>
      </c>
    </row>
    <row r="186" customFormat="false" ht="17.15" hidden="false" customHeight="false" outlineLevel="0" collapsed="false">
      <c r="A186" s="0" t="s">
        <v>466</v>
      </c>
      <c r="B186" s="0" t="s">
        <v>467</v>
      </c>
      <c r="C186" s="5" t="s">
        <v>426</v>
      </c>
      <c r="E186" s="7" t="n">
        <v>0.5</v>
      </c>
      <c r="G186" s="8" t="s">
        <v>59</v>
      </c>
      <c r="H186" s="8" t="s">
        <v>468</v>
      </c>
    </row>
    <row r="187" customFormat="false" ht="17.15" hidden="false" customHeight="false" outlineLevel="0" collapsed="false">
      <c r="A187" s="0" t="s">
        <v>469</v>
      </c>
      <c r="B187" s="0" t="s">
        <v>470</v>
      </c>
      <c r="C187" s="5" t="s">
        <v>426</v>
      </c>
      <c r="E187" s="7" t="n">
        <v>0</v>
      </c>
      <c r="G187" s="8" t="s">
        <v>59</v>
      </c>
      <c r="H187" s="5" t="s">
        <v>99</v>
      </c>
    </row>
    <row r="188" customFormat="false" ht="17.15" hidden="false" customHeight="false" outlineLevel="0" collapsed="false">
      <c r="A188" s="0" t="s">
        <v>471</v>
      </c>
      <c r="B188" s="0" t="s">
        <v>472</v>
      </c>
      <c r="C188" s="5" t="s">
        <v>426</v>
      </c>
      <c r="E188" s="7" t="n">
        <v>0</v>
      </c>
      <c r="G188" s="8" t="s">
        <v>59</v>
      </c>
      <c r="H188" s="5" t="s">
        <v>99</v>
      </c>
    </row>
    <row r="189" customFormat="false" ht="17.15" hidden="false" customHeight="false" outlineLevel="0" collapsed="false">
      <c r="A189" s="0" t="s">
        <v>473</v>
      </c>
      <c r="B189" s="0" t="s">
        <v>474</v>
      </c>
      <c r="C189" s="0" t="s">
        <v>434</v>
      </c>
      <c r="E189" s="7" t="n">
        <v>141</v>
      </c>
      <c r="G189" s="8" t="s">
        <v>59</v>
      </c>
      <c r="H189" s="5" t="s">
        <v>99</v>
      </c>
    </row>
    <row r="190" customFormat="false" ht="17.15" hidden="false" customHeight="false" outlineLevel="0" collapsed="false">
      <c r="A190" s="0" t="s">
        <v>475</v>
      </c>
      <c r="B190" s="0" t="s">
        <v>476</v>
      </c>
      <c r="C190" s="0" t="s">
        <v>434</v>
      </c>
      <c r="E190" s="7" t="n">
        <v>141</v>
      </c>
      <c r="G190" s="8" t="s">
        <v>59</v>
      </c>
      <c r="H190" s="5" t="s">
        <v>99</v>
      </c>
    </row>
    <row r="191" customFormat="false" ht="17.15" hidden="false" customHeight="false" outlineLevel="0" collapsed="false">
      <c r="A191" s="0" t="s">
        <v>477</v>
      </c>
      <c r="B191" s="0" t="s">
        <v>478</v>
      </c>
      <c r="C191" s="0" t="s">
        <v>434</v>
      </c>
      <c r="E191" s="7" t="n">
        <v>141</v>
      </c>
      <c r="G191" s="8" t="s">
        <v>59</v>
      </c>
      <c r="H191" s="5" t="s">
        <v>99</v>
      </c>
    </row>
    <row r="192" customFormat="false" ht="17.15" hidden="false" customHeight="false" outlineLevel="0" collapsed="false">
      <c r="A192" s="0" t="s">
        <v>479</v>
      </c>
      <c r="B192" s="0" t="s">
        <v>480</v>
      </c>
      <c r="C192" s="5" t="s">
        <v>426</v>
      </c>
      <c r="D192" s="7" t="n">
        <v>0.6</v>
      </c>
      <c r="E192" s="7" t="n">
        <v>0.75</v>
      </c>
      <c r="F192" s="7" t="n">
        <v>0.9</v>
      </c>
      <c r="G192" s="8" t="s">
        <v>481</v>
      </c>
      <c r="H192" s="8" t="s">
        <v>482</v>
      </c>
    </row>
    <row r="193" customFormat="false" ht="17.15" hidden="false" customHeight="false" outlineLevel="0" collapsed="false">
      <c r="A193" s="0" t="s">
        <v>483</v>
      </c>
      <c r="B193" s="0" t="s">
        <v>484</v>
      </c>
      <c r="C193" s="5" t="s">
        <v>426</v>
      </c>
      <c r="D193" s="7" t="n">
        <v>1.2</v>
      </c>
      <c r="E193" s="7" t="n">
        <v>1.5</v>
      </c>
      <c r="F193" s="7" t="n">
        <v>1.8</v>
      </c>
      <c r="G193" s="8" t="s">
        <v>481</v>
      </c>
      <c r="H193" s="5" t="s">
        <v>99</v>
      </c>
    </row>
    <row r="194" customFormat="false" ht="17.15" hidden="false" customHeight="false" outlineLevel="0" collapsed="false">
      <c r="A194" s="0" t="s">
        <v>485</v>
      </c>
      <c r="B194" s="0" t="s">
        <v>486</v>
      </c>
      <c r="C194" s="5" t="s">
        <v>426</v>
      </c>
      <c r="D194" s="7" t="n">
        <v>1.5</v>
      </c>
      <c r="E194" s="7" t="n">
        <v>2</v>
      </c>
      <c r="F194" s="7" t="n">
        <v>2.5</v>
      </c>
      <c r="G194" s="8" t="s">
        <v>481</v>
      </c>
      <c r="H194" s="5" t="s">
        <v>99</v>
      </c>
    </row>
    <row r="195" customFormat="false" ht="17.15" hidden="false" customHeight="false" outlineLevel="0" collapsed="false">
      <c r="A195" s="0" t="s">
        <v>487</v>
      </c>
      <c r="B195" s="0" t="s">
        <v>488</v>
      </c>
      <c r="C195" s="0" t="s">
        <v>434</v>
      </c>
      <c r="D195" s="7" t="n">
        <v>288</v>
      </c>
      <c r="E195" s="7" t="n">
        <v>288</v>
      </c>
      <c r="F195" s="7" t="n">
        <v>288</v>
      </c>
      <c r="G195" s="8" t="s">
        <v>481</v>
      </c>
      <c r="H195" s="5" t="s">
        <v>99</v>
      </c>
    </row>
    <row r="196" customFormat="false" ht="17.15" hidden="false" customHeight="false" outlineLevel="0" collapsed="false">
      <c r="A196" s="0" t="s">
        <v>489</v>
      </c>
      <c r="B196" s="0" t="s">
        <v>490</v>
      </c>
      <c r="C196" s="0" t="s">
        <v>434</v>
      </c>
      <c r="D196" s="7" t="n">
        <v>288</v>
      </c>
      <c r="E196" s="7" t="n">
        <v>360</v>
      </c>
      <c r="F196" s="7" t="n">
        <v>432</v>
      </c>
      <c r="G196" s="8" t="s">
        <v>481</v>
      </c>
      <c r="H196" s="5" t="s">
        <v>99</v>
      </c>
    </row>
    <row r="197" customFormat="false" ht="17.15" hidden="false" customHeight="false" outlineLevel="0" collapsed="false">
      <c r="A197" s="0" t="s">
        <v>491</v>
      </c>
      <c r="B197" s="0" t="s">
        <v>492</v>
      </c>
      <c r="C197" s="0" t="s">
        <v>434</v>
      </c>
      <c r="D197" s="7" t="n">
        <v>432</v>
      </c>
      <c r="E197" s="7" t="n">
        <v>432</v>
      </c>
      <c r="F197" s="7" t="n">
        <v>432</v>
      </c>
      <c r="G197" s="8" t="s">
        <v>481</v>
      </c>
      <c r="H197" s="5" t="s">
        <v>99</v>
      </c>
    </row>
    <row r="198" customFormat="false" ht="17.15" hidden="false" customHeight="false" outlineLevel="0" collapsed="false">
      <c r="A198" s="0" t="s">
        <v>493</v>
      </c>
      <c r="B198" s="0" t="s">
        <v>494</v>
      </c>
      <c r="C198" s="5" t="s">
        <v>426</v>
      </c>
      <c r="E198" s="7" t="n">
        <v>3.85</v>
      </c>
      <c r="G198" s="8" t="s">
        <v>59</v>
      </c>
      <c r="H198" s="8" t="s">
        <v>495</v>
      </c>
    </row>
    <row r="199" customFormat="false" ht="17.15" hidden="false" customHeight="false" outlineLevel="0" collapsed="false">
      <c r="A199" s="0" t="s">
        <v>496</v>
      </c>
      <c r="B199" s="0" t="s">
        <v>497</v>
      </c>
      <c r="C199" s="5" t="s">
        <v>426</v>
      </c>
      <c r="E199" s="7" t="n">
        <v>5.5</v>
      </c>
      <c r="G199" s="8" t="s">
        <v>59</v>
      </c>
      <c r="H199" s="5" t="s">
        <v>99</v>
      </c>
    </row>
    <row r="200" customFormat="false" ht="17.15" hidden="false" customHeight="false" outlineLevel="0" collapsed="false">
      <c r="A200" s="0" t="s">
        <v>498</v>
      </c>
      <c r="B200" s="0" t="s">
        <v>499</v>
      </c>
      <c r="C200" s="5" t="s">
        <v>426</v>
      </c>
      <c r="E200" s="7" t="n">
        <v>7</v>
      </c>
      <c r="G200" s="8" t="s">
        <v>59</v>
      </c>
      <c r="H200" s="5" t="s">
        <v>99</v>
      </c>
    </row>
    <row r="201" customFormat="false" ht="17.15" hidden="false" customHeight="false" outlineLevel="0" collapsed="false">
      <c r="A201" s="0" t="s">
        <v>500</v>
      </c>
      <c r="B201" s="0" t="s">
        <v>501</v>
      </c>
      <c r="C201" s="0" t="s">
        <v>434</v>
      </c>
      <c r="E201" s="7" t="n">
        <v>192</v>
      </c>
      <c r="G201" s="8" t="s">
        <v>59</v>
      </c>
      <c r="H201" s="5" t="s">
        <v>99</v>
      </c>
    </row>
    <row r="202" customFormat="false" ht="17.15" hidden="false" customHeight="false" outlineLevel="0" collapsed="false">
      <c r="A202" s="0" t="s">
        <v>502</v>
      </c>
      <c r="B202" s="0" t="s">
        <v>503</v>
      </c>
      <c r="C202" s="0" t="s">
        <v>434</v>
      </c>
      <c r="E202" s="7" t="n">
        <v>250</v>
      </c>
      <c r="G202" s="8" t="s">
        <v>59</v>
      </c>
      <c r="H202" s="5" t="s">
        <v>99</v>
      </c>
    </row>
    <row r="203" customFormat="false" ht="17.15" hidden="false" customHeight="false" outlineLevel="0" collapsed="false">
      <c r="A203" s="0" t="s">
        <v>504</v>
      </c>
      <c r="B203" s="0" t="s">
        <v>505</v>
      </c>
      <c r="C203" s="0" t="s">
        <v>434</v>
      </c>
      <c r="E203" s="7" t="n">
        <v>288</v>
      </c>
      <c r="G203" s="8" t="s">
        <v>59</v>
      </c>
      <c r="H203" s="5" t="s">
        <v>99</v>
      </c>
    </row>
    <row r="204" customFormat="false" ht="17.15" hidden="false" customHeight="false" outlineLevel="0" collapsed="false">
      <c r="A204" s="0" t="s">
        <v>506</v>
      </c>
      <c r="B204" s="0" t="s">
        <v>507</v>
      </c>
      <c r="C204" s="5" t="s">
        <v>426</v>
      </c>
      <c r="D204" s="7" t="n">
        <v>1.5</v>
      </c>
      <c r="E204" s="7" t="n">
        <v>2</v>
      </c>
      <c r="F204" s="7" t="n">
        <v>2.5</v>
      </c>
      <c r="G204" s="8" t="s">
        <v>63</v>
      </c>
      <c r="H204" s="5" t="s">
        <v>508</v>
      </c>
    </row>
    <row r="205" customFormat="false" ht="17.15" hidden="false" customHeight="false" outlineLevel="0" collapsed="false">
      <c r="A205" s="0" t="s">
        <v>509</v>
      </c>
      <c r="B205" s="0" t="s">
        <v>510</v>
      </c>
      <c r="C205" s="5" t="s">
        <v>426</v>
      </c>
      <c r="D205" s="7" t="n">
        <v>2</v>
      </c>
      <c r="E205" s="7" t="n">
        <v>2.5</v>
      </c>
      <c r="F205" s="7" t="n">
        <v>3.5</v>
      </c>
      <c r="G205" s="8" t="s">
        <v>63</v>
      </c>
      <c r="H205" s="5" t="s">
        <v>99</v>
      </c>
    </row>
    <row r="206" customFormat="false" ht="17.15" hidden="false" customHeight="false" outlineLevel="0" collapsed="false">
      <c r="A206" s="0" t="s">
        <v>511</v>
      </c>
      <c r="B206" s="0" t="s">
        <v>512</v>
      </c>
      <c r="C206" s="5" t="s">
        <v>426</v>
      </c>
      <c r="D206" s="7" t="n">
        <v>2</v>
      </c>
      <c r="E206" s="7" t="n">
        <v>3</v>
      </c>
      <c r="F206" s="7" t="n">
        <v>4</v>
      </c>
      <c r="G206" s="8" t="s">
        <v>63</v>
      </c>
      <c r="H206" s="5" t="s">
        <v>99</v>
      </c>
    </row>
    <row r="207" customFormat="false" ht="17.15" hidden="false" customHeight="false" outlineLevel="0" collapsed="false">
      <c r="A207" s="0" t="s">
        <v>513</v>
      </c>
      <c r="B207" s="0" t="s">
        <v>514</v>
      </c>
      <c r="C207" s="0" t="s">
        <v>434</v>
      </c>
      <c r="D207" s="7" t="n">
        <v>96</v>
      </c>
      <c r="E207" s="7" t="n">
        <v>110</v>
      </c>
      <c r="F207" s="7" t="n">
        <v>144</v>
      </c>
      <c r="G207" s="8" t="s">
        <v>63</v>
      </c>
      <c r="H207" s="5" t="s">
        <v>99</v>
      </c>
    </row>
    <row r="208" customFormat="false" ht="17.15" hidden="false" customHeight="false" outlineLevel="0" collapsed="false">
      <c r="A208" s="0" t="s">
        <v>515</v>
      </c>
      <c r="B208" s="0" t="s">
        <v>516</v>
      </c>
      <c r="C208" s="0" t="s">
        <v>434</v>
      </c>
      <c r="D208" s="7" t="n">
        <v>120</v>
      </c>
      <c r="E208" s="7" t="n">
        <v>144</v>
      </c>
      <c r="F208" s="7" t="n">
        <v>144</v>
      </c>
      <c r="G208" s="8" t="s">
        <v>63</v>
      </c>
      <c r="H208" s="5" t="s">
        <v>99</v>
      </c>
    </row>
    <row r="209" customFormat="false" ht="17.15" hidden="false" customHeight="false" outlineLevel="0" collapsed="false">
      <c r="A209" s="0" t="s">
        <v>517</v>
      </c>
      <c r="B209" s="0" t="s">
        <v>518</v>
      </c>
      <c r="C209" s="0" t="s">
        <v>434</v>
      </c>
      <c r="D209" s="7" t="n">
        <v>144</v>
      </c>
      <c r="E209" s="7" t="n">
        <v>200</v>
      </c>
      <c r="F209" s="7" t="n">
        <v>256</v>
      </c>
      <c r="G209" s="8" t="s">
        <v>63</v>
      </c>
      <c r="H209" s="5" t="s">
        <v>99</v>
      </c>
    </row>
    <row r="210" customFormat="false" ht="17.15" hidden="false" customHeight="false" outlineLevel="0" collapsed="false">
      <c r="A210" s="0" t="s">
        <v>519</v>
      </c>
      <c r="B210" s="5" t="s">
        <v>520</v>
      </c>
      <c r="C210" s="5" t="s">
        <v>426</v>
      </c>
      <c r="D210" s="7" t="n">
        <v>0.5</v>
      </c>
      <c r="E210" s="7" t="n">
        <v>1</v>
      </c>
      <c r="F210" s="7" t="n">
        <v>1.5</v>
      </c>
      <c r="G210" s="8" t="s">
        <v>521</v>
      </c>
      <c r="H210" s="8" t="s">
        <v>522</v>
      </c>
    </row>
    <row r="211" customFormat="false" ht="17.15" hidden="false" customHeight="false" outlineLevel="0" collapsed="false">
      <c r="A211" s="0" t="s">
        <v>523</v>
      </c>
      <c r="B211" s="5" t="s">
        <v>524</v>
      </c>
      <c r="C211" s="5" t="s">
        <v>426</v>
      </c>
      <c r="D211" s="7" t="n">
        <v>3</v>
      </c>
      <c r="E211" s="7" t="n">
        <v>4.5</v>
      </c>
      <c r="F211" s="7" t="n">
        <v>6</v>
      </c>
      <c r="G211" s="8" t="s">
        <v>521</v>
      </c>
      <c r="H211" s="5" t="s">
        <v>99</v>
      </c>
    </row>
    <row r="212" customFormat="false" ht="17.15" hidden="false" customHeight="false" outlineLevel="0" collapsed="false">
      <c r="A212" s="0" t="s">
        <v>525</v>
      </c>
      <c r="B212" s="5" t="s">
        <v>526</v>
      </c>
      <c r="C212" s="5" t="s">
        <v>426</v>
      </c>
      <c r="D212" s="7" t="n">
        <v>3.5</v>
      </c>
      <c r="E212" s="7" t="n">
        <v>5</v>
      </c>
      <c r="F212" s="7" t="n">
        <v>7</v>
      </c>
      <c r="G212" s="8" t="s">
        <v>521</v>
      </c>
      <c r="H212" s="5" t="s">
        <v>99</v>
      </c>
    </row>
    <row r="213" customFormat="false" ht="17.15" hidden="false" customHeight="false" outlineLevel="0" collapsed="false">
      <c r="A213" s="0" t="s">
        <v>527</v>
      </c>
      <c r="B213" s="5" t="s">
        <v>528</v>
      </c>
      <c r="C213" s="0" t="s">
        <v>434</v>
      </c>
      <c r="D213" s="7" t="n">
        <v>100</v>
      </c>
      <c r="E213" s="7" t="n">
        <v>150</v>
      </c>
      <c r="F213" s="7" t="n">
        <v>200</v>
      </c>
      <c r="G213" s="8" t="s">
        <v>521</v>
      </c>
      <c r="H213" s="5" t="s">
        <v>99</v>
      </c>
    </row>
    <row r="214" customFormat="false" ht="17.15" hidden="false" customHeight="false" outlineLevel="0" collapsed="false">
      <c r="A214" s="0" t="s">
        <v>529</v>
      </c>
      <c r="B214" s="5" t="s">
        <v>530</v>
      </c>
      <c r="C214" s="0" t="s">
        <v>434</v>
      </c>
      <c r="D214" s="7" t="n">
        <v>150</v>
      </c>
      <c r="E214" s="7" t="n">
        <v>200</v>
      </c>
      <c r="F214" s="7" t="n">
        <v>250</v>
      </c>
      <c r="G214" s="8" t="s">
        <v>521</v>
      </c>
      <c r="H214" s="5" t="s">
        <v>99</v>
      </c>
    </row>
    <row r="215" customFormat="false" ht="17.15" hidden="false" customHeight="false" outlineLevel="0" collapsed="false">
      <c r="A215" s="0" t="s">
        <v>531</v>
      </c>
      <c r="B215" s="5" t="s">
        <v>532</v>
      </c>
      <c r="C215" s="0" t="s">
        <v>434</v>
      </c>
      <c r="D215" s="7" t="n">
        <v>200</v>
      </c>
      <c r="E215" s="7" t="n">
        <v>250</v>
      </c>
      <c r="F215" s="7" t="n">
        <v>300</v>
      </c>
      <c r="G215" s="8" t="s">
        <v>521</v>
      </c>
      <c r="H215" s="5" t="s">
        <v>99</v>
      </c>
    </row>
    <row r="216" customFormat="false" ht="17.15" hidden="false" customHeight="false" outlineLevel="0" collapsed="false">
      <c r="A216" s="1" t="s">
        <v>533</v>
      </c>
    </row>
    <row r="217" customFormat="false" ht="17.15" hidden="false" customHeight="false" outlineLevel="0" collapsed="false">
      <c r="A217" s="0" t="s">
        <v>534</v>
      </c>
      <c r="B217" s="5" t="s">
        <v>535</v>
      </c>
      <c r="C217" s="0" t="s">
        <v>226</v>
      </c>
      <c r="E217" s="7" t="n">
        <v>1</v>
      </c>
      <c r="G217" s="8" t="s">
        <v>39</v>
      </c>
      <c r="H217" s="8" t="s">
        <v>536</v>
      </c>
    </row>
    <row r="218" customFormat="false" ht="17.15" hidden="false" customHeight="false" outlineLevel="0" collapsed="false">
      <c r="A218" s="0" t="s">
        <v>537</v>
      </c>
      <c r="B218" s="5" t="s">
        <v>538</v>
      </c>
      <c r="C218" s="0" t="s">
        <v>226</v>
      </c>
      <c r="E218" s="7" t="n">
        <v>1</v>
      </c>
      <c r="G218" s="8" t="s">
        <v>39</v>
      </c>
      <c r="H218" s="5" t="s">
        <v>99</v>
      </c>
    </row>
    <row r="219" customFormat="false" ht="17.15" hidden="false" customHeight="false" outlineLevel="0" collapsed="false">
      <c r="A219" s="0" t="s">
        <v>539</v>
      </c>
      <c r="B219" s="5" t="s">
        <v>540</v>
      </c>
      <c r="C219" s="0" t="s">
        <v>226</v>
      </c>
      <c r="D219" s="7" t="n">
        <v>0.7</v>
      </c>
      <c r="E219" s="7" t="n">
        <v>0.8</v>
      </c>
      <c r="F219" s="7" t="n">
        <v>0.9</v>
      </c>
      <c r="G219" s="8" t="s">
        <v>63</v>
      </c>
      <c r="H219" s="5" t="s">
        <v>99</v>
      </c>
    </row>
    <row r="220" customFormat="false" ht="17.15" hidden="false" customHeight="false" outlineLevel="0" collapsed="false">
      <c r="A220" s="0" t="s">
        <v>541</v>
      </c>
      <c r="B220" s="5" t="s">
        <v>542</v>
      </c>
      <c r="C220" s="0" t="s">
        <v>226</v>
      </c>
      <c r="D220" s="7" t="n">
        <v>0.75</v>
      </c>
      <c r="E220" s="7" t="n">
        <v>0.85</v>
      </c>
      <c r="F220" s="7" t="n">
        <v>0.95</v>
      </c>
      <c r="G220" s="8" t="s">
        <v>63</v>
      </c>
      <c r="H220" s="5" t="s">
        <v>99</v>
      </c>
    </row>
    <row r="221" customFormat="false" ht="17.15" hidden="false" customHeight="false" outlineLevel="0" collapsed="false">
      <c r="A221" s="0" t="s">
        <v>543</v>
      </c>
      <c r="B221" s="5" t="s">
        <v>544</v>
      </c>
      <c r="C221" s="0" t="s">
        <v>226</v>
      </c>
      <c r="D221" s="7" t="n">
        <v>0.5</v>
      </c>
      <c r="E221" s="7" t="n">
        <v>0.6</v>
      </c>
      <c r="F221" s="7" t="n">
        <v>0.7</v>
      </c>
      <c r="G221" s="8" t="s">
        <v>63</v>
      </c>
      <c r="H221" s="5" t="s">
        <v>99</v>
      </c>
    </row>
    <row r="222" customFormat="false" ht="17.15" hidden="false" customHeight="false" outlineLevel="0" collapsed="false">
      <c r="A222" s="0" t="s">
        <v>545</v>
      </c>
      <c r="B222" s="5" t="s">
        <v>546</v>
      </c>
      <c r="C222" s="0" t="s">
        <v>226</v>
      </c>
      <c r="D222" s="7" t="n">
        <v>0.5</v>
      </c>
      <c r="E222" s="7" t="n">
        <v>0.6</v>
      </c>
      <c r="F222" s="7" t="n">
        <v>0.7</v>
      </c>
      <c r="G222" s="8" t="s">
        <v>63</v>
      </c>
      <c r="H222" s="5" t="s">
        <v>99</v>
      </c>
    </row>
    <row r="223" customFormat="false" ht="17.15" hidden="false" customHeight="false" outlineLevel="0" collapsed="false">
      <c r="A223" s="1" t="s">
        <v>547</v>
      </c>
    </row>
    <row r="224" customFormat="false" ht="17.15" hidden="false" customHeight="false" outlineLevel="0" collapsed="false">
      <c r="A224" s="0" t="s">
        <v>548</v>
      </c>
      <c r="B224" s="0" t="s">
        <v>549</v>
      </c>
      <c r="C224" s="0" t="s">
        <v>550</v>
      </c>
      <c r="D224" s="7" t="n">
        <v>34</v>
      </c>
      <c r="E224" s="7" t="n">
        <v>35</v>
      </c>
      <c r="F224" s="7" t="n">
        <v>35</v>
      </c>
      <c r="G224" s="8" t="s">
        <v>44</v>
      </c>
      <c r="H224" s="8" t="s">
        <v>551</v>
      </c>
    </row>
    <row r="225" customFormat="false" ht="17.15" hidden="false" customHeight="false" outlineLevel="0" collapsed="false">
      <c r="A225" s="0" t="s">
        <v>552</v>
      </c>
      <c r="B225" s="0" t="s">
        <v>553</v>
      </c>
      <c r="C225" s="0" t="s">
        <v>49</v>
      </c>
      <c r="D225" s="7" t="n">
        <v>0.6</v>
      </c>
      <c r="E225" s="7" t="n">
        <v>0.7</v>
      </c>
      <c r="F225" s="7" t="n">
        <v>0.8</v>
      </c>
      <c r="G225" s="8" t="s">
        <v>59</v>
      </c>
      <c r="H225" s="8" t="s">
        <v>554</v>
      </c>
    </row>
    <row r="226" customFormat="false" ht="17.15" hidden="false" customHeight="false" outlineLevel="0" collapsed="false">
      <c r="A226" s="0" t="s">
        <v>555</v>
      </c>
      <c r="B226" s="5" t="s">
        <v>556</v>
      </c>
      <c r="C226" s="0" t="s">
        <v>226</v>
      </c>
      <c r="D226" s="7" t="n">
        <v>1</v>
      </c>
      <c r="E226" s="7" t="n">
        <v>1.15</v>
      </c>
      <c r="F226" s="7" t="n">
        <v>1.3</v>
      </c>
      <c r="G226" s="8" t="s">
        <v>63</v>
      </c>
      <c r="H226" s="5" t="s">
        <v>557</v>
      </c>
    </row>
    <row r="227" customFormat="false" ht="17.15" hidden="false" customHeight="false" outlineLevel="0" collapsed="false">
      <c r="A227" s="0" t="s">
        <v>558</v>
      </c>
      <c r="B227" s="0" t="s">
        <v>559</v>
      </c>
      <c r="C227" s="0" t="s">
        <v>49</v>
      </c>
      <c r="D227" s="7" t="n">
        <v>0.5</v>
      </c>
      <c r="E227" s="7" t="n">
        <v>0.55</v>
      </c>
      <c r="F227" s="7" t="n">
        <v>0.63</v>
      </c>
      <c r="G227" s="8" t="s">
        <v>59</v>
      </c>
      <c r="H227" s="8" t="s">
        <v>560</v>
      </c>
    </row>
    <row r="228" customFormat="false" ht="17.15" hidden="false" customHeight="false" outlineLevel="0" collapsed="false">
      <c r="A228" s="0" t="s">
        <v>561</v>
      </c>
      <c r="B228" s="0" t="s">
        <v>562</v>
      </c>
      <c r="C228" s="0" t="s">
        <v>49</v>
      </c>
      <c r="D228" s="7" t="n">
        <v>0.3</v>
      </c>
      <c r="E228" s="7" t="n">
        <v>0.45</v>
      </c>
      <c r="F228" s="7" t="n">
        <v>0.63</v>
      </c>
      <c r="G228" s="8" t="s">
        <v>63</v>
      </c>
      <c r="H228" s="5" t="s">
        <v>563</v>
      </c>
    </row>
    <row r="229" customFormat="false" ht="17.15" hidden="false" customHeight="false" outlineLevel="0" collapsed="false">
      <c r="A229" s="0" t="s">
        <v>564</v>
      </c>
      <c r="B229" s="0" t="s">
        <v>565</v>
      </c>
      <c r="C229" s="0" t="s">
        <v>566</v>
      </c>
      <c r="D229" s="7" t="n">
        <v>12.5</v>
      </c>
      <c r="E229" s="7" t="n">
        <v>14.6</v>
      </c>
      <c r="F229" s="7" t="n">
        <v>16</v>
      </c>
      <c r="G229" s="8" t="s">
        <v>59</v>
      </c>
      <c r="H229" s="8" t="s">
        <v>567</v>
      </c>
    </row>
    <row r="230" customFormat="false" ht="17.15" hidden="false" customHeight="false" outlineLevel="0" collapsed="false">
      <c r="A230" s="0" t="s">
        <v>568</v>
      </c>
      <c r="B230" s="0" t="s">
        <v>569</v>
      </c>
      <c r="C230" s="0" t="s">
        <v>49</v>
      </c>
      <c r="D230" s="7" t="n">
        <v>0.38</v>
      </c>
      <c r="E230" s="7" t="n">
        <v>0.8</v>
      </c>
      <c r="F230" s="7" t="n">
        <v>1.21</v>
      </c>
      <c r="G230" s="8" t="s">
        <v>59</v>
      </c>
      <c r="H230" s="8" t="s">
        <v>570</v>
      </c>
    </row>
    <row r="231" customFormat="false" ht="17.15" hidden="false" customHeight="false" outlineLevel="0" collapsed="false">
      <c r="A231" s="0" t="s">
        <v>571</v>
      </c>
      <c r="B231" s="0" t="s">
        <v>572</v>
      </c>
      <c r="C231" s="0" t="s">
        <v>49</v>
      </c>
      <c r="D231" s="7" t="n">
        <v>0</v>
      </c>
      <c r="E231" s="7" t="n">
        <v>0.1</v>
      </c>
      <c r="F231" s="7" t="n">
        <v>0.25</v>
      </c>
      <c r="G231" s="8" t="s">
        <v>59</v>
      </c>
      <c r="H231" s="8" t="s">
        <v>573</v>
      </c>
    </row>
    <row r="232" customFormat="false" ht="17.15" hidden="false" customHeight="false" outlineLevel="0" collapsed="false">
      <c r="A232" s="0" t="s">
        <v>574</v>
      </c>
      <c r="B232" s="0" t="s">
        <v>575</v>
      </c>
      <c r="C232" s="0" t="s">
        <v>49</v>
      </c>
      <c r="D232" s="7" t="n">
        <v>-0.4</v>
      </c>
      <c r="E232" s="7" t="n">
        <v>-0.25</v>
      </c>
      <c r="F232" s="7" t="n">
        <v>-0.1</v>
      </c>
      <c r="G232" s="8" t="s">
        <v>63</v>
      </c>
      <c r="H232" s="5" t="s">
        <v>576</v>
      </c>
    </row>
    <row r="233" customFormat="false" ht="17.15" hidden="false" customHeight="false" outlineLevel="0" collapsed="false">
      <c r="A233" s="0" t="s">
        <v>577</v>
      </c>
      <c r="B233" s="0" t="s">
        <v>578</v>
      </c>
      <c r="C233" s="0" t="s">
        <v>49</v>
      </c>
      <c r="D233" s="7" t="n">
        <v>-0.55</v>
      </c>
      <c r="E233" s="7" t="n">
        <v>-0.4</v>
      </c>
      <c r="F233" s="7" t="n">
        <v>-0.25</v>
      </c>
      <c r="G233" s="8" t="s">
        <v>63</v>
      </c>
      <c r="H233" s="5" t="s">
        <v>579</v>
      </c>
    </row>
    <row r="234" customFormat="false" ht="17.15" hidden="false" customHeight="false" outlineLevel="0" collapsed="false">
      <c r="A234" s="0" t="s">
        <v>580</v>
      </c>
      <c r="B234" s="0" t="s">
        <v>581</v>
      </c>
      <c r="C234" s="0" t="s">
        <v>49</v>
      </c>
      <c r="D234" s="7" t="n">
        <v>0.2</v>
      </c>
      <c r="E234" s="7" t="n">
        <v>0.3</v>
      </c>
      <c r="F234" s="7" t="n">
        <v>0.45</v>
      </c>
      <c r="G234" s="8" t="s">
        <v>63</v>
      </c>
      <c r="H234" s="8" t="s">
        <v>582</v>
      </c>
    </row>
    <row r="235" customFormat="false" ht="17.15" hidden="false" customHeight="false" outlineLevel="0" collapsed="false">
      <c r="A235" s="0" t="s">
        <v>583</v>
      </c>
      <c r="B235" s="0" t="s">
        <v>584</v>
      </c>
      <c r="C235" s="0" t="s">
        <v>49</v>
      </c>
      <c r="D235" s="7" t="n">
        <v>0.25</v>
      </c>
      <c r="E235" s="7" t="n">
        <v>0.35</v>
      </c>
      <c r="F235" s="7" t="n">
        <v>0.5</v>
      </c>
      <c r="G235" s="8" t="s">
        <v>63</v>
      </c>
      <c r="H235" s="8" t="s">
        <v>585</v>
      </c>
    </row>
    <row r="236" customFormat="false" ht="17.15" hidden="false" customHeight="false" outlineLevel="0" collapsed="false">
      <c r="A236" s="0" t="s">
        <v>586</v>
      </c>
      <c r="B236" s="0" t="s">
        <v>587</v>
      </c>
      <c r="C236" s="0" t="s">
        <v>49</v>
      </c>
      <c r="D236" s="7" t="n">
        <v>-0.15</v>
      </c>
      <c r="E236" s="7" t="n">
        <v>-0.05</v>
      </c>
      <c r="F236" s="7" t="n">
        <v>0.05</v>
      </c>
      <c r="G236" s="8" t="s">
        <v>63</v>
      </c>
      <c r="H236" s="8" t="s">
        <v>588</v>
      </c>
    </row>
    <row r="237" customFormat="false" ht="17.15" hidden="false" customHeight="false" outlineLevel="0" collapsed="false">
      <c r="A237" s="0" t="s">
        <v>589</v>
      </c>
      <c r="B237" s="0" t="s">
        <v>590</v>
      </c>
      <c r="C237" s="0" t="s">
        <v>49</v>
      </c>
      <c r="D237" s="7" t="n">
        <v>-0.1</v>
      </c>
      <c r="E237" s="7" t="n">
        <v>0</v>
      </c>
      <c r="F237" s="7" t="n">
        <v>0.1</v>
      </c>
      <c r="G237" s="8" t="s">
        <v>63</v>
      </c>
      <c r="H237" s="8" t="s">
        <v>591</v>
      </c>
    </row>
    <row r="238" customFormat="false" ht="17.15" hidden="false" customHeight="false" outlineLevel="0" collapsed="false">
      <c r="A238" s="0" t="s">
        <v>592</v>
      </c>
      <c r="B238" s="0" t="s">
        <v>593</v>
      </c>
      <c r="C238" s="0" t="s">
        <v>49</v>
      </c>
      <c r="D238" s="7" t="n">
        <v>-0.1</v>
      </c>
      <c r="E238" s="7" t="n">
        <v>0.05</v>
      </c>
      <c r="F238" s="7" t="n">
        <v>0.15</v>
      </c>
      <c r="G238" s="8" t="s">
        <v>63</v>
      </c>
      <c r="H238" s="5" t="s">
        <v>594</v>
      </c>
    </row>
    <row r="239" customFormat="false" ht="17.15" hidden="false" customHeight="false" outlineLevel="0" collapsed="false">
      <c r="A239" s="1" t="s">
        <v>595</v>
      </c>
    </row>
    <row r="240" customFormat="false" ht="17.15" hidden="false" customHeight="false" outlineLevel="0" collapsed="false">
      <c r="A240" s="0" t="s">
        <v>596</v>
      </c>
      <c r="B240" s="0" t="s">
        <v>597</v>
      </c>
      <c r="C240" s="0" t="s">
        <v>550</v>
      </c>
      <c r="D240" s="7" t="n">
        <v>340</v>
      </c>
      <c r="E240" s="7" t="n">
        <v>374</v>
      </c>
      <c r="F240" s="7" t="n">
        <v>400</v>
      </c>
      <c r="G240" s="8" t="s">
        <v>598</v>
      </c>
      <c r="H240" s="8" t="s">
        <v>599</v>
      </c>
    </row>
    <row r="241" customFormat="false" ht="17.15" hidden="false" customHeight="false" outlineLevel="0" collapsed="false">
      <c r="A241" s="0" t="s">
        <v>600</v>
      </c>
      <c r="B241" s="5" t="s">
        <v>601</v>
      </c>
      <c r="C241" s="0" t="s">
        <v>602</v>
      </c>
      <c r="D241" s="7" t="n">
        <v>38</v>
      </c>
      <c r="E241" s="7" t="n">
        <v>42.8</v>
      </c>
      <c r="F241" s="7" t="n">
        <v>48</v>
      </c>
      <c r="G241" s="8" t="s">
        <v>39</v>
      </c>
      <c r="H241" s="8" t="s">
        <v>603</v>
      </c>
    </row>
    <row r="242" customFormat="false" ht="17.15" hidden="false" customHeight="false" outlineLevel="0" collapsed="false">
      <c r="A242" s="0" t="s">
        <v>604</v>
      </c>
      <c r="B242" s="5" t="s">
        <v>605</v>
      </c>
      <c r="C242" s="0" t="s">
        <v>602</v>
      </c>
      <c r="D242" s="7" t="n">
        <v>3.5</v>
      </c>
      <c r="E242" s="7" t="n">
        <v>4.46</v>
      </c>
      <c r="F242" s="7" t="n">
        <v>4.9</v>
      </c>
      <c r="G242" s="8" t="s">
        <v>39</v>
      </c>
      <c r="H242" s="8" t="s">
        <v>606</v>
      </c>
    </row>
    <row r="243" customFormat="false" ht="17.15" hidden="false" customHeight="false" outlineLevel="0" collapsed="false">
      <c r="A243" s="0" t="s">
        <v>607</v>
      </c>
      <c r="B243" s="5" t="s">
        <v>608</v>
      </c>
      <c r="C243" s="0" t="s">
        <v>550</v>
      </c>
      <c r="E243" s="7" t="n">
        <v>54.6</v>
      </c>
      <c r="G243" s="8" t="s">
        <v>59</v>
      </c>
      <c r="H243" s="8" t="s">
        <v>609</v>
      </c>
    </row>
    <row r="244" customFormat="false" ht="17.15" hidden="false" customHeight="false" outlineLevel="0" collapsed="false">
      <c r="A244" s="0" t="s">
        <v>610</v>
      </c>
      <c r="B244" s="5" t="s">
        <v>611</v>
      </c>
      <c r="C244" s="0" t="s">
        <v>550</v>
      </c>
      <c r="E244" s="7" t="n">
        <v>77.4</v>
      </c>
      <c r="G244" s="8" t="s">
        <v>59</v>
      </c>
      <c r="H244" s="8" t="s">
        <v>612</v>
      </c>
    </row>
    <row r="245" customFormat="false" ht="17.15" hidden="false" customHeight="false" outlineLevel="0" collapsed="false">
      <c r="A245" s="0" t="s">
        <v>613</v>
      </c>
      <c r="B245" s="5" t="s">
        <v>614</v>
      </c>
      <c r="C245" s="0" t="s">
        <v>550</v>
      </c>
      <c r="E245" s="7" t="n">
        <v>152.8</v>
      </c>
      <c r="G245" s="8" t="s">
        <v>59</v>
      </c>
      <c r="H245" s="8" t="s">
        <v>615</v>
      </c>
    </row>
    <row r="246" customFormat="false" ht="17.15" hidden="false" customHeight="false" outlineLevel="0" collapsed="false">
      <c r="A246" s="3" t="s">
        <v>616</v>
      </c>
    </row>
    <row r="247" customFormat="false" ht="17.15" hidden="false" customHeight="false" outlineLevel="0" collapsed="false">
      <c r="A247" s="9" t="s">
        <v>617</v>
      </c>
      <c r="B247" s="10" t="s">
        <v>618</v>
      </c>
      <c r="C247" s="9" t="s">
        <v>49</v>
      </c>
      <c r="D247" s="9"/>
      <c r="E247" s="11" t="n">
        <v>0.3</v>
      </c>
      <c r="F247" s="9"/>
      <c r="G247" s="9" t="s">
        <v>63</v>
      </c>
      <c r="H247" s="9" t="s">
        <v>619</v>
      </c>
    </row>
    <row r="248" customFormat="false" ht="17.15" hidden="false" customHeight="false" outlineLevel="0" collapsed="false">
      <c r="A248" s="9" t="s">
        <v>620</v>
      </c>
      <c r="B248" s="10" t="s">
        <v>621</v>
      </c>
      <c r="C248" s="9" t="s">
        <v>49</v>
      </c>
      <c r="D248" s="9"/>
      <c r="E248" s="11" t="n">
        <v>0.5</v>
      </c>
      <c r="F248" s="9"/>
      <c r="G248" s="9" t="s">
        <v>63</v>
      </c>
      <c r="H248" s="9" t="s">
        <v>619</v>
      </c>
    </row>
    <row r="249" customFormat="false" ht="17.15" hidden="false" customHeight="false" outlineLevel="0" collapsed="false">
      <c r="A249" s="9" t="s">
        <v>622</v>
      </c>
      <c r="B249" s="10" t="s">
        <v>623</v>
      </c>
      <c r="C249" s="9" t="s">
        <v>49</v>
      </c>
      <c r="D249" s="9"/>
      <c r="E249" s="11" t="n">
        <v>0.2</v>
      </c>
      <c r="F249" s="9"/>
      <c r="G249" s="9" t="s">
        <v>63</v>
      </c>
      <c r="H249" s="9" t="s">
        <v>619</v>
      </c>
    </row>
    <row r="250" customFormat="false" ht="17.15" hidden="false" customHeight="false" outlineLevel="0" collapsed="false">
      <c r="A250" s="9" t="s">
        <v>624</v>
      </c>
      <c r="B250" s="10" t="s">
        <v>625</v>
      </c>
      <c r="C250" s="9" t="s">
        <v>49</v>
      </c>
      <c r="D250" s="9"/>
      <c r="E250" s="11" t="n">
        <v>0.1</v>
      </c>
      <c r="F250" s="9"/>
      <c r="G250" s="9" t="s">
        <v>63</v>
      </c>
      <c r="H250" s="9" t="s">
        <v>626</v>
      </c>
    </row>
    <row r="251" customFormat="false" ht="17.15" hidden="false" customHeight="false" outlineLevel="0" collapsed="false">
      <c r="A251" s="9" t="s">
        <v>627</v>
      </c>
      <c r="B251" s="10" t="s">
        <v>628</v>
      </c>
      <c r="C251" s="9" t="s">
        <v>49</v>
      </c>
      <c r="D251" s="9"/>
      <c r="E251" s="11" t="n">
        <v>0.04</v>
      </c>
      <c r="F251" s="9"/>
      <c r="G251" s="9" t="s">
        <v>63</v>
      </c>
      <c r="H251" s="9" t="s">
        <v>629</v>
      </c>
    </row>
    <row r="252" customFormat="false" ht="17.15" hidden="false" customHeight="false" outlineLevel="0" collapsed="false">
      <c r="A252" s="9" t="s">
        <v>630</v>
      </c>
      <c r="B252" s="9" t="s">
        <v>631</v>
      </c>
      <c r="C252" s="9" t="s">
        <v>49</v>
      </c>
      <c r="D252" s="9"/>
      <c r="E252" s="12" t="n">
        <f aca="false">AVERAGE(-0.1565,0.3107,0.4414)</f>
        <v>0.198533333333333</v>
      </c>
      <c r="F252" s="9"/>
      <c r="G252" s="9" t="s">
        <v>39</v>
      </c>
      <c r="H252" s="9" t="s">
        <v>632</v>
      </c>
    </row>
    <row r="253" customFormat="false" ht="17.15" hidden="false" customHeight="false" outlineLevel="0" collapsed="false">
      <c r="A253" s="9" t="s">
        <v>633</v>
      </c>
      <c r="B253" s="10" t="s">
        <v>634</v>
      </c>
      <c r="C253" s="9" t="s">
        <v>49</v>
      </c>
      <c r="D253" s="9"/>
      <c r="E253" s="11" t="n">
        <v>0.5</v>
      </c>
      <c r="F253" s="9"/>
      <c r="G253" s="9" t="s">
        <v>63</v>
      </c>
      <c r="H253" s="9" t="s">
        <v>635</v>
      </c>
    </row>
    <row r="254" customFormat="false" ht="17.15" hidden="false" customHeight="false" outlineLevel="0" collapsed="false">
      <c r="A254" s="9" t="s">
        <v>636</v>
      </c>
      <c r="B254" s="10" t="s">
        <v>637</v>
      </c>
      <c r="C254" s="9" t="s">
        <v>49</v>
      </c>
      <c r="D254" s="9"/>
      <c r="E254" s="12" t="n">
        <f aca="false">AVERAGE(2.96/17.198,10.642/30.109,15.54/40.445,2.016/26.991,4.759/31.9,0.2233,0.05,-0.2781,0.2989,0.4418)</f>
        <v>0.186956417945053</v>
      </c>
      <c r="F254" s="9"/>
      <c r="G254" s="9" t="s">
        <v>39</v>
      </c>
      <c r="H254" s="9" t="s">
        <v>638</v>
      </c>
    </row>
    <row r="255" customFormat="false" ht="17.15" hidden="false" customHeight="false" outlineLevel="0" collapsed="false">
      <c r="A255" s="9" t="s">
        <v>639</v>
      </c>
      <c r="B255" s="10" t="s">
        <v>640</v>
      </c>
      <c r="C255" s="9" t="s">
        <v>49</v>
      </c>
      <c r="D255" s="9"/>
      <c r="E255" s="12" t="n">
        <f aca="false">tp_g+0.02</f>
        <v>0.06</v>
      </c>
      <c r="F255" s="9"/>
      <c r="G255" s="9" t="s">
        <v>63</v>
      </c>
      <c r="H255" s="10" t="s">
        <v>641</v>
      </c>
    </row>
    <row r="256" customFormat="false" ht="17.15" hidden="false" customHeight="false" outlineLevel="0" collapsed="false">
      <c r="A256" s="9" t="s">
        <v>642</v>
      </c>
      <c r="B256" s="10" t="s">
        <v>643</v>
      </c>
      <c r="C256" s="9" t="s">
        <v>49</v>
      </c>
      <c r="D256" s="9"/>
      <c r="E256" s="12" t="n">
        <f aca="false">tp_g</f>
        <v>0.04</v>
      </c>
      <c r="F256" s="9"/>
      <c r="G256" s="9" t="s">
        <v>63</v>
      </c>
      <c r="H256" s="10" t="s">
        <v>641</v>
      </c>
    </row>
    <row r="257" customFormat="false" ht="17.15" hidden="false" customHeight="false" outlineLevel="0" collapsed="false">
      <c r="A257" s="9" t="s">
        <v>644</v>
      </c>
      <c r="B257" s="10" t="s">
        <v>645</v>
      </c>
      <c r="C257" s="9" t="s">
        <v>49</v>
      </c>
      <c r="D257" s="9"/>
      <c r="E257" s="12" t="n">
        <f aca="false">tp_g-0.02</f>
        <v>0.02</v>
      </c>
      <c r="F257" s="9"/>
      <c r="G257" s="9" t="s">
        <v>63</v>
      </c>
      <c r="H257" s="10" t="s">
        <v>641</v>
      </c>
    </row>
    <row r="258" customFormat="false" ht="17.15" hidden="false" customHeight="false" outlineLevel="0" collapsed="false">
      <c r="A258" s="9" t="s">
        <v>646</v>
      </c>
      <c r="B258" s="10" t="s">
        <v>647</v>
      </c>
      <c r="C258" s="9" t="s">
        <v>226</v>
      </c>
      <c r="D258" s="9"/>
      <c r="E258" s="11" t="n">
        <v>1.2</v>
      </c>
      <c r="F258" s="9"/>
      <c r="G258" s="9" t="s">
        <v>63</v>
      </c>
      <c r="H258" s="9" t="s">
        <v>648</v>
      </c>
    </row>
    <row r="259" customFormat="false" ht="17.15" hidden="false" customHeight="false" outlineLevel="0" collapsed="false">
      <c r="A259" s="9" t="s">
        <v>649</v>
      </c>
      <c r="B259" s="10" t="s">
        <v>650</v>
      </c>
      <c r="C259" s="9" t="s">
        <v>226</v>
      </c>
      <c r="D259" s="9"/>
      <c r="E259" s="11" t="n">
        <v>0.8</v>
      </c>
      <c r="F259" s="9"/>
      <c r="G259" s="9" t="s">
        <v>63</v>
      </c>
      <c r="H259" s="9" t="s">
        <v>651</v>
      </c>
    </row>
    <row r="260" customFormat="false" ht="17.15" hidden="false" customHeight="false" outlineLevel="0" collapsed="false">
      <c r="A260" s="9" t="s">
        <v>652</v>
      </c>
      <c r="B260" s="10" t="s">
        <v>653</v>
      </c>
      <c r="C260" s="9" t="s">
        <v>49</v>
      </c>
      <c r="D260" s="9"/>
      <c r="E260" s="12" t="n">
        <f aca="false">nim10*cyc_mA</f>
        <v>0.224347701534064</v>
      </c>
      <c r="F260" s="9"/>
      <c r="G260" s="9" t="s">
        <v>39</v>
      </c>
      <c r="H260" s="9" t="s">
        <v>654</v>
      </c>
    </row>
    <row r="261" customFormat="false" ht="17.15" hidden="false" customHeight="false" outlineLevel="0" collapsed="false">
      <c r="A261" s="9" t="s">
        <v>655</v>
      </c>
      <c r="B261" s="10" t="s">
        <v>656</v>
      </c>
      <c r="C261" s="9" t="s">
        <v>49</v>
      </c>
      <c r="D261" s="9"/>
      <c r="E261" s="12" t="n">
        <f aca="false">nim10</f>
        <v>0.186956417945053</v>
      </c>
      <c r="F261" s="9"/>
      <c r="G261" s="9" t="s">
        <v>39</v>
      </c>
      <c r="H261" s="9" t="s">
        <v>654</v>
      </c>
    </row>
    <row r="262" customFormat="false" ht="17.15" hidden="false" customHeight="false" outlineLevel="0" collapsed="false">
      <c r="A262" s="9" t="s">
        <v>657</v>
      </c>
      <c r="B262" s="10" t="s">
        <v>658</v>
      </c>
      <c r="C262" s="9" t="s">
        <v>49</v>
      </c>
      <c r="D262" s="9"/>
      <c r="E262" s="12" t="n">
        <f aca="false">nim10*cyc_mC</f>
        <v>0.149565134356042</v>
      </c>
      <c r="F262" s="9"/>
      <c r="G262" s="9" t="s">
        <v>39</v>
      </c>
      <c r="H262" s="9" t="s">
        <v>654</v>
      </c>
    </row>
    <row r="263" customFormat="false" ht="17.15" hidden="false" customHeight="false" outlineLevel="0" collapsed="false">
      <c r="A263" s="9" t="s">
        <v>659</v>
      </c>
      <c r="B263" s="10" t="s">
        <v>660</v>
      </c>
      <c r="C263" s="9" t="s">
        <v>43</v>
      </c>
      <c r="D263" s="11" t="n">
        <v>1535000</v>
      </c>
      <c r="E263" s="11" t="n">
        <v>3096288</v>
      </c>
      <c r="F263" s="11" t="n">
        <v>4700000</v>
      </c>
      <c r="G263" s="9" t="s">
        <v>59</v>
      </c>
      <c r="H263" s="9" t="s">
        <v>661</v>
      </c>
    </row>
    <row r="264" customFormat="false" ht="17.15" hidden="false" customHeight="false" outlineLevel="0" collapsed="false">
      <c r="A264" s="9" t="s">
        <v>662</v>
      </c>
      <c r="B264" s="10" t="s">
        <v>663</v>
      </c>
      <c r="C264" s="9" t="s">
        <v>43</v>
      </c>
      <c r="D264" s="9"/>
      <c r="E264" s="11" t="n">
        <v>475721</v>
      </c>
      <c r="F264" s="9"/>
      <c r="G264" s="9" t="s">
        <v>59</v>
      </c>
      <c r="H264" s="9" t="s">
        <v>664</v>
      </c>
    </row>
    <row r="265" customFormat="false" ht="17.15" hidden="false" customHeight="false" outlineLevel="0" collapsed="false">
      <c r="A265" s="9" t="s">
        <v>665</v>
      </c>
      <c r="B265" s="10" t="s">
        <v>666</v>
      </c>
      <c r="C265" s="9" t="s">
        <v>43</v>
      </c>
      <c r="D265" s="9"/>
      <c r="E265" s="11" t="n">
        <v>537981</v>
      </c>
      <c r="F265" s="9"/>
      <c r="G265" s="9" t="s">
        <v>59</v>
      </c>
      <c r="H265" s="9" t="s">
        <v>664</v>
      </c>
    </row>
    <row r="266" customFormat="false" ht="17.15" hidden="false" customHeight="false" outlineLevel="0" collapsed="false">
      <c r="A266" s="9" t="s">
        <v>667</v>
      </c>
      <c r="B266" s="10" t="s">
        <v>668</v>
      </c>
      <c r="C266" s="9" t="s">
        <v>43</v>
      </c>
      <c r="D266" s="9"/>
      <c r="E266" s="11" t="n">
        <v>1398106</v>
      </c>
      <c r="F266" s="9"/>
      <c r="G266" s="9" t="s">
        <v>59</v>
      </c>
      <c r="H266" s="9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2" min="3" style="0" width="8"/>
  </cols>
  <sheetData>
    <row r="1" customFormat="false" ht="17.15" hidden="false" customHeight="false" outlineLevel="0" collapsed="false">
      <c r="A1" s="0" t="s">
        <v>669</v>
      </c>
    </row>
    <row r="3" customFormat="false" ht="15" hidden="false" customHeight="false" outlineLevel="0" collapsed="false">
      <c r="A3" s="6" t="s">
        <v>670</v>
      </c>
      <c r="B3" s="6" t="s">
        <v>671</v>
      </c>
      <c r="C3" s="13" t="s">
        <v>672</v>
      </c>
      <c r="D3" s="13" t="s">
        <v>673</v>
      </c>
      <c r="E3" s="13" t="s">
        <v>674</v>
      </c>
      <c r="F3" s="13" t="s">
        <v>675</v>
      </c>
      <c r="G3" s="13" t="s">
        <v>676</v>
      </c>
      <c r="H3" s="13" t="s">
        <v>677</v>
      </c>
      <c r="I3" s="13" t="s">
        <v>678</v>
      </c>
      <c r="J3" s="13" t="s">
        <v>679</v>
      </c>
      <c r="K3" s="13" t="s">
        <v>680</v>
      </c>
      <c r="L3" s="13" t="s">
        <v>681</v>
      </c>
      <c r="M3" s="13" t="s">
        <v>682</v>
      </c>
      <c r="N3" s="13" t="s">
        <v>683</v>
      </c>
      <c r="O3" s="13" t="s">
        <v>684</v>
      </c>
      <c r="P3" s="13" t="s">
        <v>685</v>
      </c>
      <c r="Q3" s="13" t="s">
        <v>686</v>
      </c>
      <c r="R3" s="13" t="s">
        <v>687</v>
      </c>
      <c r="S3" s="13" t="s">
        <v>688</v>
      </c>
      <c r="T3" s="13" t="s">
        <v>689</v>
      </c>
      <c r="U3" s="13" t="s">
        <v>690</v>
      </c>
      <c r="V3" s="13" t="s">
        <v>691</v>
      </c>
    </row>
    <row r="4" customFormat="false" ht="17.15" hidden="false" customHeight="false" outlineLevel="0" collapsed="false">
      <c r="A4" s="5" t="s">
        <v>692</v>
      </c>
      <c r="B4" s="0" t="s">
        <v>693</v>
      </c>
      <c r="C4" s="0" t="n">
        <v>1</v>
      </c>
      <c r="D4" s="14" t="n">
        <f aca="false">C4*(1+cq_1)</f>
        <v>0.975</v>
      </c>
      <c r="E4" s="14" t="n">
        <f aca="false">D4*(1+cq_2)</f>
        <v>1.096875</v>
      </c>
      <c r="F4" s="14" t="n">
        <f aca="false">E4*(1+cq_3)</f>
        <v>1.617890625</v>
      </c>
      <c r="G4" s="14" t="n">
        <f aca="false">F4*(1+cq_4)</f>
        <v>3.15488671875</v>
      </c>
      <c r="H4" s="14" t="n">
        <f aca="false">G4*(1+cq_5)</f>
        <v>5.06359318359375</v>
      </c>
      <c r="I4" s="14" t="n">
        <f aca="false">H4*(1+cq_6)</f>
        <v>5.84845012705078</v>
      </c>
      <c r="J4" s="14" t="n">
        <f aca="false">I4*(1+cq_7)</f>
        <v>6.57950639293213</v>
      </c>
      <c r="K4" s="14" t="n">
        <f aca="false">J4*(1+cqA_8)</f>
        <v>6.77689158472009</v>
      </c>
      <c r="L4" s="14" t="n">
        <f aca="false">K4*(1+cqA_9)</f>
        <v>6.77689158472009</v>
      </c>
      <c r="M4" s="14" t="n">
        <f aca="false">L4*(1+cqA_10)</f>
        <v>6.64135375302569</v>
      </c>
      <c r="N4" s="14" t="n">
        <f aca="false">M4*(1+cqA_11)</f>
        <v>6.44211314043492</v>
      </c>
      <c r="O4" s="14" t="n">
        <f aca="false">N4*(1+cqA_12)</f>
        <v>6.24884974622187</v>
      </c>
      <c r="P4" s="14" t="n">
        <f aca="false">O4*(1+cqA_13)</f>
        <v>6.06138425383522</v>
      </c>
      <c r="Q4" s="14" t="n">
        <f aca="false">P4*(1+cqA_14)</f>
        <v>5.94015656875851</v>
      </c>
      <c r="R4" s="14" t="n">
        <f aca="false">Q4*(1+cqA_15)</f>
        <v>5.82135343738334</v>
      </c>
      <c r="S4" s="14" t="n">
        <f aca="false">R4*(1+cqA_16)</f>
        <v>5.64671283426184</v>
      </c>
      <c r="T4" s="14" t="n">
        <f aca="false">S4*(1+cqA_17)</f>
        <v>5.47731144923399</v>
      </c>
      <c r="U4" s="14" t="n">
        <f aca="false">T4*(1+cqA_18)</f>
        <v>5.36776522024931</v>
      </c>
      <c r="V4" s="14" t="n">
        <f aca="false">U4*(1+cqA_19)</f>
        <v>5.26040991584432</v>
      </c>
    </row>
    <row r="5" customFormat="false" ht="17.15" hidden="false" customHeight="false" outlineLevel="0" collapsed="false">
      <c r="A5" s="5" t="s">
        <v>692</v>
      </c>
      <c r="B5" s="0" t="s">
        <v>694</v>
      </c>
      <c r="C5" s="0" t="n">
        <v>1</v>
      </c>
      <c r="D5" s="14" t="n">
        <f aca="false">C5*(1+cq_1)</f>
        <v>0.975</v>
      </c>
      <c r="E5" s="14" t="n">
        <f aca="false">D5*(1+cq_2)</f>
        <v>1.096875</v>
      </c>
      <c r="F5" s="14" t="n">
        <f aca="false">E5*(1+cq_3)</f>
        <v>1.617890625</v>
      </c>
      <c r="G5" s="14" t="n">
        <f aca="false">F5*(1+cq_4)</f>
        <v>3.15488671875</v>
      </c>
      <c r="H5" s="14" t="n">
        <f aca="false">G5*(1+cq_5)</f>
        <v>5.06359318359375</v>
      </c>
      <c r="I5" s="14" t="n">
        <f aca="false">H5*(1+cq_6)</f>
        <v>5.84845012705078</v>
      </c>
      <c r="J5" s="14" t="n">
        <f aca="false">I5*(1+cq_7)</f>
        <v>6.57950639293213</v>
      </c>
      <c r="K5" s="14" t="n">
        <f aca="false">J5*(1+cqB_8)</f>
        <v>6.90848171257874</v>
      </c>
      <c r="L5" s="14" t="n">
        <f aca="false">K5*(1+cqB_9)</f>
        <v>7.04665134683031</v>
      </c>
      <c r="M5" s="14" t="n">
        <f aca="false">L5*(1+cqB_10)</f>
        <v>6.48291923908389</v>
      </c>
      <c r="N5" s="14" t="n">
        <f aca="false">M5*(1+cqB_11)</f>
        <v>5.5104813532213</v>
      </c>
      <c r="O5" s="14" t="n">
        <f aca="false">N5*(1+cqB_12)</f>
        <v>4.13286101491598</v>
      </c>
      <c r="P5" s="14" t="n">
        <f aca="false">O5*(1+cqB_13)</f>
        <v>3.51293186267858</v>
      </c>
      <c r="Q5" s="14" t="n">
        <f aca="false">P5*(1+cqB_14)</f>
        <v>3.16163867641072</v>
      </c>
      <c r="R5" s="14" t="n">
        <f aca="false">Q5*(1+cqB_15)</f>
        <v>3.00355674259019</v>
      </c>
      <c r="S5" s="14" t="n">
        <f aca="false">R5*(1+cqB_16)</f>
        <v>3.1537345797197</v>
      </c>
      <c r="T5" s="14" t="n">
        <f aca="false">S5*(1+cqB_17)</f>
        <v>3.31142130870568</v>
      </c>
      <c r="U5" s="14" t="n">
        <f aca="false">T5*(1+cqB_18)</f>
        <v>3.41076394796685</v>
      </c>
      <c r="V5" s="14" t="n">
        <f aca="false">U5*(1+cqB_19)</f>
        <v>3.51308686640586</v>
      </c>
    </row>
    <row r="6" customFormat="false" ht="17.15" hidden="false" customHeight="false" outlineLevel="0" collapsed="false">
      <c r="A6" s="5" t="s">
        <v>692</v>
      </c>
      <c r="B6" s="0" t="s">
        <v>695</v>
      </c>
      <c r="C6" s="0" t="n">
        <v>1</v>
      </c>
      <c r="D6" s="14" t="n">
        <f aca="false">C6*(1+cq_1)</f>
        <v>0.975</v>
      </c>
      <c r="E6" s="14" t="n">
        <f aca="false">D6*(1+cq_2)</f>
        <v>1.096875</v>
      </c>
      <c r="F6" s="14" t="n">
        <f aca="false">E6*(1+cq_3)</f>
        <v>1.617890625</v>
      </c>
      <c r="G6" s="14" t="n">
        <f aca="false">F6*(1+cq_4)</f>
        <v>3.15488671875</v>
      </c>
      <c r="H6" s="14" t="n">
        <f aca="false">G6*(1+cq_5)</f>
        <v>5.06359318359375</v>
      </c>
      <c r="I6" s="14" t="n">
        <f aca="false">H6*(1+cq_6)</f>
        <v>5.84845012705078</v>
      </c>
      <c r="J6" s="14" t="n">
        <f aca="false">I6*(1+cq_7)</f>
        <v>6.57950639293213</v>
      </c>
      <c r="K6" s="14" t="n">
        <f aca="false">J6*(1+cqC_8)</f>
        <v>6.90848171257874</v>
      </c>
      <c r="L6" s="14" t="n">
        <f aca="false">K6*(1+cqC_9)</f>
        <v>7.04665134683031</v>
      </c>
      <c r="M6" s="14" t="n">
        <f aca="false">L6*(1+cqC_10)</f>
        <v>6.48291923908389</v>
      </c>
      <c r="N6" s="14" t="n">
        <f aca="false">M6*(1+cqC_11)</f>
        <v>5.5104813532213</v>
      </c>
      <c r="O6" s="14" t="n">
        <f aca="false">N6*(1+cqC_12)</f>
        <v>3.58181287959385</v>
      </c>
      <c r="P6" s="14" t="n">
        <f aca="false">O6*(1+cqC_13)</f>
        <v>2.50726901571569</v>
      </c>
      <c r="Q6" s="14" t="n">
        <f aca="false">P6*(1+cqC_14)</f>
        <v>1.88045176178677</v>
      </c>
      <c r="R6" s="14" t="n">
        <f aca="false">Q6*(1+cqC_15)</f>
        <v>1.50436140942942</v>
      </c>
      <c r="S6" s="14" t="n">
        <f aca="false">R6*(1+cqC_16)</f>
        <v>1.50436140942942</v>
      </c>
      <c r="T6" s="14" t="n">
        <f aca="false">S6*(1+cqC_17)</f>
        <v>1.57957947990089</v>
      </c>
      <c r="U6" s="14" t="n">
        <f aca="false">T6*(1+cqC_18)</f>
        <v>1.70594583829296</v>
      </c>
      <c r="V6" s="14" t="n">
        <f aca="false">U6*(1+cqC_19)</f>
        <v>1.87654042212225</v>
      </c>
    </row>
    <row r="8" customFormat="false" ht="15" hidden="false" customHeight="false" outlineLevel="0" collapsed="false">
      <c r="A8" s="0" t="s">
        <v>696</v>
      </c>
      <c r="B8" s="0" t="s">
        <v>693</v>
      </c>
      <c r="C8" s="0" t="n">
        <v>1</v>
      </c>
      <c r="D8" s="14" t="n">
        <f aca="false">C8*(1+nq_1)</f>
        <v>1</v>
      </c>
      <c r="E8" s="14" t="n">
        <f aca="false">D8*(1+nq_2)</f>
        <v>1.05</v>
      </c>
      <c r="F8" s="14" t="n">
        <f aca="false">E8*(1+nq_3)</f>
        <v>1.365</v>
      </c>
      <c r="G8" s="14" t="n">
        <f aca="false">F8*(1+nq_4)</f>
        <v>2.559375</v>
      </c>
      <c r="H8" s="14" t="n">
        <f aca="false">G8*(1+nq_5)</f>
        <v>4.414921875</v>
      </c>
      <c r="I8" s="14" t="n">
        <f aca="false">H8*(1+nq_6)</f>
        <v>5.07716015625</v>
      </c>
      <c r="J8" s="14" t="n">
        <f aca="false">I8*(1+nq_7)</f>
        <v>5.96566318359375</v>
      </c>
      <c r="K8" s="14" t="n">
        <f aca="false">J8*(1+nqA_8)</f>
        <v>6.14463307910156</v>
      </c>
      <c r="L8" s="14" t="n">
        <f aca="false">K8*(1+nqA_9)</f>
        <v>6.14463307910156</v>
      </c>
      <c r="M8" s="14" t="n">
        <f aca="false">L8*(1+nqA_10)</f>
        <v>5.83740142514648</v>
      </c>
      <c r="N8" s="14" t="n">
        <f aca="false">M8*(1+nqA_11)</f>
        <v>5.42878332538623</v>
      </c>
      <c r="O8" s="14" t="n">
        <f aca="false">N8*(1+nqA_12)</f>
        <v>5.15734415911692</v>
      </c>
      <c r="P8" s="14" t="n">
        <f aca="false">O8*(1+nqA_13)</f>
        <v>4.89947695116107</v>
      </c>
      <c r="Q8" s="14" t="n">
        <f aca="false">P8*(1+nqA_14)</f>
        <v>4.65450310360302</v>
      </c>
      <c r="R8" s="14" t="n">
        <f aca="false">Q8*(1+nqA_15)</f>
        <v>4.42177794842287</v>
      </c>
      <c r="S8" s="14" t="n">
        <f aca="false">R8*(1+nqA_16)</f>
        <v>4.28912460997018</v>
      </c>
      <c r="T8" s="14" t="n">
        <f aca="false">S8*(1+nqA_17)</f>
        <v>4.16045087167108</v>
      </c>
      <c r="U8" s="14" t="n">
        <f aca="false">T8*(1+nqA_18)</f>
        <v>4.03563734552094</v>
      </c>
      <c r="V8" s="14" t="n">
        <f aca="false">U8*(1+nqA_19)</f>
        <v>3.91456822515532</v>
      </c>
    </row>
    <row r="9" customFormat="false" ht="15" hidden="false" customHeight="false" outlineLevel="0" collapsed="false">
      <c r="A9" s="0" t="s">
        <v>696</v>
      </c>
      <c r="B9" s="0" t="s">
        <v>694</v>
      </c>
      <c r="C9" s="0" t="n">
        <v>1</v>
      </c>
      <c r="D9" s="14" t="n">
        <f aca="false">C9*(1+nq_1)</f>
        <v>1</v>
      </c>
      <c r="E9" s="14" t="n">
        <f aca="false">D9*(1+nq_2)</f>
        <v>1.05</v>
      </c>
      <c r="F9" s="14" t="n">
        <f aca="false">E9*(1+nq_3)</f>
        <v>1.365</v>
      </c>
      <c r="G9" s="14" t="n">
        <f aca="false">F9*(1+nq_4)</f>
        <v>2.559375</v>
      </c>
      <c r="H9" s="14" t="n">
        <f aca="false">G9*(1+nq_5)</f>
        <v>4.414921875</v>
      </c>
      <c r="I9" s="14" t="n">
        <f aca="false">H9*(1+nq_6)</f>
        <v>5.07716015625</v>
      </c>
      <c r="J9" s="14" t="n">
        <f aca="false">I9*(1+nq_7)</f>
        <v>5.96566318359375</v>
      </c>
      <c r="K9" s="14" t="n">
        <f aca="false">J9*(1+nqB_8)</f>
        <v>6.26394634277344</v>
      </c>
      <c r="L9" s="14" t="n">
        <f aca="false">K9*(1+nqB_9)</f>
        <v>6.38922526962891</v>
      </c>
      <c r="M9" s="14" t="n">
        <f aca="false">L9*(1+nqB_10)</f>
        <v>5.75030274266602</v>
      </c>
      <c r="N9" s="14" t="n">
        <f aca="false">M9*(1+nqB_11)</f>
        <v>4.60024219413281</v>
      </c>
      <c r="O9" s="14" t="n">
        <f aca="false">N9*(1+nqB_12)</f>
        <v>3.22016953589297</v>
      </c>
      <c r="P9" s="14" t="n">
        <f aca="false">O9*(1+nqB_13)</f>
        <v>2.41512715191973</v>
      </c>
      <c r="Q9" s="14" t="n">
        <f aca="false">P9*(1+nqB_14)</f>
        <v>1.93210172153578</v>
      </c>
      <c r="R9" s="14" t="n">
        <f aca="false">Q9*(1+nqB_15)</f>
        <v>1.7388915493822</v>
      </c>
      <c r="S9" s="14" t="n">
        <f aca="false">R9*(1+nqB_16)</f>
        <v>1.82583612685131</v>
      </c>
      <c r="T9" s="14" t="n">
        <f aca="false">S9*(1+nqB_17)</f>
        <v>1.91712793319388</v>
      </c>
      <c r="U9" s="14" t="n">
        <f aca="false">T9*(1+nqB_18)</f>
        <v>1.9746417711897</v>
      </c>
      <c r="V9" s="14" t="n">
        <f aca="false">U9*(1+nqB_19)</f>
        <v>2.03388102432539</v>
      </c>
    </row>
    <row r="10" customFormat="false" ht="15" hidden="false" customHeight="false" outlineLevel="0" collapsed="false">
      <c r="A10" s="0" t="s">
        <v>696</v>
      </c>
      <c r="B10" s="0" t="s">
        <v>695</v>
      </c>
      <c r="C10" s="0" t="n">
        <v>1</v>
      </c>
      <c r="D10" s="14" t="n">
        <f aca="false">C10*(1+nq_1)</f>
        <v>1</v>
      </c>
      <c r="E10" s="14" t="n">
        <f aca="false">D10*(1+nq_2)</f>
        <v>1.05</v>
      </c>
      <c r="F10" s="14" t="n">
        <f aca="false">E10*(1+nq_3)</f>
        <v>1.365</v>
      </c>
      <c r="G10" s="14" t="n">
        <f aca="false">F10*(1+nq_4)</f>
        <v>2.559375</v>
      </c>
      <c r="H10" s="14" t="n">
        <f aca="false">G10*(1+nq_5)</f>
        <v>4.414921875</v>
      </c>
      <c r="I10" s="14" t="n">
        <f aca="false">H10*(1+nq_6)</f>
        <v>5.07716015625</v>
      </c>
      <c r="J10" s="14" t="n">
        <f aca="false">I10*(1+nq_7)</f>
        <v>5.96566318359375</v>
      </c>
      <c r="K10" s="14" t="n">
        <f aca="false">J10*(1+nqC_8)</f>
        <v>6.26394634277344</v>
      </c>
      <c r="L10" s="14" t="n">
        <f aca="false">K10*(1+nqC_9)</f>
        <v>6.38922526962891</v>
      </c>
      <c r="M10" s="14" t="n">
        <f aca="false">L10*(1+nqC_10)</f>
        <v>5.75030274266602</v>
      </c>
      <c r="N10" s="14" t="n">
        <f aca="false">M10*(1+nqC_11)</f>
        <v>4.60024219413281</v>
      </c>
      <c r="O10" s="14" t="n">
        <f aca="false">N10*(1+nqC_12)</f>
        <v>2.99015742618633</v>
      </c>
      <c r="P10" s="14" t="n">
        <f aca="false">O10*(1+nqC_13)</f>
        <v>1.94360232702111</v>
      </c>
      <c r="Q10" s="14" t="n">
        <f aca="false">P10*(1+nqC_14)</f>
        <v>1.45770174526584</v>
      </c>
      <c r="R10" s="14" t="n">
        <f aca="false">Q10*(1+nqC_15)</f>
        <v>1.16616139621267</v>
      </c>
      <c r="S10" s="14" t="n">
        <f aca="false">R10*(1+nqC_16)</f>
        <v>1.16616139621267</v>
      </c>
      <c r="T10" s="14" t="n">
        <f aca="false">S10*(1+nqC_17)</f>
        <v>1.2244694660233</v>
      </c>
      <c r="U10" s="14" t="n">
        <f aca="false">T10*(1+nqC_18)</f>
        <v>1.32242702330517</v>
      </c>
      <c r="V10" s="14" t="n">
        <f aca="false">U10*(1+nqC_19)</f>
        <v>1.45466972563568</v>
      </c>
    </row>
    <row r="12" customFormat="false" ht="15" hidden="false" customHeight="false" outlineLevel="0" collapsed="false">
      <c r="A12" s="3" t="s">
        <v>697</v>
      </c>
    </row>
    <row r="13" customFormat="false" ht="15" hidden="false" customHeight="false" outlineLevel="0" collapsed="false">
      <c r="A13" s="6" t="s">
        <v>670</v>
      </c>
      <c r="B13" s="6" t="s">
        <v>671</v>
      </c>
      <c r="C13" s="13" t="s">
        <v>698</v>
      </c>
      <c r="D13" s="13" t="s">
        <v>699</v>
      </c>
      <c r="E13" s="13" t="s">
        <v>700</v>
      </c>
      <c r="F13" s="13" t="s">
        <v>701</v>
      </c>
      <c r="G13" s="13" t="s">
        <v>702</v>
      </c>
      <c r="H13" s="13" t="s">
        <v>703</v>
      </c>
      <c r="I13" s="13" t="s">
        <v>704</v>
      </c>
      <c r="J13" s="13" t="s">
        <v>705</v>
      </c>
      <c r="K13" s="13" t="s">
        <v>706</v>
      </c>
    </row>
    <row r="14" customFormat="false" ht="17.15" hidden="false" customHeight="false" outlineLevel="0" collapsed="false">
      <c r="A14" s="5" t="s">
        <v>692</v>
      </c>
      <c r="B14" s="0" t="s">
        <v>693</v>
      </c>
      <c r="C14" s="14" t="n">
        <f aca="false">AVERAGE(C4:F4)</f>
        <v>1.17244140625</v>
      </c>
      <c r="D14" s="14" t="n">
        <f aca="false">AVERAGE(G4:J4)</f>
        <v>5.16160910558167</v>
      </c>
      <c r="E14" s="14" t="n">
        <f aca="false">AVERAGE(K4:N4)</f>
        <v>6.6593125157252</v>
      </c>
      <c r="F14" s="14" t="n">
        <f aca="false">AVERAGE(O4:R4)</f>
        <v>6.01793600154974</v>
      </c>
      <c r="G14" s="14" t="n">
        <f aca="false">AVERAGE(S4:V4)</f>
        <v>5.43804985489736</v>
      </c>
      <c r="H14" s="15" t="n">
        <f aca="false">D14/C14-1</f>
        <v>3.40244525488982</v>
      </c>
      <c r="I14" s="15" t="n">
        <f aca="false">E14/D14-1</f>
        <v>0.290162114082592</v>
      </c>
      <c r="J14" s="15" t="n">
        <f aca="false">F14/E14-1</f>
        <v>-0.0963127218704524</v>
      </c>
      <c r="K14" s="15" t="n">
        <f aca="false">G14/F14-1</f>
        <v>-0.0963596400000002</v>
      </c>
    </row>
    <row r="15" customFormat="false" ht="17.15" hidden="false" customHeight="false" outlineLevel="0" collapsed="false">
      <c r="A15" s="5" t="s">
        <v>692</v>
      </c>
      <c r="B15" s="0" t="s">
        <v>694</v>
      </c>
      <c r="C15" s="14" t="n">
        <f aca="false">AVERAGE(C5:F5)</f>
        <v>1.17244140625</v>
      </c>
      <c r="D15" s="14" t="n">
        <f aca="false">AVERAGE(G5:J5)</f>
        <v>5.16160910558167</v>
      </c>
      <c r="E15" s="14" t="n">
        <f aca="false">AVERAGE(K5:N5)</f>
        <v>6.48713341292856</v>
      </c>
      <c r="F15" s="14" t="n">
        <f aca="false">AVERAGE(O5:R5)</f>
        <v>3.45274707414887</v>
      </c>
      <c r="G15" s="14" t="n">
        <f aca="false">AVERAGE(S5:V5)</f>
        <v>3.34725167569952</v>
      </c>
      <c r="H15" s="15" t="n">
        <f aca="false">D15/C15-1</f>
        <v>3.40244525488982</v>
      </c>
      <c r="I15" s="15" t="n">
        <f aca="false">E15/D15-1</f>
        <v>0.25680447322396</v>
      </c>
      <c r="J15" s="15" t="n">
        <f aca="false">F15/E15-1</f>
        <v>-0.467754575962982</v>
      </c>
      <c r="K15" s="15" t="n">
        <f aca="false">G15/F15-1</f>
        <v>-0.0305540475985635</v>
      </c>
    </row>
    <row r="16" customFormat="false" ht="17.15" hidden="false" customHeight="false" outlineLevel="0" collapsed="false">
      <c r="A16" s="5" t="s">
        <v>692</v>
      </c>
      <c r="B16" s="0" t="s">
        <v>695</v>
      </c>
      <c r="C16" s="14" t="n">
        <f aca="false">AVERAGE(C6:F6)</f>
        <v>1.17244140625</v>
      </c>
      <c r="D16" s="14" t="n">
        <f aca="false">AVERAGE(G6:J6)</f>
        <v>5.16160910558167</v>
      </c>
      <c r="E16" s="14" t="n">
        <f aca="false">AVERAGE(K6:N6)</f>
        <v>6.48713341292856</v>
      </c>
      <c r="F16" s="14" t="n">
        <f aca="false">AVERAGE(O6:R6)</f>
        <v>2.36847376663143</v>
      </c>
      <c r="G16" s="14" t="n">
        <f aca="false">AVERAGE(S6:V6)</f>
        <v>1.66660678743638</v>
      </c>
      <c r="H16" s="15" t="n">
        <f aca="false">D16/C16-1</f>
        <v>3.40244525488982</v>
      </c>
      <c r="I16" s="15" t="n">
        <f aca="false">E16/D16-1</f>
        <v>0.25680447322396</v>
      </c>
      <c r="J16" s="15" t="n">
        <f aca="false">F16/E16-1</f>
        <v>-0.634896707702793</v>
      </c>
      <c r="K16" s="15" t="n">
        <f aca="false">G16/F16-1</f>
        <v>-0.296337240075614</v>
      </c>
    </row>
    <row r="17" customFormat="false" ht="15" hidden="false" customHeight="false" outlineLevel="0" collapsed="false">
      <c r="A17" s="0" t="s">
        <v>696</v>
      </c>
      <c r="B17" s="0" t="s">
        <v>693</v>
      </c>
      <c r="C17" s="14" t="n">
        <f aca="false">AVERAGE(C8:F8)</f>
        <v>1.10375</v>
      </c>
      <c r="D17" s="14" t="n">
        <f aca="false">AVERAGE(G8:J8)</f>
        <v>4.50428005371094</v>
      </c>
      <c r="E17" s="14" t="n">
        <f aca="false">AVERAGE(K8:N8)</f>
        <v>5.88886272718396</v>
      </c>
      <c r="F17" s="14" t="n">
        <f aca="false">AVERAGE(O8:R8)</f>
        <v>4.78327554057597</v>
      </c>
      <c r="G17" s="14" t="n">
        <f aca="false">AVERAGE(S8:V8)</f>
        <v>4.09994526307938</v>
      </c>
      <c r="H17" s="15" t="n">
        <f aca="false">D17/C17-1</f>
        <v>3.08088793088194</v>
      </c>
      <c r="I17" s="15" t="n">
        <f aca="false">E17/D17-1</f>
        <v>0.307392670296401</v>
      </c>
      <c r="J17" s="15" t="n">
        <f aca="false">F17/E17-1</f>
        <v>-0.187742054421547</v>
      </c>
      <c r="K17" s="15" t="n">
        <f aca="false">G17/F17-1</f>
        <v>-0.142858230035042</v>
      </c>
    </row>
    <row r="18" customFormat="false" ht="15" hidden="false" customHeight="false" outlineLevel="0" collapsed="false">
      <c r="A18" s="0" t="s">
        <v>696</v>
      </c>
      <c r="B18" s="0" t="s">
        <v>694</v>
      </c>
      <c r="C18" s="14" t="n">
        <f aca="false">AVERAGE(C9:F9)</f>
        <v>1.10375</v>
      </c>
      <c r="D18" s="14" t="n">
        <f aca="false">AVERAGE(G9:J9)</f>
        <v>4.50428005371094</v>
      </c>
      <c r="E18" s="14" t="n">
        <f aca="false">AVERAGE(K9:N9)</f>
        <v>5.75092913730029</v>
      </c>
      <c r="F18" s="14" t="n">
        <f aca="false">AVERAGE(O9:R9)</f>
        <v>2.32657248968267</v>
      </c>
      <c r="G18" s="14" t="n">
        <f aca="false">AVERAGE(S9:V9)</f>
        <v>1.93787171389007</v>
      </c>
      <c r="H18" s="15" t="n">
        <f aca="false">D18/C18-1</f>
        <v>3.08088793088194</v>
      </c>
      <c r="I18" s="15" t="n">
        <f aca="false">E18/D18-1</f>
        <v>0.276769887467872</v>
      </c>
      <c r="J18" s="15" t="n">
        <f aca="false">F18/E18-1</f>
        <v>-0.5954440692735</v>
      </c>
      <c r="K18" s="15" t="n">
        <f aca="false">G18/F18-1</f>
        <v>-0.167070133217993</v>
      </c>
    </row>
    <row r="19" customFormat="false" ht="15" hidden="false" customHeight="false" outlineLevel="0" collapsed="false">
      <c r="A19" s="0" t="s">
        <v>696</v>
      </c>
      <c r="B19" s="0" t="s">
        <v>695</v>
      </c>
      <c r="C19" s="14" t="n">
        <f aca="false">AVERAGE(C10:F10)</f>
        <v>1.10375</v>
      </c>
      <c r="D19" s="14" t="n">
        <f aca="false">AVERAGE(G10:J10)</f>
        <v>4.50428005371094</v>
      </c>
      <c r="E19" s="14" t="n">
        <f aca="false">AVERAGE(K10:N10)</f>
        <v>5.75092913730029</v>
      </c>
      <c r="F19" s="14" t="n">
        <f aca="false">AVERAGE(O10:R10)</f>
        <v>1.88940572367149</v>
      </c>
      <c r="G19" s="14" t="n">
        <f aca="false">AVERAGE(S10:V10)</f>
        <v>1.29193190279421</v>
      </c>
      <c r="H19" s="15" t="n">
        <f aca="false">D19/C19-1</f>
        <v>3.08088793088194</v>
      </c>
      <c r="I19" s="15" t="n">
        <f aca="false">E19/D19-1</f>
        <v>0.276769887467872</v>
      </c>
      <c r="J19" s="15" t="n">
        <f aca="false">F19/E19-1</f>
        <v>-0.671460788585121</v>
      </c>
      <c r="K19" s="15" t="n">
        <f aca="false">G19/F19-1</f>
        <v>-0.316223145400593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7" min="3" style="0" width="10"/>
    <col collapsed="false" customWidth="true" hidden="false" outlineLevel="0" max="8" min="8" style="0" width="50"/>
  </cols>
  <sheetData>
    <row r="1" customFormat="false" ht="17.15" hidden="false" customHeight="false" outlineLevel="0" collapsed="false">
      <c r="A1" s="0" t="s">
        <v>707</v>
      </c>
    </row>
    <row r="3" customFormat="false" ht="15" hidden="false" customHeight="false" outlineLevel="0" collapsed="false">
      <c r="A3" s="6" t="s">
        <v>28</v>
      </c>
      <c r="B3" s="6" t="s">
        <v>29</v>
      </c>
      <c r="C3" s="13" t="s">
        <v>698</v>
      </c>
      <c r="D3" s="13" t="s">
        <v>699</v>
      </c>
      <c r="E3" s="13" t="s">
        <v>700</v>
      </c>
      <c r="F3" s="13" t="s">
        <v>701</v>
      </c>
      <c r="G3" s="13" t="s">
        <v>702</v>
      </c>
      <c r="H3" s="6" t="s">
        <v>708</v>
      </c>
    </row>
    <row r="4" customFormat="false" ht="17.15" hidden="false" customHeight="false" outlineLevel="0" collapsed="false">
      <c r="A4" s="3" t="s">
        <v>709</v>
      </c>
    </row>
    <row r="5" customFormat="false" ht="17.15" hidden="false" customHeight="false" outlineLevel="0" collapsed="false">
      <c r="A5" s="0" t="s">
        <v>710</v>
      </c>
      <c r="B5" s="0" t="s">
        <v>711</v>
      </c>
      <c r="D5" s="16" t="n">
        <f aca="false">u_bw_26*g_bw_26</f>
        <v>1404</v>
      </c>
      <c r="E5" s="16" t="n">
        <f aca="false">u_bw_27*g_bw_27</f>
        <v>672</v>
      </c>
      <c r="F5" s="16" t="n">
        <f aca="false">u_bw_28*g_bw_28</f>
        <v>144</v>
      </c>
    </row>
    <row r="6" customFormat="false" ht="15" hidden="false" customHeight="false" outlineLevel="0" collapsed="false">
      <c r="A6" s="0" t="s">
        <v>712</v>
      </c>
      <c r="B6" s="0" t="s">
        <v>711</v>
      </c>
      <c r="D6" s="16" t="n">
        <f aca="false">u_rb_26*g_rb_26</f>
        <v>489.6</v>
      </c>
      <c r="E6" s="16" t="n">
        <f aca="false">u_rb_27*g_rb_27</f>
        <v>2016</v>
      </c>
      <c r="F6" s="16" t="n">
        <f aca="false">u_rb_28*g_rb_28</f>
        <v>2016</v>
      </c>
    </row>
    <row r="7" customFormat="false" ht="15" hidden="false" customHeight="false" outlineLevel="0" collapsed="false">
      <c r="A7" s="0" t="s">
        <v>713</v>
      </c>
      <c r="B7" s="0" t="s">
        <v>711</v>
      </c>
      <c r="D7" s="16" t="n">
        <f aca="false">u_ru_26*g_ru_26</f>
        <v>0</v>
      </c>
      <c r="E7" s="16" t="n">
        <f aca="false">u_ru_27*g_ru_27</f>
        <v>307.2</v>
      </c>
      <c r="F7" s="16" t="n">
        <f aca="false">u_ru_28*g_ru_28</f>
        <v>2048</v>
      </c>
    </row>
    <row r="8" customFormat="false" ht="17.15" hidden="false" customHeight="false" outlineLevel="0" collapsed="false">
      <c r="A8" s="0" t="s">
        <v>714</v>
      </c>
      <c r="B8" s="0" t="s">
        <v>711</v>
      </c>
      <c r="D8" s="16" t="n">
        <f aca="false">u_hp_26*g_hp_26</f>
        <v>70.5</v>
      </c>
      <c r="E8" s="16" t="n">
        <f aca="false">u_hp_27*g_hp_27</f>
        <v>0</v>
      </c>
      <c r="F8" s="16" t="n">
        <f aca="false">u_hp_28*g_hp_28</f>
        <v>0</v>
      </c>
    </row>
    <row r="9" customFormat="false" ht="15" hidden="false" customHeight="false" outlineLevel="0" collapsed="false">
      <c r="A9" s="0" t="s">
        <v>715</v>
      </c>
      <c r="B9" s="0" t="s">
        <v>711</v>
      </c>
      <c r="D9" s="16" t="n">
        <f aca="false">u_amd_26*g_amd_26</f>
        <v>216</v>
      </c>
      <c r="E9" s="16" t="n">
        <f aca="false">u_amd_27*g_amd_27</f>
        <v>540</v>
      </c>
      <c r="F9" s="16" t="n">
        <f aca="false">u_amd_28*g_amd_28</f>
        <v>864</v>
      </c>
    </row>
    <row r="10" customFormat="false" ht="15" hidden="false" customHeight="false" outlineLevel="0" collapsed="false">
      <c r="A10" s="0" t="s">
        <v>716</v>
      </c>
      <c r="B10" s="0" t="s">
        <v>711</v>
      </c>
      <c r="D10" s="16" t="n">
        <f aca="false">u_tpu_26*g_tpu_26</f>
        <v>739.2</v>
      </c>
      <c r="E10" s="16" t="n">
        <f aca="false">u_tpu_27*g_tpu_27</f>
        <v>1375</v>
      </c>
      <c r="F10" s="16" t="n">
        <f aca="false">u_tpu_28*g_tpu_28</f>
        <v>2016</v>
      </c>
    </row>
    <row r="11" customFormat="false" ht="15" hidden="false" customHeight="false" outlineLevel="0" collapsed="false">
      <c r="A11" s="0" t="s">
        <v>717</v>
      </c>
      <c r="B11" s="0" t="s">
        <v>711</v>
      </c>
      <c r="D11" s="16" t="n">
        <f aca="false">u_trn_26*g_trn_26</f>
        <v>220</v>
      </c>
      <c r="E11" s="16" t="n">
        <f aca="false">u_trn_27*g_trn_27</f>
        <v>360</v>
      </c>
      <c r="F11" s="16" t="n">
        <f aca="false">u_trn_28*g_trn_28</f>
        <v>600</v>
      </c>
    </row>
    <row r="12" customFormat="false" ht="17.15" hidden="false" customHeight="false" outlineLevel="0" collapsed="false">
      <c r="A12" s="5" t="s">
        <v>718</v>
      </c>
      <c r="B12" s="0" t="s">
        <v>711</v>
      </c>
      <c r="D12" s="16" t="n">
        <f aca="false">u_oth_26*g_oth_26</f>
        <v>150</v>
      </c>
      <c r="E12" s="16" t="n">
        <f aca="false">u_oth_27*g_oth_27</f>
        <v>900</v>
      </c>
      <c r="F12" s="16" t="n">
        <f aca="false">u_oth_28*g_oth_28</f>
        <v>1250</v>
      </c>
    </row>
    <row r="13" customFormat="false" ht="15" hidden="false" customHeight="false" outlineLevel="0" collapsed="false">
      <c r="A13" s="5" t="s">
        <v>719</v>
      </c>
      <c r="B13" s="0" t="s">
        <v>720</v>
      </c>
      <c r="D13" s="14" t="n">
        <f aca="false">SUM(D5:D12)/1000</f>
        <v>3.2893</v>
      </c>
      <c r="E13" s="14" t="n">
        <f aca="false">SUM(E5:E12)/1000</f>
        <v>6.1702</v>
      </c>
      <c r="F13" s="14" t="n">
        <f aca="false">SUM(F5:F12)/1000</f>
        <v>8.938</v>
      </c>
      <c r="G13" s="14" t="n">
        <f aca="false">F13*(1+hbm_dem29)</f>
        <v>11.6194</v>
      </c>
    </row>
    <row r="14" customFormat="false" ht="17.15" hidden="false" customHeight="false" outlineLevel="0" collapsed="false">
      <c r="A14" s="5" t="s">
        <v>721</v>
      </c>
      <c r="B14" s="0" t="s">
        <v>720</v>
      </c>
      <c r="D14" s="14" t="n">
        <f aca="false">D13*hbm_gross</f>
        <v>3.782695</v>
      </c>
      <c r="E14" s="14" t="n">
        <f aca="false">E13*hbm_gross</f>
        <v>7.09573</v>
      </c>
      <c r="F14" s="14" t="n">
        <f aca="false">F13*hbm_gross</f>
        <v>10.2787</v>
      </c>
      <c r="G14" s="14" t="n">
        <f aca="false">G13*hbm_gross</f>
        <v>13.36231</v>
      </c>
    </row>
    <row r="15" customFormat="false" ht="17.15" hidden="false" customHeight="false" outlineLevel="0" collapsed="false">
      <c r="A15" s="5" t="s">
        <v>722</v>
      </c>
      <c r="B15" s="5" t="s">
        <v>426</v>
      </c>
      <c r="D15" s="17" t="n">
        <f aca="false">u_bw_26+u_rb_26+u_ru_26+u_hp_26+u_amd_26+u_tpu_26+u_trn_26+u_oth_26</f>
        <v>15.2</v>
      </c>
      <c r="E15" s="17" t="n">
        <f aca="false">u_bw_27+u_rb_27+u_ru_27+u_hp_27+u_amd_27+u_tpu_27+u_trn_27+u_oth_27</f>
        <v>23.7</v>
      </c>
      <c r="F15" s="17" t="n">
        <f aca="false">u_bw_28+u_rb_28+u_ru_28+u_hp_28+u_amd_28+u_tpu_28+u_trn_28+u_oth_28</f>
        <v>26.5</v>
      </c>
      <c r="H15" s="8" t="s">
        <v>723</v>
      </c>
    </row>
    <row r="16" customFormat="false" ht="17.15" hidden="false" customHeight="false" outlineLevel="0" collapsed="false">
      <c r="A16" s="5" t="s">
        <v>724</v>
      </c>
      <c r="B16" s="0" t="s">
        <v>434</v>
      </c>
      <c r="D16" s="16" t="n">
        <f aca="false">D13*1000/D15</f>
        <v>216.401315789474</v>
      </c>
      <c r="E16" s="16" t="n">
        <f aca="false">E13*1000/E15</f>
        <v>260.345991561181</v>
      </c>
      <c r="F16" s="16" t="n">
        <f aca="false">F13*1000/F15</f>
        <v>337.283018867925</v>
      </c>
    </row>
    <row r="17" customFormat="false" ht="17.15" hidden="false" customHeight="false" outlineLevel="0" collapsed="false">
      <c r="A17" s="5" t="s">
        <v>725</v>
      </c>
      <c r="B17" s="0" t="s">
        <v>720</v>
      </c>
      <c r="C17" s="14" t="n">
        <f aca="false">D17/(1+hbm_g26)</f>
        <v>2.22511470588235</v>
      </c>
      <c r="D17" s="14" t="n">
        <f aca="false">D14</f>
        <v>3.782695</v>
      </c>
      <c r="E17" s="14" t="n">
        <f aca="false">D17*(1+hbm_sup27)</f>
        <v>5.86317725</v>
      </c>
      <c r="F17" s="14" t="n">
        <f aca="false">E17*(1+hbm_sup28)</f>
        <v>8.5016070125</v>
      </c>
      <c r="G17" s="14" t="n">
        <f aca="false">F17*(1+hbm_sup29)</f>
        <v>11.477169466875</v>
      </c>
      <c r="H17" s="8" t="s">
        <v>726</v>
      </c>
    </row>
    <row r="18" customFormat="false" ht="17.15" hidden="false" customHeight="false" outlineLevel="0" collapsed="false">
      <c r="A18" s="5" t="s">
        <v>727</v>
      </c>
      <c r="B18" s="0" t="s">
        <v>226</v>
      </c>
      <c r="D18" s="14" t="n">
        <v>1</v>
      </c>
      <c r="E18" s="14" t="n">
        <v>1</v>
      </c>
      <c r="F18" s="14" t="n">
        <f aca="false">um28_A</f>
        <v>1</v>
      </c>
      <c r="G18" s="14" t="n">
        <f aca="false">um29_A</f>
        <v>1</v>
      </c>
      <c r="H18" s="8" t="s">
        <v>728</v>
      </c>
    </row>
    <row r="19" customFormat="false" ht="17.15" hidden="false" customHeight="false" outlineLevel="0" collapsed="false">
      <c r="A19" s="5" t="s">
        <v>729</v>
      </c>
      <c r="B19" s="0" t="s">
        <v>226</v>
      </c>
      <c r="D19" s="14" t="n">
        <v>1</v>
      </c>
      <c r="E19" s="14" t="n">
        <v>1</v>
      </c>
      <c r="F19" s="14" t="n">
        <f aca="false">um28_B</f>
        <v>0.8</v>
      </c>
      <c r="G19" s="14" t="n">
        <f aca="false">um29_B</f>
        <v>0.85</v>
      </c>
      <c r="H19" s="8" t="s">
        <v>728</v>
      </c>
    </row>
    <row r="20" customFormat="false" ht="17.15" hidden="false" customHeight="false" outlineLevel="0" collapsed="false">
      <c r="A20" s="5" t="s">
        <v>730</v>
      </c>
      <c r="B20" s="0" t="s">
        <v>226</v>
      </c>
      <c r="D20" s="14" t="n">
        <v>1</v>
      </c>
      <c r="E20" s="14" t="n">
        <v>1</v>
      </c>
      <c r="F20" s="14" t="n">
        <f aca="false">um28_C</f>
        <v>0.6</v>
      </c>
      <c r="G20" s="14" t="n">
        <f aca="false">um29_C</f>
        <v>0.6</v>
      </c>
      <c r="H20" s="8" t="s">
        <v>728</v>
      </c>
    </row>
    <row r="21" customFormat="false" ht="17.15" hidden="false" customHeight="false" outlineLevel="0" collapsed="false">
      <c r="A21" s="5" t="s">
        <v>731</v>
      </c>
      <c r="B21" s="0" t="s">
        <v>720</v>
      </c>
      <c r="D21" s="14" t="n">
        <f aca="false">D14*D18</f>
        <v>3.782695</v>
      </c>
      <c r="E21" s="14" t="n">
        <f aca="false">E14*E18</f>
        <v>7.09573</v>
      </c>
      <c r="F21" s="14" t="n">
        <f aca="false">F14*F18</f>
        <v>10.2787</v>
      </c>
      <c r="G21" s="14" t="n">
        <f aca="false">G14*G18</f>
        <v>13.36231</v>
      </c>
    </row>
    <row r="22" customFormat="false" ht="17.15" hidden="false" customHeight="false" outlineLevel="0" collapsed="false">
      <c r="A22" s="5" t="s">
        <v>732</v>
      </c>
      <c r="B22" s="0" t="s">
        <v>720</v>
      </c>
      <c r="D22" s="14" t="n">
        <f aca="false">D14*D19</f>
        <v>3.782695</v>
      </c>
      <c r="E22" s="14" t="n">
        <f aca="false">E14*E19</f>
        <v>7.09573</v>
      </c>
      <c r="F22" s="14" t="n">
        <f aca="false">F14*F19</f>
        <v>8.22296</v>
      </c>
      <c r="G22" s="14" t="n">
        <f aca="false">G14*G19</f>
        <v>11.3579635</v>
      </c>
    </row>
    <row r="23" customFormat="false" ht="17.15" hidden="false" customHeight="false" outlineLevel="0" collapsed="false">
      <c r="A23" s="5" t="s">
        <v>733</v>
      </c>
      <c r="B23" s="0" t="s">
        <v>720</v>
      </c>
      <c r="D23" s="14" t="n">
        <f aca="false">D14*D20</f>
        <v>3.782695</v>
      </c>
      <c r="E23" s="14" t="n">
        <f aca="false">E14*E20</f>
        <v>7.09573</v>
      </c>
      <c r="F23" s="14" t="n">
        <f aca="false">F14*F20</f>
        <v>6.16722</v>
      </c>
      <c r="G23" s="14" t="n">
        <f aca="false">G14*G20</f>
        <v>8.017386</v>
      </c>
    </row>
    <row r="24" customFormat="false" ht="17.15" hidden="false" customHeight="false" outlineLevel="0" collapsed="false">
      <c r="A24" s="5" t="s">
        <v>734</v>
      </c>
      <c r="B24" s="0" t="s">
        <v>720</v>
      </c>
      <c r="C24" s="14" t="n">
        <f aca="false">C17</f>
        <v>2.22511470588235</v>
      </c>
      <c r="D24" s="14" t="n">
        <f aca="false">MIN(D21,D17)</f>
        <v>3.782695</v>
      </c>
      <c r="E24" s="14" t="n">
        <f aca="false">MIN(E21,E17)</f>
        <v>5.86317725</v>
      </c>
      <c r="F24" s="14" t="n">
        <f aca="false">MIN(F21,F17)</f>
        <v>8.5016070125</v>
      </c>
      <c r="G24" s="14" t="n">
        <f aca="false">MIN(G21,G17)</f>
        <v>11.477169466875</v>
      </c>
      <c r="H24" s="5" t="s">
        <v>735</v>
      </c>
    </row>
    <row r="25" customFormat="false" ht="17.15" hidden="false" customHeight="false" outlineLevel="0" collapsed="false">
      <c r="A25" s="5" t="s">
        <v>736</v>
      </c>
      <c r="B25" s="0" t="s">
        <v>720</v>
      </c>
      <c r="C25" s="14" t="n">
        <f aca="false">C17</f>
        <v>2.22511470588235</v>
      </c>
      <c r="D25" s="14" t="n">
        <f aca="false">MIN(D22,D17)</f>
        <v>3.782695</v>
      </c>
      <c r="E25" s="14" t="n">
        <f aca="false">MIN(E22,E17)</f>
        <v>5.86317725</v>
      </c>
      <c r="F25" s="14" t="n">
        <f aca="false">MIN(F22,F17)</f>
        <v>8.22296</v>
      </c>
      <c r="G25" s="14" t="n">
        <f aca="false">MIN(G22,G17)</f>
        <v>11.3579635</v>
      </c>
    </row>
    <row r="26" customFormat="false" ht="17.15" hidden="false" customHeight="false" outlineLevel="0" collapsed="false">
      <c r="A26" s="5" t="s">
        <v>737</v>
      </c>
      <c r="B26" s="0" t="s">
        <v>720</v>
      </c>
      <c r="C26" s="14" t="n">
        <f aca="false">C17</f>
        <v>2.22511470588235</v>
      </c>
      <c r="D26" s="14" t="n">
        <f aca="false">MIN(D23,D17)</f>
        <v>3.782695</v>
      </c>
      <c r="E26" s="14" t="n">
        <f aca="false">MIN(E23,E17)</f>
        <v>5.86317725</v>
      </c>
      <c r="F26" s="14" t="n">
        <f aca="false">MIN(F23,F17)</f>
        <v>6.16722</v>
      </c>
      <c r="G26" s="14" t="n">
        <f aca="false">MIN(G23,G17)</f>
        <v>8.017386</v>
      </c>
    </row>
    <row r="27" customFormat="false" ht="17.15" hidden="false" customHeight="false" outlineLevel="0" collapsed="false">
      <c r="A27" s="5" t="s">
        <v>738</v>
      </c>
      <c r="B27" s="0" t="s">
        <v>720</v>
      </c>
      <c r="D27" s="14" t="n">
        <f aca="false">D21-D17</f>
        <v>0</v>
      </c>
      <c r="E27" s="14" t="n">
        <f aca="false">E21-E17</f>
        <v>1.23255275</v>
      </c>
      <c r="F27" s="14" t="n">
        <f aca="false">F21-F17</f>
        <v>1.7770929875</v>
      </c>
      <c r="G27" s="14" t="n">
        <f aca="false">G21-G17</f>
        <v>1.885140533125</v>
      </c>
    </row>
    <row r="28" customFormat="false" ht="17.15" hidden="false" customHeight="false" outlineLevel="0" collapsed="false">
      <c r="A28" s="5" t="s">
        <v>739</v>
      </c>
      <c r="B28" s="0" t="s">
        <v>720</v>
      </c>
      <c r="D28" s="14" t="n">
        <f aca="false">D22-D17</f>
        <v>0</v>
      </c>
      <c r="E28" s="14" t="n">
        <f aca="false">E22-E17</f>
        <v>1.23255275</v>
      </c>
      <c r="F28" s="14" t="n">
        <f aca="false">F22-F17</f>
        <v>-0.278647012499999</v>
      </c>
      <c r="G28" s="14" t="n">
        <f aca="false">G22-G17</f>
        <v>-0.119205966875001</v>
      </c>
    </row>
    <row r="29" customFormat="false" ht="17.15" hidden="false" customHeight="false" outlineLevel="0" collapsed="false">
      <c r="A29" s="5" t="s">
        <v>740</v>
      </c>
      <c r="B29" s="0" t="s">
        <v>720</v>
      </c>
      <c r="D29" s="14" t="n">
        <f aca="false">D23-D17</f>
        <v>0</v>
      </c>
      <c r="E29" s="14" t="n">
        <f aca="false">E23-E17</f>
        <v>1.23255275</v>
      </c>
      <c r="F29" s="14" t="n">
        <f aca="false">F23-F17</f>
        <v>-2.3343870125</v>
      </c>
      <c r="G29" s="14" t="n">
        <f aca="false">G23-G17</f>
        <v>-3.459783466875</v>
      </c>
    </row>
    <row r="30" customFormat="false" ht="17.15" hidden="false" customHeight="false" outlineLevel="0" collapsed="false">
      <c r="A30" s="0" t="s">
        <v>741</v>
      </c>
      <c r="B30" s="0" t="s">
        <v>566</v>
      </c>
      <c r="C30" s="14" t="n">
        <f aca="false">hbm_mkt25/C24</f>
        <v>15.7295261711557</v>
      </c>
      <c r="D30" s="14" t="n">
        <f aca="false">hbm_p26</f>
        <v>14.6</v>
      </c>
      <c r="E30" s="14" t="n">
        <f aca="false">D30*(1+hbm_p27)</f>
        <v>26.28</v>
      </c>
      <c r="F30" s="14" t="n">
        <f aca="false">E30*(1+hbm_p28_A)</f>
        <v>28.908</v>
      </c>
      <c r="G30" s="8" t="n">
        <f aca="false">F30*(1+hbm_p29_A)</f>
        <v>27.4626</v>
      </c>
    </row>
    <row r="31" customFormat="false" ht="17.15" hidden="false" customHeight="false" outlineLevel="0" collapsed="false">
      <c r="A31" s="0" t="s">
        <v>742</v>
      </c>
      <c r="B31" s="0" t="s">
        <v>566</v>
      </c>
      <c r="C31" s="14" t="n">
        <f aca="false">hbm_mkt25/C24</f>
        <v>15.7295261711557</v>
      </c>
      <c r="D31" s="14" t="n">
        <f aca="false">hbm_p26</f>
        <v>14.6</v>
      </c>
      <c r="E31" s="14" t="n">
        <f aca="false">D31*(1+hbm_p27)</f>
        <v>26.28</v>
      </c>
      <c r="F31" s="14" t="n">
        <f aca="false">E31*(1+hbm_p28_B)</f>
        <v>19.71</v>
      </c>
      <c r="G31" s="8" t="n">
        <f aca="false">F31*(1+hbm_p29_B)</f>
        <v>19.71</v>
      </c>
    </row>
    <row r="32" customFormat="false" ht="17.15" hidden="false" customHeight="false" outlineLevel="0" collapsed="false">
      <c r="A32" s="0" t="s">
        <v>743</v>
      </c>
      <c r="B32" s="0" t="s">
        <v>566</v>
      </c>
      <c r="C32" s="14" t="n">
        <f aca="false">hbm_mkt25/C24</f>
        <v>15.7295261711557</v>
      </c>
      <c r="D32" s="14" t="n">
        <f aca="false">hbm_p26</f>
        <v>14.6</v>
      </c>
      <c r="E32" s="14" t="n">
        <f aca="false">D32*(1+hbm_p27)</f>
        <v>26.28</v>
      </c>
      <c r="F32" s="14" t="n">
        <f aca="false">E32*(1+hbm_p28_C)</f>
        <v>15.768</v>
      </c>
      <c r="G32" s="8" t="n">
        <f aca="false">F32*(1+hbm_p29_C)</f>
        <v>16.5564</v>
      </c>
    </row>
    <row r="33" customFormat="false" ht="17.15" hidden="false" customHeight="false" outlineLevel="0" collapsed="false">
      <c r="A33" s="0" t="s">
        <v>744</v>
      </c>
      <c r="B33" s="0" t="s">
        <v>550</v>
      </c>
      <c r="C33" s="17" t="n">
        <f aca="false">C24*C30</f>
        <v>35</v>
      </c>
      <c r="D33" s="17" t="n">
        <f aca="false">D24*D30</f>
        <v>55.227347</v>
      </c>
      <c r="E33" s="17" t="n">
        <f aca="false">E24*E30</f>
        <v>154.08429813</v>
      </c>
      <c r="F33" s="17" t="n">
        <f aca="false">F24*F30</f>
        <v>245.76445551735</v>
      </c>
      <c r="G33" s="17" t="n">
        <f aca="false">G24*G30</f>
        <v>315.192914201001</v>
      </c>
    </row>
    <row r="34" customFormat="false" ht="17.15" hidden="false" customHeight="false" outlineLevel="0" collapsed="false">
      <c r="A34" s="0" t="s">
        <v>745</v>
      </c>
      <c r="B34" s="0" t="s">
        <v>550</v>
      </c>
      <c r="C34" s="17" t="n">
        <f aca="false">C25*C31</f>
        <v>35</v>
      </c>
      <c r="D34" s="17" t="n">
        <f aca="false">D25*D31</f>
        <v>55.227347</v>
      </c>
      <c r="E34" s="17" t="n">
        <f aca="false">E25*E31</f>
        <v>154.08429813</v>
      </c>
      <c r="F34" s="17" t="n">
        <f aca="false">F25*F31</f>
        <v>162.0745416</v>
      </c>
      <c r="G34" s="17" t="n">
        <f aca="false">G25*G31</f>
        <v>223.865460585</v>
      </c>
    </row>
    <row r="35" customFormat="false" ht="17.15" hidden="false" customHeight="false" outlineLevel="0" collapsed="false">
      <c r="A35" s="0" t="s">
        <v>746</v>
      </c>
      <c r="B35" s="0" t="s">
        <v>550</v>
      </c>
      <c r="C35" s="17" t="n">
        <f aca="false">C26*C32</f>
        <v>35</v>
      </c>
      <c r="D35" s="17" t="n">
        <f aca="false">D26*D32</f>
        <v>55.227347</v>
      </c>
      <c r="E35" s="17" t="n">
        <f aca="false">E26*E32</f>
        <v>154.08429813</v>
      </c>
      <c r="F35" s="17" t="n">
        <f aca="false">F26*F32</f>
        <v>97.24472496</v>
      </c>
      <c r="G35" s="17" t="n">
        <f aca="false">G26*G32</f>
        <v>132.7390495704</v>
      </c>
    </row>
    <row r="37" customFormat="false" ht="17.15" hidden="false" customHeight="false" outlineLevel="0" collapsed="false">
      <c r="A37" s="3" t="s">
        <v>747</v>
      </c>
    </row>
    <row r="38" customFormat="false" ht="17.15" hidden="false" customHeight="false" outlineLevel="0" collapsed="false">
      <c r="A38" s="5" t="s">
        <v>748</v>
      </c>
      <c r="B38" s="0" t="s">
        <v>550</v>
      </c>
      <c r="D38" s="17" t="n">
        <f aca="false">(D5+D6+D7+D8)/1000*hbm_p26</f>
        <v>28.67586</v>
      </c>
    </row>
    <row r="39" customFormat="false" ht="17.15" hidden="false" customHeight="false" outlineLevel="0" collapsed="false">
      <c r="A39" s="5" t="s">
        <v>749</v>
      </c>
      <c r="B39" s="0" t="s">
        <v>550</v>
      </c>
      <c r="D39" s="17" t="n">
        <f aca="false">nv_dc26*nv_hbm/nv_content</f>
        <v>38.9728971962617</v>
      </c>
      <c r="H39" s="5" t="s">
        <v>750</v>
      </c>
    </row>
    <row r="40" customFormat="false" ht="15" hidden="false" customHeight="false" outlineLevel="0" collapsed="false">
      <c r="A40" s="5" t="s">
        <v>751</v>
      </c>
      <c r="B40" s="0" t="s">
        <v>49</v>
      </c>
      <c r="D40" s="15" t="n">
        <f aca="false">D38/D39-1</f>
        <v>-0.264210205990264</v>
      </c>
    </row>
    <row r="41" customFormat="false" ht="17.15" hidden="false" customHeight="false" outlineLevel="0" collapsed="false">
      <c r="A41" s="5" t="s">
        <v>752</v>
      </c>
      <c r="B41" s="5" t="s">
        <v>426</v>
      </c>
      <c r="D41" s="17" t="n">
        <f aca="false">nv_dc26/nv_content</f>
        <v>8.73831775700935</v>
      </c>
      <c r="E41" s="17" t="n">
        <f aca="false">u_bw_26+u_rb_26+u_hp_26</f>
        <v>7.6</v>
      </c>
      <c r="H41" s="8" t="s">
        <v>753</v>
      </c>
    </row>
    <row r="42" customFormat="false" ht="17.15" hidden="false" customHeight="false" outlineLevel="0" collapsed="false">
      <c r="A42" s="5" t="s">
        <v>754</v>
      </c>
      <c r="B42" s="0" t="s">
        <v>550</v>
      </c>
      <c r="D42" s="17" t="n">
        <f aca="false">pub26_lo</f>
        <v>54.6</v>
      </c>
      <c r="E42" s="17" t="n">
        <f aca="false">pub26_hi</f>
        <v>77.4</v>
      </c>
      <c r="F42" s="17" t="n">
        <f aca="false">pub27</f>
        <v>152.8</v>
      </c>
    </row>
    <row r="43" customFormat="false" ht="17.15" hidden="false" customHeight="false" outlineLevel="0" collapsed="false">
      <c r="A43" s="5" t="s">
        <v>755</v>
      </c>
      <c r="B43" s="0" t="s">
        <v>49</v>
      </c>
      <c r="D43" s="15" t="n">
        <f aca="false">D33/pub26_lo-1</f>
        <v>0.0114898717948717</v>
      </c>
      <c r="F43" s="15" t="n">
        <f aca="false">E33/pub27-1</f>
        <v>0.00840509247382193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10" min="2" style="0" width="11"/>
  </cols>
  <sheetData>
    <row r="1" customFormat="false" ht="17.15" hidden="false" customHeight="false" outlineLevel="0" collapsed="false">
      <c r="A1" s="0" t="s">
        <v>756</v>
      </c>
    </row>
    <row r="3" customFormat="false" ht="17.15" hidden="false" customHeight="false" outlineLevel="0" collapsed="false">
      <c r="A3" s="6" t="s">
        <v>28</v>
      </c>
      <c r="B3" s="13" t="s">
        <v>672</v>
      </c>
      <c r="C3" s="13" t="s">
        <v>673</v>
      </c>
      <c r="D3" s="13" t="s">
        <v>674</v>
      </c>
      <c r="E3" s="13" t="s">
        <v>675</v>
      </c>
      <c r="F3" s="13" t="s">
        <v>676</v>
      </c>
      <c r="G3" s="13" t="s">
        <v>677</v>
      </c>
      <c r="H3" s="13" t="s">
        <v>757</v>
      </c>
      <c r="I3" s="13" t="s">
        <v>758</v>
      </c>
      <c r="J3" s="13" t="s">
        <v>759</v>
      </c>
    </row>
    <row r="4" customFormat="false" ht="15" hidden="false" customHeight="false" outlineLevel="0" collapsed="false">
      <c r="A4" s="5" t="s">
        <v>760</v>
      </c>
      <c r="B4" s="18" t="n">
        <v>17.639</v>
      </c>
      <c r="C4" s="18" t="n">
        <v>22.232</v>
      </c>
      <c r="D4" s="18" t="n">
        <v>24.449</v>
      </c>
      <c r="E4" s="18" t="n">
        <v>32.827</v>
      </c>
      <c r="F4" s="18" t="n">
        <v>52.576</v>
      </c>
      <c r="G4" s="18" t="n">
        <v>79.319</v>
      </c>
      <c r="H4" s="8" t="n">
        <f aca="false">H5+H6+H7</f>
        <v>96.311345015</v>
      </c>
      <c r="I4" s="8" t="n">
        <f aca="false">I5+I6+I7</f>
        <v>113.112885464856</v>
      </c>
      <c r="J4" s="14" t="n">
        <f aca="false">SUM(F4:I4)</f>
        <v>341.319230479856</v>
      </c>
    </row>
    <row r="5" customFormat="false" ht="17.15" hidden="false" customHeight="false" outlineLevel="0" collapsed="false">
      <c r="A5" s="0" t="s">
        <v>761</v>
      </c>
      <c r="F5" s="14" t="n">
        <f aca="false">F4*0.773</f>
        <v>40.641248</v>
      </c>
      <c r="G5" s="14" t="n">
        <f aca="false">G4*0.73</f>
        <v>57.90287</v>
      </c>
      <c r="H5" s="8" t="n">
        <f aca="false">G5*(1+q3_db)*(1+q3_dp)</f>
        <v>71.33633584</v>
      </c>
      <c r="I5" s="8" t="n">
        <f aca="false">H5*(1+q4_db)*(1+q4_dp)</f>
        <v>82.3934678952</v>
      </c>
      <c r="J5" s="14" t="n">
        <f aca="false">SUM(F5:I5)</f>
        <v>252.2739217352</v>
      </c>
    </row>
    <row r="6" customFormat="false" ht="15" hidden="false" customHeight="false" outlineLevel="0" collapsed="false">
      <c r="A6" s="0" t="s">
        <v>762</v>
      </c>
      <c r="F6" s="14" t="n">
        <f aca="false">F4*0.22</f>
        <v>11.56672</v>
      </c>
      <c r="G6" s="14" t="n">
        <f aca="false">G4*0.27</f>
        <v>21.41613</v>
      </c>
      <c r="H6" s="8" t="n">
        <f aca="false">G6*(1+q3_nb)*(1+q3_np)</f>
        <v>24.575009175</v>
      </c>
      <c r="I6" s="8" t="n">
        <f aca="false">H6*(1+q4_nb)*(1+q4_np)</f>
        <v>30.3194175696563</v>
      </c>
      <c r="J6" s="14" t="n">
        <f aca="false">SUM(F6:I6)</f>
        <v>87.8772767446563</v>
      </c>
    </row>
    <row r="7" customFormat="false" ht="15" hidden="false" customHeight="false" outlineLevel="0" collapsed="false">
      <c r="A7" s="5" t="s">
        <v>763</v>
      </c>
      <c r="F7" s="0" t="n">
        <f aca="false">F4-F5-F6</f>
        <v>0.368031999999996</v>
      </c>
      <c r="G7" s="0" t="n">
        <f aca="false">G4-G5-G6</f>
        <v>0</v>
      </c>
      <c r="H7" s="0" t="n">
        <f aca="false">other_y/4</f>
        <v>0.4</v>
      </c>
      <c r="I7" s="0" t="n">
        <f aca="false">other_y/4</f>
        <v>0.4</v>
      </c>
      <c r="J7" s="14" t="n">
        <f aca="false">SUM(F7:I7)</f>
        <v>1.168032</v>
      </c>
    </row>
    <row r="8" customFormat="false" ht="15" hidden="false" customHeight="false" outlineLevel="0" collapsed="false">
      <c r="A8" s="5" t="s">
        <v>764</v>
      </c>
      <c r="F8" s="14" t="n">
        <f aca="false">F4*(1-0.79)</f>
        <v>11.04096</v>
      </c>
      <c r="G8" s="14" t="n">
        <f aca="false">G4*(1-0.83)</f>
        <v>13.48423</v>
      </c>
      <c r="H8" s="8" t="n">
        <f aca="false">(G8-da_cogs*G13)*((w_c+w_h)*H14/G14+w_n*H15/G15)*(1-costdn_q)+da_cogs*da_q3</f>
        <v>14.198319828</v>
      </c>
      <c r="I8" s="8" t="n">
        <f aca="false">(H8-da_cogs*H13)*((w_c+w_h)*I14/H14+w_n*I15/H15)*(1-costdn_q)+da_cogs*da_q4</f>
        <v>14.659393744818</v>
      </c>
      <c r="J8" s="14" t="n">
        <f aca="false">SUM(F8:I8)</f>
        <v>53.382903572818</v>
      </c>
    </row>
    <row r="9" customFormat="false" ht="15" hidden="false" customHeight="false" outlineLevel="0" collapsed="false">
      <c r="A9" s="5" t="s">
        <v>765</v>
      </c>
      <c r="F9" s="0" t="n">
        <f aca="false">F4-F8-F10</f>
        <v>3.92504</v>
      </c>
      <c r="G9" s="0" t="n">
        <f aca="false">G4-G8-G10</f>
        <v>5.29176999999999</v>
      </c>
      <c r="H9" s="0" t="n">
        <f aca="false">opex_fix_q+opex_var*H4</f>
        <v>6.026633215705</v>
      </c>
      <c r="I9" s="0" t="n">
        <f aca="false">opex_fix_q+opex_var*I4</f>
        <v>6.81630561684825</v>
      </c>
      <c r="J9" s="14" t="n">
        <f aca="false">SUM(F9:I9)</f>
        <v>22.0597488325532</v>
      </c>
    </row>
    <row r="10" customFormat="false" ht="15" hidden="false" customHeight="false" outlineLevel="0" collapsed="false">
      <c r="A10" s="5" t="s">
        <v>766</v>
      </c>
      <c r="B10" s="18" t="n">
        <v>7.441</v>
      </c>
      <c r="C10" s="18" t="n">
        <v>9.213</v>
      </c>
      <c r="D10" s="18" t="n">
        <v>11.383</v>
      </c>
      <c r="E10" s="18" t="n">
        <v>19.17</v>
      </c>
      <c r="F10" s="18" t="n">
        <v>37.61</v>
      </c>
      <c r="G10" s="18" t="n">
        <v>60.543</v>
      </c>
      <c r="H10" s="8" t="n">
        <f aca="false">H4-H8-H9</f>
        <v>76.086391971295</v>
      </c>
      <c r="I10" s="8" t="n">
        <f aca="false">I4-I8-I9</f>
        <v>91.63718610319</v>
      </c>
      <c r="J10" s="14" t="n">
        <f aca="false">SUM(F10:I10)</f>
        <v>265.876578074485</v>
      </c>
    </row>
    <row r="11" customFormat="false" ht="15" hidden="false" customHeight="false" outlineLevel="0" collapsed="false">
      <c r="A11" s="5" t="s">
        <v>767</v>
      </c>
      <c r="B11" s="19" t="n">
        <f aca="false">IF(B4=0,"",B10/B4)</f>
        <v>0.421849311185441</v>
      </c>
      <c r="C11" s="19" t="n">
        <f aca="false">IF(C4=0,"",C10/C4)</f>
        <v>0.414402662828356</v>
      </c>
      <c r="D11" s="19" t="n">
        <f aca="false">IF(D4=0,"",D10/D4)</f>
        <v>0.465581414372776</v>
      </c>
      <c r="E11" s="19" t="n">
        <f aca="false">IF(E4=0,"",E10/E4)</f>
        <v>0.583970512078472</v>
      </c>
      <c r="F11" s="19" t="n">
        <f aca="false">IF(F4=0,"",F10/F4)</f>
        <v>0.715345404747413</v>
      </c>
      <c r="G11" s="19" t="n">
        <f aca="false">IF(G4=0,"",G10/G4)</f>
        <v>0.763284963249663</v>
      </c>
      <c r="H11" s="19" t="n">
        <f aca="false">IF(H4=0,"",H10/H4)</f>
        <v>0.790004458555167</v>
      </c>
      <c r="I11" s="19" t="n">
        <f aca="false">IF(I4=0,"",I10/I4)</f>
        <v>0.810139231499504</v>
      </c>
      <c r="J11" s="19" t="n">
        <f aca="false">J10/J4</f>
        <v>0.778967471890443</v>
      </c>
    </row>
    <row r="12" customFormat="false" ht="15" hidden="false" customHeight="false" outlineLevel="0" collapsed="false">
      <c r="A12" s="5" t="s">
        <v>768</v>
      </c>
      <c r="B12" s="18" t="n">
        <v>8.108</v>
      </c>
      <c r="C12" s="18" t="n">
        <v>6.996</v>
      </c>
      <c r="D12" s="18" t="n">
        <v>12.598</v>
      </c>
      <c r="E12" s="18" t="n">
        <v>15.246</v>
      </c>
      <c r="F12" s="18" t="n">
        <v>40.346</v>
      </c>
      <c r="G12" s="18" t="n">
        <v>93.923</v>
      </c>
      <c r="H12" s="8" t="n">
        <f aca="false">(H10+nonop_q+nm_op_q)*(1-tax)</f>
        <v>59.3565218178972</v>
      </c>
      <c r="I12" s="8" t="n">
        <f aca="false">(I10+nonop_q+nm_op_q)*(1-tax)</f>
        <v>71.3306332994563</v>
      </c>
      <c r="J12" s="14" t="n">
        <f aca="false">SUM(F12:I12)</f>
        <v>264.956155117354</v>
      </c>
    </row>
    <row r="13" customFormat="false" ht="15" hidden="false" customHeight="false" outlineLevel="0" collapsed="false">
      <c r="A13" s="5" t="s">
        <v>769</v>
      </c>
      <c r="B13" s="18" t="n">
        <v>3.334</v>
      </c>
      <c r="C13" s="18" t="n">
        <v>3.443</v>
      </c>
      <c r="D13" s="18" t="n">
        <v>3.556</v>
      </c>
      <c r="E13" s="18" t="n">
        <v>3.557</v>
      </c>
      <c r="F13" s="18" t="n">
        <v>3.726</v>
      </c>
      <c r="G13" s="18" t="n">
        <v>4.028</v>
      </c>
      <c r="H13" s="8" t="n">
        <f aca="false">da_q3</f>
        <v>4.3</v>
      </c>
      <c r="I13" s="8" t="n">
        <f aca="false">da_q4</f>
        <v>4.6</v>
      </c>
      <c r="J13" s="14" t="n">
        <f aca="false">SUM(F13:I13)</f>
        <v>16.654</v>
      </c>
    </row>
    <row r="14" customFormat="false" ht="17.15" hidden="false" customHeight="false" outlineLevel="0" collapsed="false">
      <c r="A14" s="0" t="s">
        <v>770</v>
      </c>
      <c r="G14" s="0" t="n">
        <v>1</v>
      </c>
      <c r="H14" s="0" t="n">
        <f aca="false">G14*(1+q3_db)</f>
        <v>1.1</v>
      </c>
      <c r="I14" s="0" t="n">
        <f aca="false">H14*(1+q4_db)</f>
        <v>1.155</v>
      </c>
    </row>
    <row r="15" customFormat="false" ht="17.15" hidden="false" customHeight="false" outlineLevel="0" collapsed="false">
      <c r="A15" s="0" t="s">
        <v>771</v>
      </c>
      <c r="G15" s="0" t="n">
        <v>1</v>
      </c>
      <c r="H15" s="0" t="n">
        <f aca="false">G15*(1+q3_nb)</f>
        <v>1.02</v>
      </c>
      <c r="I15" s="0" t="n">
        <f aca="false">H15*(1+q4_nb)</f>
        <v>1.071</v>
      </c>
    </row>
    <row r="18" customFormat="false" ht="17.15" hidden="false" customHeight="false" outlineLevel="0" collapsed="false">
      <c r="A18" s="0" t="s">
        <v>772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1" min="2" style="0" width="12"/>
    <col collapsed="false" customWidth="true" hidden="false" outlineLevel="0" max="22" min="22" style="0" width="50"/>
  </cols>
  <sheetData>
    <row r="1" customFormat="false" ht="17.15" hidden="false" customHeight="false" outlineLevel="0" collapsed="false">
      <c r="A1" s="0" t="s">
        <v>773</v>
      </c>
    </row>
    <row r="2" customFormat="false" ht="17.15" hidden="false" customHeight="false" outlineLevel="0" collapsed="false">
      <c r="A2" s="5" t="s">
        <v>774</v>
      </c>
    </row>
    <row r="3" customFormat="false" ht="17.15" hidden="false" customHeight="false" outlineLevel="0" collapsed="false">
      <c r="A3" s="6" t="s">
        <v>28</v>
      </c>
      <c r="B3" s="13" t="s">
        <v>775</v>
      </c>
      <c r="C3" s="13" t="s">
        <v>776</v>
      </c>
      <c r="D3" s="13" t="s">
        <v>777</v>
      </c>
      <c r="E3" s="13" t="s">
        <v>778</v>
      </c>
      <c r="F3" s="13" t="s">
        <v>779</v>
      </c>
      <c r="G3" s="13" t="s">
        <v>780</v>
      </c>
      <c r="H3" s="13" t="s">
        <v>781</v>
      </c>
      <c r="I3" s="13" t="s">
        <v>782</v>
      </c>
      <c r="J3" s="13" t="s">
        <v>783</v>
      </c>
      <c r="K3" s="13" t="s">
        <v>784</v>
      </c>
      <c r="L3" s="13" t="s">
        <v>785</v>
      </c>
      <c r="M3" s="13" t="s">
        <v>786</v>
      </c>
      <c r="N3" s="13" t="s">
        <v>787</v>
      </c>
      <c r="O3" s="13" t="s">
        <v>788</v>
      </c>
      <c r="P3" s="13" t="s">
        <v>789</v>
      </c>
      <c r="Q3" s="13" t="s">
        <v>790</v>
      </c>
      <c r="R3" s="13" t="s">
        <v>791</v>
      </c>
      <c r="S3" s="13" t="s">
        <v>792</v>
      </c>
      <c r="T3" s="13" t="s">
        <v>793</v>
      </c>
      <c r="U3" s="13" t="s">
        <v>794</v>
      </c>
      <c r="V3" s="6" t="s">
        <v>708</v>
      </c>
    </row>
    <row r="4" customFormat="false" ht="15" hidden="false" customHeight="false" outlineLevel="0" collapsed="false">
      <c r="A4" s="5" t="s">
        <v>760</v>
      </c>
      <c r="B4" s="17" t="n">
        <f aca="false">SUM(Q!B4:E4)</f>
        <v>97.147</v>
      </c>
      <c r="C4" s="17" t="n">
        <f aca="false">Q!J4</f>
        <v>341.319230479856</v>
      </c>
      <c r="D4" s="17" t="n">
        <f aca="false">D5+D6+D7+D8</f>
        <v>531.511774306725</v>
      </c>
      <c r="E4" s="17" t="n">
        <f aca="false">E5+E6+E7+E8</f>
        <v>587.501270002768</v>
      </c>
      <c r="F4" s="17" t="n">
        <f aca="false">F5+F6+F7+F8</f>
        <v>642.999176025781</v>
      </c>
      <c r="G4" s="17" t="n">
        <f aca="false">G5+G6+G7+G8</f>
        <v>520.522081420466</v>
      </c>
      <c r="H4" s="17" t="n">
        <f aca="false">H5+H6+H7+H8</f>
        <v>337.986178187734</v>
      </c>
      <c r="I4" s="17" t="n">
        <f aca="false">I5+I6+I7+I8</f>
        <v>393.608213951591</v>
      </c>
      <c r="J4" s="17" t="n">
        <f aca="false">J5+J6+J7+J8</f>
        <v>520.522081420466</v>
      </c>
      <c r="K4" s="17" t="n">
        <f aca="false">K5+K6+K7+K8</f>
        <v>232.680297370142</v>
      </c>
      <c r="L4" s="17" t="n">
        <f aca="false">L5+L6+L7+L8</f>
        <v>219.892811877662</v>
      </c>
    </row>
    <row r="5" customFormat="false" ht="17.15" hidden="false" customHeight="false" outlineLevel="0" collapsed="false">
      <c r="A5" s="5" t="s">
        <v>795</v>
      </c>
      <c r="C5" s="17" t="n">
        <f aca="false">Q!J5-C6</f>
        <v>211.4940487104</v>
      </c>
      <c r="D5" s="17" t="n">
        <f aca="false">C5*(1+cb_1)*(AVERAGE(Path!K4:N4)/AVERAGE(Path!G4:J4))</f>
        <v>300.147769900106</v>
      </c>
      <c r="E5" s="17" t="n">
        <f aca="false">D5*(1+cb_2)*(AVERAGE(Path!O4:R4)/AVERAGE(Path!K4:N4))</f>
        <v>311.925679400333</v>
      </c>
      <c r="F5" s="17" t="n">
        <f aca="false">E5*(1+cb_3)*(AVERAGE(Path!S4:V4)/AVERAGE(Path!O4:R4))</f>
        <v>324.148928210545</v>
      </c>
      <c r="G5" s="17" t="n">
        <f aca="false">C5*(1+cb_1)*(AVERAGE(Path!K5:N5)/AVERAGE(Path!G5:J5))</f>
        <v>292.387333127425</v>
      </c>
      <c r="H5" s="17" t="n">
        <f aca="false">G5*(1+cb_2)*(AVERAGE(Path!O5:R5)/AVERAGE(Path!K5:N5))</f>
        <v>178.965093118978</v>
      </c>
      <c r="I5" s="17" t="n">
        <f aca="false">H5*(1+cb_3)*(AVERAGE(Path!S5:V5)/AVERAGE(Path!O5:R5))</f>
        <v>199.52153291714</v>
      </c>
      <c r="J5" s="17" t="n">
        <f aca="false">C5*(1+cb_1)*(AVERAGE(Path!K6:N6)/AVERAGE(Path!G6:J6))</f>
        <v>292.387333127425</v>
      </c>
      <c r="K5" s="17" t="n">
        <f aca="false">J5*(1+cb_2)*(AVERAGE(Path!O6:R6)/AVERAGE(Path!K6:N6))</f>
        <v>122.764314643446</v>
      </c>
      <c r="L5" s="17" t="n">
        <f aca="false">K5*(1+cb_3)*(AVERAGE(Path!S6:V6)/AVERAGE(Path!O6:R6))</f>
        <v>99.342377931568</v>
      </c>
      <c r="V5" s="5" t="s">
        <v>796</v>
      </c>
    </row>
    <row r="6" customFormat="false" ht="17.15" hidden="false" customHeight="false" outlineLevel="0" collapsed="false">
      <c r="A6" s="0" t="s">
        <v>797</v>
      </c>
      <c r="C6" s="17" t="n">
        <f aca="false">(Mkt!D33/4*sh26+Mkt!D33/4*sh26+Mkt!D33/4*sh26+Mkt!D33/4*sh26)*fx/1000</f>
        <v>40.7798730248</v>
      </c>
      <c r="D6" s="17" t="n">
        <f aca="false">(Mkt!E33/4*sh27+Mkt!E33/4*sh27+Mkt!E33/4*sh27+Mkt!E33/4*sh27)*fx/1000</f>
        <v>91.895875404732</v>
      </c>
      <c r="E6" s="17" t="n">
        <f aca="false">(Mkt!F33/4*sh28+Mkt!F33/4*sh28+Mkt!F33/4*sh28+Mkt!F33/4*sh28)*fx/1000</f>
        <v>139.594210733855</v>
      </c>
      <c r="F6" s="17" t="n">
        <f aca="false">(Mkt!G33/4*sh29+Mkt!G33/4*sh29+Mkt!G33/4*sh29+Mkt!G33/4*sh29)*fx/1000</f>
        <v>179.029575266169</v>
      </c>
      <c r="G6" s="17" t="n">
        <f aca="false">(Mkt!E34/4*sh27+Mkt!E34/4*sh27+Mkt!E34/4*sh27+Mkt!E34/4*sh27)*fx/1000</f>
        <v>91.895875404732</v>
      </c>
      <c r="H6" s="17" t="n">
        <f aca="false">(Mkt!F34/4*sh28+Mkt!F34/4*sh28+Mkt!F34/4*sh28+Mkt!F34/4*sh28)*fx/1000</f>
        <v>92.0583396288</v>
      </c>
      <c r="I6" s="17" t="n">
        <f aca="false">(Mkt!G34/4*sh29+Mkt!G34/4*sh29+Mkt!G34/4*sh29+Mkt!G34/4*sh29)*fx/1000</f>
        <v>127.15558161228</v>
      </c>
      <c r="J6" s="17" t="n">
        <f aca="false">(Mkt!E35/4*sh27+Mkt!E35/4*sh27+Mkt!E35/4*sh27+Mkt!E35/4*sh27)*fx/1000</f>
        <v>91.895875404732</v>
      </c>
      <c r="K6" s="17" t="n">
        <f aca="false">(Mkt!F35/4*sh28+Mkt!F35/4*sh28+Mkt!F35/4*sh28+Mkt!F35/4*sh28)*fx/1000</f>
        <v>55.23500377728</v>
      </c>
      <c r="L6" s="17" t="n">
        <f aca="false">(Mkt!G35/4*sh29+Mkt!G35/4*sh29+Mkt!G35/4*sh29+Mkt!G35/4*sh29)*fx/1000</f>
        <v>75.3957801559872</v>
      </c>
      <c r="V6" s="8" t="s">
        <v>798</v>
      </c>
    </row>
    <row r="7" customFormat="false" ht="15" hidden="false" customHeight="false" outlineLevel="0" collapsed="false">
      <c r="A7" s="0" t="s">
        <v>762</v>
      </c>
      <c r="C7" s="17" t="n">
        <f aca="false">Q!J6</f>
        <v>87.8772767446563</v>
      </c>
      <c r="D7" s="17" t="n">
        <f aca="false">C7*(1+nb_1)*(AVERAGE(Path!K8:N8)/AVERAGE(Path!G8:J8))</f>
        <v>137.868129001886</v>
      </c>
      <c r="E7" s="17" t="n">
        <f aca="false">D7*(1+nb_2)*(AVERAGE(Path!O8:R8)/AVERAGE(Path!K8:N8))</f>
        <v>134.381379868581</v>
      </c>
      <c r="F7" s="17" t="n">
        <f aca="false">E7*(1+nb_3)*(AVERAGE(Path!S8:V8)/AVERAGE(Path!O8:R8))</f>
        <v>138.220672549067</v>
      </c>
      <c r="G7" s="17" t="n">
        <f aca="false">C7*(1+nb_1)*(AVERAGE(Path!K9:N9)/AVERAGE(Path!G9:J9))</f>
        <v>134.638872888309</v>
      </c>
      <c r="H7" s="17" t="n">
        <f aca="false">G7*(1+nb_2)*(AVERAGE(Path!O9:R9)/AVERAGE(Path!K9:N9))</f>
        <v>65.3627454399564</v>
      </c>
      <c r="I7" s="17" t="n">
        <f aca="false">H7*(1+nb_3)*(AVERAGE(Path!S9:V9)/AVERAGE(Path!O9:R9))</f>
        <v>65.3310994221709</v>
      </c>
      <c r="J7" s="17" t="n">
        <f aca="false">C7*(1+nb_1)*(AVERAGE(Path!K10:N10)/AVERAGE(Path!G10:J10))</f>
        <v>134.638872888309</v>
      </c>
      <c r="K7" s="17" t="n">
        <f aca="false">J7*(1+nb_2)*(AVERAGE(Path!O10:R10)/AVERAGE(Path!K10:N10))</f>
        <v>53.0809789494159</v>
      </c>
      <c r="L7" s="17" t="n">
        <f aca="false">K7*(1+nb_3)*(AVERAGE(Path!S10:V10)/AVERAGE(Path!O10:R10))</f>
        <v>43.5546537901067</v>
      </c>
    </row>
    <row r="8" customFormat="false" ht="15" hidden="false" customHeight="false" outlineLevel="0" collapsed="false">
      <c r="A8" s="5" t="s">
        <v>763</v>
      </c>
      <c r="C8" s="17" t="n">
        <f aca="false">Q!J7</f>
        <v>1.168032</v>
      </c>
      <c r="D8" s="17" t="n">
        <f aca="false">other_y</f>
        <v>1.6</v>
      </c>
      <c r="E8" s="17" t="n">
        <f aca="false">other_y</f>
        <v>1.6</v>
      </c>
      <c r="F8" s="17" t="n">
        <f aca="false">other_y</f>
        <v>1.6</v>
      </c>
      <c r="G8" s="17" t="n">
        <f aca="false">other_y</f>
        <v>1.6</v>
      </c>
      <c r="H8" s="17" t="n">
        <f aca="false">other_y</f>
        <v>1.6</v>
      </c>
      <c r="I8" s="17" t="n">
        <f aca="false">other_y</f>
        <v>1.6</v>
      </c>
      <c r="J8" s="17" t="n">
        <f aca="false">other_y</f>
        <v>1.6</v>
      </c>
      <c r="K8" s="17" t="n">
        <f aca="false">other_y</f>
        <v>1.6</v>
      </c>
      <c r="L8" s="17" t="n">
        <f aca="false">other_y</f>
        <v>1.6</v>
      </c>
    </row>
    <row r="9" customFormat="false" ht="17.15" hidden="false" customHeight="false" outlineLevel="0" collapsed="false">
      <c r="A9" s="0" t="s">
        <v>799</v>
      </c>
      <c r="C9" s="19" t="n">
        <f aca="false">C6/C4</f>
        <v>0.119477220687121</v>
      </c>
      <c r="D9" s="19" t="n">
        <f aca="false">D6/D4</f>
        <v>0.172895276919493</v>
      </c>
      <c r="E9" s="19" t="n">
        <f aca="false">E6/E4</f>
        <v>0.237606653570633</v>
      </c>
      <c r="F9" s="19" t="n">
        <f aca="false">F6/F4</f>
        <v>0.278428934190408</v>
      </c>
      <c r="G9" s="19" t="n">
        <f aca="false">G6/G4</f>
        <v>0.176545585067121</v>
      </c>
      <c r="H9" s="19" t="n">
        <f aca="false">H6/H4</f>
        <v>0.27237308969974</v>
      </c>
      <c r="I9" s="19" t="n">
        <f aca="false">I6/I4</f>
        <v>0.323051138429542</v>
      </c>
      <c r="J9" s="19" t="n">
        <f aca="false">J6/J4</f>
        <v>0.176545585067121</v>
      </c>
      <c r="K9" s="19" t="n">
        <f aca="false">K6/K4</f>
        <v>0.23738582252804</v>
      </c>
      <c r="L9" s="19" t="n">
        <f aca="false">L6/L4</f>
        <v>0.342875146814412</v>
      </c>
    </row>
    <row r="10" customFormat="false" ht="15" hidden="false" customHeight="false" outlineLevel="0" collapsed="false">
      <c r="A10" s="5" t="s">
        <v>769</v>
      </c>
      <c r="B10" s="17" t="n">
        <f aca="false">SUM(Q!B13:E13)</f>
        <v>13.89</v>
      </c>
      <c r="C10" s="17" t="n">
        <f aca="false">Q!J13</f>
        <v>16.654</v>
      </c>
      <c r="D10" s="17" t="n">
        <f aca="false">C10+(C21-C10)/da_life</f>
        <v>23.0632</v>
      </c>
      <c r="E10" s="17" t="n">
        <f aca="false">D10+(D21-D10)/da_life</f>
        <v>30.91056</v>
      </c>
      <c r="F10" s="17" t="n">
        <f aca="false">E10+(E21-E10)/da_life</f>
        <v>38.968448</v>
      </c>
      <c r="G10" s="17" t="n">
        <f aca="false">C10+(C21-C10)/da_life</f>
        <v>23.0632</v>
      </c>
      <c r="H10" s="17" t="n">
        <f aca="false">G10+(G21-G10)/da_life</f>
        <v>30.91056</v>
      </c>
      <c r="I10" s="17" t="n">
        <f aca="false">H10+(H21-H10)/da_life</f>
        <v>38.968448</v>
      </c>
      <c r="J10" s="17" t="n">
        <f aca="false">C10+(C21-C10)/da_life</f>
        <v>23.0632</v>
      </c>
      <c r="K10" s="17" t="n">
        <f aca="false">J10+(J21-J10)/da_life</f>
        <v>30.91056</v>
      </c>
      <c r="L10" s="17" t="n">
        <f aca="false">K10+(K21-K10)/da_life</f>
        <v>38.968448</v>
      </c>
    </row>
    <row r="11" customFormat="false" ht="17.15" hidden="false" customHeight="false" outlineLevel="0" collapsed="false">
      <c r="A11" s="5" t="s">
        <v>800</v>
      </c>
      <c r="D11" s="14" t="n">
        <f aca="false">w_c*(1+cb_1)+w_h*D31/C31+w_n*(1+nb_1)</f>
        <v>1.17057692307692</v>
      </c>
      <c r="E11" s="14" t="n">
        <f aca="false">w_c*(1+cb_2)+w_h*E31/D31+w_n*(1+nb_2)</f>
        <v>1.23178571428571</v>
      </c>
      <c r="F11" s="14" t="n">
        <f aca="false">w_c*(1+cb_3)+w_h*F31/E31+w_n*(1+nb_3)</f>
        <v>1.2225</v>
      </c>
      <c r="G11" s="14" t="n">
        <f aca="false">w_c*(1+cb_1)+w_h*G31/C31+w_n*(1+nb_1)</f>
        <v>1.17057692307692</v>
      </c>
      <c r="H11" s="14" t="n">
        <f aca="false">w_c*(1+cb_2)+w_h*H31/G31+w_n*(1+nb_2)</f>
        <v>1.21820716655498</v>
      </c>
      <c r="I11" s="14" t="n">
        <f aca="false">w_c*(1+cb_3)+w_h*I31/H31+w_n*(1+nb_3)</f>
        <v>1.231875</v>
      </c>
      <c r="J11" s="14" t="n">
        <f aca="false">w_c*(1+cb_1)+w_h*J31/C31+w_n*(1+nb_1)</f>
        <v>1.17057692307692</v>
      </c>
      <c r="K11" s="14" t="n">
        <f aca="false">w_c*(1+cb_2)+w_h*K31/J31+w_n*(1+nb_2)</f>
        <v>1.11803037491624</v>
      </c>
      <c r="L11" s="14" t="n">
        <f aca="false">w_c*(1+cb_3)+w_h*L31/K31+w_n*(1+nb_3)</f>
        <v>1.2075</v>
      </c>
    </row>
    <row r="12" customFormat="false" ht="17.15" hidden="false" customHeight="false" outlineLevel="0" collapsed="false">
      <c r="A12" s="5" t="s">
        <v>764</v>
      </c>
      <c r="C12" s="17" t="n">
        <f aca="false">Q!J8</f>
        <v>53.382903572818</v>
      </c>
      <c r="D12" s="17" t="n">
        <f aca="false">(C12-da_cogs*C10)*D11*(1-costdn_y)+da_cogs*D10</f>
        <v>61.2060171659556</v>
      </c>
      <c r="E12" s="17" t="n">
        <f aca="false">(D12-da_cogs*D10)*E11*(1-costdn_y)+da_cogs*E10</f>
        <v>72.6617063845867</v>
      </c>
      <c r="F12" s="17" t="n">
        <f aca="false">(E12-da_cogs*E10)*F11*(1-costdn_y)+da_cogs*F10</f>
        <v>84.4092363736415</v>
      </c>
      <c r="G12" s="17" t="n">
        <f aca="false">(C12-da_cogs*C10)*G11*(1-costdn_y)+da_cogs*G10</f>
        <v>61.2060171659556</v>
      </c>
      <c r="H12" s="17" t="n">
        <f aca="false">(G12-da_cogs*G10)*H11*(1-costdn_y)+da_cogs*H10</f>
        <v>72.1673898988794</v>
      </c>
      <c r="I12" s="17" t="n">
        <f aca="false">(H12-da_cogs*H10)*I11*(1-costdn_y)+da_cogs*I10</f>
        <v>84.2395499475138</v>
      </c>
      <c r="J12" s="17" t="n">
        <f aca="false">(C12-da_cogs*C10)*J11*(1-costdn_y)+da_cogs*J10</f>
        <v>61.2060171659556</v>
      </c>
      <c r="K12" s="17" t="n">
        <f aca="false">(J12-da_cogs*J10)*K11*(1-costdn_y)+da_cogs*K10</f>
        <v>68.5205315916225</v>
      </c>
      <c r="L12" s="17" t="n">
        <f aca="false">(K12-da_cogs*K10)*L11*(1-costdn_y)+da_cogs*L10</f>
        <v>79.3034449351957</v>
      </c>
      <c r="V12" s="5" t="s">
        <v>801</v>
      </c>
    </row>
    <row r="13" customFormat="false" ht="15" hidden="false" customHeight="false" outlineLevel="0" collapsed="false">
      <c r="A13" s="5" t="s">
        <v>765</v>
      </c>
      <c r="C13" s="17" t="n">
        <f aca="false">Q!J9</f>
        <v>22.0597488325532</v>
      </c>
      <c r="D13" s="17" t="n">
        <f aca="false">opex_fix_y*(1+opex_g)^1+opex_var*D4</f>
        <v>31.5810533924161</v>
      </c>
      <c r="E13" s="17" t="n">
        <f aca="false">opex_fix_y*(1+opex_g)^2+opex_var*E4</f>
        <v>34.8725596901301</v>
      </c>
      <c r="F13" s="17" t="n">
        <f aca="false">opex_fix_y*(1+opex_g)^3+opex_var*F4</f>
        <v>38.2069612732117</v>
      </c>
      <c r="G13" s="17" t="n">
        <f aca="false">opex_fix_y*(1+opex_g)^1+opex_var*G4</f>
        <v>31.0645378267619</v>
      </c>
      <c r="H13" s="17" t="n">
        <f aca="false">opex_fix_y*(1+opex_g)^2+opex_var*H4</f>
        <v>23.1453503748235</v>
      </c>
      <c r="I13" s="17" t="n">
        <f aca="false">opex_fix_y*(1+opex_g)^3+opex_var*I4</f>
        <v>26.4855860557248</v>
      </c>
      <c r="J13" s="17" t="n">
        <f aca="false">opex_fix_y*(1+opex_g)^1+opex_var*J4</f>
        <v>31.0645378267619</v>
      </c>
      <c r="K13" s="17" t="n">
        <f aca="false">opex_fix_y*(1+opex_g)^2+opex_var*K4</f>
        <v>18.1959739763967</v>
      </c>
      <c r="L13" s="17" t="n">
        <f aca="false">opex_fix_y*(1+opex_g)^3+opex_var*L4</f>
        <v>18.3209621582501</v>
      </c>
    </row>
    <row r="14" customFormat="false" ht="15" hidden="false" customHeight="false" outlineLevel="0" collapsed="false">
      <c r="A14" s="5" t="s">
        <v>766</v>
      </c>
      <c r="B14" s="17" t="n">
        <f aca="false">SUM(Q!B10:E10)</f>
        <v>47.207</v>
      </c>
      <c r="C14" s="17" t="n">
        <f aca="false">Q!J10</f>
        <v>265.876578074485</v>
      </c>
      <c r="D14" s="17" t="n">
        <f aca="false">D4-D12-D13</f>
        <v>438.724703748353</v>
      </c>
      <c r="E14" s="17" t="n">
        <f aca="false">E4-E12-E13</f>
        <v>479.967003928052</v>
      </c>
      <c r="F14" s="17" t="n">
        <f aca="false">F4-F12-F13</f>
        <v>520.382978378928</v>
      </c>
      <c r="G14" s="17" t="n">
        <f aca="false">G4-G12-G13</f>
        <v>428.251526427748</v>
      </c>
      <c r="H14" s="17" t="n">
        <f aca="false">H4-H12-H13</f>
        <v>242.673437914031</v>
      </c>
      <c r="I14" s="17" t="n">
        <f aca="false">I4-I12-I13</f>
        <v>282.883077948352</v>
      </c>
      <c r="J14" s="17" t="n">
        <f aca="false">J4-J12-J13</f>
        <v>428.251526427748</v>
      </c>
      <c r="K14" s="17" t="n">
        <f aca="false">K4-K12-K13</f>
        <v>145.963791802123</v>
      </c>
      <c r="L14" s="17" t="n">
        <f aca="false">L4-L12-L13</f>
        <v>122.268404784216</v>
      </c>
    </row>
    <row r="15" customFormat="false" ht="15" hidden="false" customHeight="false" outlineLevel="0" collapsed="false">
      <c r="A15" s="5" t="s">
        <v>767</v>
      </c>
      <c r="B15" s="19" t="n">
        <f aca="false">B14/B4</f>
        <v>0.485933688122124</v>
      </c>
      <c r="C15" s="19" t="n">
        <f aca="false">C14/C4</f>
        <v>0.778967471890443</v>
      </c>
      <c r="D15" s="19" t="n">
        <f aca="false">D14/D4</f>
        <v>0.825428005467239</v>
      </c>
      <c r="E15" s="19" t="n">
        <f aca="false">E14/E4</f>
        <v>0.816963347033769</v>
      </c>
      <c r="F15" s="19" t="n">
        <f aca="false">F14/F4</f>
        <v>0.80930582461285</v>
      </c>
      <c r="G15" s="19" t="n">
        <f aca="false">G14/G4</f>
        <v>0.822734599959875</v>
      </c>
      <c r="H15" s="19" t="n">
        <f aca="false">H14/H4</f>
        <v>0.717998112275581</v>
      </c>
      <c r="I15" s="19" t="n">
        <f aca="false">I14/I4</f>
        <v>0.71869200875758</v>
      </c>
      <c r="J15" s="19" t="n">
        <f aca="false">J14/J4</f>
        <v>0.822734599959875</v>
      </c>
      <c r="K15" s="19" t="n">
        <f aca="false">K14/K4</f>
        <v>0.627314789657189</v>
      </c>
      <c r="L15" s="19" t="n">
        <f aca="false">L14/L4</f>
        <v>0.556036387638903</v>
      </c>
    </row>
    <row r="16" customFormat="false" ht="15" hidden="false" customHeight="false" outlineLevel="0" collapsed="false">
      <c r="A16" s="5" t="s">
        <v>802</v>
      </c>
      <c r="C16" s="17" t="n">
        <f aca="false">nm_rev_0</f>
        <v>0</v>
      </c>
      <c r="D16" s="17" t="n">
        <f aca="false">nm_rev_1</f>
        <v>0</v>
      </c>
      <c r="E16" s="17" t="n">
        <f aca="false">nm_rev_2</f>
        <v>0</v>
      </c>
      <c r="F16" s="17" t="n">
        <f aca="false">nm_rev_3</f>
        <v>0</v>
      </c>
      <c r="G16" s="17" t="n">
        <f aca="false">nm_rev_1</f>
        <v>0</v>
      </c>
      <c r="H16" s="17" t="n">
        <f aca="false">nm_rev_2</f>
        <v>0</v>
      </c>
      <c r="I16" s="17" t="n">
        <f aca="false">nm_rev_3</f>
        <v>0</v>
      </c>
      <c r="J16" s="17" t="n">
        <f aca="false">nm_rev_1</f>
        <v>0</v>
      </c>
      <c r="K16" s="17" t="n">
        <f aca="false">nm_rev_2</f>
        <v>0</v>
      </c>
      <c r="L16" s="17" t="n">
        <f aca="false">nm_rev_3</f>
        <v>0</v>
      </c>
    </row>
    <row r="17" customFormat="false" ht="15" hidden="false" customHeight="false" outlineLevel="0" collapsed="false">
      <c r="A17" s="5" t="s">
        <v>803</v>
      </c>
      <c r="C17" s="17" t="n">
        <f aca="false">nm_op_0</f>
        <v>0</v>
      </c>
      <c r="D17" s="17" t="n">
        <f aca="false">nm_op_1</f>
        <v>0</v>
      </c>
      <c r="E17" s="17" t="n">
        <f aca="false">nm_op_2</f>
        <v>0</v>
      </c>
      <c r="F17" s="17" t="n">
        <f aca="false">nm_op_3</f>
        <v>0</v>
      </c>
      <c r="G17" s="17" t="n">
        <f aca="false">nm_op_1</f>
        <v>0</v>
      </c>
      <c r="H17" s="17" t="n">
        <f aca="false">nm_op_2</f>
        <v>0</v>
      </c>
      <c r="I17" s="17" t="n">
        <f aca="false">nm_op_3</f>
        <v>0</v>
      </c>
      <c r="J17" s="17" t="n">
        <f aca="false">nm_op_1</f>
        <v>0</v>
      </c>
      <c r="K17" s="17" t="n">
        <f aca="false">nm_op_2</f>
        <v>0</v>
      </c>
      <c r="L17" s="17" t="n">
        <f aca="false">nm_op_3</f>
        <v>0</v>
      </c>
    </row>
    <row r="18" customFormat="false" ht="17.15" hidden="false" customHeight="false" outlineLevel="0" collapsed="false">
      <c r="A18" s="5" t="s">
        <v>804</v>
      </c>
      <c r="C18" s="17" t="n">
        <f aca="false">C4+C16</f>
        <v>341.319230479856</v>
      </c>
      <c r="D18" s="17" t="n">
        <f aca="false">D4+D16</f>
        <v>531.511774306725</v>
      </c>
      <c r="E18" s="17" t="n">
        <f aca="false">E4+E16</f>
        <v>587.501270002768</v>
      </c>
      <c r="F18" s="17" t="n">
        <f aca="false">F4+F16</f>
        <v>642.999176025781</v>
      </c>
      <c r="G18" s="17" t="n">
        <f aca="false">G4+G16</f>
        <v>520.522081420466</v>
      </c>
      <c r="H18" s="17" t="n">
        <f aca="false">H4+H16</f>
        <v>337.986178187734</v>
      </c>
      <c r="I18" s="17" t="n">
        <f aca="false">I4+I16</f>
        <v>393.608213951591</v>
      </c>
      <c r="J18" s="17" t="n">
        <f aca="false">J4+J16</f>
        <v>520.522081420466</v>
      </c>
      <c r="K18" s="17" t="n">
        <f aca="false">K4+K16</f>
        <v>232.680297370142</v>
      </c>
      <c r="L18" s="17" t="n">
        <f aca="false">L4+L16</f>
        <v>219.892811877662</v>
      </c>
      <c r="M18" s="20" t="n">
        <f aca="false">F18*(1+M32)</f>
        <v>696.352811408286</v>
      </c>
      <c r="N18" s="20" t="n">
        <f aca="false">M18*(1+N32)</f>
        <v>746.133754698654</v>
      </c>
      <c r="O18" s="20" t="n">
        <f aca="false">N18*(1+O32)</f>
        <v>790.901779980573</v>
      </c>
      <c r="P18" s="20" t="n">
        <f aca="false">I18*(1+P32)</f>
        <v>442.040121243888</v>
      </c>
      <c r="Q18" s="20" t="n">
        <f aca="false">P18*(1+Q32)</f>
        <v>478.076552993453</v>
      </c>
      <c r="R18" s="20" t="n">
        <f aca="false">Q18*(1+R32)</f>
        <v>497.199615113191</v>
      </c>
      <c r="S18" s="20" t="n">
        <f aca="false">L18*(1+S32)</f>
        <v>213.302284247513</v>
      </c>
      <c r="T18" s="20" t="n">
        <f aca="false">S18*(1+T32)</f>
        <v>212.238807427486</v>
      </c>
      <c r="U18" s="20" t="n">
        <f aca="false">T18*(1+U32)</f>
        <v>216.483583576036</v>
      </c>
      <c r="V18" s="8" t="s">
        <v>805</v>
      </c>
    </row>
    <row r="19" customFormat="false" ht="15" hidden="false" customHeight="false" outlineLevel="0" collapsed="false">
      <c r="A19" s="5" t="s">
        <v>806</v>
      </c>
      <c r="C19" s="17" t="n">
        <f aca="false">C14+C17</f>
        <v>265.876578074485</v>
      </c>
      <c r="D19" s="17" t="n">
        <f aca="false">D14+D17</f>
        <v>438.724703748353</v>
      </c>
      <c r="E19" s="17" t="n">
        <f aca="false">E14+E17</f>
        <v>479.967003928052</v>
      </c>
      <c r="F19" s="17" t="n">
        <f aca="false">F14+F17</f>
        <v>520.382978378928</v>
      </c>
      <c r="G19" s="17" t="n">
        <f aca="false">G14+G17</f>
        <v>428.251526427748</v>
      </c>
      <c r="H19" s="17" t="n">
        <f aca="false">H14+H17</f>
        <v>242.673437914031</v>
      </c>
      <c r="I19" s="17" t="n">
        <f aca="false">I14+I17</f>
        <v>282.883077948352</v>
      </c>
      <c r="J19" s="17" t="n">
        <f aca="false">J14+J17</f>
        <v>428.251526427748</v>
      </c>
      <c r="K19" s="17" t="n">
        <f aca="false">K14+K17</f>
        <v>145.963791802123</v>
      </c>
      <c r="L19" s="17" t="n">
        <f aca="false">L14+L17</f>
        <v>122.268404784216</v>
      </c>
    </row>
    <row r="20" customFormat="false" ht="17.15" hidden="false" customHeight="false" outlineLevel="0" collapsed="false">
      <c r="A20" s="5" t="s">
        <v>807</v>
      </c>
      <c r="B20" s="17" t="n">
        <f aca="false">SUM(Q!B12:E12)</f>
        <v>42.948</v>
      </c>
      <c r="C20" s="17" t="n">
        <f aca="false">Q!J12</f>
        <v>264.956155117354</v>
      </c>
      <c r="D20" s="17" t="n">
        <f aca="false">(D19+rf*C26)*(1-tax)</f>
        <v>340.584588075039</v>
      </c>
      <c r="E20" s="17" t="n">
        <f aca="false">(E19+rf*D26)*(1-tax)</f>
        <v>374.661537181585</v>
      </c>
      <c r="F20" s="17" t="n">
        <f aca="false">(F19+rf*E26)*(1-tax)</f>
        <v>408.356502657057</v>
      </c>
      <c r="G20" s="17" t="n">
        <f aca="false">(G19+rf*C26)*(1-tax)</f>
        <v>332.520241538174</v>
      </c>
      <c r="H20" s="17" t="n">
        <f aca="false">(H19+rf*G26)*(1-tax)</f>
        <v>191.883395882455</v>
      </c>
      <c r="I20" s="17" t="n">
        <f aca="false">(I19+rf*H26)*(1-tax)</f>
        <v>224.012092169177</v>
      </c>
      <c r="J20" s="17" t="n">
        <f aca="false">(J19+rf*C26)*(1-tax)</f>
        <v>332.520241538174</v>
      </c>
      <c r="K20" s="17" t="n">
        <f aca="false">(K19+rf*J26)*(1-tax)</f>
        <v>117.416968376286</v>
      </c>
      <c r="L20" s="17" t="n">
        <f aca="false">(L19+rf*K26)*(1-tax)</f>
        <v>99.765402340995</v>
      </c>
      <c r="M20" s="20" t="n">
        <f aca="false">M18*M33</f>
        <v>346.901969589016</v>
      </c>
      <c r="N20" s="20" t="n">
        <f aca="false">N18*N33</f>
        <v>269.547363557147</v>
      </c>
      <c r="O20" s="20" t="n">
        <f aca="false">O18*O33</f>
        <v>177.436996477841</v>
      </c>
      <c r="P20" s="20" t="n">
        <f aca="false">P18*P33</f>
        <v>195.264665178051</v>
      </c>
      <c r="Q20" s="20" t="n">
        <f aca="false">Q18*Q33</f>
        <v>150.281352047871</v>
      </c>
      <c r="R20" s="20" t="n">
        <f aca="false">R18*R33</f>
        <v>92.9546590452214</v>
      </c>
      <c r="S20" s="20" t="n">
        <f aca="false">S18*S33</f>
        <v>75.1510475662362</v>
      </c>
      <c r="T20" s="20" t="n">
        <f aca="false">T18*T33</f>
        <v>53.2599436165322</v>
      </c>
      <c r="U20" s="20" t="n">
        <f aca="false">U18*U33</f>
        <v>32.3783962634274</v>
      </c>
      <c r="V20" s="5" t="s">
        <v>808</v>
      </c>
    </row>
    <row r="21" customFormat="false" ht="15" hidden="false" customHeight="false" outlineLevel="0" collapsed="false">
      <c r="A21" s="5" t="s">
        <v>809</v>
      </c>
      <c r="C21" s="17" t="n">
        <f aca="false">cap_0</f>
        <v>48.7</v>
      </c>
      <c r="D21" s="17" t="n">
        <f aca="false">cap_1</f>
        <v>62.3</v>
      </c>
      <c r="E21" s="17" t="n">
        <f aca="false">cap_2</f>
        <v>71.2</v>
      </c>
      <c r="F21" s="17" t="n">
        <f aca="false">cap_3</f>
        <v>75</v>
      </c>
      <c r="G21" s="17" t="n">
        <f aca="false">cap_1</f>
        <v>62.3</v>
      </c>
      <c r="H21" s="17" t="n">
        <f aca="false">cap_2</f>
        <v>71.2</v>
      </c>
      <c r="I21" s="17" t="n">
        <f aca="false">cap_3</f>
        <v>75</v>
      </c>
      <c r="J21" s="17" t="n">
        <f aca="false">cap_1</f>
        <v>62.3</v>
      </c>
      <c r="K21" s="17" t="n">
        <f aca="false">cap_2</f>
        <v>71.2</v>
      </c>
      <c r="L21" s="17" t="n">
        <f aca="false">cap_3</f>
        <v>75</v>
      </c>
    </row>
    <row r="22" customFormat="false" ht="15" hidden="false" customHeight="false" outlineLevel="0" collapsed="false">
      <c r="A22" s="5" t="s">
        <v>810</v>
      </c>
      <c r="C22" s="17" t="n">
        <f aca="false">C20+C10-C21</f>
        <v>232.910155117354</v>
      </c>
      <c r="D22" s="17" t="n">
        <f aca="false">D20+D10-D21</f>
        <v>301.347788075039</v>
      </c>
      <c r="E22" s="17" t="n">
        <f aca="false">E20+E10-E21</f>
        <v>334.372097181585</v>
      </c>
      <c r="F22" s="17" t="n">
        <f aca="false">F20+F10-F21</f>
        <v>372.324950657057</v>
      </c>
      <c r="G22" s="17" t="n">
        <f aca="false">G20+G10-G21</f>
        <v>293.283441538174</v>
      </c>
      <c r="H22" s="17" t="n">
        <f aca="false">H20+H10-H21</f>
        <v>151.593955882455</v>
      </c>
      <c r="I22" s="17" t="n">
        <f aca="false">I20+I10-I21</f>
        <v>187.980540169177</v>
      </c>
      <c r="J22" s="17" t="n">
        <f aca="false">J20+J10-J21</f>
        <v>293.283441538174</v>
      </c>
      <c r="K22" s="17" t="n">
        <f aca="false">K20+K10-K21</f>
        <v>77.1275283762859</v>
      </c>
      <c r="L22" s="17" t="n">
        <f aca="false">L20+L10-L21</f>
        <v>63.7338503409949</v>
      </c>
    </row>
    <row r="23" customFormat="false" ht="15" hidden="false" customHeight="false" outlineLevel="0" collapsed="false">
      <c r="A23" s="5" t="s">
        <v>811</v>
      </c>
      <c r="C23" s="17" t="n">
        <f aca="false">div_0</f>
        <v>0.54</v>
      </c>
      <c r="D23" s="17" t="n">
        <f aca="false">dps_1*C27/1000000</f>
        <v>3.2004763655</v>
      </c>
      <c r="E23" s="17" t="n">
        <f aca="false">dps_2*D27/1000000</f>
        <v>3.25020404069534</v>
      </c>
      <c r="F23" s="17" t="n">
        <f aca="false">dps_3*E27/1000000</f>
        <v>3.03954128195689</v>
      </c>
      <c r="G23" s="17" t="n">
        <f aca="false">dps_1*C27/1000000</f>
        <v>3.2004763655</v>
      </c>
      <c r="H23" s="17" t="n">
        <f aca="false">dps_2*G27/1000000</f>
        <v>3.26248777690312</v>
      </c>
      <c r="I23" s="17" t="n">
        <f aca="false">dps_3*H27/1000000</f>
        <v>3.36079169425776</v>
      </c>
      <c r="J23" s="17" t="n">
        <f aca="false">dps_1*C27/1000000</f>
        <v>3.2004763655</v>
      </c>
      <c r="K23" s="17" t="n">
        <f aca="false">dps_2*J27/1000000</f>
        <v>3.26248777690312</v>
      </c>
      <c r="L23" s="17" t="n">
        <f aca="false">dps_3*K27/1000000</f>
        <v>3.48612694658967</v>
      </c>
    </row>
    <row r="24" customFormat="false" ht="17.15" hidden="false" customHeight="false" outlineLevel="0" collapsed="false">
      <c r="A24" s="5" t="s">
        <v>812</v>
      </c>
      <c r="C24" s="17" t="n">
        <f aca="false">bb_0</f>
        <v>40</v>
      </c>
      <c r="D24" s="17" t="n">
        <f aca="false">MAX(0,payout*D22-D23)</f>
        <v>147.473417672019</v>
      </c>
      <c r="E24" s="17" t="n">
        <f aca="false">MAX(0,payout*E22-E23)</f>
        <v>163.935844550097</v>
      </c>
      <c r="F24" s="17" t="n">
        <f aca="false">MAX(0,payout*F22-F23)</f>
        <v>183.122934046572</v>
      </c>
      <c r="G24" s="17" t="n">
        <f aca="false">MAX(0,payout*G22-G23)</f>
        <v>143.441244403587</v>
      </c>
      <c r="H24" s="17" t="n">
        <f aca="false">MAX(0,payout*H22-H23)</f>
        <v>72.5344901643245</v>
      </c>
      <c r="I24" s="17" t="n">
        <f aca="false">MAX(0,payout*I22-I23)</f>
        <v>90.629478390331</v>
      </c>
      <c r="J24" s="17" t="n">
        <f aca="false">MAX(0,payout*J22-J23)</f>
        <v>143.441244403587</v>
      </c>
      <c r="K24" s="17" t="n">
        <f aca="false">MAX(0,payout*K22-K23)</f>
        <v>35.3012764112398</v>
      </c>
      <c r="L24" s="17" t="n">
        <f aca="false">MAX(0,payout*L22-L23)</f>
        <v>28.3807982239078</v>
      </c>
      <c r="V24" s="5" t="s">
        <v>813</v>
      </c>
    </row>
    <row r="25" customFormat="false" ht="15" hidden="false" customHeight="false" outlineLevel="0" collapsed="false">
      <c r="A25" s="5" t="s">
        <v>814</v>
      </c>
      <c r="C25" s="17" t="n">
        <f aca="false">eq_last+(Q!H12+Q!I12)+extra_eq-C24-C23</f>
        <v>393.240155117353</v>
      </c>
      <c r="D25" s="17" t="n">
        <f aca="false">C25+D20-D23-D24</f>
        <v>583.150849154873</v>
      </c>
      <c r="E25" s="17" t="n">
        <f aca="false">D25+E20-E23-E24</f>
        <v>790.626337745665</v>
      </c>
      <c r="F25" s="17" t="n">
        <f aca="false">E25+F20-F23-F24</f>
        <v>1012.82036507419</v>
      </c>
      <c r="G25" s="17" t="n">
        <f aca="false">C25+G20-G23-G24</f>
        <v>579.11867588644</v>
      </c>
      <c r="H25" s="17" t="n">
        <f aca="false">G25+H20-H23-H24</f>
        <v>695.205093827668</v>
      </c>
      <c r="I25" s="17" t="n">
        <f aca="false">H25+I20-I23-I24</f>
        <v>825.226915912257</v>
      </c>
      <c r="J25" s="17" t="n">
        <f aca="false">C25+J20-J23-J24</f>
        <v>579.11867588644</v>
      </c>
      <c r="K25" s="17" t="n">
        <f aca="false">J25+K20-K23-K24</f>
        <v>657.971880074583</v>
      </c>
      <c r="L25" s="17" t="n">
        <f aca="false">K25+L20-L23-L24</f>
        <v>725.870357245081</v>
      </c>
    </row>
    <row r="26" customFormat="false" ht="15" hidden="false" customHeight="false" outlineLevel="0" collapsed="false">
      <c r="A26" s="5" t="s">
        <v>815</v>
      </c>
      <c r="C26" s="17" t="n">
        <f aca="false">nc_last+(Q!H12+Q!I12)+(Q!H13+Q!I13)-capex_rem+extra_eq-C24-C23</f>
        <v>179.647155117354</v>
      </c>
      <c r="D26" s="17" t="n">
        <f aca="false">C26+D22-D23-D24</f>
        <v>330.321049154873</v>
      </c>
      <c r="E26" s="17" t="n">
        <f aca="false">D26+E22-E23-E24</f>
        <v>497.507097745665</v>
      </c>
      <c r="F26" s="17" t="n">
        <f aca="false">E26+F22-F23-F24</f>
        <v>683.669573074194</v>
      </c>
      <c r="G26" s="17" t="n">
        <f aca="false">C26+G22-G23-G24</f>
        <v>326.28887588644</v>
      </c>
      <c r="H26" s="17" t="n">
        <f aca="false">G26+H22-H23-H24</f>
        <v>402.085853827668</v>
      </c>
      <c r="I26" s="17" t="n">
        <f aca="false">H26+I22-I23-I24</f>
        <v>496.076123912257</v>
      </c>
      <c r="J26" s="17" t="n">
        <f aca="false">C26+J22-J23-J24</f>
        <v>326.28887588644</v>
      </c>
      <c r="K26" s="17" t="n">
        <f aca="false">J26+K22-K23-K24</f>
        <v>364.852640074583</v>
      </c>
      <c r="L26" s="17" t="n">
        <f aca="false">K26+L22-L23-L24</f>
        <v>396.719565245081</v>
      </c>
    </row>
    <row r="27" customFormat="false" ht="15" hidden="false" customHeight="false" outlineLevel="0" collapsed="false">
      <c r="A27" s="5" t="s">
        <v>816</v>
      </c>
      <c r="C27" s="17" t="n">
        <f aca="false">sh_last+extra_sh-bb_sh_0</f>
        <v>704.7955</v>
      </c>
      <c r="D27" s="17" t="n">
        <f aca="false">C27-D24/bb_px*1000000</f>
        <v>619.204427642473</v>
      </c>
      <c r="E27" s="17" t="n">
        <f aca="false">D27-E24/bb_px*1000000</f>
        <v>524.058841716705</v>
      </c>
      <c r="F27" s="17" t="n">
        <f aca="false">E27-F24/bb_px*1000000</f>
        <v>417.777394214342</v>
      </c>
      <c r="G27" s="17" t="n">
        <f aca="false">C27-G24/bb_px*1000000</f>
        <v>621.544632673484</v>
      </c>
      <c r="H27" s="17" t="n">
        <f aca="false">G27-H24/bb_px*1000000</f>
        <v>579.446843837544</v>
      </c>
      <c r="I27" s="17" t="n">
        <f aca="false">H27-I24/bb_px*1000000</f>
        <v>526.847030494346</v>
      </c>
      <c r="J27" s="17" t="n">
        <f aca="false">C27-J24/bb_px*1000000</f>
        <v>621.544632673484</v>
      </c>
      <c r="K27" s="17" t="n">
        <f aca="false">J27-K24/bb_px*1000000</f>
        <v>601.056370101668</v>
      </c>
      <c r="L27" s="17" t="n">
        <f aca="false">K27-L24/bb_px*1000000</f>
        <v>584.584635787154</v>
      </c>
      <c r="M27" s="20" t="n">
        <f aca="false">F27</f>
        <v>417.777394214342</v>
      </c>
      <c r="N27" s="20" t="n">
        <f aca="false">M27</f>
        <v>417.777394214342</v>
      </c>
      <c r="O27" s="20" t="n">
        <f aca="false">N27</f>
        <v>417.777394214342</v>
      </c>
      <c r="P27" s="20" t="n">
        <f aca="false">I27</f>
        <v>526.847030494346</v>
      </c>
      <c r="Q27" s="20" t="n">
        <f aca="false">P27</f>
        <v>526.847030494346</v>
      </c>
      <c r="R27" s="20" t="n">
        <f aca="false">Q27</f>
        <v>526.847030494346</v>
      </c>
      <c r="S27" s="20" t="n">
        <f aca="false">L27</f>
        <v>584.584635787154</v>
      </c>
      <c r="T27" s="20" t="n">
        <f aca="false">S27</f>
        <v>584.584635787154</v>
      </c>
      <c r="U27" s="20" t="n">
        <f aca="false">T27</f>
        <v>584.584635787154</v>
      </c>
    </row>
    <row r="28" customFormat="false" ht="17.15" hidden="false" customHeight="false" outlineLevel="0" collapsed="false">
      <c r="A28" s="5" t="s">
        <v>817</v>
      </c>
      <c r="C28" s="21" t="n">
        <f aca="false">C25/C27*1000000</f>
        <v>557949.298934731</v>
      </c>
      <c r="D28" s="21" t="n">
        <f aca="false">D25/D27*1000000</f>
        <v>941774.352898496</v>
      </c>
      <c r="E28" s="21" t="n">
        <f aca="false">E25/E27*1000000</f>
        <v>1508659.47639723</v>
      </c>
      <c r="F28" s="21" t="n">
        <f aca="false">F25/F27*1000000</f>
        <v>2424306.29110239</v>
      </c>
      <c r="G28" s="21" t="n">
        <f aca="false">G25/G27*1000000</f>
        <v>931741.09378991</v>
      </c>
      <c r="H28" s="21" t="n">
        <f aca="false">H25/H27*1000000</f>
        <v>1199773.71733269</v>
      </c>
      <c r="I28" s="21" t="n">
        <f aca="false">I25/I27*1000000</f>
        <v>1566350.1322916</v>
      </c>
      <c r="J28" s="21" t="n">
        <f aca="false">J25/J27*1000000</f>
        <v>931741.09378991</v>
      </c>
      <c r="K28" s="21" t="n">
        <f aca="false">K25/K27*1000000</f>
        <v>1094692.46613806</v>
      </c>
      <c r="L28" s="21" t="n">
        <f aca="false">L25/L27*1000000</f>
        <v>1241685.65646219</v>
      </c>
    </row>
    <row r="29" customFormat="false" ht="17.15" hidden="false" customHeight="false" outlineLevel="0" collapsed="false">
      <c r="A29" s="5" t="s">
        <v>818</v>
      </c>
      <c r="C29" s="21" t="n">
        <f aca="false">C20/C27*1000000</f>
        <v>375933.380842178</v>
      </c>
      <c r="D29" s="21" t="n">
        <f aca="false">D20/D27*1000000</f>
        <v>550035.776345727</v>
      </c>
      <c r="E29" s="21" t="n">
        <f aca="false">E20/E27*1000000</f>
        <v>714922.652491223</v>
      </c>
      <c r="F29" s="21" t="n">
        <f aca="false">F20/F27*1000000</f>
        <v>977449.972909613</v>
      </c>
      <c r="G29" s="21" t="n">
        <f aca="false">G20/G27*1000000</f>
        <v>534990.126304986</v>
      </c>
      <c r="H29" s="21" t="n">
        <f aca="false">H20/H27*1000000</f>
        <v>331149.264031978</v>
      </c>
      <c r="I29" s="21" t="n">
        <f aca="false">I20/I27*1000000</f>
        <v>425193.802381281</v>
      </c>
      <c r="J29" s="21" t="n">
        <f aca="false">J20/J27*1000000</f>
        <v>534990.126304986</v>
      </c>
      <c r="K29" s="21" t="n">
        <f aca="false">K20/K27*1000000</f>
        <v>195351.00901838</v>
      </c>
      <c r="L29" s="21" t="n">
        <f aca="false">L20/L27*1000000</f>
        <v>170660.322275934</v>
      </c>
      <c r="M29" s="22" t="n">
        <f aca="false">M20/M27*1000000</f>
        <v>830351.221471396</v>
      </c>
      <c r="N29" s="22" t="n">
        <f aca="false">N20/N27*1000000</f>
        <v>645193.74980556</v>
      </c>
      <c r="O29" s="22" t="n">
        <f aca="false">O20/O27*1000000</f>
        <v>424716.604907557</v>
      </c>
      <c r="P29" s="22" t="n">
        <f aca="false">P20/P27*1000000</f>
        <v>370628.766750062</v>
      </c>
      <c r="Q29" s="22" t="n">
        <f aca="false">Q20/Q27*1000000</f>
        <v>285246.652917186</v>
      </c>
      <c r="R29" s="22" t="n">
        <f aca="false">R20/R27*1000000</f>
        <v>176435.7653454</v>
      </c>
      <c r="S29" s="22" t="n">
        <f aca="false">S20/S27*1000000</f>
        <v>128554.606066654</v>
      </c>
      <c r="T29" s="22" t="n">
        <f aca="false">T20/T27*1000000</f>
        <v>91107.3270764579</v>
      </c>
      <c r="U29" s="22" t="n">
        <f aca="false">U20/U27*1000000</f>
        <v>55387.0120445935</v>
      </c>
    </row>
    <row r="30" customFormat="false" ht="17.15" hidden="false" customHeight="false" outlineLevel="0" collapsed="false">
      <c r="A30" s="0" t="s">
        <v>819</v>
      </c>
      <c r="C30" s="15" t="n">
        <f aca="false">C20/C25</f>
        <v>0.673776957081821</v>
      </c>
      <c r="D30" s="15" t="n">
        <f aca="false">D20/D25</f>
        <v>0.584041999713502</v>
      </c>
      <c r="E30" s="15" t="n">
        <f aca="false">E20/E25</f>
        <v>0.473879403322014</v>
      </c>
      <c r="F30" s="15" t="n">
        <f aca="false">F20/F25</f>
        <v>0.403187491818594</v>
      </c>
      <c r="G30" s="15" t="n">
        <f aca="false">G20/G25</f>
        <v>0.574183246688072</v>
      </c>
      <c r="H30" s="15" t="n">
        <f aca="false">H20/H25</f>
        <v>0.276009766881859</v>
      </c>
      <c r="I30" s="15" t="n">
        <f aca="false">I20/I25</f>
        <v>0.271455145063392</v>
      </c>
      <c r="J30" s="15" t="n">
        <f aca="false">J20/J25</f>
        <v>0.574183246688072</v>
      </c>
      <c r="K30" s="15" t="n">
        <f aca="false">K20/K25</f>
        <v>0.178452866956831</v>
      </c>
      <c r="L30" s="15" t="n">
        <f aca="false">L20/L25</f>
        <v>0.137442452836396</v>
      </c>
    </row>
    <row r="31" customFormat="false" ht="17.15" hidden="false" customHeight="false" outlineLevel="0" collapsed="false">
      <c r="A31" s="0" t="s">
        <v>820</v>
      </c>
      <c r="C31" s="14" t="n">
        <f aca="false">(Mkt!D24/4*sh26+Mkt!D24/4*sh26+Mkt!D24/4*sh26+Mkt!D24/4*sh26)</f>
        <v>1.9670014</v>
      </c>
      <c r="D31" s="14" t="n">
        <f aca="false">(Mkt!E24/4*sh27+Mkt!E24/4*sh27+Mkt!E24/4*sh27+Mkt!E24/4*sh27)</f>
        <v>2.462534445</v>
      </c>
      <c r="E31" s="14" t="n">
        <f aca="false">(Mkt!F24/4*sh28+Mkt!F24/4*sh28+Mkt!F24/4*sh28+Mkt!F24/4*sh28)</f>
        <v>3.400642805</v>
      </c>
      <c r="F31" s="14" t="n">
        <f aca="false">(Mkt!G24/4*sh29+Mkt!G24/4*sh29+Mkt!G24/4*sh29+Mkt!G24/4*sh29)</f>
        <v>4.59086778675</v>
      </c>
      <c r="G31" s="14" t="n">
        <f aca="false">(Mkt!E25/4*sh27+Mkt!E25/4*sh27+Mkt!E25/4*sh27+Mkt!E25/4*sh27)</f>
        <v>2.462534445</v>
      </c>
      <c r="H31" s="14" t="n">
        <f aca="false">(Mkt!F25/4*sh28+Mkt!F25/4*sh28+Mkt!F25/4*sh28+Mkt!F25/4*sh28)</f>
        <v>3.289184</v>
      </c>
      <c r="I31" s="14" t="n">
        <f aca="false">(Mkt!G25/4*sh29+Mkt!G25/4*sh29+Mkt!G25/4*sh29+Mkt!G25/4*sh29)</f>
        <v>4.5431854</v>
      </c>
      <c r="J31" s="14" t="n">
        <f aca="false">(Mkt!E26/4*sh27+Mkt!E26/4*sh27+Mkt!E26/4*sh27+Mkt!E26/4*sh27)</f>
        <v>2.462534445</v>
      </c>
      <c r="K31" s="14" t="n">
        <f aca="false">(Mkt!F26/4*sh28+Mkt!F26/4*sh28+Mkt!F26/4*sh28+Mkt!F26/4*sh28)</f>
        <v>2.466888</v>
      </c>
      <c r="L31" s="14" t="n">
        <f aca="false">(Mkt!G26/4*sh29+Mkt!G26/4*sh29+Mkt!G26/4*sh29+Mkt!G26/4*sh29)</f>
        <v>3.2069544</v>
      </c>
    </row>
    <row r="32" customFormat="false" ht="15" hidden="false" customHeight="false" outlineLevel="0" collapsed="false">
      <c r="A32" s="5" t="s">
        <v>821</v>
      </c>
      <c r="D32" s="19" t="n">
        <f aca="false">D18/C18-1</f>
        <v>0.557227741195476</v>
      </c>
      <c r="E32" s="19" t="n">
        <f aca="false">E18/D18-1</f>
        <v>0.105340085398999</v>
      </c>
      <c r="F32" s="19" t="n">
        <f aca="false">F18/E18-1</f>
        <v>0.0944643166860741</v>
      </c>
      <c r="G32" s="19" t="n">
        <f aca="false">G18/C18-1</f>
        <v>0.525030045007047</v>
      </c>
      <c r="H32" s="19" t="n">
        <f aca="false">H18/G18-1</f>
        <v>-0.350678500966962</v>
      </c>
      <c r="I32" s="19" t="n">
        <f aca="false">I18/H18-1</f>
        <v>0.164568965695874</v>
      </c>
      <c r="J32" s="19" t="n">
        <f aca="false">J18/C18-1</f>
        <v>0.525030045007047</v>
      </c>
      <c r="K32" s="19" t="n">
        <f aca="false">K18/J18-1</f>
        <v>-0.552986692254871</v>
      </c>
      <c r="L32" s="19" t="n">
        <f aca="false">L18/K18-1</f>
        <v>-0.0549573197086739</v>
      </c>
      <c r="M32" s="23" t="n">
        <f aca="false">$F32+(fade_gA-$F32)*1/3</f>
        <v>0.0829762111240494</v>
      </c>
      <c r="N32" s="23" t="n">
        <f aca="false">$F32+(fade_gA-$F32)*2/3</f>
        <v>0.0714881055620247</v>
      </c>
      <c r="O32" s="23" t="n">
        <f aca="false">$F32+(fade_gA-$F32)*3/3</f>
        <v>0.06</v>
      </c>
      <c r="P32" s="23" t="n">
        <f aca="false">$I32+(fade_gB-$I32)*1/3</f>
        <v>0.123045977130583</v>
      </c>
      <c r="Q32" s="23" t="n">
        <f aca="false">$I32+(fade_gB-$I32)*2/3</f>
        <v>0.0815229885652913</v>
      </c>
      <c r="R32" s="23" t="n">
        <f aca="false">$I32+(fade_gB-$I32)*3/3</f>
        <v>0.04</v>
      </c>
      <c r="S32" s="23" t="n">
        <f aca="false">$L32+(fade_gC-$L32)*1/3</f>
        <v>-0.0299715464724493</v>
      </c>
      <c r="T32" s="23" t="n">
        <f aca="false">$L32+(fade_gC-$L32)*2/3</f>
        <v>-0.00498577323622463</v>
      </c>
      <c r="U32" s="23" t="n">
        <f aca="false">$L32+(fade_gC-$L32)*3/3</f>
        <v>0.02</v>
      </c>
    </row>
    <row r="33" customFormat="false" ht="17.15" hidden="false" customHeight="false" outlineLevel="0" collapsed="false">
      <c r="A33" s="5" t="s">
        <v>822</v>
      </c>
      <c r="C33" s="19" t="n">
        <f aca="false">C20/C18</f>
        <v>0.77627080884032</v>
      </c>
      <c r="D33" s="19" t="n">
        <f aca="false">D20/D18</f>
        <v>0.640784653396022</v>
      </c>
      <c r="E33" s="19" t="n">
        <f aca="false">E20/E18</f>
        <v>0.637720386850941</v>
      </c>
      <c r="F33" s="19" t="n">
        <f aca="false">F20/F18</f>
        <v>0.635080911271159</v>
      </c>
      <c r="G33" s="19" t="n">
        <f aca="false">G20/G18</f>
        <v>0.638820625305176</v>
      </c>
      <c r="H33" s="19" t="n">
        <f aca="false">H20/H18</f>
        <v>0.567725570647075</v>
      </c>
      <c r="I33" s="19" t="n">
        <f aca="false">I20/I18</f>
        <v>0.569124536097024</v>
      </c>
      <c r="J33" s="19" t="n">
        <f aca="false">J20/J18</f>
        <v>0.638820625305176</v>
      </c>
      <c r="K33" s="19" t="n">
        <f aca="false">K20/K18</f>
        <v>0.504627893738256</v>
      </c>
      <c r="L33" s="19" t="n">
        <f aca="false">L20/L18</f>
        <v>0.453700152765793</v>
      </c>
      <c r="M33" s="23" t="n">
        <f aca="false">$F33+(fade_mA-$F33)*1/3</f>
        <v>0.498169841358794</v>
      </c>
      <c r="N33" s="23" t="n">
        <f aca="false">$F33+(fade_mA-$F33)*2/3</f>
        <v>0.361258771446429</v>
      </c>
      <c r="O33" s="23" t="n">
        <f aca="false">$F33+(fade_mA-$F33)*3/3</f>
        <v>0.224347701534064</v>
      </c>
      <c r="P33" s="23" t="n">
        <f aca="false">$I33+(fade_mB-$I33)*1/3</f>
        <v>0.441735163379701</v>
      </c>
      <c r="Q33" s="23" t="n">
        <f aca="false">$I33+(fade_mB-$I33)*2/3</f>
        <v>0.314345790662377</v>
      </c>
      <c r="R33" s="23" t="n">
        <f aca="false">$I33+(fade_mB-$I33)*3/3</f>
        <v>0.186956417945053</v>
      </c>
      <c r="S33" s="23" t="n">
        <f aca="false">$L33+(fade_mC-$L33)*1/3</f>
        <v>0.352321813295876</v>
      </c>
      <c r="T33" s="23" t="n">
        <f aca="false">$L33+(fade_mC-$L33)*2/3</f>
        <v>0.250943473825959</v>
      </c>
      <c r="U33" s="23" t="n">
        <f aca="false">$L33+(fade_mC-$L33)*3/3</f>
        <v>0.149565134356042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  <col collapsed="false" customWidth="true" hidden="false" outlineLevel="0" max="2" min="2" style="0" width="8"/>
    <col collapsed="false" customWidth="true" hidden="false" outlineLevel="0" max="3" min="3" style="0" width="20"/>
    <col collapsed="false" customWidth="true" hidden="false" outlineLevel="0" max="4" min="4" style="0" width="8"/>
    <col collapsed="false" customWidth="true" hidden="false" outlineLevel="0" max="5" min="5" style="0" width="16"/>
    <col collapsed="false" customWidth="true" hidden="false" outlineLevel="0" max="6" min="6" style="0" width="14"/>
    <col collapsed="false" customWidth="true" hidden="false" outlineLevel="0" max="7" min="7" style="0" width="10"/>
  </cols>
  <sheetData>
    <row r="1" customFormat="false" ht="17.15" hidden="false" customHeight="false" outlineLevel="0" collapsed="false">
      <c r="A1" s="0" t="s">
        <v>823</v>
      </c>
    </row>
    <row r="3" customFormat="false" ht="15" hidden="false" customHeight="false" outlineLevel="0" collapsed="false">
      <c r="A3" s="6" t="s">
        <v>824</v>
      </c>
      <c r="B3" s="6" t="s">
        <v>825</v>
      </c>
      <c r="C3" s="6" t="s">
        <v>31</v>
      </c>
      <c r="D3" s="6" t="s">
        <v>671</v>
      </c>
      <c r="E3" s="6" t="s">
        <v>826</v>
      </c>
      <c r="F3" s="6" t="s">
        <v>827</v>
      </c>
      <c r="G3" s="6" t="s">
        <v>828</v>
      </c>
    </row>
    <row r="4" customFormat="false" ht="17.15" hidden="false" customHeight="false" outlineLevel="0" collapsed="false">
      <c r="A4" s="0" t="s">
        <v>225</v>
      </c>
      <c r="B4" s="0" t="n">
        <f aca="false">pb_1</f>
        <v>1</v>
      </c>
      <c r="C4" s="0" t="s">
        <v>829</v>
      </c>
      <c r="D4" s="5" t="s">
        <v>830</v>
      </c>
      <c r="E4" s="21" t="n">
        <f aca="false">Y!C28</f>
        <v>557949.298934731</v>
      </c>
      <c r="F4" s="21" t="n">
        <f aca="false">B4*E4</f>
        <v>557949.298934731</v>
      </c>
      <c r="G4" s="15" t="n">
        <f aca="false">F4/px-1</f>
        <v>-0.56307807444422</v>
      </c>
    </row>
    <row r="5" customFormat="false" ht="17.15" hidden="false" customHeight="false" outlineLevel="0" collapsed="false">
      <c r="A5" s="0" t="s">
        <v>831</v>
      </c>
      <c r="B5" s="0" t="n">
        <f aca="false">pb_2</f>
        <v>1.6</v>
      </c>
      <c r="C5" s="0" t="s">
        <v>829</v>
      </c>
      <c r="D5" s="5" t="s">
        <v>830</v>
      </c>
      <c r="E5" s="21" t="n">
        <f aca="false">Y!C28</f>
        <v>557949.298934731</v>
      </c>
      <c r="F5" s="21" t="n">
        <f aca="false">B5*E5</f>
        <v>892718.87829557</v>
      </c>
      <c r="G5" s="15" t="n">
        <f aca="false">F5/px-1</f>
        <v>-0.300924919110752</v>
      </c>
    </row>
    <row r="6" customFormat="false" ht="17.15" hidden="false" customHeight="false" outlineLevel="0" collapsed="false">
      <c r="A6" s="0" t="s">
        <v>832</v>
      </c>
      <c r="B6" s="0" t="n">
        <f aca="false">pb_3</f>
        <v>3.3</v>
      </c>
      <c r="C6" s="0" t="s">
        <v>829</v>
      </c>
      <c r="D6" s="5" t="s">
        <v>830</v>
      </c>
      <c r="E6" s="21" t="n">
        <f aca="false">Y!C28</f>
        <v>557949.298934731</v>
      </c>
      <c r="F6" s="21" t="n">
        <f aca="false">B6*E6</f>
        <v>1841232.68648461</v>
      </c>
      <c r="G6" s="15" t="n">
        <f aca="false">F6/px-1</f>
        <v>0.441842354334075</v>
      </c>
    </row>
    <row r="7" customFormat="false" ht="17.15" hidden="false" customHeight="false" outlineLevel="0" collapsed="false">
      <c r="A7" s="0" t="s">
        <v>225</v>
      </c>
      <c r="B7" s="0" t="n">
        <f aca="false">pb_1</f>
        <v>1</v>
      </c>
      <c r="C7" s="0" t="s">
        <v>833</v>
      </c>
      <c r="D7" s="0" t="s">
        <v>693</v>
      </c>
      <c r="E7" s="21" t="n">
        <f aca="false">Y!D28</f>
        <v>941774.352898496</v>
      </c>
      <c r="F7" s="21" t="n">
        <f aca="false">B7*E7</f>
        <v>941774.352898496</v>
      </c>
      <c r="G7" s="15" t="n">
        <f aca="false">F7/px-1</f>
        <v>-0.262510295302666</v>
      </c>
    </row>
    <row r="8" customFormat="false" ht="17.15" hidden="false" customHeight="false" outlineLevel="0" collapsed="false">
      <c r="A8" s="0" t="s">
        <v>831</v>
      </c>
      <c r="B8" s="0" t="n">
        <f aca="false">pb_2</f>
        <v>1.6</v>
      </c>
      <c r="C8" s="0" t="s">
        <v>833</v>
      </c>
      <c r="D8" s="0" t="s">
        <v>693</v>
      </c>
      <c r="E8" s="21" t="n">
        <f aca="false">Y!D28</f>
        <v>941774.352898496</v>
      </c>
      <c r="F8" s="21" t="n">
        <f aca="false">B8*E8</f>
        <v>1506838.96463759</v>
      </c>
      <c r="G8" s="15" t="n">
        <f aca="false">F8/px-1</f>
        <v>0.179983527515734</v>
      </c>
    </row>
    <row r="9" customFormat="false" ht="17.15" hidden="false" customHeight="false" outlineLevel="0" collapsed="false">
      <c r="A9" s="0" t="s">
        <v>832</v>
      </c>
      <c r="B9" s="0" t="n">
        <f aca="false">pb_3</f>
        <v>3.3</v>
      </c>
      <c r="C9" s="0" t="s">
        <v>833</v>
      </c>
      <c r="D9" s="0" t="s">
        <v>693</v>
      </c>
      <c r="E9" s="21" t="n">
        <f aca="false">Y!D28</f>
        <v>941774.352898496</v>
      </c>
      <c r="F9" s="21" t="n">
        <f aca="false">B9*E9</f>
        <v>3107855.36456504</v>
      </c>
      <c r="G9" s="15" t="n">
        <f aca="false">F9/px-1</f>
        <v>1.4337160255012</v>
      </c>
    </row>
    <row r="10" customFormat="false" ht="17.15" hidden="false" customHeight="false" outlineLevel="0" collapsed="false">
      <c r="A10" s="0" t="s">
        <v>225</v>
      </c>
      <c r="B10" s="0" t="n">
        <f aca="false">pb_1</f>
        <v>1</v>
      </c>
      <c r="C10" s="0" t="s">
        <v>833</v>
      </c>
      <c r="D10" s="0" t="s">
        <v>694</v>
      </c>
      <c r="E10" s="21" t="n">
        <f aca="false">Y!G28</f>
        <v>931741.09378991</v>
      </c>
      <c r="F10" s="21" t="n">
        <f aca="false">B10*E10</f>
        <v>931741.09378991</v>
      </c>
      <c r="G10" s="15" t="n">
        <f aca="false">F10/px-1</f>
        <v>-0.270367193586601</v>
      </c>
    </row>
    <row r="11" customFormat="false" ht="17.15" hidden="false" customHeight="false" outlineLevel="0" collapsed="false">
      <c r="A11" s="0" t="s">
        <v>831</v>
      </c>
      <c r="B11" s="0" t="n">
        <f aca="false">pb_2</f>
        <v>1.6</v>
      </c>
      <c r="C11" s="0" t="s">
        <v>833</v>
      </c>
      <c r="D11" s="0" t="s">
        <v>694</v>
      </c>
      <c r="E11" s="21" t="n">
        <f aca="false">Y!G28</f>
        <v>931741.09378991</v>
      </c>
      <c r="F11" s="21" t="n">
        <f aca="false">B11*E11</f>
        <v>1490785.75006386</v>
      </c>
      <c r="G11" s="15" t="n">
        <f aca="false">F11/px-1</f>
        <v>0.167412490261438</v>
      </c>
    </row>
    <row r="12" customFormat="false" ht="17.15" hidden="false" customHeight="false" outlineLevel="0" collapsed="false">
      <c r="A12" s="0" t="s">
        <v>832</v>
      </c>
      <c r="B12" s="0" t="n">
        <f aca="false">pb_3</f>
        <v>3.3</v>
      </c>
      <c r="C12" s="0" t="s">
        <v>833</v>
      </c>
      <c r="D12" s="0" t="s">
        <v>694</v>
      </c>
      <c r="E12" s="21" t="n">
        <f aca="false">Y!G28</f>
        <v>931741.09378991</v>
      </c>
      <c r="F12" s="21" t="n">
        <f aca="false">B12*E12</f>
        <v>3074745.6095067</v>
      </c>
      <c r="G12" s="15" t="n">
        <f aca="false">F12/px-1</f>
        <v>1.40778826116422</v>
      </c>
    </row>
    <row r="13" customFormat="false" ht="17.15" hidden="false" customHeight="false" outlineLevel="0" collapsed="false">
      <c r="A13" s="0" t="s">
        <v>225</v>
      </c>
      <c r="B13" s="0" t="n">
        <f aca="false">pb_1</f>
        <v>1</v>
      </c>
      <c r="C13" s="0" t="s">
        <v>833</v>
      </c>
      <c r="D13" s="0" t="s">
        <v>695</v>
      </c>
      <c r="E13" s="21" t="n">
        <f aca="false">Y!J28</f>
        <v>931741.09378991</v>
      </c>
      <c r="F13" s="21" t="n">
        <f aca="false">B13*E13</f>
        <v>931741.09378991</v>
      </c>
      <c r="G13" s="15" t="n">
        <f aca="false">F13/px-1</f>
        <v>-0.270367193586601</v>
      </c>
    </row>
    <row r="14" customFormat="false" ht="17.15" hidden="false" customHeight="false" outlineLevel="0" collapsed="false">
      <c r="A14" s="0" t="s">
        <v>831</v>
      </c>
      <c r="B14" s="0" t="n">
        <f aca="false">pb_2</f>
        <v>1.6</v>
      </c>
      <c r="C14" s="0" t="s">
        <v>833</v>
      </c>
      <c r="D14" s="0" t="s">
        <v>695</v>
      </c>
      <c r="E14" s="21" t="n">
        <f aca="false">Y!J28</f>
        <v>931741.09378991</v>
      </c>
      <c r="F14" s="21" t="n">
        <f aca="false">B14*E14</f>
        <v>1490785.75006386</v>
      </c>
      <c r="G14" s="15" t="n">
        <f aca="false">F14/px-1</f>
        <v>0.167412490261438</v>
      </c>
    </row>
    <row r="15" customFormat="false" ht="17.15" hidden="false" customHeight="false" outlineLevel="0" collapsed="false">
      <c r="A15" s="0" t="s">
        <v>832</v>
      </c>
      <c r="B15" s="0" t="n">
        <f aca="false">pb_3</f>
        <v>3.3</v>
      </c>
      <c r="C15" s="0" t="s">
        <v>833</v>
      </c>
      <c r="D15" s="0" t="s">
        <v>695</v>
      </c>
      <c r="E15" s="21" t="n">
        <f aca="false">Y!J28</f>
        <v>931741.09378991</v>
      </c>
      <c r="F15" s="21" t="n">
        <f aca="false">B15*E15</f>
        <v>3074745.6095067</v>
      </c>
      <c r="G15" s="15" t="n">
        <f aca="false">F15/px-1</f>
        <v>1.40778826116422</v>
      </c>
    </row>
    <row r="16" customFormat="false" ht="17.15" hidden="false" customHeight="false" outlineLevel="0" collapsed="false">
      <c r="A16" s="0" t="s">
        <v>225</v>
      </c>
      <c r="B16" s="0" t="n">
        <f aca="false">pb_1</f>
        <v>1</v>
      </c>
      <c r="C16" s="0" t="s">
        <v>834</v>
      </c>
      <c r="D16" s="0" t="s">
        <v>693</v>
      </c>
      <c r="E16" s="21" t="n">
        <f aca="false">Y!E28</f>
        <v>1508659.47639723</v>
      </c>
      <c r="F16" s="21" t="n">
        <f aca="false">B16*E16</f>
        <v>1508659.47639723</v>
      </c>
      <c r="G16" s="15" t="n">
        <f aca="false">F16/px-1</f>
        <v>0.181409143615688</v>
      </c>
    </row>
    <row r="17" customFormat="false" ht="17.15" hidden="false" customHeight="false" outlineLevel="0" collapsed="false">
      <c r="A17" s="0" t="s">
        <v>831</v>
      </c>
      <c r="B17" s="0" t="n">
        <f aca="false">pb_2</f>
        <v>1.6</v>
      </c>
      <c r="C17" s="0" t="s">
        <v>834</v>
      </c>
      <c r="D17" s="0" t="s">
        <v>693</v>
      </c>
      <c r="E17" s="21" t="n">
        <f aca="false">Y!E28</f>
        <v>1508659.47639723</v>
      </c>
      <c r="F17" s="21" t="n">
        <f aca="false">B17*E17</f>
        <v>2413855.16223557</v>
      </c>
      <c r="G17" s="15" t="n">
        <f aca="false">F17/px-1</f>
        <v>0.8902546297851</v>
      </c>
    </row>
    <row r="18" customFormat="false" ht="17.15" hidden="false" customHeight="false" outlineLevel="0" collapsed="false">
      <c r="A18" s="0" t="s">
        <v>832</v>
      </c>
      <c r="B18" s="0" t="n">
        <f aca="false">pb_3</f>
        <v>3.3</v>
      </c>
      <c r="C18" s="0" t="s">
        <v>834</v>
      </c>
      <c r="D18" s="0" t="s">
        <v>693</v>
      </c>
      <c r="E18" s="21" t="n">
        <f aca="false">Y!E28</f>
        <v>1508659.47639723</v>
      </c>
      <c r="F18" s="21" t="n">
        <f aca="false">B18*E18</f>
        <v>4978576.27211087</v>
      </c>
      <c r="G18" s="15" t="n">
        <f aca="false">F18/px-1</f>
        <v>2.89865017393177</v>
      </c>
    </row>
    <row r="19" customFormat="false" ht="17.15" hidden="false" customHeight="false" outlineLevel="0" collapsed="false">
      <c r="A19" s="0" t="s">
        <v>225</v>
      </c>
      <c r="B19" s="0" t="n">
        <f aca="false">pb_1</f>
        <v>1</v>
      </c>
      <c r="C19" s="0" t="s">
        <v>834</v>
      </c>
      <c r="D19" s="0" t="s">
        <v>694</v>
      </c>
      <c r="E19" s="21" t="n">
        <f aca="false">Y!H28</f>
        <v>1199773.71733269</v>
      </c>
      <c r="F19" s="21" t="n">
        <f aca="false">B19*E19</f>
        <v>1199773.71733269</v>
      </c>
      <c r="G19" s="15" t="n">
        <f aca="false">F19/px-1</f>
        <v>-0.0604747710785476</v>
      </c>
    </row>
    <row r="20" customFormat="false" ht="17.15" hidden="false" customHeight="false" outlineLevel="0" collapsed="false">
      <c r="A20" s="0" t="s">
        <v>831</v>
      </c>
      <c r="B20" s="0" t="n">
        <f aca="false">pb_2</f>
        <v>1.6</v>
      </c>
      <c r="C20" s="0" t="s">
        <v>834</v>
      </c>
      <c r="D20" s="0" t="s">
        <v>694</v>
      </c>
      <c r="E20" s="21" t="n">
        <f aca="false">Y!H28</f>
        <v>1199773.71733269</v>
      </c>
      <c r="F20" s="21" t="n">
        <f aca="false">B20*E20</f>
        <v>1919637.94773231</v>
      </c>
      <c r="G20" s="15" t="n">
        <f aca="false">F20/px-1</f>
        <v>0.503240366274324</v>
      </c>
    </row>
    <row r="21" customFormat="false" ht="17.15" hidden="false" customHeight="false" outlineLevel="0" collapsed="false">
      <c r="A21" s="0" t="s">
        <v>832</v>
      </c>
      <c r="B21" s="0" t="n">
        <f aca="false">pb_3</f>
        <v>3.3</v>
      </c>
      <c r="C21" s="0" t="s">
        <v>834</v>
      </c>
      <c r="D21" s="0" t="s">
        <v>694</v>
      </c>
      <c r="E21" s="21" t="n">
        <f aca="false">Y!H28</f>
        <v>1199773.71733269</v>
      </c>
      <c r="F21" s="21" t="n">
        <f aca="false">B21*E21</f>
        <v>3959253.26719789</v>
      </c>
      <c r="G21" s="15" t="n">
        <f aca="false">F21/px-1</f>
        <v>2.10043325544079</v>
      </c>
    </row>
    <row r="22" customFormat="false" ht="17.15" hidden="false" customHeight="false" outlineLevel="0" collapsed="false">
      <c r="A22" s="0" t="s">
        <v>225</v>
      </c>
      <c r="B22" s="0" t="n">
        <f aca="false">pb_1</f>
        <v>1</v>
      </c>
      <c r="C22" s="0" t="s">
        <v>834</v>
      </c>
      <c r="D22" s="0" t="s">
        <v>695</v>
      </c>
      <c r="E22" s="21" t="n">
        <f aca="false">Y!K28</f>
        <v>1094692.46613806</v>
      </c>
      <c r="F22" s="21" t="n">
        <f aca="false">B22*E22</f>
        <v>1094692.46613806</v>
      </c>
      <c r="G22" s="15" t="n">
        <f aca="false">F22/px-1</f>
        <v>-0.142762360111154</v>
      </c>
    </row>
    <row r="23" customFormat="false" ht="17.15" hidden="false" customHeight="false" outlineLevel="0" collapsed="false">
      <c r="A23" s="0" t="s">
        <v>831</v>
      </c>
      <c r="B23" s="0" t="n">
        <f aca="false">pb_2</f>
        <v>1.6</v>
      </c>
      <c r="C23" s="0" t="s">
        <v>834</v>
      </c>
      <c r="D23" s="0" t="s">
        <v>695</v>
      </c>
      <c r="E23" s="21" t="n">
        <f aca="false">Y!K28</f>
        <v>1094692.46613806</v>
      </c>
      <c r="F23" s="21" t="n">
        <f aca="false">B23*E23</f>
        <v>1751507.94582089</v>
      </c>
      <c r="G23" s="15" t="n">
        <f aca="false">F23/px-1</f>
        <v>0.371580223822154</v>
      </c>
    </row>
    <row r="24" customFormat="false" ht="17.15" hidden="false" customHeight="false" outlineLevel="0" collapsed="false">
      <c r="A24" s="0" t="s">
        <v>832</v>
      </c>
      <c r="B24" s="0" t="n">
        <f aca="false">pb_3</f>
        <v>3.3</v>
      </c>
      <c r="C24" s="0" t="s">
        <v>834</v>
      </c>
      <c r="D24" s="0" t="s">
        <v>695</v>
      </c>
      <c r="E24" s="21" t="n">
        <f aca="false">Y!K28</f>
        <v>1094692.46613806</v>
      </c>
      <c r="F24" s="21" t="n">
        <f aca="false">B24*E24</f>
        <v>3612485.13825559</v>
      </c>
      <c r="G24" s="15" t="n">
        <f aca="false">F24/px-1</f>
        <v>1.82888421163319</v>
      </c>
    </row>
    <row r="25" customFormat="false" ht="17.15" hidden="false" customHeight="false" outlineLevel="0" collapsed="false">
      <c r="A25" s="0" t="s">
        <v>225</v>
      </c>
      <c r="B25" s="0" t="n">
        <f aca="false">pb_1</f>
        <v>1</v>
      </c>
      <c r="C25" s="0" t="s">
        <v>835</v>
      </c>
      <c r="D25" s="0" t="s">
        <v>693</v>
      </c>
      <c r="E25" s="21" t="n">
        <f aca="false">Y!F28</f>
        <v>2424306.29110239</v>
      </c>
      <c r="F25" s="21" t="n">
        <f aca="false">B25*E25</f>
        <v>2424306.29110239</v>
      </c>
      <c r="G25" s="15" t="n">
        <f aca="false">F25/px-1</f>
        <v>0.898438755757551</v>
      </c>
    </row>
    <row r="26" customFormat="false" ht="17.15" hidden="false" customHeight="false" outlineLevel="0" collapsed="false">
      <c r="A26" s="0" t="s">
        <v>831</v>
      </c>
      <c r="B26" s="0" t="n">
        <f aca="false">pb_2</f>
        <v>1.6</v>
      </c>
      <c r="C26" s="0" t="s">
        <v>835</v>
      </c>
      <c r="D26" s="0" t="s">
        <v>693</v>
      </c>
      <c r="E26" s="21" t="n">
        <f aca="false">Y!F28</f>
        <v>2424306.29110239</v>
      </c>
      <c r="F26" s="21" t="n">
        <f aca="false">B26*E26</f>
        <v>3878890.06576383</v>
      </c>
      <c r="G26" s="15" t="n">
        <f aca="false">F26/px-1</f>
        <v>2.03750200921208</v>
      </c>
    </row>
    <row r="27" customFormat="false" ht="17.15" hidden="false" customHeight="false" outlineLevel="0" collapsed="false">
      <c r="A27" s="0" t="s">
        <v>832</v>
      </c>
      <c r="B27" s="0" t="n">
        <f aca="false">pb_3</f>
        <v>3.3</v>
      </c>
      <c r="C27" s="0" t="s">
        <v>835</v>
      </c>
      <c r="D27" s="0" t="s">
        <v>693</v>
      </c>
      <c r="E27" s="21" t="n">
        <f aca="false">Y!F28</f>
        <v>2424306.29110239</v>
      </c>
      <c r="F27" s="21" t="n">
        <f aca="false">B27*E27</f>
        <v>8000210.7606379</v>
      </c>
      <c r="G27" s="15" t="n">
        <f aca="false">F27/px-1</f>
        <v>5.26484789399992</v>
      </c>
    </row>
    <row r="28" customFormat="false" ht="17.15" hidden="false" customHeight="false" outlineLevel="0" collapsed="false">
      <c r="A28" s="0" t="s">
        <v>225</v>
      </c>
      <c r="B28" s="0" t="n">
        <f aca="false">pb_1</f>
        <v>1</v>
      </c>
      <c r="C28" s="0" t="s">
        <v>835</v>
      </c>
      <c r="D28" s="0" t="s">
        <v>694</v>
      </c>
      <c r="E28" s="21" t="n">
        <f aca="false">Y!I28</f>
        <v>1566350.1322916</v>
      </c>
      <c r="F28" s="21" t="n">
        <f aca="false">B28*E28</f>
        <v>1566350.1322916</v>
      </c>
      <c r="G28" s="15" t="n">
        <f aca="false">F28/px-1</f>
        <v>0.226585851442132</v>
      </c>
    </row>
    <row r="29" customFormat="false" ht="17.15" hidden="false" customHeight="false" outlineLevel="0" collapsed="false">
      <c r="A29" s="0" t="s">
        <v>831</v>
      </c>
      <c r="B29" s="0" t="n">
        <f aca="false">pb_2</f>
        <v>1.6</v>
      </c>
      <c r="C29" s="0" t="s">
        <v>835</v>
      </c>
      <c r="D29" s="0" t="s">
        <v>694</v>
      </c>
      <c r="E29" s="21" t="n">
        <f aca="false">Y!I28</f>
        <v>1566350.1322916</v>
      </c>
      <c r="F29" s="21" t="n">
        <f aca="false">B29*E29</f>
        <v>2506160.21166657</v>
      </c>
      <c r="G29" s="15" t="n">
        <f aca="false">F29/px-1</f>
        <v>0.962537362307412</v>
      </c>
    </row>
    <row r="30" customFormat="false" ht="17.15" hidden="false" customHeight="false" outlineLevel="0" collapsed="false">
      <c r="A30" s="0" t="s">
        <v>832</v>
      </c>
      <c r="B30" s="0" t="n">
        <f aca="false">pb_3</f>
        <v>3.3</v>
      </c>
      <c r="C30" s="0" t="s">
        <v>835</v>
      </c>
      <c r="D30" s="0" t="s">
        <v>694</v>
      </c>
      <c r="E30" s="21" t="n">
        <f aca="false">Y!I28</f>
        <v>1566350.1322916</v>
      </c>
      <c r="F30" s="21" t="n">
        <f aca="false">B30*E30</f>
        <v>5168955.43656229</v>
      </c>
      <c r="G30" s="15" t="n">
        <f aca="false">F30/px-1</f>
        <v>3.04773330975904</v>
      </c>
    </row>
    <row r="31" customFormat="false" ht="17.15" hidden="false" customHeight="false" outlineLevel="0" collapsed="false">
      <c r="A31" s="0" t="s">
        <v>225</v>
      </c>
      <c r="B31" s="0" t="n">
        <f aca="false">pb_1</f>
        <v>1</v>
      </c>
      <c r="C31" s="0" t="s">
        <v>835</v>
      </c>
      <c r="D31" s="0" t="s">
        <v>695</v>
      </c>
      <c r="E31" s="21" t="n">
        <f aca="false">Y!L28</f>
        <v>1241685.65646219</v>
      </c>
      <c r="F31" s="21" t="n">
        <f aca="false">B31*E31</f>
        <v>1241685.65646219</v>
      </c>
      <c r="G31" s="15" t="n">
        <f aca="false">F31/px-1</f>
        <v>-0.0276541452919439</v>
      </c>
    </row>
    <row r="32" customFormat="false" ht="17.15" hidden="false" customHeight="false" outlineLevel="0" collapsed="false">
      <c r="A32" s="0" t="s">
        <v>831</v>
      </c>
      <c r="B32" s="0" t="n">
        <f aca="false">pb_2</f>
        <v>1.6</v>
      </c>
      <c r="C32" s="0" t="s">
        <v>835</v>
      </c>
      <c r="D32" s="0" t="s">
        <v>695</v>
      </c>
      <c r="E32" s="21" t="n">
        <f aca="false">Y!L28</f>
        <v>1241685.65646219</v>
      </c>
      <c r="F32" s="21" t="n">
        <f aca="false">B32*E32</f>
        <v>1986697.0503395</v>
      </c>
      <c r="G32" s="15" t="n">
        <f aca="false">F32/px-1</f>
        <v>0.55575336753289</v>
      </c>
    </row>
    <row r="33" customFormat="false" ht="17.15" hidden="false" customHeight="false" outlineLevel="0" collapsed="false">
      <c r="A33" s="0" t="s">
        <v>832</v>
      </c>
      <c r="B33" s="0" t="n">
        <f aca="false">pb_3</f>
        <v>3.3</v>
      </c>
      <c r="C33" s="0" t="s">
        <v>835</v>
      </c>
      <c r="D33" s="0" t="s">
        <v>695</v>
      </c>
      <c r="E33" s="21" t="n">
        <f aca="false">Y!L28</f>
        <v>1241685.65646219</v>
      </c>
      <c r="F33" s="21" t="n">
        <f aca="false">B33*E33</f>
        <v>4097562.66632522</v>
      </c>
      <c r="G33" s="15" t="n">
        <f aca="false">F33/px-1</f>
        <v>2.20874132053659</v>
      </c>
    </row>
    <row r="34" customFormat="false" ht="15" hidden="false" customHeight="false" outlineLevel="0" collapsed="false">
      <c r="A34" s="0" t="s">
        <v>235</v>
      </c>
      <c r="B34" s="0" t="n">
        <f aca="false">pe_1</f>
        <v>4</v>
      </c>
      <c r="C34" s="0" t="s">
        <v>836</v>
      </c>
      <c r="D34" s="0" t="s">
        <v>693</v>
      </c>
      <c r="E34" s="21" t="n">
        <f aca="false">Y!D29</f>
        <v>550035.776345727</v>
      </c>
      <c r="F34" s="21" t="n">
        <f aca="false">B34*E34</f>
        <v>2200143.10538291</v>
      </c>
      <c r="G34" s="15" t="n">
        <f aca="false">F34/px-1</f>
        <v>0.722899847598205</v>
      </c>
    </row>
    <row r="35" customFormat="false" ht="15" hidden="false" customHeight="false" outlineLevel="0" collapsed="false">
      <c r="A35" s="0" t="s">
        <v>238</v>
      </c>
      <c r="B35" s="0" t="n">
        <f aca="false">pe_2</f>
        <v>8</v>
      </c>
      <c r="C35" s="0" t="s">
        <v>836</v>
      </c>
      <c r="D35" s="0" t="s">
        <v>693</v>
      </c>
      <c r="E35" s="21" t="n">
        <f aca="false">Y!D29</f>
        <v>550035.776345727</v>
      </c>
      <c r="F35" s="21" t="n">
        <f aca="false">B35*E35</f>
        <v>4400286.21076582</v>
      </c>
      <c r="G35" s="15" t="n">
        <f aca="false">F35/px-1</f>
        <v>2.44579969519641</v>
      </c>
    </row>
    <row r="36" customFormat="false" ht="15" hidden="false" customHeight="false" outlineLevel="0" collapsed="false">
      <c r="A36" s="0" t="s">
        <v>240</v>
      </c>
      <c r="B36" s="0" t="n">
        <f aca="false">pe_3</f>
        <v>12</v>
      </c>
      <c r="C36" s="0" t="s">
        <v>836</v>
      </c>
      <c r="D36" s="0" t="s">
        <v>693</v>
      </c>
      <c r="E36" s="21" t="n">
        <f aca="false">Y!D29</f>
        <v>550035.776345727</v>
      </c>
      <c r="F36" s="21" t="n">
        <f aca="false">B36*E36</f>
        <v>6600429.31614872</v>
      </c>
      <c r="G36" s="15" t="n">
        <f aca="false">F36/px-1</f>
        <v>4.16869954279462</v>
      </c>
    </row>
    <row r="37" customFormat="false" ht="15" hidden="false" customHeight="false" outlineLevel="0" collapsed="false">
      <c r="A37" s="0" t="s">
        <v>235</v>
      </c>
      <c r="B37" s="0" t="n">
        <f aca="false">pe_1</f>
        <v>4</v>
      </c>
      <c r="C37" s="0" t="s">
        <v>836</v>
      </c>
      <c r="D37" s="0" t="s">
        <v>694</v>
      </c>
      <c r="E37" s="21" t="n">
        <f aca="false">Y!G29</f>
        <v>534990.126304986</v>
      </c>
      <c r="F37" s="21" t="n">
        <f aca="false">B37*E37</f>
        <v>2139960.50521994</v>
      </c>
      <c r="G37" s="15" t="n">
        <f aca="false">F37/px-1</f>
        <v>0.6757717347063</v>
      </c>
    </row>
    <row r="38" customFormat="false" ht="15" hidden="false" customHeight="false" outlineLevel="0" collapsed="false">
      <c r="A38" s="0" t="s">
        <v>238</v>
      </c>
      <c r="B38" s="0" t="n">
        <f aca="false">pe_2</f>
        <v>8</v>
      </c>
      <c r="C38" s="0" t="s">
        <v>836</v>
      </c>
      <c r="D38" s="0" t="s">
        <v>694</v>
      </c>
      <c r="E38" s="21" t="n">
        <f aca="false">Y!G29</f>
        <v>534990.126304986</v>
      </c>
      <c r="F38" s="21" t="n">
        <f aca="false">B38*E38</f>
        <v>4279921.01043989</v>
      </c>
      <c r="G38" s="15" t="n">
        <f aca="false">F38/px-1</f>
        <v>2.3515434694126</v>
      </c>
    </row>
    <row r="39" customFormat="false" ht="15" hidden="false" customHeight="false" outlineLevel="0" collapsed="false">
      <c r="A39" s="0" t="s">
        <v>240</v>
      </c>
      <c r="B39" s="0" t="n">
        <f aca="false">pe_3</f>
        <v>12</v>
      </c>
      <c r="C39" s="0" t="s">
        <v>836</v>
      </c>
      <c r="D39" s="0" t="s">
        <v>694</v>
      </c>
      <c r="E39" s="21" t="n">
        <f aca="false">Y!G29</f>
        <v>534990.126304986</v>
      </c>
      <c r="F39" s="21" t="n">
        <f aca="false">B39*E39</f>
        <v>6419881.51565983</v>
      </c>
      <c r="G39" s="15" t="n">
        <f aca="false">F39/px-1</f>
        <v>4.0273152041189</v>
      </c>
    </row>
    <row r="40" customFormat="false" ht="15" hidden="false" customHeight="false" outlineLevel="0" collapsed="false">
      <c r="A40" s="0" t="s">
        <v>235</v>
      </c>
      <c r="B40" s="0" t="n">
        <f aca="false">pe_1</f>
        <v>4</v>
      </c>
      <c r="C40" s="0" t="s">
        <v>836</v>
      </c>
      <c r="D40" s="0" t="s">
        <v>695</v>
      </c>
      <c r="E40" s="21" t="n">
        <f aca="false">Y!J29</f>
        <v>534990.126304986</v>
      </c>
      <c r="F40" s="21" t="n">
        <f aca="false">B40*E40</f>
        <v>2139960.50521994</v>
      </c>
      <c r="G40" s="15" t="n">
        <f aca="false">F40/px-1</f>
        <v>0.6757717347063</v>
      </c>
    </row>
    <row r="41" customFormat="false" ht="15" hidden="false" customHeight="false" outlineLevel="0" collapsed="false">
      <c r="A41" s="0" t="s">
        <v>238</v>
      </c>
      <c r="B41" s="0" t="n">
        <f aca="false">pe_2</f>
        <v>8</v>
      </c>
      <c r="C41" s="0" t="s">
        <v>836</v>
      </c>
      <c r="D41" s="0" t="s">
        <v>695</v>
      </c>
      <c r="E41" s="21" t="n">
        <f aca="false">Y!J29</f>
        <v>534990.126304986</v>
      </c>
      <c r="F41" s="21" t="n">
        <f aca="false">B41*E41</f>
        <v>4279921.01043989</v>
      </c>
      <c r="G41" s="15" t="n">
        <f aca="false">F41/px-1</f>
        <v>2.3515434694126</v>
      </c>
    </row>
    <row r="42" customFormat="false" ht="15" hidden="false" customHeight="false" outlineLevel="0" collapsed="false">
      <c r="A42" s="0" t="s">
        <v>240</v>
      </c>
      <c r="B42" s="0" t="n">
        <f aca="false">pe_3</f>
        <v>12</v>
      </c>
      <c r="C42" s="0" t="s">
        <v>836</v>
      </c>
      <c r="D42" s="0" t="s">
        <v>695</v>
      </c>
      <c r="E42" s="21" t="n">
        <f aca="false">Y!J29</f>
        <v>534990.126304986</v>
      </c>
      <c r="F42" s="21" t="n">
        <f aca="false">B42*E42</f>
        <v>6419881.51565983</v>
      </c>
      <c r="G42" s="15" t="n">
        <f aca="false">F42/px-1</f>
        <v>4.0273152041189</v>
      </c>
    </row>
    <row r="43" customFormat="false" ht="15" hidden="false" customHeight="false" outlineLevel="0" collapsed="false">
      <c r="A43" s="0" t="s">
        <v>235</v>
      </c>
      <c r="B43" s="0" t="n">
        <f aca="false">pe_1</f>
        <v>4</v>
      </c>
      <c r="C43" s="0" t="s">
        <v>837</v>
      </c>
      <c r="D43" s="0" t="s">
        <v>693</v>
      </c>
      <c r="E43" s="21" t="n">
        <f aca="false">Y!E29</f>
        <v>714922.652491223</v>
      </c>
      <c r="F43" s="21" t="n">
        <f aca="false">B43*E43</f>
        <v>2859690.60996489</v>
      </c>
      <c r="G43" s="15" t="n">
        <f aca="false">F43/px-1</f>
        <v>1.23938184022309</v>
      </c>
    </row>
    <row r="44" customFormat="false" ht="15" hidden="false" customHeight="false" outlineLevel="0" collapsed="false">
      <c r="A44" s="0" t="s">
        <v>238</v>
      </c>
      <c r="B44" s="0" t="n">
        <f aca="false">pe_2</f>
        <v>8</v>
      </c>
      <c r="C44" s="0" t="s">
        <v>837</v>
      </c>
      <c r="D44" s="0" t="s">
        <v>693</v>
      </c>
      <c r="E44" s="21" t="n">
        <f aca="false">Y!E29</f>
        <v>714922.652491223</v>
      </c>
      <c r="F44" s="21" t="n">
        <f aca="false">B44*E44</f>
        <v>5719381.21992978</v>
      </c>
      <c r="G44" s="15" t="n">
        <f aca="false">F44/px-1</f>
        <v>3.47876368044619</v>
      </c>
    </row>
    <row r="45" customFormat="false" ht="15" hidden="false" customHeight="false" outlineLevel="0" collapsed="false">
      <c r="A45" s="0" t="s">
        <v>240</v>
      </c>
      <c r="B45" s="0" t="n">
        <f aca="false">pe_3</f>
        <v>12</v>
      </c>
      <c r="C45" s="0" t="s">
        <v>837</v>
      </c>
      <c r="D45" s="0" t="s">
        <v>693</v>
      </c>
      <c r="E45" s="21" t="n">
        <f aca="false">Y!E29</f>
        <v>714922.652491223</v>
      </c>
      <c r="F45" s="21" t="n">
        <f aca="false">B45*E45</f>
        <v>8579071.82989467</v>
      </c>
      <c r="G45" s="15" t="n">
        <f aca="false">F45/px-1</f>
        <v>5.71814552066928</v>
      </c>
    </row>
    <row r="46" customFormat="false" ht="15" hidden="false" customHeight="false" outlineLevel="0" collapsed="false">
      <c r="A46" s="0" t="s">
        <v>235</v>
      </c>
      <c r="B46" s="0" t="n">
        <f aca="false">pe_1</f>
        <v>4</v>
      </c>
      <c r="C46" s="0" t="s">
        <v>837</v>
      </c>
      <c r="D46" s="0" t="s">
        <v>694</v>
      </c>
      <c r="E46" s="21" t="n">
        <f aca="false">Y!H29</f>
        <v>331149.264031978</v>
      </c>
      <c r="F46" s="21" t="n">
        <f aca="false">B46*E46</f>
        <v>1324597.05612791</v>
      </c>
      <c r="G46" s="15" t="n">
        <f aca="false">F46/px-1</f>
        <v>0.0372725576569397</v>
      </c>
    </row>
    <row r="47" customFormat="false" ht="15" hidden="false" customHeight="false" outlineLevel="0" collapsed="false">
      <c r="A47" s="0" t="s">
        <v>238</v>
      </c>
      <c r="B47" s="0" t="n">
        <f aca="false">pe_2</f>
        <v>8</v>
      </c>
      <c r="C47" s="0" t="s">
        <v>837</v>
      </c>
      <c r="D47" s="0" t="s">
        <v>694</v>
      </c>
      <c r="E47" s="21" t="n">
        <f aca="false">Y!H29</f>
        <v>331149.264031978</v>
      </c>
      <c r="F47" s="21" t="n">
        <f aca="false">B47*E47</f>
        <v>2649194.11225582</v>
      </c>
      <c r="G47" s="15" t="n">
        <f aca="false">F47/px-1</f>
        <v>1.07454511531388</v>
      </c>
    </row>
    <row r="48" customFormat="false" ht="15" hidden="false" customHeight="false" outlineLevel="0" collapsed="false">
      <c r="A48" s="0" t="s">
        <v>240</v>
      </c>
      <c r="B48" s="0" t="n">
        <f aca="false">pe_3</f>
        <v>12</v>
      </c>
      <c r="C48" s="0" t="s">
        <v>837</v>
      </c>
      <c r="D48" s="0" t="s">
        <v>694</v>
      </c>
      <c r="E48" s="21" t="n">
        <f aca="false">Y!H29</f>
        <v>331149.264031978</v>
      </c>
      <c r="F48" s="21" t="n">
        <f aca="false">B48*E48</f>
        <v>3973791.16838374</v>
      </c>
      <c r="G48" s="15" t="n">
        <f aca="false">F48/px-1</f>
        <v>2.11181767297082</v>
      </c>
    </row>
    <row r="49" customFormat="false" ht="15" hidden="false" customHeight="false" outlineLevel="0" collapsed="false">
      <c r="A49" s="0" t="s">
        <v>235</v>
      </c>
      <c r="B49" s="0" t="n">
        <f aca="false">pe_1</f>
        <v>4</v>
      </c>
      <c r="C49" s="0" t="s">
        <v>837</v>
      </c>
      <c r="D49" s="0" t="s">
        <v>695</v>
      </c>
      <c r="E49" s="21" t="n">
        <f aca="false">Y!K29</f>
        <v>195351.00901838</v>
      </c>
      <c r="F49" s="21" t="n">
        <f aca="false">B49*E49</f>
        <v>781404.036073522</v>
      </c>
      <c r="G49" s="15" t="n">
        <f aca="false">F49/px-1</f>
        <v>-0.38809394199411</v>
      </c>
    </row>
    <row r="50" customFormat="false" ht="15" hidden="false" customHeight="false" outlineLevel="0" collapsed="false">
      <c r="A50" s="0" t="s">
        <v>238</v>
      </c>
      <c r="B50" s="0" t="n">
        <f aca="false">pe_2</f>
        <v>8</v>
      </c>
      <c r="C50" s="0" t="s">
        <v>837</v>
      </c>
      <c r="D50" s="0" t="s">
        <v>695</v>
      </c>
      <c r="E50" s="21" t="n">
        <f aca="false">Y!K29</f>
        <v>195351.00901838</v>
      </c>
      <c r="F50" s="21" t="n">
        <f aca="false">B50*E50</f>
        <v>1562808.07214704</v>
      </c>
      <c r="G50" s="15" t="n">
        <f aca="false">F50/px-1</f>
        <v>0.22381211601178</v>
      </c>
    </row>
    <row r="51" customFormat="false" ht="15" hidden="false" customHeight="false" outlineLevel="0" collapsed="false">
      <c r="A51" s="0" t="s">
        <v>240</v>
      </c>
      <c r="B51" s="0" t="n">
        <f aca="false">pe_3</f>
        <v>12</v>
      </c>
      <c r="C51" s="0" t="s">
        <v>837</v>
      </c>
      <c r="D51" s="0" t="s">
        <v>695</v>
      </c>
      <c r="E51" s="21" t="n">
        <f aca="false">Y!K29</f>
        <v>195351.00901838</v>
      </c>
      <c r="F51" s="21" t="n">
        <f aca="false">B51*E51</f>
        <v>2344212.10822056</v>
      </c>
      <c r="G51" s="15" t="n">
        <f aca="false">F51/px-1</f>
        <v>0.83571817401767</v>
      </c>
    </row>
    <row r="52" customFormat="false" ht="15" hidden="false" customHeight="false" outlineLevel="0" collapsed="false">
      <c r="A52" s="0" t="s">
        <v>235</v>
      </c>
      <c r="B52" s="0" t="n">
        <f aca="false">pe_1</f>
        <v>4</v>
      </c>
      <c r="C52" s="0" t="s">
        <v>838</v>
      </c>
      <c r="D52" s="0" t="s">
        <v>693</v>
      </c>
      <c r="E52" s="21" t="n">
        <f aca="false">Y!F29</f>
        <v>977449.972909613</v>
      </c>
      <c r="F52" s="21" t="n">
        <f aca="false">B52*E52</f>
        <v>3909799.89163845</v>
      </c>
      <c r="G52" s="15" t="n">
        <f aca="false">F52/px-1</f>
        <v>2.0617070412204</v>
      </c>
    </row>
    <row r="53" customFormat="false" ht="15" hidden="false" customHeight="false" outlineLevel="0" collapsed="false">
      <c r="A53" s="0" t="s">
        <v>238</v>
      </c>
      <c r="B53" s="0" t="n">
        <f aca="false">pe_2</f>
        <v>8</v>
      </c>
      <c r="C53" s="0" t="s">
        <v>838</v>
      </c>
      <c r="D53" s="0" t="s">
        <v>693</v>
      </c>
      <c r="E53" s="21" t="n">
        <f aca="false">Y!F29</f>
        <v>977449.972909613</v>
      </c>
      <c r="F53" s="21" t="n">
        <f aca="false">B53*E53</f>
        <v>7819599.7832769</v>
      </c>
      <c r="G53" s="15" t="n">
        <f aca="false">F53/px-1</f>
        <v>5.1234140824408</v>
      </c>
    </row>
    <row r="54" customFormat="false" ht="15" hidden="false" customHeight="false" outlineLevel="0" collapsed="false">
      <c r="A54" s="0" t="s">
        <v>240</v>
      </c>
      <c r="B54" s="0" t="n">
        <f aca="false">pe_3</f>
        <v>12</v>
      </c>
      <c r="C54" s="0" t="s">
        <v>838</v>
      </c>
      <c r="D54" s="0" t="s">
        <v>693</v>
      </c>
      <c r="E54" s="21" t="n">
        <f aca="false">Y!F29</f>
        <v>977449.972909613</v>
      </c>
      <c r="F54" s="21" t="n">
        <f aca="false">B54*E54</f>
        <v>11729399.6749154</v>
      </c>
      <c r="G54" s="15" t="n">
        <f aca="false">F54/px-1</f>
        <v>8.1851211236612</v>
      </c>
    </row>
    <row r="55" customFormat="false" ht="15" hidden="false" customHeight="false" outlineLevel="0" collapsed="false">
      <c r="A55" s="0" t="s">
        <v>235</v>
      </c>
      <c r="B55" s="0" t="n">
        <f aca="false">pe_1</f>
        <v>4</v>
      </c>
      <c r="C55" s="0" t="s">
        <v>838</v>
      </c>
      <c r="D55" s="0" t="s">
        <v>694</v>
      </c>
      <c r="E55" s="21" t="n">
        <f aca="false">Y!I29</f>
        <v>425193.802381281</v>
      </c>
      <c r="F55" s="21" t="n">
        <f aca="false">B55*E55</f>
        <v>1700775.20952512</v>
      </c>
      <c r="G55" s="15" t="n">
        <f aca="false">F55/px-1</f>
        <v>0.331852160943714</v>
      </c>
    </row>
    <row r="56" customFormat="false" ht="15" hidden="false" customHeight="false" outlineLevel="0" collapsed="false">
      <c r="A56" s="0" t="s">
        <v>238</v>
      </c>
      <c r="B56" s="0" t="n">
        <f aca="false">pe_2</f>
        <v>8</v>
      </c>
      <c r="C56" s="0" t="s">
        <v>838</v>
      </c>
      <c r="D56" s="0" t="s">
        <v>694</v>
      </c>
      <c r="E56" s="21" t="n">
        <f aca="false">Y!I29</f>
        <v>425193.802381281</v>
      </c>
      <c r="F56" s="21" t="n">
        <f aca="false">B56*E56</f>
        <v>3401550.41905025</v>
      </c>
      <c r="G56" s="15" t="n">
        <f aca="false">F56/px-1</f>
        <v>1.66370432188743</v>
      </c>
    </row>
    <row r="57" customFormat="false" ht="15" hidden="false" customHeight="false" outlineLevel="0" collapsed="false">
      <c r="A57" s="0" t="s">
        <v>240</v>
      </c>
      <c r="B57" s="0" t="n">
        <f aca="false">pe_3</f>
        <v>12</v>
      </c>
      <c r="C57" s="0" t="s">
        <v>838</v>
      </c>
      <c r="D57" s="0" t="s">
        <v>694</v>
      </c>
      <c r="E57" s="21" t="n">
        <f aca="false">Y!I29</f>
        <v>425193.802381281</v>
      </c>
      <c r="F57" s="21" t="n">
        <f aca="false">B57*E57</f>
        <v>5102325.62857537</v>
      </c>
      <c r="G57" s="15" t="n">
        <f aca="false">F57/px-1</f>
        <v>2.99555648283114</v>
      </c>
    </row>
    <row r="58" customFormat="false" ht="15" hidden="false" customHeight="false" outlineLevel="0" collapsed="false">
      <c r="A58" s="0" t="s">
        <v>235</v>
      </c>
      <c r="B58" s="0" t="n">
        <f aca="false">pe_1</f>
        <v>4</v>
      </c>
      <c r="C58" s="0" t="s">
        <v>838</v>
      </c>
      <c r="D58" s="0" t="s">
        <v>695</v>
      </c>
      <c r="E58" s="21" t="n">
        <f aca="false">Y!L29</f>
        <v>170660.322275934</v>
      </c>
      <c r="F58" s="21" t="n">
        <f aca="false">B58*E58</f>
        <v>682641.289103735</v>
      </c>
      <c r="G58" s="15" t="n">
        <f aca="false">F58/px-1</f>
        <v>-0.465433602894491</v>
      </c>
    </row>
    <row r="59" customFormat="false" ht="15" hidden="false" customHeight="false" outlineLevel="0" collapsed="false">
      <c r="A59" s="0" t="s">
        <v>238</v>
      </c>
      <c r="B59" s="0" t="n">
        <f aca="false">pe_2</f>
        <v>8</v>
      </c>
      <c r="C59" s="0" t="s">
        <v>838</v>
      </c>
      <c r="D59" s="0" t="s">
        <v>695</v>
      </c>
      <c r="E59" s="21" t="n">
        <f aca="false">Y!L29</f>
        <v>170660.322275934</v>
      </c>
      <c r="F59" s="21" t="n">
        <f aca="false">B59*E59</f>
        <v>1365282.57820747</v>
      </c>
      <c r="G59" s="15" t="n">
        <f aca="false">F59/px-1</f>
        <v>0.0691327942110178</v>
      </c>
    </row>
    <row r="60" customFormat="false" ht="15" hidden="false" customHeight="false" outlineLevel="0" collapsed="false">
      <c r="A60" s="0" t="s">
        <v>240</v>
      </c>
      <c r="B60" s="0" t="n">
        <f aca="false">pe_3</f>
        <v>12</v>
      </c>
      <c r="C60" s="0" t="s">
        <v>838</v>
      </c>
      <c r="D60" s="0" t="s">
        <v>695</v>
      </c>
      <c r="E60" s="21" t="n">
        <f aca="false">Y!L29</f>
        <v>170660.322275934</v>
      </c>
      <c r="F60" s="21" t="n">
        <f aca="false">B60*E60</f>
        <v>2047923.8673112</v>
      </c>
      <c r="G60" s="15" t="n">
        <f aca="false">F60/px-1</f>
        <v>0.603699191316527</v>
      </c>
    </row>
    <row r="63" customFormat="false" ht="17.15" hidden="false" customHeight="false" outlineLevel="0" collapsed="false">
      <c r="A63" s="1" t="s">
        <v>839</v>
      </c>
    </row>
    <row r="64" customFormat="false" ht="17.15" hidden="false" customHeight="false" outlineLevel="0" collapsed="false">
      <c r="A64" s="5" t="s">
        <v>840</v>
      </c>
    </row>
    <row r="66" customFormat="false" ht="17.15" hidden="false" customHeight="false" outlineLevel="0" collapsed="false">
      <c r="A66" s="1" t="s">
        <v>841</v>
      </c>
    </row>
    <row r="67" customFormat="false" ht="17.15" hidden="false" customHeight="false" outlineLevel="0" collapsed="false">
      <c r="A67" s="6" t="s">
        <v>842</v>
      </c>
      <c r="B67" s="13" t="s">
        <v>843</v>
      </c>
      <c r="C67" s="13" t="s">
        <v>844</v>
      </c>
      <c r="D67" s="6" t="s">
        <v>845</v>
      </c>
    </row>
    <row r="68" customFormat="false" ht="17.15" hidden="false" customHeight="false" outlineLevel="0" collapsed="false">
      <c r="A68" s="0" t="s">
        <v>846</v>
      </c>
      <c r="B68" s="18" t="n">
        <v>1.31</v>
      </c>
      <c r="C68" s="18" t="n">
        <v>1.35</v>
      </c>
      <c r="D68" s="8" t="s">
        <v>847</v>
      </c>
    </row>
    <row r="69" customFormat="false" ht="17.15" hidden="false" customHeight="false" outlineLevel="0" collapsed="false">
      <c r="A69" s="0" t="s">
        <v>848</v>
      </c>
      <c r="B69" s="18" t="n">
        <v>1.59</v>
      </c>
      <c r="C69" s="18" t="n">
        <v>1.6</v>
      </c>
      <c r="D69" s="8" t="s">
        <v>849</v>
      </c>
    </row>
    <row r="70" customFormat="false" ht="15" hidden="false" customHeight="false" outlineLevel="0" collapsed="false">
      <c r="A70" s="0" t="s">
        <v>850</v>
      </c>
      <c r="B70" s="18" t="n">
        <v>0.8832</v>
      </c>
      <c r="C70" s="18" t="n">
        <v>0.9</v>
      </c>
    </row>
    <row r="71" customFormat="false" ht="15" hidden="false" customHeight="false" outlineLevel="0" collapsed="false">
      <c r="A71" s="0" t="s">
        <v>851</v>
      </c>
      <c r="B71" s="18" t="n">
        <v>1.34</v>
      </c>
      <c r="C71" s="18" t="n">
        <v>1.34</v>
      </c>
    </row>
    <row r="72" customFormat="false" ht="15" hidden="false" customHeight="false" outlineLevel="0" collapsed="false">
      <c r="A72" s="0" t="s">
        <v>852</v>
      </c>
      <c r="B72" s="18" t="n">
        <v>1.56</v>
      </c>
      <c r="C72" s="18" t="n">
        <v>1.56</v>
      </c>
    </row>
    <row r="73" customFormat="false" ht="15" hidden="false" customHeight="false" outlineLevel="0" collapsed="false">
      <c r="A73" s="0" t="s">
        <v>853</v>
      </c>
      <c r="B73" s="18" t="n">
        <v>1.45</v>
      </c>
      <c r="C73" s="18" t="n">
        <v>1.45</v>
      </c>
    </row>
    <row r="74" customFormat="false" ht="15" hidden="false" customHeight="false" outlineLevel="0" collapsed="false">
      <c r="A74" s="0" t="s">
        <v>854</v>
      </c>
      <c r="B74" s="18" t="n">
        <v>0.81</v>
      </c>
      <c r="C74" s="18" t="n">
        <v>0.82</v>
      </c>
    </row>
    <row r="75" customFormat="false" ht="15" hidden="false" customHeight="false" outlineLevel="0" collapsed="false">
      <c r="A75" s="0" t="s">
        <v>855</v>
      </c>
      <c r="B75" s="18" t="n">
        <v>1.87</v>
      </c>
      <c r="C75" s="18" t="n">
        <v>1.83</v>
      </c>
    </row>
    <row r="76" customFormat="false" ht="15" hidden="false" customHeight="false" outlineLevel="0" collapsed="false">
      <c r="A76" s="0" t="s">
        <v>856</v>
      </c>
      <c r="B76" s="18" t="n">
        <v>1.62</v>
      </c>
      <c r="C76" s="18" t="n">
        <v>1.62</v>
      </c>
    </row>
    <row r="77" customFormat="false" ht="15" hidden="false" customHeight="false" outlineLevel="0" collapsed="false">
      <c r="A77" s="0" t="s">
        <v>698</v>
      </c>
      <c r="B77" s="18" t="n">
        <v>3.86</v>
      </c>
    </row>
    <row r="78" customFormat="false" ht="17.15" hidden="false" customHeight="false" outlineLevel="0" collapsed="false">
      <c r="A78" s="0" t="s">
        <v>857</v>
      </c>
      <c r="B78" s="14" t="n">
        <f aca="false">PERCENTILE(B68:B77,0.25)</f>
        <v>1.3175</v>
      </c>
      <c r="C78" s="14" t="n">
        <f aca="false">PERCENTILE(C68:C77,0.25)</f>
        <v>1.34</v>
      </c>
    </row>
    <row r="79" customFormat="false" ht="15" hidden="false" customHeight="false" outlineLevel="0" collapsed="false">
      <c r="A79" s="5" t="s">
        <v>858</v>
      </c>
      <c r="B79" s="14" t="n">
        <f aca="false">MEDIAN(B68:B77)</f>
        <v>1.505</v>
      </c>
      <c r="C79" s="14" t="n">
        <f aca="false">MEDIAN(C68:C77)</f>
        <v>1.45</v>
      </c>
    </row>
    <row r="80" customFormat="false" ht="17.15" hidden="false" customHeight="false" outlineLevel="0" collapsed="false">
      <c r="A80" s="0" t="s">
        <v>859</v>
      </c>
      <c r="B80" s="14" t="n">
        <f aca="false">PERCENTILE(B68:B77,0.75)</f>
        <v>1.6125</v>
      </c>
      <c r="C80" s="14" t="n">
        <f aca="false">PERCENTILE(C68:C77,0.75)</f>
        <v>1.6</v>
      </c>
    </row>
    <row r="81" customFormat="false" ht="15" hidden="false" customHeight="false" outlineLevel="0" collapsed="false">
      <c r="A81" s="5" t="s">
        <v>860</v>
      </c>
      <c r="B81" s="14" t="n">
        <f aca="false">MIN(B68:B77)</f>
        <v>0.81</v>
      </c>
      <c r="C81" s="14" t="n">
        <f aca="false">MIN(C68:C77)</f>
        <v>0.82</v>
      </c>
    </row>
    <row r="82" customFormat="false" ht="15" hidden="false" customHeight="false" outlineLevel="0" collapsed="false">
      <c r="A82" s="5" t="s">
        <v>861</v>
      </c>
      <c r="B82" s="14" t="n">
        <f aca="false">MAX(B68:B77)</f>
        <v>3.86</v>
      </c>
      <c r="C82" s="14" t="n">
        <f aca="false">MAX(C68:C77)</f>
        <v>1.83</v>
      </c>
    </row>
    <row r="83" customFormat="false" ht="17.15" hidden="false" customHeight="false" outlineLevel="0" collapsed="false">
      <c r="A83" s="3" t="s">
        <v>862</v>
      </c>
      <c r="B83" s="14" t="n">
        <f aca="false">ROUND(AVERAGE(B78,C78),2)</f>
        <v>1.33</v>
      </c>
    </row>
    <row r="84" customFormat="false" ht="17.15" hidden="false" customHeight="false" outlineLevel="0" collapsed="false">
      <c r="A84" s="3" t="s">
        <v>863</v>
      </c>
      <c r="B84" s="14" t="n">
        <f aca="false">ROUND(AVERAGE(B79,C79),2)</f>
        <v>1.48</v>
      </c>
    </row>
    <row r="85" customFormat="false" ht="17.15" hidden="false" customHeight="false" outlineLevel="0" collapsed="false">
      <c r="A85" s="3" t="s">
        <v>864</v>
      </c>
      <c r="B85" s="14" t="n">
        <f aca="false">ROUND(AVERAGE(B80,C80),2)</f>
        <v>1.61</v>
      </c>
    </row>
    <row r="86" customFormat="false" ht="17.15" hidden="false" customHeight="false" outlineLevel="0" collapsed="false">
      <c r="A86" s="3" t="s">
        <v>865</v>
      </c>
      <c r="B86" s="14" t="n">
        <f aca="false">ROUND(MIN(B81,C81),2)</f>
        <v>0.81</v>
      </c>
    </row>
    <row r="87" customFormat="false" ht="17.15" hidden="false" customHeight="false" outlineLevel="0" collapsed="false">
      <c r="A87" s="3" t="s">
        <v>866</v>
      </c>
      <c r="B87" s="14" t="n">
        <f aca="false">ROUND(MAX(B82,C82),2)</f>
        <v>3.86</v>
      </c>
    </row>
    <row r="89" customFormat="false" ht="17.15" hidden="false" customHeight="false" outlineLevel="0" collapsed="false">
      <c r="A89" s="1" t="s">
        <v>867</v>
      </c>
    </row>
    <row r="90" customFormat="false" ht="17.15" hidden="false" customHeight="false" outlineLevel="0" collapsed="false">
      <c r="A90" s="6" t="s">
        <v>868</v>
      </c>
      <c r="B90" s="6" t="s">
        <v>869</v>
      </c>
      <c r="C90" s="6" t="s">
        <v>825</v>
      </c>
      <c r="D90" s="6" t="s">
        <v>31</v>
      </c>
      <c r="E90" s="6" t="s">
        <v>826</v>
      </c>
      <c r="F90" s="6" t="s">
        <v>827</v>
      </c>
      <c r="G90" s="6" t="s">
        <v>828</v>
      </c>
      <c r="H90" s="6" t="s">
        <v>870</v>
      </c>
    </row>
    <row r="91" customFormat="false" ht="17.15" hidden="false" customHeight="false" outlineLevel="0" collapsed="false">
      <c r="A91" s="5" t="s">
        <v>871</v>
      </c>
      <c r="B91" s="5" t="s">
        <v>872</v>
      </c>
      <c r="C91" s="14" t="n">
        <f aca="false">B83</f>
        <v>1.33</v>
      </c>
      <c r="D91" s="8" t="s">
        <v>873</v>
      </c>
      <c r="E91" s="21" t="n">
        <f aca="false">Y!D28</f>
        <v>941774.352898496</v>
      </c>
      <c r="F91" s="24" t="n">
        <f aca="false">C91*E91</f>
        <v>1252559.889355</v>
      </c>
      <c r="G91" s="19" t="n">
        <f aca="false">F91/px-1</f>
        <v>-0.0191386927525457</v>
      </c>
      <c r="H91" s="14" t="n">
        <f aca="false">px/E91</f>
        <v>1.35595113210482</v>
      </c>
    </row>
    <row r="92" customFormat="false" ht="17.15" hidden="false" customHeight="false" outlineLevel="0" collapsed="false">
      <c r="A92" s="5" t="s">
        <v>874</v>
      </c>
      <c r="B92" s="5" t="s">
        <v>875</v>
      </c>
      <c r="C92" s="14" t="n">
        <f aca="false">B84</f>
        <v>1.48</v>
      </c>
      <c r="D92" s="8" t="s">
        <v>873</v>
      </c>
      <c r="E92" s="21" t="n">
        <f aca="false">Y!D28</f>
        <v>941774.352898496</v>
      </c>
      <c r="F92" s="24" t="n">
        <f aca="false">C92*E92</f>
        <v>1393826.04228977</v>
      </c>
      <c r="G92" s="19" t="n">
        <f aca="false">F92/px-1</f>
        <v>0.0914847629520543</v>
      </c>
      <c r="H92" s="14" t="n">
        <f aca="false">px/E92</f>
        <v>1.35595113210482</v>
      </c>
    </row>
    <row r="93" customFormat="false" ht="17.15" hidden="false" customHeight="false" outlineLevel="0" collapsed="false">
      <c r="A93" s="5" t="s">
        <v>876</v>
      </c>
      <c r="B93" s="5" t="s">
        <v>877</v>
      </c>
      <c r="C93" s="14" t="n">
        <f aca="false">B85</f>
        <v>1.61</v>
      </c>
      <c r="D93" s="8" t="s">
        <v>878</v>
      </c>
      <c r="E93" s="21" t="n">
        <f aca="false">Y!K28</f>
        <v>1094692.46613806</v>
      </c>
      <c r="F93" s="24" t="n">
        <f aca="false">C93*E93</f>
        <v>1762454.87048227</v>
      </c>
      <c r="G93" s="19" t="n">
        <f aca="false">F93/px-1</f>
        <v>0.380152600221042</v>
      </c>
      <c r="H93" s="14" t="n">
        <f aca="false">px/E93</f>
        <v>1.16653767108227</v>
      </c>
    </row>
    <row r="96" customFormat="false" ht="17.15" hidden="false" customHeight="false" outlineLevel="0" collapsed="false">
      <c r="A96" s="1" t="s">
        <v>879</v>
      </c>
    </row>
    <row r="97" customFormat="false" ht="17.15" hidden="false" customHeight="false" outlineLevel="0" collapsed="false">
      <c r="A97" s="6" t="s">
        <v>842</v>
      </c>
      <c r="B97" s="13" t="s">
        <v>880</v>
      </c>
      <c r="C97" s="6" t="s">
        <v>881</v>
      </c>
      <c r="D97" s="13" t="s">
        <v>882</v>
      </c>
      <c r="E97" s="6" t="s">
        <v>845</v>
      </c>
    </row>
    <row r="98" customFormat="false" ht="17.15" hidden="false" customHeight="false" outlineLevel="0" collapsed="false">
      <c r="A98" s="0" t="s">
        <v>846</v>
      </c>
      <c r="B98" s="18" t="n">
        <v>9.57</v>
      </c>
      <c r="C98" s="14" t="n">
        <f aca="false">IF(B98&gt;0,B98,"")</f>
        <v>9.57</v>
      </c>
      <c r="E98" s="8" t="s">
        <v>883</v>
      </c>
    </row>
    <row r="99" customFormat="false" ht="17.15" hidden="false" customHeight="false" outlineLevel="0" collapsed="false">
      <c r="A99" s="0" t="s">
        <v>848</v>
      </c>
      <c r="B99" s="18" t="n">
        <v>4.61</v>
      </c>
      <c r="C99" s="14" t="n">
        <f aca="false">IF(B99&gt;0,B99,"")</f>
        <v>4.61</v>
      </c>
      <c r="E99" s="8" t="s">
        <v>884</v>
      </c>
    </row>
    <row r="100" customFormat="false" ht="15" hidden="false" customHeight="false" outlineLevel="0" collapsed="false">
      <c r="A100" s="0" t="s">
        <v>850</v>
      </c>
      <c r="B100" s="18" t="n">
        <v>2.54</v>
      </c>
      <c r="C100" s="14" t="n">
        <f aca="false">IF(B100&gt;0,B100,"")</f>
        <v>2.54</v>
      </c>
      <c r="E100" s="5" t="s">
        <v>885</v>
      </c>
    </row>
    <row r="101" customFormat="false" ht="17.15" hidden="false" customHeight="false" outlineLevel="0" collapsed="false">
      <c r="A101" s="0" t="s">
        <v>851</v>
      </c>
      <c r="B101" s="18" t="n">
        <v>30.2</v>
      </c>
      <c r="C101" s="14" t="n">
        <f aca="false">IF(B101&gt;0,B101,"")</f>
        <v>30.2</v>
      </c>
      <c r="E101" s="8" t="s">
        <v>886</v>
      </c>
    </row>
    <row r="102" customFormat="false" ht="15" hidden="false" customHeight="false" outlineLevel="0" collapsed="false">
      <c r="A102" s="0" t="s">
        <v>852</v>
      </c>
      <c r="B102" s="18" t="n">
        <v>16.2</v>
      </c>
      <c r="C102" s="14" t="n">
        <f aca="false">IF(B102&gt;0,B102,"")</f>
        <v>16.2</v>
      </c>
    </row>
    <row r="103" customFormat="false" ht="15" hidden="false" customHeight="false" outlineLevel="0" collapsed="false">
      <c r="A103" s="0" t="s">
        <v>853</v>
      </c>
      <c r="B103" s="18" t="n">
        <v>9.01</v>
      </c>
      <c r="C103" s="14" t="n">
        <f aca="false">IF(B103&gt;0,B103,"")</f>
        <v>9.01</v>
      </c>
      <c r="D103" s="18" t="n">
        <v>9.38</v>
      </c>
    </row>
    <row r="104" customFormat="false" ht="15" hidden="false" customHeight="false" outlineLevel="0" collapsed="false">
      <c r="A104" s="0" t="s">
        <v>854</v>
      </c>
      <c r="B104" s="18" t="n">
        <v>22.6</v>
      </c>
      <c r="C104" s="14" t="n">
        <f aca="false">IF(B104&gt;0,B104,"")</f>
        <v>22.6</v>
      </c>
      <c r="D104" s="18" t="n">
        <v>23.13</v>
      </c>
    </row>
    <row r="105" customFormat="false" ht="15" hidden="false" customHeight="false" outlineLevel="0" collapsed="false">
      <c r="A105" s="0" t="s">
        <v>855</v>
      </c>
      <c r="B105" s="18" t="n">
        <v>-10.6</v>
      </c>
      <c r="C105" s="14" t="str">
        <f aca="false">IF(B105&gt;0,B105,"")</f>
        <v/>
      </c>
    </row>
    <row r="106" customFormat="false" ht="15" hidden="false" customHeight="false" outlineLevel="0" collapsed="false">
      <c r="A106" s="0" t="s">
        <v>856</v>
      </c>
      <c r="B106" s="18" t="n">
        <v>5.99</v>
      </c>
      <c r="C106" s="14" t="n">
        <f aca="false">IF(B106&gt;0,B106,"")</f>
        <v>5.99</v>
      </c>
      <c r="D106" s="18" t="n">
        <v>6.06</v>
      </c>
    </row>
    <row r="107" customFormat="false" ht="15" hidden="false" customHeight="false" outlineLevel="0" collapsed="false">
      <c r="A107" s="0" t="s">
        <v>698</v>
      </c>
      <c r="B107" s="18" t="n">
        <v>10.5</v>
      </c>
      <c r="C107" s="14" t="n">
        <f aca="false">IF(B107&gt;0,B107,"")</f>
        <v>10.5</v>
      </c>
      <c r="D107" s="18" t="n">
        <v>10.47</v>
      </c>
    </row>
    <row r="108" customFormat="false" ht="17.15" hidden="false" customHeight="false" outlineLevel="0" collapsed="false">
      <c r="A108" s="0" t="s">
        <v>857</v>
      </c>
      <c r="B108" s="14" t="n">
        <f aca="false">PERCENTILE(B98:B107,0.25)</f>
        <v>4.955</v>
      </c>
      <c r="C108" s="14" t="n">
        <f aca="false">PERCENTILE(C98:C107,0.25)</f>
        <v>5.99</v>
      </c>
      <c r="D108" s="14" t="n">
        <f aca="false">PERCENTILE(D98:D107,0.25)</f>
        <v>8.55</v>
      </c>
    </row>
    <row r="109" customFormat="false" ht="15" hidden="false" customHeight="false" outlineLevel="0" collapsed="false">
      <c r="A109" s="5" t="s">
        <v>858</v>
      </c>
      <c r="B109" s="14" t="n">
        <f aca="false">MEDIAN(B98:B107)</f>
        <v>9.29</v>
      </c>
      <c r="C109" s="14" t="n">
        <f aca="false">MEDIAN(C98:C107)</f>
        <v>9.57</v>
      </c>
      <c r="D109" s="14" t="n">
        <f aca="false">MEDIAN(D98:D107)</f>
        <v>9.925</v>
      </c>
    </row>
    <row r="110" customFormat="false" ht="17.15" hidden="false" customHeight="false" outlineLevel="0" collapsed="false">
      <c r="A110" s="0" t="s">
        <v>859</v>
      </c>
      <c r="B110" s="14" t="n">
        <f aca="false">PERCENTILE(B98:B107,0.75)</f>
        <v>14.775</v>
      </c>
      <c r="C110" s="14" t="n">
        <f aca="false">PERCENTILE(C98:C107,0.75)</f>
        <v>16.2</v>
      </c>
      <c r="D110" s="14" t="n">
        <f aca="false">PERCENTILE(D98:D107,0.75)</f>
        <v>13.635</v>
      </c>
    </row>
    <row r="111" customFormat="false" ht="15" hidden="false" customHeight="false" outlineLevel="0" collapsed="false">
      <c r="A111" s="5" t="s">
        <v>860</v>
      </c>
      <c r="B111" s="14" t="n">
        <f aca="false">MIN(B98:B107)</f>
        <v>-10.6</v>
      </c>
      <c r="C111" s="14" t="n">
        <f aca="false">MIN(C98:C107)</f>
        <v>2.54</v>
      </c>
      <c r="D111" s="14" t="n">
        <f aca="false">MIN(D98:D107)</f>
        <v>6.06</v>
      </c>
    </row>
    <row r="112" customFormat="false" ht="15" hidden="false" customHeight="false" outlineLevel="0" collapsed="false">
      <c r="A112" s="5" t="s">
        <v>861</v>
      </c>
      <c r="B112" s="14" t="n">
        <f aca="false">MAX(B98:B107)</f>
        <v>30.2</v>
      </c>
      <c r="C112" s="14" t="n">
        <f aca="false">MAX(C98:C107)</f>
        <v>30.2</v>
      </c>
      <c r="D112" s="14" t="n">
        <f aca="false">MAX(D98:D107)</f>
        <v>23.13</v>
      </c>
    </row>
    <row r="113" customFormat="false" ht="17.15" hidden="false" customHeight="false" outlineLevel="0" collapsed="false">
      <c r="A113" s="3" t="s">
        <v>887</v>
      </c>
      <c r="B113" s="14" t="n">
        <f aca="false">ROUND(AVERAGE(C108),2)</f>
        <v>5.99</v>
      </c>
    </row>
    <row r="114" customFormat="false" ht="17.15" hidden="false" customHeight="false" outlineLevel="0" collapsed="false">
      <c r="A114" s="3" t="s">
        <v>888</v>
      </c>
      <c r="B114" s="14" t="n">
        <f aca="false">ROUND(AVERAGE(C109),2)</f>
        <v>9.57</v>
      </c>
    </row>
    <row r="115" customFormat="false" ht="17.15" hidden="false" customHeight="false" outlineLevel="0" collapsed="false">
      <c r="A115" s="3" t="s">
        <v>889</v>
      </c>
      <c r="B115" s="14" t="n">
        <f aca="false">ROUND(AVERAGE(C110),2)</f>
        <v>16.2</v>
      </c>
    </row>
    <row r="116" customFormat="false" ht="17.15" hidden="false" customHeight="false" outlineLevel="0" collapsed="false">
      <c r="A116" s="3" t="s">
        <v>890</v>
      </c>
      <c r="B116" s="14" t="n">
        <f aca="false">ROUND(MIN(C111),2)</f>
        <v>2.54</v>
      </c>
    </row>
    <row r="117" customFormat="false" ht="17.15" hidden="false" customHeight="false" outlineLevel="0" collapsed="false">
      <c r="A117" s="3" t="s">
        <v>891</v>
      </c>
      <c r="B117" s="14" t="n">
        <f aca="false">ROUND(MAX(C112),2)</f>
        <v>30.2</v>
      </c>
    </row>
    <row r="119" customFormat="false" ht="17.15" hidden="false" customHeight="false" outlineLevel="0" collapsed="false">
      <c r="A119" s="1" t="s">
        <v>892</v>
      </c>
    </row>
    <row r="120" customFormat="false" ht="17.15" hidden="false" customHeight="false" outlineLevel="0" collapsed="false">
      <c r="A120" s="6" t="s">
        <v>868</v>
      </c>
      <c r="B120" s="6" t="s">
        <v>869</v>
      </c>
      <c r="C120" s="6" t="s">
        <v>825</v>
      </c>
      <c r="D120" s="6" t="s">
        <v>31</v>
      </c>
      <c r="E120" s="6" t="s">
        <v>826</v>
      </c>
      <c r="F120" s="6" t="s">
        <v>827</v>
      </c>
      <c r="G120" s="6" t="s">
        <v>828</v>
      </c>
      <c r="H120" s="6" t="s">
        <v>870</v>
      </c>
    </row>
    <row r="121" customFormat="false" ht="17.15" hidden="false" customHeight="false" outlineLevel="0" collapsed="false">
      <c r="A121" s="5" t="s">
        <v>893</v>
      </c>
      <c r="B121" s="5" t="s">
        <v>872</v>
      </c>
      <c r="C121" s="14" t="n">
        <f aca="false">B113</f>
        <v>5.99</v>
      </c>
      <c r="D121" s="8" t="s">
        <v>894</v>
      </c>
      <c r="E121" s="21" t="n">
        <f aca="false">Y!D29</f>
        <v>550035.776345727</v>
      </c>
      <c r="F121" s="24" t="n">
        <f aca="false">C121*E121</f>
        <v>3294714.30031091</v>
      </c>
      <c r="G121" s="19" t="n">
        <f aca="false">F121/px-1</f>
        <v>1.58004252177831</v>
      </c>
      <c r="H121" s="14" t="n">
        <f aca="false">px/E121</f>
        <v>2.32166716224171</v>
      </c>
    </row>
    <row r="122" customFormat="false" ht="17.15" hidden="false" customHeight="false" outlineLevel="0" collapsed="false">
      <c r="A122" s="5" t="s">
        <v>895</v>
      </c>
      <c r="B122" s="5" t="s">
        <v>875</v>
      </c>
      <c r="C122" s="14" t="n">
        <f aca="false">B114</f>
        <v>9.57</v>
      </c>
      <c r="D122" s="8" t="s">
        <v>894</v>
      </c>
      <c r="E122" s="21" t="n">
        <f aca="false">Y!D29</f>
        <v>550035.776345727</v>
      </c>
      <c r="F122" s="24" t="n">
        <f aca="false">C122*E122</f>
        <v>5263842.37962861</v>
      </c>
      <c r="G122" s="19" t="n">
        <f aca="false">F122/px-1</f>
        <v>3.12203788537871</v>
      </c>
      <c r="H122" s="14" t="n">
        <f aca="false">px/E122</f>
        <v>2.32166716224171</v>
      </c>
    </row>
    <row r="123" customFormat="false" ht="17.15" hidden="false" customHeight="false" outlineLevel="0" collapsed="false">
      <c r="A123" s="5" t="s">
        <v>896</v>
      </c>
      <c r="B123" s="5" t="s">
        <v>877</v>
      </c>
      <c r="C123" s="14" t="n">
        <f aca="false">B115</f>
        <v>16.2</v>
      </c>
      <c r="D123" s="8" t="s">
        <v>897</v>
      </c>
      <c r="E123" s="21" t="n">
        <f aca="false">Y!K29</f>
        <v>195351.00901838</v>
      </c>
      <c r="F123" s="24" t="n">
        <f aca="false">C123*E123</f>
        <v>3164686.34609776</v>
      </c>
      <c r="G123" s="19" t="n">
        <f aca="false">F123/px-1</f>
        <v>1.47821953492385</v>
      </c>
      <c r="H123" s="14" t="n">
        <f aca="false">px/E123</f>
        <v>6.53695113435451</v>
      </c>
    </row>
    <row r="126" customFormat="false" ht="17.15" hidden="false" customHeight="false" outlineLevel="0" collapsed="false">
      <c r="A126" s="1" t="s">
        <v>898</v>
      </c>
    </row>
    <row r="127" customFormat="false" ht="17.15" hidden="false" customHeight="false" outlineLevel="0" collapsed="false">
      <c r="A127" s="1" t="s">
        <v>899</v>
      </c>
    </row>
    <row r="128" customFormat="false" ht="17.15" hidden="false" customHeight="false" outlineLevel="0" collapsed="false">
      <c r="A128" s="6" t="s">
        <v>28</v>
      </c>
      <c r="B128" s="13" t="s">
        <v>900</v>
      </c>
      <c r="C128" s="13" t="s">
        <v>901</v>
      </c>
      <c r="D128" s="13" t="s">
        <v>902</v>
      </c>
      <c r="E128" s="6" t="s">
        <v>708</v>
      </c>
    </row>
    <row r="129" customFormat="false" ht="17.15" hidden="false" customHeight="false" outlineLevel="0" collapsed="false">
      <c r="A129" s="5" t="s">
        <v>903</v>
      </c>
      <c r="E129" s="0" t="s">
        <v>904</v>
      </c>
    </row>
    <row r="130" customFormat="false" ht="15" hidden="false" customHeight="false" outlineLevel="0" collapsed="false">
      <c r="A130" s="0" t="s">
        <v>905</v>
      </c>
      <c r="B130" s="21" t="n">
        <f aca="false">Y!D29</f>
        <v>550035.776345727</v>
      </c>
      <c r="C130" s="21" t="n">
        <f aca="false">Y!G29</f>
        <v>534990.126304986</v>
      </c>
      <c r="D130" s="21" t="n">
        <f aca="false">Y!J29</f>
        <v>534990.126304986</v>
      </c>
    </row>
    <row r="131" customFormat="false" ht="15" hidden="false" customHeight="false" outlineLevel="0" collapsed="false">
      <c r="A131" s="0" t="s">
        <v>906</v>
      </c>
      <c r="B131" s="21" t="n">
        <f aca="false">Y!E29</f>
        <v>714922.652491223</v>
      </c>
      <c r="C131" s="21" t="n">
        <f aca="false">Y!H29</f>
        <v>331149.264031978</v>
      </c>
      <c r="D131" s="21" t="n">
        <f aca="false">Y!K29</f>
        <v>195351.00901838</v>
      </c>
    </row>
    <row r="132" customFormat="false" ht="15" hidden="false" customHeight="false" outlineLevel="0" collapsed="false">
      <c r="A132" s="0" t="s">
        <v>907</v>
      </c>
      <c r="B132" s="21" t="n">
        <f aca="false">Y!F29</f>
        <v>977449.972909613</v>
      </c>
      <c r="C132" s="21" t="n">
        <f aca="false">Y!I29</f>
        <v>425193.802381281</v>
      </c>
      <c r="D132" s="21" t="n">
        <f aca="false">Y!L29</f>
        <v>170660.322275934</v>
      </c>
    </row>
    <row r="133" customFormat="false" ht="15" hidden="false" customHeight="false" outlineLevel="0" collapsed="false">
      <c r="A133" s="0" t="s">
        <v>908</v>
      </c>
      <c r="B133" s="21" t="n">
        <f aca="false">Y!M29</f>
        <v>830351.221471396</v>
      </c>
      <c r="C133" s="21" t="n">
        <f aca="false">Y!P29</f>
        <v>370628.766750062</v>
      </c>
      <c r="D133" s="21" t="n">
        <f aca="false">Y!S29</f>
        <v>128554.606066654</v>
      </c>
    </row>
    <row r="134" customFormat="false" ht="15" hidden="false" customHeight="false" outlineLevel="0" collapsed="false">
      <c r="A134" s="0" t="s">
        <v>909</v>
      </c>
      <c r="B134" s="21" t="n">
        <f aca="false">Y!N29</f>
        <v>645193.74980556</v>
      </c>
      <c r="C134" s="21" t="n">
        <f aca="false">Y!Q29</f>
        <v>285246.652917186</v>
      </c>
      <c r="D134" s="21" t="n">
        <f aca="false">Y!T29</f>
        <v>91107.3270764579</v>
      </c>
    </row>
    <row r="135" customFormat="false" ht="15" hidden="false" customHeight="false" outlineLevel="0" collapsed="false">
      <c r="A135" s="0" t="s">
        <v>910</v>
      </c>
      <c r="B135" s="21" t="n">
        <f aca="false">Y!O29</f>
        <v>424716.604907557</v>
      </c>
      <c r="C135" s="21" t="n">
        <f aca="false">Y!R29</f>
        <v>176435.7653454</v>
      </c>
      <c r="D135" s="21" t="n">
        <f aca="false">Y!U29</f>
        <v>55387.0120445935</v>
      </c>
    </row>
    <row r="136" customFormat="false" ht="17.15" hidden="false" customHeight="false" outlineLevel="0" collapsed="false">
      <c r="A136" s="5" t="s">
        <v>911</v>
      </c>
      <c r="E136" s="5" t="s">
        <v>912</v>
      </c>
    </row>
    <row r="137" customFormat="false" ht="17.15" hidden="false" customHeight="false" outlineLevel="0" collapsed="false">
      <c r="A137" s="5" t="s">
        <v>913</v>
      </c>
      <c r="B137" s="19" t="n">
        <f aca="false">MIN(tp_g/tp_roe,0.8)</f>
        <v>0.201477501678979</v>
      </c>
      <c r="E137" s="8" t="s">
        <v>914</v>
      </c>
    </row>
    <row r="138" customFormat="false" ht="17.15" hidden="false" customHeight="false" outlineLevel="0" collapsed="false">
      <c r="A138" s="0" t="s">
        <v>915</v>
      </c>
      <c r="B138" s="21" t="n">
        <f aca="false">Y!D22/Y!D27*1000000</f>
        <v>486669.304388496</v>
      </c>
      <c r="C138" s="21" t="n">
        <f aca="false">Y!G22/Y!G27*1000000</f>
        <v>471862.238238077</v>
      </c>
      <c r="D138" s="21" t="n">
        <f aca="false">Y!J22/Y!J27*1000000</f>
        <v>471862.238238077</v>
      </c>
    </row>
    <row r="139" customFormat="false" ht="17.15" hidden="false" customHeight="false" outlineLevel="0" collapsed="false">
      <c r="A139" s="0" t="s">
        <v>916</v>
      </c>
      <c r="B139" s="21" t="n">
        <f aca="false">Y!E22/Y!E27*1000000</f>
        <v>638043.041285694</v>
      </c>
      <c r="C139" s="21" t="n">
        <f aca="false">Y!H22/Y!H27*1000000</f>
        <v>261618.399504056</v>
      </c>
      <c r="D139" s="21" t="n">
        <f aca="false">Y!K22/Y!K27*1000000</f>
        <v>128319.958348066</v>
      </c>
    </row>
    <row r="140" customFormat="false" ht="17.15" hidden="false" customHeight="false" outlineLevel="0" collapsed="false">
      <c r="A140" s="0" t="s">
        <v>917</v>
      </c>
      <c r="B140" s="21" t="n">
        <f aca="false">Y!F22/Y!F27*1000000</f>
        <v>891204.157556775</v>
      </c>
      <c r="C140" s="21" t="n">
        <f aca="false">Y!I22/Y!I27*1000000</f>
        <v>356802.88449722</v>
      </c>
      <c r="D140" s="21" t="n">
        <f aca="false">Y!L22/Y!L27*1000000</f>
        <v>109024.162523834</v>
      </c>
    </row>
    <row r="141" customFormat="false" ht="17.15" hidden="false" customHeight="false" outlineLevel="0" collapsed="false">
      <c r="A141" s="0" t="s">
        <v>918</v>
      </c>
      <c r="B141" s="21" t="n">
        <f aca="false">B133*(1-$B$137)</f>
        <v>663054.131853251</v>
      </c>
      <c r="C141" s="21" t="n">
        <f aca="false">C133*(1-$B$137)</f>
        <v>295955.408774898</v>
      </c>
      <c r="D141" s="21" t="n">
        <f aca="false">D133*(1-$B$137)</f>
        <v>102653.74520702</v>
      </c>
    </row>
    <row r="142" customFormat="false" ht="17.15" hidden="false" customHeight="false" outlineLevel="0" collapsed="false">
      <c r="A142" s="0" t="s">
        <v>919</v>
      </c>
      <c r="B142" s="21" t="n">
        <f aca="false">B134*(1-$B$137)</f>
        <v>515201.724995843</v>
      </c>
      <c r="C142" s="21" t="n">
        <f aca="false">C134*(1-$B$137)</f>
        <v>227775.86992514</v>
      </c>
      <c r="D142" s="21" t="n">
        <f aca="false">D134*(1-$B$137)</f>
        <v>72751.2504324435</v>
      </c>
    </row>
    <row r="143" customFormat="false" ht="17.15" hidden="false" customHeight="false" outlineLevel="0" collapsed="false">
      <c r="A143" s="0" t="s">
        <v>920</v>
      </c>
      <c r="B143" s="21" t="n">
        <f aca="false">B135*(1-$B$137)</f>
        <v>339145.764429204</v>
      </c>
      <c r="C143" s="21" t="n">
        <f aca="false">C135*(1-$B$137)</f>
        <v>140887.92813679</v>
      </c>
      <c r="D143" s="21" t="n">
        <f aca="false">D135*(1-$B$137)</f>
        <v>44227.7752323853</v>
      </c>
    </row>
    <row r="144" customFormat="false" ht="17.15" hidden="false" customHeight="false" outlineLevel="0" collapsed="false">
      <c r="A144" s="0" t="s">
        <v>921</v>
      </c>
      <c r="B144" s="21" t="n">
        <f aca="false">SUMPRODUCT(B138:B143,1/(1+tp_r)^{1;2;3;4;5;6})+B143*(1+tp_g)/(tp_r-tp_g)/(1+tp_r)^6</f>
        <v>5921798.38953994</v>
      </c>
      <c r="C144" s="21" t="n">
        <f aca="false">SUMPRODUCT(C138:C143,1/(1+tp_r)^{1;2;3;4;5;6})+C143*(1+tp_g)/(tp_r-tp_g)/(1+tp_r)^6</f>
        <v>2714828.24582064</v>
      </c>
      <c r="D144" s="21" t="n">
        <f aca="false">SUMPRODUCT(D138:D143,1/(1+tp_r)^{1;2;3;4;5;6})+D143*(1+tp_g)/(tp_r-tp_g)/(1+tp_r)^6</f>
        <v>1189912.86088635</v>
      </c>
      <c r="E144" s="8" t="s">
        <v>922</v>
      </c>
    </row>
    <row r="145" customFormat="false" ht="17.15" hidden="false" customHeight="false" outlineLevel="0" collapsed="false">
      <c r="A145" s="0" t="s">
        <v>923</v>
      </c>
      <c r="B145" s="21" t="n">
        <f aca="false">B144*(1+tp_r)</f>
        <v>6513978.22849394</v>
      </c>
      <c r="C145" s="21" t="n">
        <f aca="false">C144*(1+tp_r)</f>
        <v>2986311.07040271</v>
      </c>
      <c r="D145" s="21" t="n">
        <f aca="false">D144*(1+tp_r)</f>
        <v>1308904.14697498</v>
      </c>
    </row>
    <row r="146" customFormat="false" ht="17.15" hidden="false" customHeight="false" outlineLevel="0" collapsed="false">
      <c r="A146" s="0" t="s">
        <v>924</v>
      </c>
      <c r="B146" s="25" t="n">
        <f aca="false">tp_wA*B145+tp_wB*C145+tp_wC*D145</f>
        <v>3709129.83314453</v>
      </c>
      <c r="E146" s="8" t="s">
        <v>925</v>
      </c>
    </row>
    <row r="148" customFormat="false" ht="17.15" hidden="false" customHeight="false" outlineLevel="0" collapsed="false">
      <c r="A148" s="1" t="s">
        <v>926</v>
      </c>
    </row>
    <row r="149" customFormat="false" ht="17.15" hidden="false" customHeight="false" outlineLevel="0" collapsed="false">
      <c r="A149" s="6" t="s">
        <v>927</v>
      </c>
      <c r="B149" s="6" t="s">
        <v>928</v>
      </c>
      <c r="C149" s="6" t="s">
        <v>929</v>
      </c>
      <c r="D149" s="6" t="s">
        <v>930</v>
      </c>
      <c r="E149" s="6" t="s">
        <v>931</v>
      </c>
      <c r="F149" s="6" t="s">
        <v>33</v>
      </c>
    </row>
    <row r="150" customFormat="false" ht="17.15" hidden="false" customHeight="false" outlineLevel="0" collapsed="false">
      <c r="A150" s="5" t="s">
        <v>932</v>
      </c>
      <c r="B150" s="0" t="s">
        <v>933</v>
      </c>
      <c r="C150" s="18" t="n">
        <v>1.26</v>
      </c>
      <c r="D150" s="8" t="s">
        <v>934</v>
      </c>
      <c r="E150" s="8" t="s">
        <v>935</v>
      </c>
      <c r="F150" s="8" t="s">
        <v>59</v>
      </c>
    </row>
    <row r="151" customFormat="false" ht="17.15" hidden="false" customHeight="false" outlineLevel="0" collapsed="false">
      <c r="A151" s="5" t="s">
        <v>936</v>
      </c>
      <c r="B151" s="0" t="s">
        <v>937</v>
      </c>
      <c r="C151" s="18" t="n">
        <v>3.35</v>
      </c>
      <c r="D151" s="8" t="s">
        <v>934</v>
      </c>
      <c r="E151" s="8" t="s">
        <v>938</v>
      </c>
      <c r="F151" s="8" t="s">
        <v>59</v>
      </c>
    </row>
    <row r="152" customFormat="false" ht="17.15" hidden="false" customHeight="false" outlineLevel="0" collapsed="false">
      <c r="A152" s="5" t="s">
        <v>939</v>
      </c>
      <c r="B152" s="0" t="s">
        <v>940</v>
      </c>
      <c r="C152" s="18" t="n">
        <v>2.22</v>
      </c>
      <c r="D152" s="8" t="s">
        <v>941</v>
      </c>
      <c r="E152" s="8" t="s">
        <v>942</v>
      </c>
      <c r="F152" s="8" t="s">
        <v>59</v>
      </c>
    </row>
    <row r="153" customFormat="false" ht="17.15" hidden="false" customHeight="false" outlineLevel="0" collapsed="false">
      <c r="A153" s="5" t="s">
        <v>943</v>
      </c>
      <c r="B153" s="0" t="s">
        <v>944</v>
      </c>
      <c r="C153" s="18" t="n">
        <v>1.66</v>
      </c>
      <c r="D153" s="8" t="s">
        <v>945</v>
      </c>
      <c r="E153" s="8" t="s">
        <v>935</v>
      </c>
      <c r="F153" s="8" t="s">
        <v>59</v>
      </c>
    </row>
    <row r="154" customFormat="false" ht="17.15" hidden="false" customHeight="false" outlineLevel="0" collapsed="false">
      <c r="A154" s="5" t="s">
        <v>946</v>
      </c>
      <c r="B154" s="14" t="n">
        <f aca="false">MEDIAN(C150:C153)</f>
        <v>1.94</v>
      </c>
      <c r="E154" s="5" t="s">
        <v>947</v>
      </c>
    </row>
    <row r="155" customFormat="false" ht="17.15" hidden="false" customHeight="false" outlineLevel="0" collapsed="false">
      <c r="A155" s="0" t="s">
        <v>948</v>
      </c>
      <c r="B155" s="21" t="n">
        <f aca="false">tp_wA*Y!E28+tp_wB*Y!H28+tp_wC*Y!K28</f>
        <v>1271423.19481313</v>
      </c>
      <c r="E155" s="5" t="s">
        <v>949</v>
      </c>
    </row>
    <row r="156" customFormat="false" ht="17.15" hidden="false" customHeight="false" outlineLevel="0" collapsed="false">
      <c r="A156" s="0" t="s">
        <v>950</v>
      </c>
      <c r="B156" s="25" t="n">
        <f aca="false">B154*B155</f>
        <v>2466560.99793747</v>
      </c>
      <c r="E156" s="5" t="s">
        <v>951</v>
      </c>
    </row>
    <row r="157" customFormat="false" ht="17.15" hidden="false" customHeight="false" outlineLevel="0" collapsed="false">
      <c r="A157" s="5" t="s">
        <v>952</v>
      </c>
      <c r="B157" s="21" t="n">
        <f aca="false">tp_wA*(2/12*Y!D29+10/12*Y!E29)+tp_wB*(2/12*Y!G29+10/12*Y!H29)+tp_wC*(2/12*Y!J29+10/12*Y!K29)</f>
        <v>439185.328192061</v>
      </c>
      <c r="E157" s="5" t="s">
        <v>953</v>
      </c>
    </row>
    <row r="159" customFormat="false" ht="17.15" hidden="false" customHeight="false" outlineLevel="0" collapsed="false">
      <c r="A159" s="1" t="s">
        <v>954</v>
      </c>
    </row>
    <row r="160" customFormat="false" ht="15" hidden="false" customHeight="false" outlineLevel="0" collapsed="false">
      <c r="A160" s="6" t="s">
        <v>28</v>
      </c>
      <c r="B160" s="6" t="s">
        <v>955</v>
      </c>
      <c r="C160" s="13"/>
      <c r="D160" s="13"/>
      <c r="E160" s="6" t="s">
        <v>708</v>
      </c>
    </row>
    <row r="161" customFormat="false" ht="17.15" hidden="false" customHeight="false" outlineLevel="0" collapsed="false">
      <c r="A161" s="5" t="s">
        <v>956</v>
      </c>
      <c r="B161" s="25" t="n">
        <f aca="false">tp_w_dcf*B146+(1-tp_w_dcf)*B156</f>
        <v>3087845.415541</v>
      </c>
      <c r="E161" s="8" t="s">
        <v>957</v>
      </c>
    </row>
    <row r="162" customFormat="false" ht="17.15" hidden="false" customHeight="false" outlineLevel="0" collapsed="false">
      <c r="A162" s="0" t="s">
        <v>958</v>
      </c>
      <c r="B162" s="21" t="n">
        <f aca="false">B156</f>
        <v>2466560.99793747</v>
      </c>
    </row>
    <row r="163" customFormat="false" ht="17.15" hidden="false" customHeight="false" outlineLevel="0" collapsed="false">
      <c r="A163" s="5" t="s">
        <v>959</v>
      </c>
      <c r="B163" s="21" t="n">
        <f aca="false">cons_tp</f>
        <v>3096288</v>
      </c>
      <c r="E163" s="8" t="s">
        <v>661</v>
      </c>
    </row>
    <row r="164" customFormat="false" ht="17.15" hidden="false" customHeight="false" outlineLevel="0" collapsed="false">
      <c r="A164" s="5" t="s">
        <v>960</v>
      </c>
      <c r="B164" s="19" t="n">
        <f aca="false">B161/px-1</f>
        <v>1.41804652744009</v>
      </c>
      <c r="E164" s="5" t="s">
        <v>961</v>
      </c>
    </row>
    <row r="165" customFormat="false" ht="17.15" hidden="false" customHeight="false" outlineLevel="0" collapsed="false">
      <c r="A165" s="5" t="s">
        <v>962</v>
      </c>
      <c r="B165" s="19" t="n">
        <f aca="false">B162/px-1</f>
        <v>0.931527797915011</v>
      </c>
    </row>
    <row r="166" customFormat="false" ht="17.15" hidden="false" customHeight="false" outlineLevel="0" collapsed="false">
      <c r="A166" s="0" t="s">
        <v>963</v>
      </c>
      <c r="B166" s="26" t="n">
        <f aca="false">B145/px</f>
        <v>5.10100096201561</v>
      </c>
      <c r="C166" s="26" t="n">
        <f aca="false">C145/px</f>
        <v>2.3385364686004</v>
      </c>
      <c r="D166" s="26" t="n">
        <f aca="false">D145/px</f>
        <v>1.02498367030147</v>
      </c>
      <c r="E166" s="5" t="s">
        <v>964</v>
      </c>
    </row>
    <row r="167" customFormat="false" ht="17.15" hidden="false" customHeight="false" outlineLevel="0" collapsed="false">
      <c r="A167" s="5" t="s">
        <v>965</v>
      </c>
      <c r="B167" s="19" t="n">
        <f aca="false">B155/cons_bvps28-1</f>
        <v>-0.0906103007832535</v>
      </c>
      <c r="E167" s="5" t="s">
        <v>966</v>
      </c>
    </row>
    <row r="168" customFormat="false" ht="17.15" hidden="false" customHeight="false" outlineLevel="0" collapsed="false">
      <c r="A168" s="5" t="s">
        <v>967</v>
      </c>
      <c r="B168" s="19" t="n">
        <f aca="false">B157/(2/12*cons_eps27+10/12*cons_eps28)-1</f>
        <v>-0.167585820576288</v>
      </c>
      <c r="E168" s="5" t="s">
        <v>968</v>
      </c>
    </row>
    <row r="169" customFormat="false" ht="17.15" hidden="false" customHeight="false" outlineLevel="0" collapsed="false">
      <c r="A169" s="5" t="s">
        <v>969</v>
      </c>
      <c r="B169" s="19" t="n">
        <f aca="false">(cons_tp/cons_bvps28)/B154-1</f>
        <v>0.141562043413047</v>
      </c>
      <c r="E169" s="0" t="str">
        <f aca="false">"共識目標價隱含 P/B "&amp;TEXT(cons_tp/cons_bvps28,"0.00")&amp;"x（÷ 共識 2028 每股淨值），同業中位數 "&amp;TEXT(B154,"0.00")&amp;"x"</f>
        <v>共識目標價隱含 P/B 2.21x（÷ 共識 2028 每股淨值），同業中位數 1.94x</v>
      </c>
    </row>
    <row r="170" customFormat="false" ht="17.15" hidden="false" customHeight="false" outlineLevel="0" collapsed="false">
      <c r="A170" s="5" t="s">
        <v>970</v>
      </c>
      <c r="B170" s="27" t="str">
        <f aca="false">TEXT(D145,"#,##0")&amp;"～"&amp;TEXT(B145,"#,##0")</f>
        <v>1,308,904～6,513,978</v>
      </c>
      <c r="E170" s="8" t="s">
        <v>971</v>
      </c>
    </row>
    <row r="171" customFormat="false" ht="17.15" hidden="false" customHeight="false" outlineLevel="0" collapsed="false">
      <c r="A171" s="5" t="s">
        <v>972</v>
      </c>
      <c r="B171" s="15" t="n">
        <f aca="false">IF(px/Y!E28&gt;=MAX($B$68:$B$77),1,IF(px/Y!E28&lt;=MIN($B$68:$B$77),0,PERCENTRANK($B$68:$B$77,px/Y!E28)))</f>
        <v>0.0553</v>
      </c>
      <c r="C171" s="15" t="n">
        <f aca="false">IF(px/Y!H28&gt;=MAX($B$68:$B$77),1,IF(px/Y!H28&lt;=MIN($B$68:$B$77),0,PERCENTRANK($B$68:$B$77,px/Y!H28)))</f>
        <v>0.158</v>
      </c>
      <c r="D171" s="15" t="n">
        <f aca="false">IF(px/Y!K28&gt;=MAX($B$68:$B$77),1,IF(px/Y!K28&lt;=MIN($B$68:$B$77),0,PERCENTRANK($B$68:$B$77,px/Y!K28)))</f>
        <v>0.185</v>
      </c>
      <c r="E171" s="5" t="s">
        <v>973</v>
      </c>
    </row>
    <row r="172" customFormat="false" ht="17.15" hidden="false" customHeight="false" outlineLevel="0" collapsed="false">
      <c r="A172" s="5" t="s">
        <v>974</v>
      </c>
      <c r="B172" s="0" t="str">
        <f aca="false">"DCF：股東現金流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年底每股淨值（情境加權）。收斂期（2030–2032）淨利率"&amp;"收斂到循環中段：A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TrendFor"&amp;"ce／BofA 型價格情境）。"&amp;IF(MAX(B166:D166)&gt;3,"注意：DCF ÷ 現價有情境高於 3 倍（見上方「DCF ÷ 現價」列）；DCF 對收斂期淨利率與永續假設敏感，宜與 Comparable、市場共識並讀。","")</f>
        <v>DCF：股東現金流 2027–2029 用每股（淨利＋折舊－資本支出），2030–2032 收斂期用 EPS ×（1 − g／ROE），r 10%、g 4%、ROE 為 2023–2025 平均（含 2023 虧損年）；明確期＋永續，基準日 2026 年底。Comparable：三星、美光、鎧俠、南亞科前瞻 P/B 中位數 × 2028 年底每股淨值（情境加權）。收斂期（2030–2032）淨利率收斂到循環中段：A 十年平均 × 1.2、B 十年平均、C 十年平均 × 0.8（In 頁 cyc_mA／cyc_mC），永續期以 2032 中段水準為基礎。偏誤：2027–2029 仍為高峰期盈餘且權重大，DCF 仍可能偏高估；同業 P/B 為循環高峰前的市場倍數、且 SK 海力士淨值增速高於同業，Comparable 方向不明。情境對應：A＝順利、B＝平平、C＝不如預期（原為 TrendForce／BofA 型價格情境）。注意：DCF ÷ 現價有情境高於 3 倍（見上方「DCF ÷ 現價」列）；DCF 對收斂期淨利率與永續假設敏感，宜與 Comparable、市場共識並讀。</v>
      </c>
    </row>
    <row r="174" customFormat="false" ht="15" hidden="false" customHeight="false" outlineLevel="0" collapsed="false">
      <c r="A174" s="3" t="s">
        <v>975</v>
      </c>
    </row>
    <row r="175" customFormat="false" ht="15" hidden="false" customHeight="false" outlineLevel="0" collapsed="false">
      <c r="A175" s="6" t="s">
        <v>28</v>
      </c>
      <c r="B175" s="6" t="s">
        <v>955</v>
      </c>
      <c r="C175" s="13"/>
      <c r="D175" s="13"/>
      <c r="E175" s="6" t="s">
        <v>708</v>
      </c>
    </row>
    <row r="176" customFormat="false" ht="17.15" hidden="false" customHeight="false" outlineLevel="0" collapsed="false">
      <c r="A176" s="5" t="s">
        <v>976</v>
      </c>
      <c r="B176" s="21" t="n">
        <f aca="false">tp_wA*B178+tp_wB*B179+tp_wC*B180</f>
        <v>1392208.55280262</v>
      </c>
      <c r="E176" s="5" t="s">
        <v>977</v>
      </c>
    </row>
    <row r="177" customFormat="false" ht="17.15" hidden="false" customHeight="false" outlineLevel="0" collapsed="false">
      <c r="A177" s="5" t="s">
        <v>978</v>
      </c>
      <c r="B177" s="19" t="n">
        <f aca="false">B176/px-1</f>
        <v>0.0902181306206917</v>
      </c>
    </row>
    <row r="178" customFormat="false" ht="17.15" hidden="false" customHeight="false" outlineLevel="0" collapsed="false">
      <c r="A178" s="5" t="s">
        <v>979</v>
      </c>
      <c r="B178" s="21" t="n">
        <f aca="false">B85*Y!D28</f>
        <v>1516256.70816658</v>
      </c>
      <c r="E178" s="0" t="str">
        <f aca="false">"P/B 採用 75 分位 "&amp;TEXT(B85,"0.00")&amp;"x（第 6 節 B85）× Y 頁 D28"</f>
        <v>P/B 採用 75 分位 1.61x（第 6 節 B85）× Y 頁 D28</v>
      </c>
    </row>
    <row r="179" customFormat="false" ht="17.15" hidden="false" customHeight="false" outlineLevel="0" collapsed="false">
      <c r="A179" s="5" t="s">
        <v>980</v>
      </c>
      <c r="B179" s="21" t="n">
        <f aca="false">B84*Y!G28</f>
        <v>1378976.81880907</v>
      </c>
      <c r="E179" s="0" t="str">
        <f aca="false">"P/B 採用 中位數 "&amp;TEXT(B84,"0.00")&amp;"x（第 6 節 B84）× Y 頁 G28"</f>
        <v>P/B 採用 中位數 1.48x（第 6 節 B84）× Y 頁 G28</v>
      </c>
    </row>
    <row r="180" customFormat="false" ht="17.15" hidden="false" customHeight="false" outlineLevel="0" collapsed="false">
      <c r="A180" s="5" t="s">
        <v>981</v>
      </c>
      <c r="B180" s="21" t="n">
        <f aca="false">B83*Y!J28</f>
        <v>1239215.65474058</v>
      </c>
      <c r="E180" s="0" t="str">
        <f aca="false">"P/B 採用 25 分位 "&amp;TEXT(B83,"0.00")&amp;"x（第 6 節 B83）× Y 頁 J28"</f>
        <v>P/B 採用 25 分位 1.33x（第 6 節 B83）× Y 頁 J28</v>
      </c>
    </row>
    <row r="181" customFormat="false" ht="17.15" hidden="false" customHeight="false" outlineLevel="0" collapsed="false">
      <c r="A181" s="5" t="s">
        <v>982</v>
      </c>
      <c r="B181" s="15" t="n">
        <f aca="false">tp_wA</f>
        <v>0.3</v>
      </c>
      <c r="C181" s="15" t="n">
        <f aca="false">tp_wB</f>
        <v>0.5</v>
      </c>
      <c r="D181" s="15" t="n">
        <f aca="false">tp_wC</f>
        <v>0.2</v>
      </c>
      <c r="E181" s="0" t="str">
        <f aca="false">"合計 "&amp;TEXT(B181+C181+D181,"0%")&amp;"；In 頁 tp_wA／tp_wB／tp_wC（Assumed，Andy 可改）"</f>
        <v>合計 100%；In 頁 tp_wA／tp_wB／tp_wC（Assumed，Andy 可改）</v>
      </c>
    </row>
    <row r="182" customFormat="false" ht="17.15" hidden="false" customHeight="false" outlineLevel="0" collapsed="false">
      <c r="A182" s="5" t="s">
        <v>983</v>
      </c>
      <c r="B182" s="5" t="s">
        <v>984</v>
      </c>
    </row>
    <row r="184" customFormat="false" ht="17.15" hidden="false" customHeight="false" outlineLevel="0" collapsed="false">
      <c r="A184" s="5" t="s">
        <v>985</v>
      </c>
      <c r="B184" s="27" t="str">
        <f aca="false">IF(B164&gt;0.5,"大於 50%",IF(B164&gt;0.25,"25%–50%",IF(B164&gt;=0,"0%–25%",IF(B164&gt;=-0.25,"0%～−25%",IF(B164&gt;=-0.5,"−25%～−50%","小於 −50%")))))</f>
        <v>大於 50%</v>
      </c>
      <c r="E184" s="5" t="s">
        <v>986</v>
      </c>
    </row>
    <row r="185" customFormat="false" ht="17.15" hidden="false" customHeight="false" outlineLevel="0" collapsed="false">
      <c r="A185" s="5" t="s">
        <v>987</v>
      </c>
      <c r="B185" s="27" t="str">
        <f aca="false">IF(B164&gt;0.5,"強力買進",IF(B164&gt;0.25,"買進",IF(B164&gt;=-0.25,"中立",IF(B164&gt;=-0.5,"放空","強力放空"))))</f>
        <v>強力買進</v>
      </c>
      <c r="E185" s="5" t="s">
        <v>988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30"/>
  </cols>
  <sheetData>
    <row r="1" customFormat="false" ht="17.15" hidden="false" customHeight="false" outlineLevel="0" collapsed="false">
      <c r="A1" s="0" t="s">
        <v>989</v>
      </c>
    </row>
    <row r="3" customFormat="false" ht="17.15" hidden="false" customHeight="false" outlineLevel="0" collapsed="false">
      <c r="A3" s="6" t="s">
        <v>990</v>
      </c>
      <c r="B3" s="6" t="s">
        <v>991</v>
      </c>
      <c r="C3" s="13" t="s">
        <v>992</v>
      </c>
      <c r="D3" s="6" t="s">
        <v>993</v>
      </c>
      <c r="E3" s="6" t="s">
        <v>994</v>
      </c>
    </row>
    <row r="4" customFormat="false" ht="15" hidden="false" customHeight="false" outlineLevel="0" collapsed="false">
      <c r="A4" s="1" t="s">
        <v>777</v>
      </c>
      <c r="B4" s="5" t="s">
        <v>31</v>
      </c>
      <c r="D4" s="17" t="n">
        <f aca="false">Y!D14</f>
        <v>438.724703748353</v>
      </c>
    </row>
    <row r="5" customFormat="false" ht="17.15" hidden="false" customHeight="false" outlineLevel="0" collapsed="false">
      <c r="A5" s="0" t="s">
        <v>777</v>
      </c>
      <c r="B5" s="5" t="s">
        <v>995</v>
      </c>
      <c r="C5" s="17" t="n">
        <f aca="false">-0.2*Y!D5</f>
        <v>-60.0295539800212</v>
      </c>
      <c r="D5" s="17" t="n">
        <f aca="false">D4+C5*(1-opex_var)</f>
        <v>381.516538805393</v>
      </c>
      <c r="E5" s="15" t="n">
        <f aca="false">D5/D4-1</f>
        <v>-0.130396497972848</v>
      </c>
    </row>
    <row r="6" customFormat="false" ht="17.15" hidden="false" customHeight="false" outlineLevel="0" collapsed="false">
      <c r="A6" s="0" t="s">
        <v>777</v>
      </c>
      <c r="B6" s="5" t="s">
        <v>996</v>
      </c>
      <c r="C6" s="17" t="n">
        <f aca="false">0.2*Y!D5</f>
        <v>60.0295539800212</v>
      </c>
      <c r="D6" s="17" t="n">
        <f aca="false">D4+C6*(1-opex_var)</f>
        <v>495.932868691313</v>
      </c>
      <c r="E6" s="15" t="n">
        <f aca="false">D6/D4-1</f>
        <v>0.130396497972848</v>
      </c>
    </row>
    <row r="7" customFormat="false" ht="17.15" hidden="false" customHeight="false" outlineLevel="0" collapsed="false">
      <c r="A7" s="0" t="s">
        <v>777</v>
      </c>
      <c r="B7" s="0" t="s">
        <v>997</v>
      </c>
      <c r="C7" s="17" t="n">
        <f aca="false">-0.3*Y!D6</f>
        <v>-27.5687626214196</v>
      </c>
      <c r="D7" s="17" t="n">
        <f aca="false">D4+C7*(1-opex_var)</f>
        <v>412.45167297014</v>
      </c>
      <c r="E7" s="15" t="n">
        <f aca="false">D7/D4-1</f>
        <v>-0.0598850043176115</v>
      </c>
    </row>
    <row r="8" customFormat="false" ht="17.15" hidden="false" customHeight="false" outlineLevel="0" collapsed="false">
      <c r="A8" s="0" t="s">
        <v>777</v>
      </c>
      <c r="B8" s="0" t="s">
        <v>998</v>
      </c>
      <c r="C8" s="17" t="n">
        <f aca="false">0.3*Y!D6</f>
        <v>27.5687626214196</v>
      </c>
      <c r="D8" s="17" t="n">
        <f aca="false">D4+C8*(1-opex_var)</f>
        <v>464.997734526566</v>
      </c>
      <c r="E8" s="15" t="n">
        <f aca="false">D8/D4-1</f>
        <v>0.0598850043176113</v>
      </c>
    </row>
    <row r="9" customFormat="false" ht="17.15" hidden="false" customHeight="false" outlineLevel="0" collapsed="false">
      <c r="A9" s="0" t="s">
        <v>777</v>
      </c>
      <c r="B9" s="0" t="s">
        <v>999</v>
      </c>
      <c r="C9" s="17" t="n">
        <f aca="false">-0.3*Y!D7</f>
        <v>-41.3604387005659</v>
      </c>
      <c r="D9" s="17" t="n">
        <f aca="false">D4+C9*(1-opex_var)</f>
        <v>399.308205666714</v>
      </c>
      <c r="E9" s="15" t="n">
        <f aca="false">D9/D4-1</f>
        <v>-0.08984335220897</v>
      </c>
    </row>
    <row r="10" customFormat="false" ht="17.15" hidden="false" customHeight="false" outlineLevel="0" collapsed="false">
      <c r="A10" s="0" t="s">
        <v>777</v>
      </c>
      <c r="B10" s="0" t="s">
        <v>1000</v>
      </c>
      <c r="C10" s="17" t="n">
        <f aca="false">0.3*Y!D7</f>
        <v>41.3604387005659</v>
      </c>
      <c r="D10" s="17" t="n">
        <f aca="false">D4+C10*(1-opex_var)</f>
        <v>478.141201829992</v>
      </c>
      <c r="E10" s="15" t="n">
        <f aca="false">D10/D4-1</f>
        <v>0.0898433522089701</v>
      </c>
    </row>
    <row r="12" customFormat="false" ht="15" hidden="false" customHeight="false" outlineLevel="0" collapsed="false">
      <c r="A12" s="1" t="s">
        <v>781</v>
      </c>
      <c r="B12" s="5" t="s">
        <v>31</v>
      </c>
      <c r="D12" s="17" t="n">
        <f aca="false">Y!H14</f>
        <v>242.673437914031</v>
      </c>
    </row>
    <row r="13" customFormat="false" ht="17.15" hidden="false" customHeight="false" outlineLevel="0" collapsed="false">
      <c r="A13" s="0" t="s">
        <v>781</v>
      </c>
      <c r="B13" s="5" t="s">
        <v>995</v>
      </c>
      <c r="C13" s="17" t="n">
        <f aca="false">-0.2*Y!H5</f>
        <v>-35.7930186237955</v>
      </c>
      <c r="D13" s="17" t="n">
        <f aca="false">D12+C13*(1-opex_var)</f>
        <v>208.562691165554</v>
      </c>
      <c r="E13" s="15" t="n">
        <f aca="false">D13/D12-1</f>
        <v>-0.140562341893228</v>
      </c>
    </row>
    <row r="14" customFormat="false" ht="17.15" hidden="false" customHeight="false" outlineLevel="0" collapsed="false">
      <c r="A14" s="0" t="s">
        <v>781</v>
      </c>
      <c r="B14" s="5" t="s">
        <v>996</v>
      </c>
      <c r="C14" s="17" t="n">
        <f aca="false">0.2*Y!H5</f>
        <v>35.7930186237955</v>
      </c>
      <c r="D14" s="17" t="n">
        <f aca="false">D12+C14*(1-opex_var)</f>
        <v>276.784184662508</v>
      </c>
      <c r="E14" s="15" t="n">
        <f aca="false">D14/D12-1</f>
        <v>0.140562341893228</v>
      </c>
    </row>
    <row r="15" customFormat="false" ht="17.15" hidden="false" customHeight="false" outlineLevel="0" collapsed="false">
      <c r="A15" s="0" t="s">
        <v>781</v>
      </c>
      <c r="B15" s="0" t="s">
        <v>997</v>
      </c>
      <c r="C15" s="17" t="n">
        <f aca="false">-0.3*Y!H6</f>
        <v>-27.61750188864</v>
      </c>
      <c r="D15" s="17" t="n">
        <f aca="false">D12+C15*(1-opex_var)</f>
        <v>216.353958614157</v>
      </c>
      <c r="E15" s="15" t="n">
        <f aca="false">D15/D12-1</f>
        <v>-0.108456366407921</v>
      </c>
    </row>
    <row r="16" customFormat="false" ht="17.15" hidden="false" customHeight="false" outlineLevel="0" collapsed="false">
      <c r="A16" s="0" t="s">
        <v>781</v>
      </c>
      <c r="B16" s="0" t="s">
        <v>998</v>
      </c>
      <c r="C16" s="17" t="n">
        <f aca="false">0.3*Y!H6</f>
        <v>27.61750188864</v>
      </c>
      <c r="D16" s="17" t="n">
        <f aca="false">D12+C16*(1-opex_var)</f>
        <v>268.992917213905</v>
      </c>
      <c r="E16" s="15" t="n">
        <f aca="false">D16/D12-1</f>
        <v>0.108456366407921</v>
      </c>
    </row>
    <row r="17" customFormat="false" ht="17.15" hidden="false" customHeight="false" outlineLevel="0" collapsed="false">
      <c r="A17" s="0" t="s">
        <v>781</v>
      </c>
      <c r="B17" s="0" t="s">
        <v>999</v>
      </c>
      <c r="C17" s="17" t="n">
        <f aca="false">-0.3*Y!H7</f>
        <v>-19.6088236319869</v>
      </c>
      <c r="D17" s="17" t="n">
        <f aca="false">D12+C17*(1-opex_var)</f>
        <v>223.986228992748</v>
      </c>
      <c r="E17" s="15" t="n">
        <f aca="false">D17/D12-1</f>
        <v>-0.077005580346637</v>
      </c>
    </row>
    <row r="18" customFormat="false" ht="17.15" hidden="false" customHeight="false" outlineLevel="0" collapsed="false">
      <c r="A18" s="0" t="s">
        <v>781</v>
      </c>
      <c r="B18" s="0" t="s">
        <v>1000</v>
      </c>
      <c r="C18" s="17" t="n">
        <f aca="false">0.3*Y!H7</f>
        <v>19.6088236319869</v>
      </c>
      <c r="D18" s="17" t="n">
        <f aca="false">D12+C18*(1-opex_var)</f>
        <v>261.360646835315</v>
      </c>
      <c r="E18" s="15" t="n">
        <f aca="false">D18/D12-1</f>
        <v>0.077005580346637</v>
      </c>
    </row>
    <row r="20" customFormat="false" ht="15" hidden="false" customHeight="false" outlineLevel="0" collapsed="false">
      <c r="A20" s="1" t="s">
        <v>784</v>
      </c>
      <c r="B20" s="5" t="s">
        <v>31</v>
      </c>
      <c r="D20" s="17" t="n">
        <f aca="false">Y!K14</f>
        <v>145.963791802123</v>
      </c>
    </row>
    <row r="21" customFormat="false" ht="17.15" hidden="false" customHeight="false" outlineLevel="0" collapsed="false">
      <c r="A21" s="0" t="s">
        <v>784</v>
      </c>
      <c r="B21" s="5" t="s">
        <v>995</v>
      </c>
      <c r="C21" s="17" t="n">
        <f aca="false">-0.2*Y!K5</f>
        <v>-24.5528629286893</v>
      </c>
      <c r="D21" s="17" t="n">
        <f aca="false">D20+C21*(1-opex_var)</f>
        <v>122.564913431082</v>
      </c>
      <c r="E21" s="15" t="n">
        <f aca="false">D21/D20-1</f>
        <v>-0.160306046329365</v>
      </c>
    </row>
    <row r="22" customFormat="false" ht="17.15" hidden="false" customHeight="false" outlineLevel="0" collapsed="false">
      <c r="A22" s="0" t="s">
        <v>784</v>
      </c>
      <c r="B22" s="5" t="s">
        <v>996</v>
      </c>
      <c r="C22" s="17" t="n">
        <f aca="false">0.2*Y!K5</f>
        <v>24.5528629286893</v>
      </c>
      <c r="D22" s="17" t="n">
        <f aca="false">D20+C22*(1-opex_var)</f>
        <v>169.362670173164</v>
      </c>
      <c r="E22" s="15" t="n">
        <f aca="false">D22/D20-1</f>
        <v>0.160306046329365</v>
      </c>
    </row>
    <row r="23" customFormat="false" ht="17.15" hidden="false" customHeight="false" outlineLevel="0" collapsed="false">
      <c r="A23" s="0" t="s">
        <v>784</v>
      </c>
      <c r="B23" s="0" t="s">
        <v>997</v>
      </c>
      <c r="C23" s="17" t="n">
        <f aca="false">-0.3*Y!K6</f>
        <v>-16.570501133184</v>
      </c>
      <c r="D23" s="17" t="n">
        <f aca="false">D20+C23*(1-opex_var)</f>
        <v>130.172104222199</v>
      </c>
      <c r="E23" s="15" t="n">
        <f aca="false">D23/D20-1</f>
        <v>-0.108189074735277</v>
      </c>
    </row>
    <row r="24" customFormat="false" ht="17.15" hidden="false" customHeight="false" outlineLevel="0" collapsed="false">
      <c r="A24" s="0" t="s">
        <v>784</v>
      </c>
      <c r="B24" s="0" t="s">
        <v>998</v>
      </c>
      <c r="C24" s="17" t="n">
        <f aca="false">0.3*Y!K6</f>
        <v>16.570501133184</v>
      </c>
      <c r="D24" s="17" t="n">
        <f aca="false">D20+C24*(1-opex_var)</f>
        <v>161.755479382047</v>
      </c>
      <c r="E24" s="15" t="n">
        <f aca="false">D24/D20-1</f>
        <v>0.108189074735277</v>
      </c>
    </row>
    <row r="25" customFormat="false" ht="17.15" hidden="false" customHeight="false" outlineLevel="0" collapsed="false">
      <c r="A25" s="0" t="s">
        <v>784</v>
      </c>
      <c r="B25" s="0" t="s">
        <v>999</v>
      </c>
      <c r="C25" s="17" t="n">
        <f aca="false">-0.3*Y!K7</f>
        <v>-15.9242936848248</v>
      </c>
      <c r="D25" s="17" t="n">
        <f aca="false">D20+C25*(1-opex_var)</f>
        <v>130.787939920485</v>
      </c>
      <c r="E25" s="15" t="n">
        <f aca="false">D25/D20-1</f>
        <v>-0.103969975665001</v>
      </c>
    </row>
    <row r="26" customFormat="false" ht="17.15" hidden="false" customHeight="false" outlineLevel="0" collapsed="false">
      <c r="A26" s="0" t="s">
        <v>784</v>
      </c>
      <c r="B26" s="0" t="s">
        <v>1000</v>
      </c>
      <c r="C26" s="17" t="n">
        <f aca="false">0.3*Y!K7</f>
        <v>15.9242936848248</v>
      </c>
      <c r="D26" s="17" t="n">
        <f aca="false">D20+C26*(1-opex_var)</f>
        <v>161.139643683761</v>
      </c>
      <c r="E26" s="15" t="n">
        <f aca="false">D26/D20-1</f>
        <v>0.103969975665001</v>
      </c>
    </row>
    <row r="28" customFormat="false" ht="15" hidden="false" customHeight="false" outlineLevel="0" collapsed="false">
      <c r="A28" s="1" t="s">
        <v>785</v>
      </c>
      <c r="B28" s="5" t="s">
        <v>31</v>
      </c>
      <c r="D28" s="17" t="n">
        <f aca="false">Y!L14</f>
        <v>122.268404784216</v>
      </c>
    </row>
    <row r="29" customFormat="false" ht="17.15" hidden="false" customHeight="false" outlineLevel="0" collapsed="false">
      <c r="A29" s="0" t="s">
        <v>785</v>
      </c>
      <c r="B29" s="5" t="s">
        <v>995</v>
      </c>
      <c r="C29" s="17" t="n">
        <f aca="false">-0.2*Y!L5</f>
        <v>-19.8684755863136</v>
      </c>
      <c r="D29" s="17" t="n">
        <f aca="false">D28+C29*(1-opex_var)</f>
        <v>103.333747550459</v>
      </c>
      <c r="E29" s="15" t="n">
        <f aca="false">D29/D28-1</f>
        <v>-0.154861407304475</v>
      </c>
    </row>
    <row r="30" customFormat="false" ht="17.15" hidden="false" customHeight="false" outlineLevel="0" collapsed="false">
      <c r="A30" s="0" t="s">
        <v>785</v>
      </c>
      <c r="B30" s="5" t="s">
        <v>996</v>
      </c>
      <c r="C30" s="17" t="n">
        <f aca="false">0.2*Y!L5</f>
        <v>19.8684755863136</v>
      </c>
      <c r="D30" s="17" t="n">
        <f aca="false">D28+C30*(1-opex_var)</f>
        <v>141.203062017973</v>
      </c>
      <c r="E30" s="15" t="n">
        <f aca="false">D30/D28-1</f>
        <v>0.154861407304475</v>
      </c>
    </row>
    <row r="31" customFormat="false" ht="17.15" hidden="false" customHeight="false" outlineLevel="0" collapsed="false">
      <c r="A31" s="0" t="s">
        <v>785</v>
      </c>
      <c r="B31" s="0" t="s">
        <v>997</v>
      </c>
      <c r="C31" s="17" t="n">
        <f aca="false">-0.3*Y!L6</f>
        <v>-22.6187340467962</v>
      </c>
      <c r="D31" s="17" t="n">
        <f aca="false">D28+C31*(1-opex_var)</f>
        <v>100.712751237619</v>
      </c>
      <c r="E31" s="15" t="n">
        <f aca="false">D31/D28-1</f>
        <v>-0.176297822684764</v>
      </c>
    </row>
    <row r="32" customFormat="false" ht="17.15" hidden="false" customHeight="false" outlineLevel="0" collapsed="false">
      <c r="A32" s="0" t="s">
        <v>785</v>
      </c>
      <c r="B32" s="0" t="s">
        <v>998</v>
      </c>
      <c r="C32" s="17" t="n">
        <f aca="false">0.3*Y!L6</f>
        <v>22.6187340467962</v>
      </c>
      <c r="D32" s="17" t="n">
        <f aca="false">D28+C32*(1-opex_var)</f>
        <v>143.824058330813</v>
      </c>
      <c r="E32" s="15" t="n">
        <f aca="false">D32/D28-1</f>
        <v>0.176297822684764</v>
      </c>
    </row>
    <row r="33" customFormat="false" ht="17.15" hidden="false" customHeight="false" outlineLevel="0" collapsed="false">
      <c r="A33" s="0" t="s">
        <v>785</v>
      </c>
      <c r="B33" s="0" t="s">
        <v>999</v>
      </c>
      <c r="C33" s="17" t="n">
        <f aca="false">-0.3*Y!L7</f>
        <v>-13.066396137032</v>
      </c>
      <c r="D33" s="17" t="n">
        <f aca="false">D28+C33*(1-opex_var)</f>
        <v>109.816129265625</v>
      </c>
      <c r="E33" s="15" t="n">
        <f aca="false">D33/D28-1</f>
        <v>-0.101843771827789</v>
      </c>
    </row>
    <row r="34" customFormat="false" ht="17.15" hidden="false" customHeight="false" outlineLevel="0" collapsed="false">
      <c r="A34" s="0" t="s">
        <v>785</v>
      </c>
      <c r="B34" s="0" t="s">
        <v>1000</v>
      </c>
      <c r="C34" s="17" t="n">
        <f aca="false">0.3*Y!L7</f>
        <v>13.066396137032</v>
      </c>
      <c r="D34" s="17" t="n">
        <f aca="false">D28+C34*(1-opex_var)</f>
        <v>134.720680302808</v>
      </c>
      <c r="E34" s="15" t="n">
        <f aca="false">D34/D28-1</f>
        <v>0.101843771827789</v>
      </c>
    </row>
    <row r="36" customFormat="false" ht="17.15" hidden="false" customHeight="false" outlineLevel="0" collapsed="false">
      <c r="A36" s="5" t="s">
        <v>1001</v>
      </c>
    </row>
    <row r="38" customFormat="false" ht="17.15" hidden="false" customHeight="false" outlineLevel="0" collapsed="false">
      <c r="A38" s="3" t="s">
        <v>1002</v>
      </c>
    </row>
    <row r="39" customFormat="false" ht="17.15" hidden="false" customHeight="false" outlineLevel="0" collapsed="false">
      <c r="A39" s="6" t="s">
        <v>1003</v>
      </c>
      <c r="B39" s="6" t="s">
        <v>1004</v>
      </c>
      <c r="C39" s="13" t="s">
        <v>1005</v>
      </c>
      <c r="D39" s="13" t="s">
        <v>1006</v>
      </c>
      <c r="E39" s="6" t="s">
        <v>1007</v>
      </c>
      <c r="F39" s="6" t="s">
        <v>994</v>
      </c>
    </row>
    <row r="40" customFormat="false" ht="17.15" hidden="false" customHeight="false" outlineLevel="0" collapsed="false">
      <c r="A40" s="5" t="s">
        <v>31</v>
      </c>
      <c r="B40" s="0" t="s">
        <v>1008</v>
      </c>
      <c r="C40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0" s="21" t="n">
        <f aca="false">Val!B156</f>
        <v>2466560.99793747</v>
      </c>
      <c r="E40" s="21" t="n">
        <f aca="false">tp_w_dcf*C40+(1-tp_w_dcf)*D40</f>
        <v>3087845.415541</v>
      </c>
      <c r="F40" s="19" t="n">
        <f aca="false">E40/E$40-1</f>
        <v>0</v>
      </c>
    </row>
    <row r="41" customFormat="false" ht="17.15" hidden="false" customHeight="false" outlineLevel="0" collapsed="false">
      <c r="A41" s="5" t="s">
        <v>1009</v>
      </c>
      <c r="B41" s="0" t="s">
        <v>1010</v>
      </c>
      <c r="C41" s="21" t="n">
        <f aca="false">(tp_wA*(Val!B138/(1+(tp_r+0.01))^1+Val!B139/(1+(tp_r+0.01))^2+Val!B140/(1+(tp_r+0.01))^3+Val!B133*(1-MIN(tp_g/tp_roe,0.8))/(1+(tp_r+0.01))^4+Val!B134*(1-MIN(tp_g/tp_roe,0.8))/(1+(tp_r+0.01))^5+Val!B135*(1-MIN(tp_g/tp_roe,0.8))/(1+(tp_r+0.01))^6+Val!B135*(1-MIN(tp_g/tp_roe,0.8))*(1+tp_g)/((tp_r+0.01)-tp_g)/(1+(tp_r+0.01))^6)+tp_wB*(Val!C138/(1+(tp_r+0.01))^1+Val!C139/(1+(tp_r+0.01))^2+Val!C140/(1+(tp_r+0.01))^3+Val!C133*(1-MIN(tp_g/tp_roe,0.8))/(1+(tp_r+0.01))^4+Val!C134*(1-MIN(tp_g/tp_roe,0.8))/(1+(tp_r+0.01))^5+Val!C135*(1-MIN(tp_g/tp_roe,0.8))/(1+(tp_r+0.01))^6+Val!C135*(1-MIN(tp_g/tp_roe,0.8))*(1+tp_g)/((tp_r+0.01)-tp_g)/(1+(tp_r+0.01))^6)+tp_wC*(Val!D138/(1+(tp_r+0.01))^1+Val!D139/(1+(tp_r+0.01))^2+Val!D140/(1+(tp_r+0.01))^3+Val!D133*(1-MIN(tp_g/tp_roe,0.8))/(1+(tp_r+0.01))^4+Val!D134*(1-MIN(tp_g/tp_roe,0.8))/(1+(tp_r+0.01))^5+Val!D135*(1-MIN(tp_g/tp_roe,0.8))/(1+(tp_r+0.01))^6+Val!D135*(1-MIN(tp_g/tp_roe,0.8))*(1+tp_g)/((tp_r+0.01)-tp_g)/(1+(tp_r+0.01))^6))*(1+(tp_r+0.01))</f>
        <v>3327884.30499683</v>
      </c>
      <c r="D41" s="21" t="n">
        <f aca="false">Val!B156</f>
        <v>2466560.99793747</v>
      </c>
      <c r="E41" s="21" t="n">
        <f aca="false">tp_w_dcf*C41+(1-tp_w_dcf)*D41</f>
        <v>2897222.65146715</v>
      </c>
      <c r="F41" s="19" t="n">
        <f aca="false">E41/E$40-1</f>
        <v>-0.0617332600636209</v>
      </c>
    </row>
    <row r="42" customFormat="false" ht="17.15" hidden="false" customHeight="false" outlineLevel="0" collapsed="false">
      <c r="A42" s="5" t="s">
        <v>1011</v>
      </c>
      <c r="B42" s="0" t="s">
        <v>1012</v>
      </c>
      <c r="C42" s="21" t="n">
        <f aca="false">(tp_wA*(Val!B138/(1+(tp_r-0.01))^1+Val!B139/(1+(tp_r-0.01))^2+Val!B140/(1+(tp_r-0.01))^3+Val!B133*(1-MIN(tp_g/tp_roe,0.8))/(1+(tp_r-0.01))^4+Val!B134*(1-MIN(tp_g/tp_roe,0.8))/(1+(tp_r-0.01))^5+Val!B135*(1-MIN(tp_g/tp_roe,0.8))/(1+(tp_r-0.01))^6+Val!B135*(1-MIN(tp_g/tp_roe,0.8))*(1+tp_g)/((tp_r-0.01)-tp_g)/(1+(tp_r-0.01))^6)+tp_wB*(Val!C138/(1+(tp_r-0.01))^1+Val!C139/(1+(tp_r-0.01))^2+Val!C140/(1+(tp_r-0.01))^3+Val!C133*(1-MIN(tp_g/tp_roe,0.8))/(1+(tp_r-0.01))^4+Val!C134*(1-MIN(tp_g/tp_roe,0.8))/(1+(tp_r-0.01))^5+Val!C135*(1-MIN(tp_g/tp_roe,0.8))/(1+(tp_r-0.01))^6+Val!C135*(1-MIN(tp_g/tp_roe,0.8))*(1+tp_g)/((tp_r-0.01)-tp_g)/(1+(tp_r-0.01))^6)+tp_wC*(Val!D138/(1+(tp_r-0.01))^1+Val!D139/(1+(tp_r-0.01))^2+Val!D140/(1+(tp_r-0.01))^3+Val!D133*(1-MIN(tp_g/tp_roe,0.8))/(1+(tp_r-0.01))^4+Val!D134*(1-MIN(tp_g/tp_roe,0.8))/(1+(tp_r-0.01))^5+Val!D135*(1-MIN(tp_g/tp_roe,0.8))/(1+(tp_r-0.01))^6+Val!D135*(1-MIN(tp_g/tp_roe,0.8))*(1+tp_g)/((tp_r-0.01)-tp_g)/(1+(tp_r-0.01))^6))*(1+(tp_r-0.01))</f>
        <v>4238181.188438</v>
      </c>
      <c r="D42" s="21" t="n">
        <f aca="false">Val!B156</f>
        <v>2466560.99793747</v>
      </c>
      <c r="E42" s="21" t="n">
        <f aca="false">tp_w_dcf*C42+(1-tp_w_dcf)*D42</f>
        <v>3352371.09318773</v>
      </c>
      <c r="F42" s="19" t="n">
        <f aca="false">E42/E$40-1</f>
        <v>0.0856667488324987</v>
      </c>
    </row>
    <row r="43" customFormat="false" ht="17.15" hidden="false" customHeight="false" outlineLevel="0" collapsed="false">
      <c r="A43" s="5" t="s">
        <v>1013</v>
      </c>
      <c r="B43" s="0" t="s">
        <v>1014</v>
      </c>
      <c r="C43" s="21" t="n">
        <f aca="false">(tp_wA*(Val!B138/(1+tp_r)^1+Val!B139/(1+tp_r)^2+Val!B140/(1+tp_r)^3+Val!B133*(1-MIN((tp_g+0.01)/tp_roe,0.8))/(1+tp_r)^4+Val!B134*(1-MIN((tp_g+0.01)/tp_roe,0.8))/(1+tp_r)^5+Val!B135*(1-MIN((tp_g+0.01)/tp_roe,0.8))/(1+tp_r)^6+Val!B135*(1-MIN((tp_g+0.01)/tp_roe,0.8))*(1+(tp_g+0.01))/(tp_r-(tp_g+0.01))/(1+tp_r)^6)+tp_wB*(Val!C138/(1+tp_r)^1+Val!C139/(1+tp_r)^2+Val!C140/(1+tp_r)^3+Val!C133*(1-MIN((tp_g+0.01)/tp_roe,0.8))/(1+tp_r)^4+Val!C134*(1-MIN((tp_g+0.01)/tp_roe,0.8))/(1+tp_r)^5+Val!C135*(1-MIN((tp_g+0.01)/tp_roe,0.8))/(1+tp_r)^6+Val!C135*(1-MIN((tp_g+0.01)/tp_roe,0.8))*(1+(tp_g+0.01))/(tp_r-(tp_g+0.01))/(1+tp_r)^6)+tp_wC*(Val!D138/(1+tp_r)^1+Val!D139/(1+tp_r)^2+Val!D140/(1+tp_r)^3+Val!D133*(1-MIN((tp_g+0.01)/tp_roe,0.8))/(1+tp_r)^4+Val!D134*(1-MIN((tp_g+0.01)/tp_roe,0.8))/(1+tp_r)^5+Val!D135*(1-MIN((tp_g+0.01)/tp_roe,0.8))/(1+tp_r)^6+Val!D135*(1-MIN((tp_g+0.01)/tp_roe,0.8))*(1+(tp_g+0.01))/(tp_r-(tp_g+0.01))/(1+tp_r)^6))*(1+tp_r)</f>
        <v>3935694.87200678</v>
      </c>
      <c r="D43" s="21" t="n">
        <f aca="false">Val!B156</f>
        <v>2466560.99793747</v>
      </c>
      <c r="E43" s="21" t="n">
        <f aca="false">tp_w_dcf*C43+(1-tp_w_dcf)*D43</f>
        <v>3201127.93497213</v>
      </c>
      <c r="F43" s="19" t="n">
        <f aca="false">E43/E$40-1</f>
        <v>0.036686590222742</v>
      </c>
    </row>
    <row r="44" customFormat="false" ht="17.15" hidden="false" customHeight="false" outlineLevel="0" collapsed="false">
      <c r="A44" s="5" t="s">
        <v>1015</v>
      </c>
      <c r="B44" s="0" t="s">
        <v>1016</v>
      </c>
      <c r="C44" s="21" t="n">
        <f aca="false">(tp_wA*(Val!B138/(1+tp_r)^1+Val!B139/(1+tp_r)^2+Val!B140/(1+tp_r)^3+Val!B133*(1-MIN((tp_g-0.01)/tp_roe,0.8))/(1+tp_r)^4+Val!B134*(1-MIN((tp_g-0.01)/tp_roe,0.8))/(1+tp_r)^5+Val!B135*(1-MIN((tp_g-0.01)/tp_roe,0.8))/(1+tp_r)^6+Val!B135*(1-MIN((tp_g-0.01)/tp_roe,0.8))*(1+(tp_g-0.01))/(tp_r-(tp_g-0.01))/(1+tp_r)^6)+tp_wB*(Val!C138/(1+tp_r)^1+Val!C139/(1+tp_r)^2+Val!C140/(1+tp_r)^3+Val!C133*(1-MIN((tp_g-0.01)/tp_roe,0.8))/(1+tp_r)^4+Val!C134*(1-MIN((tp_g-0.01)/tp_roe,0.8))/(1+tp_r)^5+Val!C135*(1-MIN((tp_g-0.01)/tp_roe,0.8))/(1+tp_r)^6+Val!C135*(1-MIN((tp_g-0.01)/tp_roe,0.8))*(1+(tp_g-0.01))/(tp_r-(tp_g-0.01))/(1+tp_r)^6)+tp_wC*(Val!D138/(1+tp_r)^1+Val!D139/(1+tp_r)^2+Val!D140/(1+tp_r)^3+Val!D133*(1-MIN((tp_g-0.01)/tp_roe,0.8))/(1+tp_r)^4+Val!D134*(1-MIN((tp_g-0.01)/tp_roe,0.8))/(1+tp_r)^5+Val!D135*(1-MIN((tp_g-0.01)/tp_roe,0.8))/(1+tp_r)^6+Val!D135*(1-MIN((tp_g-0.01)/tp_roe,0.8))*(1+(tp_g-0.01))/(tp_r-(tp_g-0.01))/(1+tp_r)^6))*(1+tp_r)</f>
        <v>3555756.33485377</v>
      </c>
      <c r="D44" s="21" t="n">
        <f aca="false">Val!B156</f>
        <v>2466560.99793747</v>
      </c>
      <c r="E44" s="21" t="n">
        <f aca="false">tp_w_dcf*C44+(1-tp_w_dcf)*D44</f>
        <v>3011158.66639562</v>
      </c>
      <c r="F44" s="19" t="n">
        <f aca="false">E44/E$40-1</f>
        <v>-0.0248350350569424</v>
      </c>
    </row>
    <row r="45" customFormat="false" ht="17.15" hidden="false" customHeight="false" outlineLevel="0" collapsed="false">
      <c r="A45" s="0" t="s">
        <v>1017</v>
      </c>
      <c r="B45" s="0" t="s">
        <v>1018</v>
      </c>
      <c r="C45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5" s="21" t="n">
        <f aca="false">Val!B156</f>
        <v>2466560.99793747</v>
      </c>
      <c r="E45" s="21" t="n">
        <f aca="false">0.3*C45+(1-0.3)*D45</f>
        <v>2839331.64849959</v>
      </c>
      <c r="F45" s="19" t="n">
        <f aca="false">E45/E$40-1</f>
        <v>-0.0804812850379922</v>
      </c>
    </row>
    <row r="46" customFormat="false" ht="17.15" hidden="false" customHeight="false" outlineLevel="0" collapsed="false">
      <c r="A46" s="0" t="s">
        <v>1019</v>
      </c>
      <c r="B46" s="0" t="s">
        <v>1020</v>
      </c>
      <c r="C46" s="21" t="n">
        <f aca="false">(tp_wA*(Val!B138/(1+tp_r)^1+Val!B139/(1+tp_r)^2+Val!B140/(1+tp_r)^3+Val!B133*(1-MIN(tp_g/tp_roe,0.8))/(1+tp_r)^4+Val!B134*(1-MIN(tp_g/tp_roe,0.8))/(1+tp_r)^5+Val!B135*(1-MIN(tp_g/tp_roe,0.8))/(1+tp_r)^6+Val!B135*(1-MIN(tp_g/tp_roe,0.8))*(1+tp_g)/(tp_r-tp_g)/(1+tp_r)^6)+tp_wB*(Val!C138/(1+tp_r)^1+Val!C139/(1+tp_r)^2+Val!C140/(1+tp_r)^3+Val!C133*(1-MIN(tp_g/tp_roe,0.8))/(1+tp_r)^4+Val!C134*(1-MIN(tp_g/tp_roe,0.8))/(1+tp_r)^5+Val!C135*(1-MIN(tp_g/tp_roe,0.8))/(1+tp_r)^6+Val!C135*(1-MIN(tp_g/tp_roe,0.8))*(1+tp_g)/(tp_r-tp_g)/(1+tp_r)^6)+tp_wC*(Val!D138/(1+tp_r)^1+Val!D139/(1+tp_r)^2+Val!D140/(1+tp_r)^3+Val!D133*(1-MIN(tp_g/tp_roe,0.8))/(1+tp_r)^4+Val!D134*(1-MIN(tp_g/tp_roe,0.8))/(1+tp_r)^5+Val!D135*(1-MIN(tp_g/tp_roe,0.8))/(1+tp_r)^6+Val!D135*(1-MIN(tp_g/tp_roe,0.8))*(1+tp_g)/(tp_r-tp_g)/(1+tp_r)^6))*(1+tp_r)</f>
        <v>3709129.83314453</v>
      </c>
      <c r="D46" s="21" t="n">
        <f aca="false">Val!B156</f>
        <v>2466560.99793747</v>
      </c>
      <c r="E46" s="21" t="n">
        <f aca="false">0.7*C46+(1-0.7)*D46</f>
        <v>3336359.18258241</v>
      </c>
      <c r="F46" s="19" t="n">
        <f aca="false">E46/E$40-1</f>
        <v>0.0804812850379921</v>
      </c>
    </row>
    <row r="47" customFormat="false" ht="17.15" hidden="false" customHeight="false" outlineLevel="0" collapsed="false">
      <c r="A47" s="5" t="s">
        <v>1021</v>
      </c>
      <c r="C47" s="28" t="n">
        <f aca="false">C40-Val!B146</f>
        <v>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5" min="5" style="0" width="50"/>
  </cols>
  <sheetData>
    <row r="1" customFormat="false" ht="17.15" hidden="false" customHeight="false" outlineLevel="0" collapsed="false">
      <c r="A1" s="0" t="s">
        <v>1022</v>
      </c>
    </row>
    <row r="3" customFormat="false" ht="15" hidden="false" customHeight="false" outlineLevel="0" collapsed="false">
      <c r="A3" s="6" t="s">
        <v>28</v>
      </c>
      <c r="B3" s="6" t="s">
        <v>1023</v>
      </c>
      <c r="C3" s="6" t="s">
        <v>1024</v>
      </c>
      <c r="D3" s="6" t="s">
        <v>1025</v>
      </c>
      <c r="E3" s="6" t="s">
        <v>1026</v>
      </c>
    </row>
    <row r="4" customFormat="false" ht="17.15" hidden="false" customHeight="false" outlineLevel="0" collapsed="false">
      <c r="A4" s="0" t="s">
        <v>1027</v>
      </c>
      <c r="B4" s="17" t="n">
        <f aca="false">Y!C4</f>
        <v>341.319230479856</v>
      </c>
      <c r="C4" s="7" t="n">
        <v>344.2</v>
      </c>
      <c r="D4" s="15" t="n">
        <f aca="false">B4/C4-1</f>
        <v>-0.00836946403295669</v>
      </c>
      <c r="E4" s="8" t="s">
        <v>1028</v>
      </c>
    </row>
    <row r="5" customFormat="false" ht="17.15" hidden="false" customHeight="false" outlineLevel="0" collapsed="false">
      <c r="A5" s="0" t="s">
        <v>1029</v>
      </c>
      <c r="B5" s="17" t="n">
        <f aca="false">Y!C14</f>
        <v>265.876578074485</v>
      </c>
      <c r="C5" s="7" t="n">
        <v>266.1</v>
      </c>
      <c r="D5" s="15" t="n">
        <f aca="false">B5/C5-1</f>
        <v>-0.000839616405542865</v>
      </c>
      <c r="E5" s="8" t="s">
        <v>1030</v>
      </c>
    </row>
    <row r="6" customFormat="false" ht="17.15" hidden="false" customHeight="false" outlineLevel="0" collapsed="false">
      <c r="A6" s="0" t="s">
        <v>1031</v>
      </c>
      <c r="B6" s="17" t="n">
        <f aca="false">Y!C20</f>
        <v>264.956155117354</v>
      </c>
      <c r="C6" s="7" t="n">
        <v>256.3</v>
      </c>
      <c r="D6" s="15" t="n">
        <f aca="false">B6/C6-1</f>
        <v>0.0337735275745357</v>
      </c>
      <c r="E6" s="8" t="s">
        <v>1032</v>
      </c>
    </row>
    <row r="7" customFormat="false" ht="17.15" hidden="false" customHeight="false" outlineLevel="0" collapsed="false">
      <c r="A7" s="0" t="s">
        <v>1033</v>
      </c>
      <c r="B7" s="17" t="n">
        <f aca="false">Y!C6</f>
        <v>40.7798730248</v>
      </c>
      <c r="C7" s="7" t="n">
        <v>45.7</v>
      </c>
      <c r="D7" s="15" t="n">
        <f aca="false">B7/C7-1</f>
        <v>-0.107661421776805</v>
      </c>
      <c r="E7" s="8" t="s">
        <v>1034</v>
      </c>
    </row>
    <row r="8" customFormat="false" ht="17.15" hidden="false" customHeight="false" outlineLevel="0" collapsed="false">
      <c r="A8" s="0" t="s">
        <v>1035</v>
      </c>
      <c r="B8" s="17" t="n">
        <f aca="false">Y!D4</f>
        <v>531.511774306725</v>
      </c>
      <c r="C8" s="7" t="n">
        <v>531.3</v>
      </c>
      <c r="D8" s="15" t="n">
        <f aca="false">B8/C8-1</f>
        <v>0.000398596474166402</v>
      </c>
      <c r="E8" s="8" t="s">
        <v>1032</v>
      </c>
    </row>
    <row r="9" customFormat="false" ht="17.15" hidden="false" customHeight="false" outlineLevel="0" collapsed="false">
      <c r="A9" s="0" t="s">
        <v>1036</v>
      </c>
      <c r="B9" s="17" t="n">
        <f aca="false">Y!D14</f>
        <v>438.724703748353</v>
      </c>
      <c r="C9" s="7" t="n">
        <v>417.2</v>
      </c>
      <c r="D9" s="15" t="n">
        <f aca="false">B9/C9-1</f>
        <v>0.0515932496365124</v>
      </c>
      <c r="E9" s="8" t="s">
        <v>1037</v>
      </c>
    </row>
    <row r="10" customFormat="false" ht="17.15" hidden="false" customHeight="false" outlineLevel="0" collapsed="false">
      <c r="A10" s="0" t="s">
        <v>1038</v>
      </c>
      <c r="B10" s="17" t="n">
        <f aca="false">Y!D20</f>
        <v>340.584588075039</v>
      </c>
      <c r="C10" s="7" t="n">
        <v>336.2</v>
      </c>
      <c r="D10" s="15" t="n">
        <f aca="false">B10/C10-1</f>
        <v>0.0130416064099912</v>
      </c>
      <c r="E10" s="8" t="s">
        <v>1032</v>
      </c>
    </row>
    <row r="11" customFormat="false" ht="17.15" hidden="false" customHeight="false" outlineLevel="0" collapsed="false">
      <c r="A11" s="0" t="s">
        <v>1039</v>
      </c>
      <c r="B11" s="17" t="n">
        <f aca="false">Y!E14</f>
        <v>479.967003928052</v>
      </c>
      <c r="C11" s="7" t="n">
        <v>454</v>
      </c>
      <c r="D11" s="15" t="n">
        <f aca="false">B11/C11-1</f>
        <v>0.0571960438943868</v>
      </c>
      <c r="E11" s="8" t="s">
        <v>1040</v>
      </c>
    </row>
    <row r="12" customFormat="false" ht="17.15" hidden="false" customHeight="false" outlineLevel="0" collapsed="false">
      <c r="A12" s="0" t="s">
        <v>1041</v>
      </c>
      <c r="B12" s="17" t="n">
        <f aca="false">Q!H4</f>
        <v>96.311345015</v>
      </c>
      <c r="C12" s="7" t="n">
        <v>94.1</v>
      </c>
      <c r="D12" s="15" t="n">
        <f aca="false">B12/C12-1</f>
        <v>0.0234999470244424</v>
      </c>
      <c r="E12" s="8" t="s">
        <v>1042</v>
      </c>
    </row>
    <row r="13" customFormat="false" ht="17.15" hidden="false" customHeight="false" outlineLevel="0" collapsed="false">
      <c r="A13" s="0" t="s">
        <v>1043</v>
      </c>
      <c r="B13" s="17" t="n">
        <f aca="false">Q!H10</f>
        <v>76.086391971295</v>
      </c>
      <c r="C13" s="7" t="n">
        <v>76.1</v>
      </c>
      <c r="D13" s="15" t="n">
        <f aca="false">B13/C13-1</f>
        <v>-0.000178817722798708</v>
      </c>
      <c r="E13" s="8" t="s">
        <v>1044</v>
      </c>
    </row>
    <row r="14" customFormat="false" ht="17.15" hidden="false" customHeight="false" outlineLevel="0" collapsed="false">
      <c r="A14" s="0" t="s">
        <v>1045</v>
      </c>
      <c r="B14" s="17" t="n">
        <f aca="false">Y!D29</f>
        <v>550035.776345727</v>
      </c>
      <c r="C14" s="7" t="n">
        <f aca="false">cons_eps27</f>
        <v>475721</v>
      </c>
      <c r="D14" s="15" t="n">
        <f aca="false">B14/C14-1</f>
        <v>0.156215042736661</v>
      </c>
      <c r="E14" s="8" t="s">
        <v>664</v>
      </c>
    </row>
    <row r="15" customFormat="false" ht="17.15" hidden="false" customHeight="false" outlineLevel="0" collapsed="false">
      <c r="A15" s="0" t="s">
        <v>1046</v>
      </c>
      <c r="B15" s="17" t="n">
        <f aca="false">Y!E29</f>
        <v>714922.652491223</v>
      </c>
      <c r="C15" s="7" t="n">
        <f aca="false">cons_eps28</f>
        <v>537981</v>
      </c>
      <c r="D15" s="15" t="n">
        <f aca="false">B15/C15-1</f>
        <v>0.328899445317256</v>
      </c>
      <c r="E15" s="8" t="s">
        <v>664</v>
      </c>
    </row>
    <row r="16" customFormat="false" ht="17.15" hidden="false" customHeight="false" outlineLevel="0" collapsed="false">
      <c r="A16" s="0" t="s">
        <v>1047</v>
      </c>
      <c r="B16" s="17" t="n">
        <f aca="false">Y!E28</f>
        <v>1508659.47639723</v>
      </c>
      <c r="C16" s="7" t="n">
        <f aca="false">cons_bvps28</f>
        <v>1398106</v>
      </c>
      <c r="D16" s="15" t="n">
        <f aca="false">B16/C16-1</f>
        <v>0.0790737443350025</v>
      </c>
      <c r="E16" s="8" t="s">
        <v>664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0"/>
  </cols>
  <sheetData>
    <row r="1" customFormat="false" ht="17.15" hidden="false" customHeight="false" outlineLevel="0" collapsed="false">
      <c r="A1" s="1" t="s">
        <v>1048</v>
      </c>
    </row>
    <row r="3" customFormat="false" ht="17.15" hidden="false" customHeight="false" outlineLevel="0" collapsed="false">
      <c r="A3" s="5" t="s">
        <v>1049</v>
      </c>
      <c r="B3" s="0" t="n">
        <f aca="false">nv_hbm</f>
        <v>4.46</v>
      </c>
      <c r="C3" s="0" t="s">
        <v>602</v>
      </c>
    </row>
    <row r="4" customFormat="false" ht="17.15" hidden="false" customHeight="false" outlineLevel="0" collapsed="false">
      <c r="A4" s="5" t="s">
        <v>1050</v>
      </c>
      <c r="B4" s="0" t="str">
        <f aca="false">TEXT(Mkt!D16,"0")&amp;" ／ "&amp;TEXT(Mkt!E16,"0")</f>
        <v>216 ／ 260</v>
      </c>
      <c r="C4" s="0" t="s">
        <v>434</v>
      </c>
    </row>
    <row r="5" customFormat="false" ht="17.15" hidden="false" customHeight="false" outlineLevel="0" collapsed="false">
      <c r="A5" s="0" t="s">
        <v>1051</v>
      </c>
      <c r="B5" s="0" t="str">
        <f aca="false">TEXT(Mkt!D33,"0")&amp;" ／ "&amp;TEXT(Mkt!E33,"0")</f>
        <v>55 ／ 154</v>
      </c>
      <c r="C5" s="0" t="s">
        <v>550</v>
      </c>
    </row>
    <row r="6" customFormat="false" ht="17.15" hidden="false" customHeight="false" outlineLevel="0" collapsed="false">
      <c r="A6" s="0" t="s">
        <v>1052</v>
      </c>
      <c r="B6" s="14" t="n">
        <f aca="false">Mkt!E27</f>
        <v>1.23255275</v>
      </c>
      <c r="C6" s="8" t="s">
        <v>720</v>
      </c>
    </row>
    <row r="7" customFormat="false" ht="17.15" hidden="false" customHeight="false" outlineLevel="0" collapsed="false">
      <c r="A7" s="0" t="s">
        <v>1053</v>
      </c>
      <c r="B7" s="5" t="s">
        <v>1054</v>
      </c>
      <c r="C7" s="0" t="s">
        <v>166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" t="s">
        <v>931</v>
      </c>
    </row>
    <row r="2" customFormat="false" ht="17.15" hidden="false" customHeight="false" outlineLevel="0" collapsed="false">
      <c r="A2" s="0" t="s">
        <v>1055</v>
      </c>
      <c r="B2" s="0" t="s">
        <v>1056</v>
      </c>
    </row>
    <row r="3" customFormat="false" ht="17.15" hidden="false" customHeight="false" outlineLevel="0" collapsed="false">
      <c r="A3" s="0" t="s">
        <v>1057</v>
      </c>
      <c r="B3" s="0" t="s">
        <v>1058</v>
      </c>
    </row>
    <row r="4" customFormat="false" ht="17.15" hidden="false" customHeight="false" outlineLevel="0" collapsed="false">
      <c r="A4" s="0" t="s">
        <v>1059</v>
      </c>
      <c r="B4" s="0" t="s">
        <v>1060</v>
      </c>
    </row>
    <row r="5" customFormat="false" ht="17.15" hidden="false" customHeight="false" outlineLevel="0" collapsed="false">
      <c r="A5" s="0" t="s">
        <v>214</v>
      </c>
      <c r="B5" s="0" t="s">
        <v>1061</v>
      </c>
    </row>
    <row r="6" customFormat="false" ht="17.15" hidden="false" customHeight="false" outlineLevel="0" collapsed="false">
      <c r="A6" s="0" t="s">
        <v>1062</v>
      </c>
      <c r="B6" s="0" t="s">
        <v>1063</v>
      </c>
    </row>
    <row r="7" customFormat="false" ht="17.15" hidden="false" customHeight="false" outlineLevel="0" collapsed="false">
      <c r="A7" s="0" t="s">
        <v>1064</v>
      </c>
      <c r="B7" s="0" t="s">
        <v>1065</v>
      </c>
    </row>
    <row r="8" customFormat="false" ht="17.15" hidden="false" customHeight="false" outlineLevel="0" collapsed="false">
      <c r="A8" s="0" t="s">
        <v>1066</v>
      </c>
      <c r="B8" s="0" t="s">
        <v>1067</v>
      </c>
    </row>
    <row r="9" customFormat="false" ht="17.15" hidden="false" customHeight="false" outlineLevel="0" collapsed="false">
      <c r="A9" s="0" t="s">
        <v>1068</v>
      </c>
      <c r="B9" s="0" t="s">
        <v>1069</v>
      </c>
    </row>
    <row r="10" customFormat="false" ht="15" hidden="false" customHeight="false" outlineLevel="0" collapsed="false">
      <c r="A10" s="0" t="s">
        <v>1070</v>
      </c>
      <c r="B10" s="0" t="s">
        <v>1071</v>
      </c>
    </row>
    <row r="11" customFormat="false" ht="17.15" hidden="false" customHeight="false" outlineLevel="0" collapsed="false">
      <c r="A11" s="0" t="s">
        <v>1072</v>
      </c>
      <c r="B11" s="0" t="s">
        <v>1073</v>
      </c>
    </row>
    <row r="12" customFormat="false" ht="17.15" hidden="false" customHeight="false" outlineLevel="0" collapsed="false">
      <c r="A12" s="0" t="s">
        <v>1074</v>
      </c>
      <c r="B12" s="0" t="s">
        <v>1075</v>
      </c>
    </row>
    <row r="13" customFormat="false" ht="15" hidden="false" customHeight="false" outlineLevel="0" collapsed="false">
      <c r="A13" s="0" t="s">
        <v>1076</v>
      </c>
      <c r="B13" s="0" t="s">
        <v>1077</v>
      </c>
    </row>
    <row r="14" customFormat="false" ht="17.15" hidden="false" customHeight="false" outlineLevel="0" collapsed="false">
      <c r="A14" s="0" t="s">
        <v>1078</v>
      </c>
      <c r="B14" s="5" t="s">
        <v>1079</v>
      </c>
    </row>
    <row r="15" customFormat="false" ht="17.15" hidden="false" customHeight="false" outlineLevel="0" collapsed="false">
      <c r="A15" s="0" t="s">
        <v>1080</v>
      </c>
      <c r="B15" s="5" t="s">
        <v>1079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2026-10-29T05:44:08Z</dcterms:created>
  <dc:creator>openpyxl</dc:creator>
  <dc:description/>
  <dc:language>en-US</dc:language>
  <cp:lastModifiedBy/>
  <dcterms:modified xsi:type="dcterms:W3CDTF">2026-10-29T05:44:08Z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