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In!$E$65</definedName>
    <definedName function="false" hidden="false" name="bb_px" vbProcedure="false">In!$E$72</definedName>
    <definedName function="false" hidden="false" name="bb_sh_0" vbProcedure="false">In!$E$66</definedName>
    <definedName function="false" hidden="false" name="capex_rem" vbProcedure="false">In!$E$68</definedName>
    <definedName function="false" hidden="false" name="cap_0" vbProcedure="false">In!$E$42</definedName>
    <definedName function="false" hidden="false" name="cap_0_hi" vbProcedure="false">In!$F$42</definedName>
    <definedName function="false" hidden="false" name="cap_0_lo" vbProcedure="false">In!$D$42</definedName>
    <definedName function="false" hidden="false" name="cap_1" vbProcedure="false">In!$E$43</definedName>
    <definedName function="false" hidden="false" name="cap_1_hi" vbProcedure="false">In!$F$43</definedName>
    <definedName function="false" hidden="false" name="cap_1_lo" vbProcedure="false">In!$D$43</definedName>
    <definedName function="false" hidden="false" name="cap_2" vbProcedure="false">In!$E$44</definedName>
    <definedName function="false" hidden="false" name="cap_2_hi" vbProcedure="false">In!$F$44</definedName>
    <definedName function="false" hidden="false" name="cap_2_lo" vbProcedure="false">In!$D$44</definedName>
    <definedName function="false" hidden="false" name="cap_3" vbProcedure="false">In!$E$48</definedName>
    <definedName function="false" hidden="false" name="cap_3_hi" vbProcedure="false">In!$F$48</definedName>
    <definedName function="false" hidden="false" name="cap_3_lo" vbProcedure="false">In!$D$48</definedName>
    <definedName function="false" hidden="false" name="cb_1" vbProcedure="false">In!$E$22</definedName>
    <definedName function="false" hidden="false" name="cb_1_hi" vbProcedure="false">In!$F$22</definedName>
    <definedName function="false" hidden="false" name="cb_1_lo" vbProcedure="false">In!$D$22</definedName>
    <definedName function="false" hidden="false" name="cb_2" vbProcedure="false">In!$E$23</definedName>
    <definedName function="false" hidden="false" name="cb_2_hi" vbProcedure="false">In!$F$23</definedName>
    <definedName function="false" hidden="false" name="cb_2_lo" vbProcedure="false">In!$D$23</definedName>
    <definedName function="false" hidden="false" name="cb_3" vbProcedure="false">In!$E$45</definedName>
    <definedName function="false" hidden="false" name="cb_3_hi" vbProcedure="false">In!$F$45</definedName>
    <definedName function="false" hidden="false" name="cb_3_lo" vbProcedure="false">In!$D$45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In!$E$34</definedName>
    <definedName function="false" hidden="false" name="costdn_y_hi" vbProcedure="false">In!$F$34</definedName>
    <definedName function="false" hidden="false" name="costdn_y_lo" vbProcedure="false">In!$D$34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da_cogs" vbProcedure="false">In!$E$36</definedName>
    <definedName function="false" hidden="false" name="da_life" vbProcedure="false">In!$E$35</definedName>
    <definedName function="false" hidden="false" name="da_life_hi" vbProcedure="false">In!$F$35</definedName>
    <definedName function="false" hidden="false" name="da_life_lo" vbProcedure="false">In!$D$35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In!$E$67</definedName>
    <definedName function="false" hidden="false" name="dps_1" vbProcedure="false">In!$E$69</definedName>
    <definedName function="false" hidden="false" name="dps_2" vbProcedure="false">In!$E$70</definedName>
    <definedName function="false" hidden="false" name="dps_3" vbProcedure="false">In!$E$49</definedName>
    <definedName function="false" hidden="false" name="eq_last" vbProcedure="false">In!$E$60</definedName>
    <definedName function="false" hidden="false" name="extra_eq" vbProcedure="false">In!$E$63</definedName>
    <definedName function="false" hidden="false" name="extra_sh" vbProcedure="false">In!$E$64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In!$E$24</definedName>
    <definedName function="false" hidden="false" name="nb_1_hi" vbProcedure="false">In!$F$24</definedName>
    <definedName function="false" hidden="false" name="nb_1_lo" vbProcedure="false">In!$D$24</definedName>
    <definedName function="false" hidden="false" name="nb_2" vbProcedure="false">In!$E$25</definedName>
    <definedName function="false" hidden="false" name="nb_2_hi" vbProcedure="false">In!$F$25</definedName>
    <definedName function="false" hidden="false" name="nb_2_lo" vbProcedure="false">In!$D$25</definedName>
    <definedName function="false" hidden="false" name="nb_3" vbProcedure="false">In!$E$46</definedName>
    <definedName function="false" hidden="false" name="nb_3_hi" vbProcedure="false">In!$F$46</definedName>
    <definedName function="false" hidden="false" name="nb_3_lo" vbProcedure="false">In!$D$46</definedName>
    <definedName function="false" hidden="false" name="nc_last" vbProcedure="false">In!$E$61</definedName>
    <definedName function="false" hidden="false" name="nm_op_0" vbProcedure="false">In!$E$52</definedName>
    <definedName function="false" hidden="false" name="nm_op_1" vbProcedure="false">In!$E$54</definedName>
    <definedName function="false" hidden="false" name="nm_op_2" vbProcedure="false">In!$E$56</definedName>
    <definedName function="false" hidden="false" name="nm_op_3" vbProcedure="false">In!$E$58</definedName>
    <definedName function="false" hidden="false" name="nm_op_q" vbProcedure="false">In!$E$50</definedName>
    <definedName function="false" hidden="false" name="nm_rev_0" vbProcedure="false">In!$E$51</definedName>
    <definedName function="false" hidden="false" name="nm_rev_1" vbProcedure="false">In!$E$53</definedName>
    <definedName function="false" hidden="false" name="nm_rev_2" vbProcedure="false">In!$E$55</definedName>
    <definedName function="false" hidden="false" name="nm_rev_3" vbProcedure="false">In!$E$57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In!$E$37</definedName>
    <definedName function="false" hidden="false" name="opex_g" vbProcedure="false">In!$E$39</definedName>
    <definedName function="false" hidden="false" name="opex_var" vbProcedure="false">In!$E$38</definedName>
    <definedName function="false" hidden="false" name="opex_var_hi" vbProcedure="false">In!$F$38</definedName>
    <definedName function="false" hidden="false" name="opex_var_lo" vbProcedure="false">In!$D$38</definedName>
    <definedName function="false" hidden="false" name="other_y" vbProcedure="false">In!$E$30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In!$E$41</definedName>
    <definedName function="false" hidden="false" name="sh25" vbProcedure="false">In!$E$26</definedName>
    <definedName function="false" hidden="false" name="sh25_hi" vbProcedure="false">In!$F$26</definedName>
    <definedName function="false" hidden="false" name="sh25_lo" vbProcedure="false">In!$D$26</definedName>
    <definedName function="false" hidden="false" name="sh26" vbProcedure="false">In!$E$27</definedName>
    <definedName function="false" hidden="false" name="sh26_hi" vbProcedure="false">In!$F$27</definedName>
    <definedName function="false" hidden="false" name="sh26_lo" vbProcedure="false">In!$D$27</definedName>
    <definedName function="false" hidden="false" name="sh27" vbProcedure="false">In!$E$28</definedName>
    <definedName function="false" hidden="false" name="sh27_hi" vbProcedure="false">In!$F$28</definedName>
    <definedName function="false" hidden="false" name="sh27_lo" vbProcedure="false">In!$D$28</definedName>
    <definedName function="false" hidden="false" name="sh28" vbProcedure="false">In!$E$29</definedName>
    <definedName function="false" hidden="false" name="sh28_hi" vbProcedure="false">In!$F$29</definedName>
    <definedName function="false" hidden="false" name="sh28_lo" vbProcedure="false">In!$D$29</definedName>
    <definedName function="false" hidden="false" name="sh29" vbProcedure="false">In!$E$47</definedName>
    <definedName function="false" hidden="false" name="sh29_hi" vbProcedure="false">In!$F$47</definedName>
    <definedName function="false" hidden="false" name="sh29_lo" vbProcedure="false">In!$D$47</definedName>
    <definedName function="false" hidden="false" name="sh_last" vbProcedure="false">In!$E$62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In!$E$31</definedName>
    <definedName function="false" hidden="false" name="w_h" vbProcedure="false">In!$E$32</definedName>
    <definedName function="false" hidden="false" name="w_n" vbProcedure="false">In!$E$33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<sst xmlns="http://schemas.openxmlformats.org/spreadsheetml/2006/main" count="1711" uniqueCount="832">
  <si>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WenQuanYi Zen Hei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WenQuanYi Zen Hei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WenQuanYi Zen Hei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</si>
  <si>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</si>
  <si>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</si>
  <si>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WenQuanYi Zen Hei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</si>
  <si>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WenQuanYi Zen Hei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WenQuanYi Zen Hei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WenQuanYi Zen Hei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WenQuanYi Zen Hei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</si>
  <si>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WenQuanYi Zen Hei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WenQuanYi Zen Hei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</si>
  <si>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WenQuanYi Zen Hei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WenQuanYi Zen Hei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WenQuanYi Zen Hei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WenQuanYi Zen Hei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WenQuanYi Zen Hei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</si>
  <si>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WenQuanYi Zen Hei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WenQuanYi Zen Hei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</si>
  <si>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</si>
  <si>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</si>
  <si>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：與共識、公司指引事後對照</t>
    </r>
  </si>
  <si>
    <r>
      <rPr>
        <sz val="11"/>
        <rFont val="WenQuanYi Zen Hei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WenQuanYi Zen Hei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WenQuanYi Zen Hei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自谷底回升（完整循環）</t>
    </r>
  </si>
  <si>
    <r>
      <rPr>
        <sz val="11"/>
        <rFont val="WenQuanYi Zen Hei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WenQuanYi Zen Hei"/>
        <family val="2"/>
      </rPr>
      <t xml:space="preserve">合併）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</si>
  <si>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</si>
  <si>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WenQuanYi Zen Hei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WenQuanYi Zen Hei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WenQuanYi Zen Hei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</si>
  <si>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WenQuanYi Zen Hei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WenQuanYi Zen Hei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WenQuanYi Zen Hei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WenQuanYi Zen Hei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WenQuanYi Zen Hei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v0.3 </t>
    </r>
    <r>
      <rPr>
        <sz val="11"/>
        <rFont val="WenQuanYi Zen Hei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</si>
  <si>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WenQuanYi Zen Hei"/>
        <family val="2"/>
      </rPr>
      <t xml:space="preserve">：預測延長到 </t>
    </r>
    <r>
      <rPr>
        <sz val="11"/>
        <rFont val="Cambria"/>
        <family val="0"/>
        <charset val="1"/>
      </rPr>
      <t xml:space="preserve">2029</t>
    </r>
    <r>
      <rPr>
        <sz val="11"/>
        <rFont val="WenQuanYi Zen Hei"/>
        <family val="2"/>
      </rPr>
      <t xml:space="preserve">（三情境各加 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年走法）；前兩年數字與 </t>
    </r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</si>
  <si>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WenQuanYi Zen Hei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WenQuanYi Zen Hei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</si>
  <si>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毛利率無法由公開資料分離。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</si>
  <si>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</si>
  <si>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</si>
  <si>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</si>
  <si>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</si>
  <si>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</si>
  <si>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</si>
  <si>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</si>
  <si>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</si>
  <si>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</si>
  <si>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匯率、股價</t>
    </r>
  </si>
  <si>
    <t xml:space="preserve">fx</t>
  </si>
  <si>
    <r>
      <rPr>
        <sz val="11"/>
        <color theme="1"/>
        <rFont val="WenQuanYi Zen Hei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WenQuanYi Zen Hei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</si>
  <si>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</si>
  <si>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</si>
  <si>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WenQuanYi Zen Hei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</si>
  <si>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</si>
  <si>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WenQuanYi Zen Hei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</si>
  <si>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</si>
  <si>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</si>
  <si>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10-02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1,841,000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</si>
  <si>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WenQuanYi Zen Hei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</si>
  <si>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</si>
  <si>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WenQuanYi Zen Hei"/>
        <family val="2"/>
      </rPr>
      <t xml:space="preserve">位元季增</t>
    </r>
  </si>
  <si>
    <t xml:space="preserve">%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</si>
  <si>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+10%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</si>
  <si>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</si>
  <si>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WenQuanYi Zen Hei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WenQuanYi Zen Hei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</si>
  <si>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+13–18%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年約鎖價拉低混合值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</si>
  <si>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</si>
  <si>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WenQuanYi Zen Hei"/>
        <family val="2"/>
      </rPr>
      <t xml:space="preserve">位元季增</t>
    </r>
  </si>
  <si>
    <t xml:space="preserve">公司：低個位數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</si>
  <si>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</si>
  <si>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WenQuanYi Zen Hei"/>
        <family val="2"/>
      </rPr>
      <t xml:space="preserve">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</si>
  <si>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</si>
  <si>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</si>
  <si>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</si>
  <si>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WenQuanYi Zen Hei"/>
        <family val="2"/>
      </rPr>
      <t xml:space="preserve">位元季增</t>
    </r>
  </si>
  <si>
    <t xml:space="preserve">Assumed</t>
  </si>
  <si>
    <t xml:space="preserve">公司：下半年位元成長優於上半年</t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</si>
  <si>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</si>
  <si>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WenQuanYi Zen Hei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WenQuanYi Zen Hei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</si>
  <si>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</si>
  <si>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</si>
  <si>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WenQuanYi Zen Hei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</si>
  <si>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</si>
  <si>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WenQuanYi Zen Hei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</si>
  <si>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</si>
  <si>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</si>
  <si>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折舊攤銷</t>
    </r>
  </si>
  <si>
    <t xml:space="preserve">兆韓元</t>
  </si>
  <si>
    <r>
      <rPr>
        <sz val="11"/>
        <color theme="1"/>
        <rFont val="Calibri"/>
        <family val="2"/>
        <charset val="1"/>
      </rPr>
      <t xml:space="preserve">Q1 3.726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4.028 </t>
    </r>
    <r>
      <rPr>
        <sz val="11"/>
        <color theme="1"/>
        <rFont val="WenQuanYi Zen Hei"/>
        <family val="2"/>
      </rPr>
      <t xml:space="preserve">延伸</t>
    </r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</si>
  <si>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</si>
  <si>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折舊攤銷</t>
    </r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</si>
  <si>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</si>
  <si>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</si>
  <si>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</si>
  <si>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</si>
  <si>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WenQuanYi Zen Hei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</si>
  <si>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</si>
  <si>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</si>
  <si>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WenQuanYi Zen Hei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</si>
  <si>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年度驅動（公司別）</t>
    </r>
  </si>
  <si>
    <t xml:space="preserve">cb_1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</si>
  <si>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</si>
  <si>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WenQuanYi Zen Hei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WenQuanYi Zen Hei"/>
        <family val="2"/>
      </rPr>
      <t xml:space="preserve">吃掉增量</t>
    </r>
  </si>
  <si>
    <t xml:space="preserve">cb_2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</si>
  <si>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</si>
  <si>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WenQuanYi Zen Hei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</si>
  <si>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</si>
  <si>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</si>
  <si>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：產業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段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</si>
  <si>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</si>
  <si>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</si>
  <si>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</si>
  <si>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</si>
  <si>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</si>
  <si>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WenQuanYi Zen Hei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</si>
  <si>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</si>
  <si>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</si>
  <si>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</si>
  <si>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</si>
  <si>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</si>
  <si>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WenQuanYi Zen Hei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WenQuanYi Zen Hei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WenQuanYi Zen Hei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</si>
  <si>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</si>
  <si>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</si>
  <si>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</si>
  <si>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</si>
  <si>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</si>
  <si>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WenQuanYi Zen Hei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</si>
  <si>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</si>
  <si>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</si>
  <si>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）</t>
    </r>
  </si>
  <si>
    <t xml:space="preserve">w_n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</si>
  <si>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</si>
  <si>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</si>
  <si>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</si>
  <si>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</si>
  <si>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</si>
  <si>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</si>
  <si>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</si>
  <si>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</si>
  <si>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</si>
  <si>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</si>
  <si>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WenQuanYi Zen Hei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</si>
  <si>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</si>
  <si>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</si>
  <si>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WenQuanYi Zen Hei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</si>
  <si>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</si>
  <si>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</si>
  <si>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</si>
  <si>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</si>
  <si>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</si>
  <si>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</si>
  <si>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</si>
  <si>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</si>
  <si>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</si>
  <si>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WenQuanYi Zen Hei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</si>
  <si>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</si>
  <si>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WenQuanYi Zen Hei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</si>
  <si>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</si>
  <si>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</si>
  <si>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</si>
  <si>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</si>
  <si>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</si>
  <si>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</si>
  <si>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cb_3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</si>
  <si>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</si>
  <si>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龍仁一廠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起投產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</si>
  <si>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</si>
  <si>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</si>
  <si>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</si>
  <si>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</si>
  <si>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</si>
  <si>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</si>
  <si>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WenQuanYi Zen Hei"/>
        <family val="2"/>
      </rPr>
      <t xml:space="preserve">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WenQuanYi Zen Hei"/>
        <family val="2"/>
      </rPr>
      <t xml:space="preserve">期</t>
    </r>
  </si>
  <si>
    <t xml:space="preserve">dps_3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</si>
  <si>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</si>
  <si>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延續成長</t>
  </si>
  <si>
    <t xml:space="preserve">nm_op_q</t>
  </si>
  <si>
    <t xml:space="preserve">非記憶體事業每季營業利益（基準年推估季）</t>
  </si>
  <si>
    <t xml:space="preserve">—</t>
  </si>
  <si>
    <t xml:space="preserve">純記憶體公司，無</t>
  </si>
  <si>
    <t xml:space="preserve">nm_rev_0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</si>
  <si>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</si>
  <si>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</si>
  <si>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</si>
  <si>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年</t>
    </r>
  </si>
  <si>
    <t xml:space="preserve">nm_rev_1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</si>
  <si>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</si>
  <si>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t xml:space="preserve">nm_op_1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</si>
  <si>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</si>
  <si>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t xml:space="preserve">nm_rev_2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</si>
  <si>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</si>
  <si>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t xml:space="preserve">nm_op_2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</si>
  <si>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</si>
  <si>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t xml:space="preserve">nm_rev_3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</si>
  <si>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</t>
    </r>
  </si>
  <si>
    <t xml:space="preserve">nm_op_3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</si>
  <si>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</si>
  <si>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資本與股東回饋</t>
    </r>
  </si>
  <si>
    <t xml:space="preserve">eq_last</t>
  </si>
  <si>
    <r>
      <rPr>
        <sz val="11"/>
        <color theme="1"/>
        <rFont val="WenQuanYi Zen Hei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WenQuanYi Zen Hei"/>
        <family val="2"/>
      </rPr>
      <t xml:space="preserve">）</t>
    </r>
  </si>
  <si>
    <t xml:space="preserve">6-K</t>
  </si>
  <si>
    <t xml:space="preserve">nc_last</t>
  </si>
  <si>
    <t xml:space="preserve">最後實績季末淨現金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</si>
  <si>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簡報</t>
    </r>
  </si>
  <si>
    <t xml:space="preserve">sh_last</t>
  </si>
  <si>
    <t xml:space="preserve">最後實績季末流通股數</t>
  </si>
  <si>
    <t xml:space="preserve">百萬股</t>
  </si>
  <si>
    <t xml:space="preserve">extra_eq</t>
  </si>
  <si>
    <r>
      <rPr>
        <sz val="11"/>
        <color theme="1"/>
        <rFont val="WenQuanYi Zen Hei"/>
        <family val="2"/>
      </rPr>
      <t xml:space="preserve">基準年其餘增資（</t>
    </r>
    <r>
      <rPr>
        <sz val="11"/>
        <color theme="1"/>
        <rFont val="Calibri"/>
        <family val="2"/>
        <charset val="1"/>
      </rPr>
      <t xml:space="preserve">ADS 2026-07</t>
    </r>
    <r>
      <rPr>
        <sz val="11"/>
        <color theme="1"/>
        <rFont val="WenQuanYi Zen Hei"/>
        <family val="2"/>
      </rPr>
      <t xml:space="preserve">）</t>
    </r>
  </si>
  <si>
    <t xml:space="preserve">US$26.25B × 1,538.05</t>
  </si>
  <si>
    <t xml:space="preserve">extra_sh</t>
  </si>
  <si>
    <r>
      <rPr>
        <sz val="11"/>
        <color theme="1"/>
        <rFont val="WenQuanYi Zen Hei"/>
        <family val="2"/>
      </rPr>
      <t xml:space="preserve">基準年其餘新股（</t>
    </r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WenQuanYi Zen Hei"/>
        <family val="2"/>
      </rPr>
      <t xml:space="preserve">）</t>
    </r>
  </si>
  <si>
    <t xml:space="preserve">424B4</t>
  </si>
  <si>
    <t xml:space="preserve">bb_0</t>
  </si>
  <si>
    <t xml:space="preserve">基準年其餘買回</t>
  </si>
  <si>
    <r>
      <rPr>
        <sz val="11"/>
        <color theme="1"/>
        <rFont val="Calibri"/>
        <family val="2"/>
        <charset val="1"/>
      </rPr>
      <t xml:space="preserve">2026-08-19 </t>
    </r>
    <r>
      <rPr>
        <sz val="11"/>
        <color theme="1"/>
        <rFont val="WenQuanYi Zen Hei"/>
        <family val="2"/>
      </rPr>
      <t xml:space="preserve">公告，註銷</t>
    </r>
  </si>
  <si>
    <t xml:space="preserve">bb_sh_0</t>
  </si>
  <si>
    <t xml:space="preserve">基準年其餘買回股數</t>
  </si>
  <si>
    <t xml:space="preserve">div_0</t>
  </si>
  <si>
    <t xml:space="preserve">基準年其餘股利</t>
  </si>
  <si>
    <r>
      <rPr>
        <sz val="11"/>
        <color theme="1"/>
        <rFont val="WenQuanYi Zen Hei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375 </t>
    </r>
    <r>
      <rPr>
        <sz val="11"/>
        <color theme="1"/>
        <rFont val="WenQuanYi Zen Hei"/>
        <family val="2"/>
      </rPr>
      <t xml:space="preserve">韓元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WenQuanYi Zen Hei"/>
        <family val="2"/>
      </rPr>
      <t xml:space="preserve">季</t>
    </r>
  </si>
  <si>
    <t xml:space="preserve">capex_rem</t>
  </si>
  <si>
    <t xml:space="preserve">基準年其餘資本支出（現金）</t>
  </si>
  <si>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48.7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（上半年實付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WenQuanYi Zen Hei"/>
        <family val="2"/>
      </rPr>
      <t xml:space="preserve">）</t>
    </r>
  </si>
  <si>
    <t xml:space="preserve">dps_1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</si>
  <si>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</si>
  <si>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</t>
    </r>
  </si>
  <si>
    <t xml:space="preserve">dps_2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</si>
  <si>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</si>
  <si>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payout</t>
  </si>
  <si>
    <r>
      <rPr>
        <sz val="11"/>
        <color theme="1"/>
        <rFont val="WenQuanYi Zen Hei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</si>
  <si>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WenQuanYi Zen Hei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WenQuanYi Zen Hei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</si>
  <si>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</si>
  <si>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</si>
  <si>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</si>
  <si>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</si>
  <si>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</si>
  <si>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</si>
  <si>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</si>
  <si>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</si>
  <si>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</si>
  <si>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</si>
  <si>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WenQuanYi Zen Hei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WenQuanYi Zen Hei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</si>
  <si>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</si>
  <si>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</si>
  <si>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</si>
  <si>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</si>
  <si>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</si>
  <si>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</si>
  <si>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</si>
  <si>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</si>
  <si>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</si>
  <si>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</si>
  <si>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WenQuanYi Zen Hei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）</t>
    </r>
  </si>
  <si>
    <t xml:space="preserve">cq_1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</si>
  <si>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</si>
  <si>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</si>
  <si>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</si>
  <si>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</si>
  <si>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</si>
  <si>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</si>
  <si>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</si>
  <si>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</si>
  <si>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</si>
  <si>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</si>
  <si>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</si>
  <si>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</si>
  <si>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</si>
  <si>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</si>
  <si>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</si>
  <si>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</si>
  <si>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緩降</t>
    </r>
  </si>
  <si>
    <t xml:space="preserve">cqA_9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</si>
  <si>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</si>
  <si>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</si>
  <si>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</si>
  <si>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</si>
  <si>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</si>
  <si>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</si>
  <si>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</si>
  <si>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</si>
  <si>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</si>
  <si>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</si>
  <si>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</si>
  <si>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</si>
  <si>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</si>
  <si>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</si>
  <si>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</si>
  <si>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</si>
  <si>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</si>
  <si>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</si>
  <si>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</si>
  <si>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</si>
  <si>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</si>
  <si>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cqB_8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</si>
  <si>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</si>
  <si>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WenQuanYi Zen Hei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溫和回升</t>
    </r>
  </si>
  <si>
    <t xml:space="preserve">cqB_9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</si>
  <si>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</si>
  <si>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</si>
  <si>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</si>
  <si>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</si>
  <si>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</si>
  <si>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</si>
  <si>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</si>
  <si>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</si>
  <si>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</si>
  <si>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</si>
  <si>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</si>
  <si>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</si>
  <si>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</si>
  <si>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</si>
  <si>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</si>
  <si>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</si>
  <si>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</si>
  <si>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</si>
  <si>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</si>
  <si>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</si>
  <si>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</si>
  <si>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cqC_8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</si>
  <si>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</si>
  <si>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WenQuanYi Zen Hei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WenQuanYi Zen Hei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</t>
    </r>
  </si>
  <si>
    <t xml:space="preserve">cqC_9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</si>
  <si>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</si>
  <si>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</si>
  <si>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</si>
  <si>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</si>
  <si>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</si>
  <si>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</si>
  <si>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</si>
  <si>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</si>
  <si>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</si>
  <si>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</si>
  <si>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</si>
  <si>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</si>
  <si>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</si>
  <si>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</si>
  <si>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</si>
  <si>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</si>
  <si>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</si>
  <si>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</si>
  <si>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</si>
  <si>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</si>
  <si>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</si>
  <si>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</si>
  <si>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</si>
  <si>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</si>
  <si>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</si>
  <si>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</si>
  <si>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</si>
  <si>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</si>
  <si>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</si>
  <si>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</si>
  <si>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</si>
  <si>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</si>
  <si>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</si>
  <si>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</si>
  <si>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</si>
  <si>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</si>
  <si>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</si>
  <si>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</si>
  <si>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</si>
  <si>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</si>
  <si>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</si>
  <si>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</si>
  <si>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</si>
  <si>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</si>
  <si>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</si>
  <si>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</si>
  <si>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</si>
  <si>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</si>
  <si>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</si>
  <si>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</si>
  <si>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</si>
  <si>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</si>
  <si>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</si>
  <si>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</si>
  <si>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</si>
  <si>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</si>
  <si>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</si>
  <si>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</si>
  <si>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</si>
  <si>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</si>
  <si>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</si>
  <si>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</si>
  <si>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</si>
  <si>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</si>
  <si>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</si>
  <si>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</si>
  <si>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</si>
  <si>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</si>
  <si>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</si>
  <si>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</si>
  <si>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</si>
  <si>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</si>
  <si>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</si>
  <si>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</si>
  <si>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</si>
  <si>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</si>
  <si>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</si>
  <si>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</si>
  <si>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</si>
  <si>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</si>
  <si>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</si>
  <si>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</si>
  <si>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</si>
  <si>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</si>
  <si>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</si>
  <si>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</si>
  <si>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</si>
  <si>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</si>
  <si>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</si>
  <si>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</si>
  <si>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</si>
  <si>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</si>
  <si>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</si>
  <si>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</si>
  <si>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</si>
  <si>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</si>
  <si>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</si>
  <si>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</si>
  <si>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</si>
  <si>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</si>
  <si>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</si>
  <si>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</si>
  <si>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</si>
  <si>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</si>
  <si>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</si>
  <si>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</si>
  <si>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</si>
  <si>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</si>
  <si>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</si>
  <si>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</si>
  <si>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</si>
  <si>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WenQuanYi Zen Hei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WenQuanYi Zen Hei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</si>
  <si>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</si>
  <si>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</si>
  <si>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</si>
  <si>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WenQuanYi Zen Hei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</si>
  <si>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</si>
  <si>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</si>
  <si>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</si>
  <si>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</si>
  <si>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</si>
  <si>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</si>
  <si>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</si>
  <si>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</si>
  <si>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</si>
  <si>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</si>
  <si>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</si>
  <si>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</si>
  <si>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</si>
  <si>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</si>
  <si>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</si>
  <si>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</si>
  <si>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</si>
  <si>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</si>
  <si>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</si>
  <si>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</si>
  <si>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</si>
  <si>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</si>
  <si>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</si>
  <si>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</si>
  <si>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</si>
  <si>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</si>
  <si>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</si>
  <si>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</si>
  <si>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</si>
  <si>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</si>
  <si>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</si>
  <si>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</si>
  <si>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</si>
  <si>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</si>
  <si>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</si>
  <si>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</si>
  <si>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</si>
  <si>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</si>
  <si>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</si>
  <si>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</si>
  <si>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</si>
  <si>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</si>
  <si>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</si>
  <si>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</si>
  <si>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</si>
  <si>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</si>
  <si>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</si>
  <si>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</si>
  <si>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</si>
  <si>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</si>
  <si>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</si>
  <si>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</si>
  <si>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</si>
  <si>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</si>
  <si>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</si>
  <si>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</si>
  <si>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</si>
  <si>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</si>
  <si>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</si>
  <si>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</si>
  <si>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</si>
  <si>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</si>
  <si>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</si>
  <si>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</si>
  <si>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</si>
  <si>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</si>
  <si>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</si>
  <si>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</si>
  <si>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</si>
  <si>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</si>
  <si>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</si>
  <si>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</si>
  <si>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</si>
  <si>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</si>
  <si>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</si>
  <si>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</si>
  <si>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</si>
  <si>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</si>
  <si>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</si>
  <si>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</si>
  <si>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</si>
  <si>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</si>
  <si>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</si>
  <si>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</si>
  <si>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</si>
  <si>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</si>
  <si>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</si>
  <si>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</si>
  <si>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</si>
  <si>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</si>
  <si>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</si>
  <si>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</si>
  <si>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</si>
  <si>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</si>
  <si>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</si>
  <si>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</si>
  <si>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</si>
  <si>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</si>
  <si>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</si>
  <si>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</si>
  <si>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</si>
  <si>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</si>
  <si>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</si>
  <si>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</si>
  <si>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WenQuanYi Zen Hei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WenQuanYi Zen Hei"/>
        <family val="2"/>
      </rPr>
      <t xml:space="preserve">模型同一套）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</si>
  <si>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</si>
  <si>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</si>
  <si>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WenQuanYi Zen Hei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測試機需求用同一組係數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</si>
  <si>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</si>
  <si>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</si>
  <si>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</si>
  <si>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</si>
  <si>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</si>
  <si>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</si>
  <si>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</si>
  <si>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</si>
  <si>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</si>
  <si>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</si>
  <si>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WenQuanYi Zen Hei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</si>
  <si>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</si>
  <si>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</si>
  <si>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</si>
  <si>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</si>
  <si>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</si>
  <si>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</si>
  <si>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</si>
  <si>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</si>
  <si>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加速器裝載位元</t>
    </r>
  </si>
  <si>
    <r>
      <rPr>
        <sz val="11"/>
        <color theme="1"/>
        <rFont val="WenQuanYi Zen Hei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WenQuanYi Zen Hei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WenQuanYi Zen Hei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</si>
  <si>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</si>
  <si>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</si>
  <si>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</si>
  <si>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</si>
  <si>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</si>
  <si>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WenQuanYi Zen Hei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</si>
  <si>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</si>
  <si>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</si>
  <si>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</si>
  <si>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</si>
  <si>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</si>
  <si>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</si>
  <si>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WenQuanYi Zen Hei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</si>
  <si>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</si>
  <si>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</si>
  <si>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WenQuanYi Zen Hei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</si>
  <si>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</si>
  <si>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</si>
  <si>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</si>
  <si>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</si>
  <si>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</si>
  <si>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</si>
  <si>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</si>
  <si>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</si>
  <si>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</si>
  <si>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</si>
  <si>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</si>
  <si>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WenQuanYi Zen Hei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WenQuanYi Zen Hei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</si>
  <si>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</si>
  <si>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</si>
  <si>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</si>
  <si>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</si>
  <si>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</si>
  <si>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</si>
  <si>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</si>
  <si>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WenQuanYi Zen Hei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</si>
  <si>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</si>
  <si>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</si>
  <si>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</si>
  <si>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WenQuanYi Zen Hei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</si>
  <si>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</si>
  <si>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</si>
  <si>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</si>
  <si>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WenQuanYi Zen Hei"/>
        <family val="2"/>
      </rPr>
      <t xml:space="preserve">）</t>
    </r>
  </si>
  <si>
    <t xml:space="preserve">nv_hbm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</si>
  <si>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</si>
  <si>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相同）</t>
    </r>
  </si>
  <si>
    <t xml:space="preserve">pub26_lo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</si>
  <si>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</si>
  <si>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</si>
  <si>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</si>
  <si>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</si>
  <si>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</si>
  <si>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</si>
  <si>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</si>
  <si>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</si>
  <si>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WenQuanYi Zen Hei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WenQuanYi Zen Hei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</si>
  <si>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</si>
  <si>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</si>
  <si>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</si>
  <si>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</si>
  <si>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</si>
  <si>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</si>
  <si>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</si>
  <si>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</si>
  <si>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</si>
  <si>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</si>
  <si>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</si>
  <si>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</si>
  <si>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</si>
  <si>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</si>
  <si>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</si>
  <si>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</si>
  <si>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</si>
  <si>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</si>
  <si>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</si>
  <si>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</si>
  <si>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</si>
  <si>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</si>
  <si>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</si>
  <si>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</si>
  <si>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</si>
  <si>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</si>
  <si>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</si>
  <si>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</si>
  <si>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</si>
  <si>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</si>
  <si>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</si>
  <si>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</si>
  <si>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</si>
  <si>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</si>
  <si>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</si>
  <si>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</si>
  <si>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</si>
  <si>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WenQuanYi Zen Hei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WenQuanYi Zen Hei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WenQuanYi Zen Hei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單價（單價依情境）</t>
    </r>
  </si>
  <si>
    <t xml:space="preserve">說明</t>
  </si>
  <si>
    <r>
      <rPr>
        <b val="true"/>
        <sz val="11"/>
        <rFont val="WenQuanYi Zen Hei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</si>
  <si>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</si>
  <si>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</si>
  <si>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</si>
  <si>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</si>
  <si>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</si>
  <si>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</si>
  <si>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</si>
  <si>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</si>
  <si>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</si>
  <si>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</si>
  <si>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</si>
  <si>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</si>
  <si>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</si>
  <si>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WenQuanYi Zen Hei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</si>
  <si>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</si>
  <si>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</si>
  <si>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</si>
  <si>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</si>
  <si>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WenQuanYi Zen Hei"/>
        <family val="2"/>
      </rPr>
      <t xml:space="preserve">無情境差異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</si>
  <si>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</si>
  <si>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</si>
  <si>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</si>
  <si>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</si>
  <si>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</si>
  <si>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</si>
  <si>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</si>
  <si>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</si>
  <si>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</si>
  <si>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</si>
  <si>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</si>
  <si>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</si>
  <si>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</si>
  <si>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</si>
  <si>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</si>
  <si>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</si>
  <si>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</si>
  <si>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</si>
  <si>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</si>
  <si>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</si>
  <si>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</si>
  <si>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；與顆數預測獨立</t>
    </r>
  </si>
  <si>
    <t xml:space="preserve">  差距</t>
  </si>
  <si>
    <r>
      <rPr>
        <sz val="11"/>
        <color theme="1"/>
        <rFont val="WenQuanYi Zen Hei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</si>
  <si>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</si>
  <si>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</si>
  <si>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WenQuanYi Zen Hei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WenQuanYi Zen Hei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</si>
  <si>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WenQuanYi Zen Hei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WenQuanYi Zen Hei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WenQuanYi Zen Hei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</si>
  <si>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</si>
  <si>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</si>
  <si>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</si>
  <si>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</si>
  <si>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</si>
  <si>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</si>
  <si>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</si>
  <si>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</si>
  <si>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</si>
  <si>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</si>
  <si>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</si>
  <si>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</si>
  <si>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</si>
  <si>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</si>
  <si>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</si>
  <si>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WenQuanYi Zen Hei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WenQuanYi Zen Hei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WenQuanYi Zen Hei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WenQuanYi Zen Hei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</si>
  <si>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WenQuanYi Zen Hei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</si>
  <si>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</si>
  <si>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WenQuanYi Zen Hei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</si>
  <si>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</si>
  <si>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</si>
  <si>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</si>
  <si>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</si>
  <si>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</si>
  <si>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</si>
  <si>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</si>
  <si>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</si>
  <si>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</si>
  <si>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WenQuanYi Zen Hei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</si>
  <si>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WenQuanYi Zen Hei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WenQuanYi Zen Hei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WenQuanYi Zen Hei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</si>
  <si>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</si>
  <si>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</si>
  <si>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</si>
  <si>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前一年）</t>
    </r>
  </si>
  <si>
    <r>
      <rPr>
        <sz val="11"/>
        <color theme="1"/>
        <rFont val="WenQuanYi Zen Hei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</si>
  <si>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</si>
  <si>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</si>
  <si>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</si>
  <si>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</si>
  <si>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</si>
  <si>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WenQuanYi Zen Hei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</si>
  <si>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</si>
  <si>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</si>
  <si>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</si>
  <si>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</si>
  <si>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WenQuanYi Zen Hei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WenQuanYi Zen Hei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</si>
  <si>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</si>
  <si>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</si>
  <si>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</si>
  <si>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WenQuanYi Zen Hei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</si>
  <si>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WenQuanYi Zen Hei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</si>
  <si>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WenQuanYi Zen Hei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</si>
  <si>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</si>
  <si>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WenQuanYi Zen Hei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</si>
  <si>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</si>
  <si>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</si>
  <si>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</si>
  <si>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</si>
  <si>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</si>
  <si>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</si>
  <si>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</si>
  <si>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</si>
  <si>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</si>
  <si>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</si>
  <si>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</si>
  <si>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</si>
  <si>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</si>
  <si>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</si>
  <si>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</si>
  <si>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</si>
  <si>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</si>
  <si>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</si>
  <si>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WenQuanYi Zen Hei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</si>
  <si>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</si>
  <si>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</si>
  <si>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</si>
  <si>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</si>
  <si>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</si>
  <si>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</si>
  <si>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</si>
  <si>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</si>
  <si>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WenQuanYi Zen Hei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</si>
  <si>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</si>
  <si>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</si>
  <si>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</si>
  <si>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</si>
  <si>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</si>
  <si>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</si>
  <si>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</si>
  <si>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</si>
  <si>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</si>
  <si>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</si>
  <si>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</si>
  <si>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</si>
  <si>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</si>
  <si>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</si>
  <si>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WenQuanYi Zen Hei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</si>
  <si>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</si>
  <si>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WenQuanYi Zen Hei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</si>
  <si>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WenQuanYi Zen Hei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</si>
  <si>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</si>
  <si>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</si>
  <si>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</si>
  <si>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</si>
  <si>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FnGuide 74.1–78.1</t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</si>
  <si>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WenQuanYi Zen Hei"/>
        <family val="2"/>
      </rPr>
      <t xml:space="preserve">回饋算力收支</t>
    </r>
  </si>
  <si>
    <r>
      <rPr>
        <sz val="11"/>
        <color theme="1"/>
        <rFont val="WenQuanYi Zen Hei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價）</t>
    </r>
  </si>
  <si>
    <r>
      <rPr>
        <sz val="11"/>
        <color theme="1"/>
        <rFont val="WenQuanYi Zen Hei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</si>
  <si>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</si>
  <si>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需求缺口（三情境相同）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</si>
  <si>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</si>
  <si>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</si>
  <si>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</si>
  <si>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</si>
  <si>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</si>
  <si>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WenQuanYi Zen Hei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WenQuanYi Zen Hei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</si>
  <si>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</si>
  <si>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WenQuanYi Zen Hei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</si>
  <si>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</si>
  <si>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</si>
  <si>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WenQuanYi Zen Hei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</si>
  <si>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</si>
  <si>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WenQuanYi Zen Hei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</si>
  <si>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</si>
  <si>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WenQuanYi Zen Hei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</si>
  <si>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</si>
  <si>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WenQuanYi Zen Hei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WenQuanYi Zen Hei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</si>
  <si>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</si>
  <si>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</si>
  <si>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</si>
  <si>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WenQuanYi Zen Hei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</si>
  <si>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</si>
  <si>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WenQuanYi Zen Hei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</si>
  <si>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</si>
  <si>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</si>
  <si>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</si>
  <si>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（共用市場層）</t>
    </r>
  </si>
  <si>
    <r>
      <rPr>
        <sz val="11"/>
        <color theme="1"/>
        <rFont val="WenQuanYi Zen Hei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</si>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</sst>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4.9" hidden="false" customHeight="false" outlineLevel="0" collapsed="false">
      <c r="A5" s="4" t="s">
        <v>3</v>
      </c>
    </row>
    <row r="6" customFormat="false" ht="14.9" hidden="false" customHeight="false" outlineLevel="0" collapsed="false">
      <c r="A6" s="4" t="s">
        <v>4</v>
      </c>
    </row>
    <row r="7" customFormat="false" ht="14.9" hidden="false" customHeight="false" outlineLevel="0" collapsed="false">
      <c r="A7" s="4" t="s">
        <v>5</v>
      </c>
    </row>
    <row r="8" customFormat="false" ht="14.9" hidden="false" customHeight="false" outlineLevel="0" collapsed="false">
      <c r="A8" s="4" t="s">
        <v>6</v>
      </c>
    </row>
    <row r="9" customFormat="false" ht="14.9" hidden="false" customHeight="false" outlineLevel="0" collapsed="false">
      <c r="A9" s="4" t="s">
        <v>7</v>
      </c>
    </row>
    <row r="10" customFormat="false" ht="14.9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4.9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4.9" hidden="false" customHeight="false" outlineLevel="0" collapsed="false">
      <c r="A14" s="2" t="s">
        <v>11</v>
      </c>
    </row>
    <row r="15" customFormat="false" ht="14.9" hidden="false" customHeight="false" outlineLevel="0" collapsed="false">
      <c r="A15" s="2" t="s">
        <v>12</v>
      </c>
    </row>
    <row r="16" customFormat="false" ht="14.9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4.9" hidden="false" customHeight="false" outlineLevel="0" collapsed="false">
      <c r="A18" s="4" t="s">
        <v>14</v>
      </c>
    </row>
    <row r="19" customFormat="false" ht="14.9" hidden="false" customHeight="false" outlineLevel="0" collapsed="false">
      <c r="A19" s="4" t="s">
        <v>15</v>
      </c>
    </row>
    <row r="20" customFormat="false" ht="14.9" hidden="false" customHeight="false" outlineLevel="0" collapsed="false">
      <c r="A20" s="4" t="s">
        <v>16</v>
      </c>
    </row>
    <row r="21" customFormat="false" ht="14.9" hidden="false" customHeight="false" outlineLevel="0" collapsed="false">
      <c r="A21" s="4" t="s">
        <v>17</v>
      </c>
    </row>
    <row r="22" customFormat="false" ht="14.9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5" hidden="false" customHeight="false" outlineLevel="0" collapsed="false">
      <c r="A1" s="0" t="s">
        <v>19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</row>
    <row r="4" customFormat="false" ht="15" hidden="false" customHeight="false" outlineLevel="0" collapsed="false">
      <c r="A4" s="1" t="s">
        <v>28</v>
      </c>
    </row>
    <row r="5" customFormat="false" ht="15" hidden="false" customHeight="false" outlineLevel="0" collapsed="false">
      <c r="A5" s="0" t="s">
        <v>29</v>
      </c>
      <c r="B5" s="6" t="s">
        <v>30</v>
      </c>
      <c r="C5" s="0" t="s">
        <v>31</v>
      </c>
      <c r="D5" s="7" t="n">
        <v>1350</v>
      </c>
      <c r="E5" s="7" t="n">
        <v>1420</v>
      </c>
      <c r="F5" s="7" t="n">
        <v>1500</v>
      </c>
      <c r="G5" s="8" t="s">
        <v>32</v>
      </c>
      <c r="H5" s="8" t="s">
        <v>33</v>
      </c>
    </row>
    <row r="6" customFormat="false" ht="15" hidden="false" customHeight="false" outlineLevel="0" collapsed="false">
      <c r="A6" s="0" t="s">
        <v>34</v>
      </c>
      <c r="B6" s="6" t="s">
        <v>35</v>
      </c>
      <c r="C6" s="0" t="s">
        <v>36</v>
      </c>
      <c r="E6" s="7" t="n">
        <v>1723000</v>
      </c>
      <c r="G6" s="8" t="s">
        <v>37</v>
      </c>
      <c r="H6" s="8" t="s">
        <v>38</v>
      </c>
    </row>
    <row r="7" customFormat="false" ht="15" hidden="false" customHeight="false" outlineLevel="0" collapsed="false">
      <c r="A7" s="1" t="s">
        <v>39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42</v>
      </c>
      <c r="D8" s="7" t="n">
        <v>0.08</v>
      </c>
      <c r="E8" s="7" t="n">
        <v>0.1</v>
      </c>
      <c r="F8" s="7" t="n">
        <v>0.12</v>
      </c>
      <c r="G8" s="8" t="s">
        <v>37</v>
      </c>
      <c r="H8" s="6" t="s">
        <v>43</v>
      </c>
    </row>
    <row r="9" customFormat="false" ht="15" hidden="false" customHeight="false" outlineLevel="0" collapsed="false">
      <c r="A9" s="0" t="s">
        <v>44</v>
      </c>
      <c r="B9" s="0" t="s">
        <v>45</v>
      </c>
      <c r="C9" s="0" t="s">
        <v>42</v>
      </c>
      <c r="D9" s="7" t="n">
        <v>0.08</v>
      </c>
      <c r="E9" s="7" t="n">
        <v>0.12</v>
      </c>
      <c r="F9" s="7" t="n">
        <v>0.16</v>
      </c>
      <c r="G9" s="8" t="s">
        <v>32</v>
      </c>
      <c r="H9" s="8" t="s">
        <v>46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s">
        <v>42</v>
      </c>
      <c r="D10" s="7" t="n">
        <v>0</v>
      </c>
      <c r="E10" s="7" t="n">
        <v>0.02</v>
      </c>
      <c r="F10" s="7" t="n">
        <v>0.04</v>
      </c>
      <c r="G10" s="8" t="s">
        <v>37</v>
      </c>
      <c r="H10" s="6" t="s">
        <v>49</v>
      </c>
    </row>
    <row r="11" customFormat="false" ht="15" hidden="false" customHeight="false" outlineLevel="0" collapsed="false">
      <c r="A11" s="0" t="s">
        <v>50</v>
      </c>
      <c r="B11" s="0" t="s">
        <v>51</v>
      </c>
      <c r="C11" s="0" t="s">
        <v>42</v>
      </c>
      <c r="D11" s="7" t="n">
        <v>0.1</v>
      </c>
      <c r="E11" s="7" t="n">
        <v>0.125</v>
      </c>
      <c r="F11" s="7" t="n">
        <v>0.2</v>
      </c>
      <c r="G11" s="8" t="s">
        <v>52</v>
      </c>
      <c r="H11" s="8" t="s">
        <v>53</v>
      </c>
    </row>
    <row r="12" customFormat="false" ht="15" hidden="false" customHeight="false" outlineLevel="0" collapsed="false">
      <c r="A12" s="0" t="s">
        <v>54</v>
      </c>
      <c r="B12" s="0" t="s">
        <v>55</v>
      </c>
      <c r="C12" s="0" t="s">
        <v>42</v>
      </c>
      <c r="D12" s="7" t="n">
        <v>0</v>
      </c>
      <c r="E12" s="7" t="n">
        <v>0.05</v>
      </c>
      <c r="F12" s="7" t="n">
        <v>0.08</v>
      </c>
      <c r="G12" s="8" t="s">
        <v>56</v>
      </c>
      <c r="H12" s="6" t="s">
        <v>57</v>
      </c>
    </row>
    <row r="13" customFormat="false" ht="15" hidden="false" customHeight="false" outlineLevel="0" collapsed="false">
      <c r="A13" s="0" t="s">
        <v>58</v>
      </c>
      <c r="B13" s="0" t="s">
        <v>59</v>
      </c>
      <c r="C13" s="0" t="s">
        <v>42</v>
      </c>
      <c r="D13" s="7" t="n">
        <v>0.05</v>
      </c>
      <c r="E13" s="7" t="n">
        <v>0.1</v>
      </c>
      <c r="F13" s="7" t="n">
        <v>0.15</v>
      </c>
      <c r="G13" s="8" t="s">
        <v>32</v>
      </c>
      <c r="H13" s="8" t="s">
        <v>60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42</v>
      </c>
      <c r="D14" s="7" t="n">
        <v>0</v>
      </c>
      <c r="E14" s="7" t="n">
        <v>0.05</v>
      </c>
      <c r="F14" s="7" t="n">
        <v>0.08</v>
      </c>
      <c r="G14" s="8" t="s">
        <v>56</v>
      </c>
    </row>
    <row r="15" customFormat="false" ht="15" hidden="false" customHeight="false" outlineLevel="0" collapsed="false">
      <c r="A15" s="0" t="s">
        <v>63</v>
      </c>
      <c r="B15" s="0" t="s">
        <v>64</v>
      </c>
      <c r="C15" s="0" t="s">
        <v>42</v>
      </c>
      <c r="D15" s="7" t="n">
        <v>0.1</v>
      </c>
      <c r="E15" s="7" t="n">
        <v>0.175</v>
      </c>
      <c r="F15" s="7" t="n">
        <v>0.2</v>
      </c>
      <c r="G15" s="8" t="s">
        <v>52</v>
      </c>
      <c r="H15" s="8" t="s">
        <v>65</v>
      </c>
    </row>
    <row r="16" customFormat="false" ht="15" hidden="false" customHeight="false" outlineLevel="0" collapsed="false">
      <c r="A16" s="0" t="s">
        <v>66</v>
      </c>
      <c r="B16" s="0" t="s">
        <v>67</v>
      </c>
      <c r="C16" s="6" t="s">
        <v>68</v>
      </c>
      <c r="E16" s="7" t="n">
        <v>4.3</v>
      </c>
      <c r="G16" s="8" t="s">
        <v>56</v>
      </c>
      <c r="H16" s="8" t="s">
        <v>69</v>
      </c>
    </row>
    <row r="17" customFormat="false" ht="15" hidden="false" customHeight="false" outlineLevel="0" collapsed="false">
      <c r="A17" s="0" t="s">
        <v>70</v>
      </c>
      <c r="B17" s="0" t="s">
        <v>71</v>
      </c>
      <c r="C17" s="6" t="s">
        <v>68</v>
      </c>
      <c r="E17" s="7" t="n">
        <v>4.6</v>
      </c>
      <c r="G17" s="8" t="s">
        <v>56</v>
      </c>
    </row>
    <row r="18" customFormat="false" ht="15" hidden="false" customHeight="false" outlineLevel="0" collapsed="false">
      <c r="A18" s="0" t="s">
        <v>72</v>
      </c>
      <c r="B18" s="6" t="s">
        <v>73</v>
      </c>
      <c r="C18" s="0" t="s">
        <v>42</v>
      </c>
      <c r="D18" s="7" t="n">
        <v>0.01</v>
      </c>
      <c r="E18" s="7" t="n">
        <v>0.03</v>
      </c>
      <c r="F18" s="7" t="n">
        <v>0.05</v>
      </c>
      <c r="G18" s="8" t="s">
        <v>56</v>
      </c>
    </row>
    <row r="19" customFormat="false" ht="15" hidden="false" customHeight="false" outlineLevel="0" collapsed="false">
      <c r="A19" s="0" t="s">
        <v>74</v>
      </c>
      <c r="B19" s="6" t="s">
        <v>75</v>
      </c>
      <c r="C19" s="6" t="s">
        <v>68</v>
      </c>
      <c r="E19" s="7" t="n">
        <v>1.5</v>
      </c>
      <c r="G19" s="8" t="s">
        <v>32</v>
      </c>
      <c r="H19" s="8" t="s">
        <v>76</v>
      </c>
    </row>
    <row r="20" customFormat="false" ht="15" hidden="false" customHeight="false" outlineLevel="0" collapsed="false">
      <c r="A20" s="0" t="s">
        <v>77</v>
      </c>
      <c r="B20" s="6" t="s">
        <v>78</v>
      </c>
      <c r="C20" s="6" t="s">
        <v>68</v>
      </c>
      <c r="D20" s="7" t="n">
        <v>0.5</v>
      </c>
      <c r="E20" s="7" t="n">
        <v>1</v>
      </c>
      <c r="F20" s="7" t="n">
        <v>2</v>
      </c>
      <c r="G20" s="8" t="s">
        <v>56</v>
      </c>
      <c r="H20" s="6" t="s">
        <v>79</v>
      </c>
    </row>
    <row r="21" customFormat="false" ht="15" hidden="false" customHeight="false" outlineLevel="0" collapsed="false">
      <c r="A21" s="1" t="s">
        <v>80</v>
      </c>
    </row>
    <row r="22" customFormat="false" ht="15" hidden="false" customHeight="false" outlineLevel="0" collapsed="false">
      <c r="A22" s="0" t="s">
        <v>81</v>
      </c>
      <c r="B22" s="6" t="s">
        <v>82</v>
      </c>
      <c r="C22" s="0" t="s">
        <v>42</v>
      </c>
      <c r="D22" s="7" t="n">
        <v>0.05</v>
      </c>
      <c r="E22" s="7" t="n">
        <v>0.1</v>
      </c>
      <c r="F22" s="7" t="n">
        <v>0.15</v>
      </c>
      <c r="G22" s="8" t="s">
        <v>32</v>
      </c>
      <c r="H22" s="8" t="s">
        <v>83</v>
      </c>
    </row>
    <row r="23" customFormat="false" ht="15" hidden="false" customHeight="false" outlineLevel="0" collapsed="false">
      <c r="A23" s="0" t="s">
        <v>84</v>
      </c>
      <c r="B23" s="6" t="s">
        <v>85</v>
      </c>
      <c r="C23" s="0" t="s">
        <v>42</v>
      </c>
      <c r="D23" s="7" t="n">
        <v>0.1</v>
      </c>
      <c r="E23" s="7" t="n">
        <v>0.15</v>
      </c>
      <c r="F23" s="7" t="n">
        <v>0.19</v>
      </c>
      <c r="G23" s="8" t="s">
        <v>52</v>
      </c>
      <c r="H23" s="8" t="s">
        <v>86</v>
      </c>
    </row>
    <row r="24" customFormat="false" ht="15" hidden="false" customHeight="false" outlineLevel="0" collapsed="false">
      <c r="A24" s="0" t="s">
        <v>87</v>
      </c>
      <c r="B24" s="0" t="s">
        <v>88</v>
      </c>
      <c r="C24" s="0" t="s">
        <v>42</v>
      </c>
      <c r="D24" s="7" t="n">
        <v>0.15</v>
      </c>
      <c r="E24" s="7" t="n">
        <v>0.2</v>
      </c>
      <c r="F24" s="7" t="n">
        <v>0.25</v>
      </c>
      <c r="G24" s="8" t="s">
        <v>37</v>
      </c>
      <c r="H24" s="8" t="s">
        <v>89</v>
      </c>
    </row>
    <row r="25" customFormat="false" ht="15" hidden="false" customHeight="false" outlineLevel="0" collapsed="false">
      <c r="A25" s="0" t="s">
        <v>90</v>
      </c>
      <c r="B25" s="0" t="s">
        <v>91</v>
      </c>
      <c r="C25" s="0" t="s">
        <v>42</v>
      </c>
      <c r="D25" s="7" t="n">
        <v>0.15</v>
      </c>
      <c r="E25" s="7" t="n">
        <v>0.2</v>
      </c>
      <c r="F25" s="7" t="n">
        <v>0.25</v>
      </c>
      <c r="G25" s="8" t="s">
        <v>37</v>
      </c>
      <c r="H25" s="6" t="s">
        <v>92</v>
      </c>
    </row>
    <row r="26" customFormat="false" ht="15" hidden="false" customHeight="false" outlineLevel="0" collapsed="false">
      <c r="A26" s="0" t="s">
        <v>93</v>
      </c>
      <c r="B26" s="0" t="s">
        <v>94</v>
      </c>
      <c r="C26" s="0" t="s">
        <v>42</v>
      </c>
      <c r="D26" s="7" t="n">
        <v>0.55</v>
      </c>
      <c r="E26" s="7" t="n">
        <v>0.58</v>
      </c>
      <c r="F26" s="7" t="n">
        <v>0.62</v>
      </c>
      <c r="G26" s="8" t="s">
        <v>52</v>
      </c>
      <c r="H26" s="8" t="s">
        <v>95</v>
      </c>
    </row>
    <row r="27" customFormat="false" ht="15" hidden="false" customHeight="false" outlineLevel="0" collapsed="false">
      <c r="A27" s="0" t="s">
        <v>96</v>
      </c>
      <c r="B27" s="0" t="s">
        <v>97</v>
      </c>
      <c r="C27" s="0" t="s">
        <v>42</v>
      </c>
      <c r="D27" s="7" t="n">
        <v>0.48</v>
      </c>
      <c r="E27" s="7" t="n">
        <v>0.52</v>
      </c>
      <c r="F27" s="7" t="n">
        <v>0.56</v>
      </c>
      <c r="G27" s="8" t="s">
        <v>52</v>
      </c>
      <c r="H27" s="8" t="s">
        <v>98</v>
      </c>
    </row>
    <row r="28" customFormat="false" ht="15" hidden="false" customHeight="false" outlineLevel="0" collapsed="false">
      <c r="A28" s="0" t="s">
        <v>99</v>
      </c>
      <c r="B28" s="0" t="s">
        <v>100</v>
      </c>
      <c r="C28" s="0" t="s">
        <v>42</v>
      </c>
      <c r="D28" s="7" t="n">
        <v>0.38</v>
      </c>
      <c r="E28" s="7" t="n">
        <v>0.42</v>
      </c>
      <c r="F28" s="7" t="n">
        <v>0.48</v>
      </c>
      <c r="G28" s="8" t="s">
        <v>52</v>
      </c>
      <c r="H28" s="8" t="s">
        <v>101</v>
      </c>
    </row>
    <row r="29" customFormat="false" ht="15" hidden="false" customHeight="false" outlineLevel="0" collapsed="false">
      <c r="A29" s="0" t="s">
        <v>102</v>
      </c>
      <c r="B29" s="0" t="s">
        <v>103</v>
      </c>
      <c r="C29" s="0" t="s">
        <v>42</v>
      </c>
      <c r="D29" s="7" t="n">
        <v>0.35</v>
      </c>
      <c r="E29" s="7" t="n">
        <v>0.4</v>
      </c>
      <c r="F29" s="7" t="n">
        <v>0.45</v>
      </c>
      <c r="G29" s="8" t="s">
        <v>56</v>
      </c>
    </row>
    <row r="30" customFormat="false" ht="15" hidden="false" customHeight="false" outlineLevel="0" collapsed="false">
      <c r="A30" s="0" t="s">
        <v>104</v>
      </c>
      <c r="B30" s="6" t="s">
        <v>105</v>
      </c>
      <c r="C30" s="6" t="s">
        <v>68</v>
      </c>
      <c r="E30" s="7" t="n">
        <v>1.6</v>
      </c>
      <c r="G30" s="8" t="s">
        <v>37</v>
      </c>
    </row>
    <row r="31" customFormat="false" ht="15" hidden="false" customHeight="false" outlineLevel="0" collapsed="false">
      <c r="A31" s="0" t="s">
        <v>106</v>
      </c>
      <c r="B31" s="6" t="s">
        <v>107</v>
      </c>
      <c r="C31" s="0" t="s">
        <v>42</v>
      </c>
      <c r="E31" s="7" t="n">
        <v>0.45</v>
      </c>
      <c r="G31" s="8" t="s">
        <v>56</v>
      </c>
    </row>
    <row r="32" customFormat="false" ht="15" hidden="false" customHeight="false" outlineLevel="0" collapsed="false">
      <c r="A32" s="0" t="s">
        <v>108</v>
      </c>
      <c r="B32" s="6" t="s">
        <v>109</v>
      </c>
      <c r="C32" s="0" t="s">
        <v>42</v>
      </c>
      <c r="E32" s="7" t="n">
        <v>0.3</v>
      </c>
      <c r="G32" s="8" t="s">
        <v>56</v>
      </c>
      <c r="H32" s="8" t="s">
        <v>110</v>
      </c>
    </row>
    <row r="33" customFormat="false" ht="15" hidden="false" customHeight="false" outlineLevel="0" collapsed="false">
      <c r="A33" s="0" t="s">
        <v>111</v>
      </c>
      <c r="B33" s="6" t="s">
        <v>112</v>
      </c>
      <c r="C33" s="0" t="s">
        <v>42</v>
      </c>
      <c r="E33" s="7" t="n">
        <v>0.25</v>
      </c>
      <c r="G33" s="8" t="s">
        <v>56</v>
      </c>
    </row>
    <row r="34" customFormat="false" ht="15" hidden="false" customHeight="false" outlineLevel="0" collapsed="false">
      <c r="A34" s="0" t="s">
        <v>113</v>
      </c>
      <c r="B34" s="6" t="s">
        <v>114</v>
      </c>
      <c r="C34" s="0" t="s">
        <v>42</v>
      </c>
      <c r="D34" s="7" t="n">
        <v>0.05</v>
      </c>
      <c r="E34" s="7" t="n">
        <v>0.1</v>
      </c>
      <c r="F34" s="7" t="n">
        <v>0.15</v>
      </c>
      <c r="G34" s="8" t="s">
        <v>56</v>
      </c>
    </row>
    <row r="35" customFormat="false" ht="15" hidden="false" customHeight="false" outlineLevel="0" collapsed="false">
      <c r="A35" s="0" t="s">
        <v>115</v>
      </c>
      <c r="B35" s="6" t="s">
        <v>116</v>
      </c>
      <c r="C35" s="6" t="s">
        <v>117</v>
      </c>
      <c r="D35" s="7" t="n">
        <v>4</v>
      </c>
      <c r="E35" s="7" t="n">
        <v>5</v>
      </c>
      <c r="F35" s="7" t="n">
        <v>6</v>
      </c>
      <c r="G35" s="8" t="s">
        <v>56</v>
      </c>
    </row>
    <row r="36" customFormat="false" ht="15" hidden="false" customHeight="false" outlineLevel="0" collapsed="false">
      <c r="A36" s="0" t="s">
        <v>118</v>
      </c>
      <c r="B36" s="6" t="s">
        <v>119</v>
      </c>
      <c r="C36" s="0" t="s">
        <v>42</v>
      </c>
      <c r="E36" s="7" t="n">
        <v>0.9</v>
      </c>
      <c r="G36" s="8" t="s">
        <v>56</v>
      </c>
    </row>
    <row r="37" customFormat="false" ht="15" hidden="false" customHeight="false" outlineLevel="0" collapsed="false">
      <c r="A37" s="0" t="s">
        <v>120</v>
      </c>
      <c r="B37" s="6" t="s">
        <v>121</v>
      </c>
      <c r="C37" s="6" t="s">
        <v>68</v>
      </c>
      <c r="E37" s="7" t="n">
        <v>6</v>
      </c>
      <c r="G37" s="8" t="s">
        <v>32</v>
      </c>
      <c r="H37" s="6" t="s">
        <v>122</v>
      </c>
    </row>
    <row r="38" customFormat="false" ht="15" hidden="false" customHeight="false" outlineLevel="0" collapsed="false">
      <c r="A38" s="0" t="s">
        <v>123</v>
      </c>
      <c r="B38" s="6" t="s">
        <v>124</v>
      </c>
      <c r="C38" s="0" t="s">
        <v>125</v>
      </c>
      <c r="D38" s="7" t="n">
        <v>0.04</v>
      </c>
      <c r="E38" s="7" t="n">
        <v>0.047</v>
      </c>
      <c r="F38" s="7" t="n">
        <v>0.06</v>
      </c>
      <c r="G38" s="8" t="s">
        <v>32</v>
      </c>
      <c r="H38" s="6" t="s">
        <v>126</v>
      </c>
    </row>
    <row r="39" customFormat="false" ht="15" hidden="false" customHeight="false" outlineLevel="0" collapsed="false">
      <c r="A39" s="0" t="s">
        <v>127</v>
      </c>
      <c r="B39" s="6" t="s">
        <v>128</v>
      </c>
      <c r="C39" s="0" t="s">
        <v>42</v>
      </c>
      <c r="E39" s="7" t="n">
        <v>0.1</v>
      </c>
      <c r="G39" s="8" t="s">
        <v>56</v>
      </c>
    </row>
    <row r="40" customFormat="false" ht="15" hidden="false" customHeight="false" outlineLevel="0" collapsed="false">
      <c r="A40" s="0" t="s">
        <v>129</v>
      </c>
      <c r="B40" s="6" t="s">
        <v>130</v>
      </c>
      <c r="C40" s="0" t="s">
        <v>42</v>
      </c>
      <c r="D40" s="7" t="n">
        <v>0.2</v>
      </c>
      <c r="E40" s="7" t="n">
        <v>0.23</v>
      </c>
      <c r="F40" s="7" t="n">
        <v>0.25</v>
      </c>
      <c r="G40" s="8" t="s">
        <v>37</v>
      </c>
      <c r="H40" s="8" t="s">
        <v>131</v>
      </c>
    </row>
    <row r="41" customFormat="false" ht="15" hidden="false" customHeight="false" outlineLevel="0" collapsed="false">
      <c r="A41" s="0" t="s">
        <v>132</v>
      </c>
      <c r="B41" s="6" t="s">
        <v>133</v>
      </c>
      <c r="C41" s="0" t="s">
        <v>42</v>
      </c>
      <c r="E41" s="7" t="n">
        <v>0.02</v>
      </c>
      <c r="G41" s="8" t="s">
        <v>56</v>
      </c>
    </row>
    <row r="42" customFormat="false" ht="15" hidden="false" customHeight="false" outlineLevel="0" collapsed="false">
      <c r="A42" s="0" t="s">
        <v>134</v>
      </c>
      <c r="B42" s="6" t="s">
        <v>135</v>
      </c>
      <c r="C42" s="6" t="s">
        <v>68</v>
      </c>
      <c r="D42" s="7" t="n">
        <v>45</v>
      </c>
      <c r="E42" s="7" t="n">
        <v>48.7</v>
      </c>
      <c r="F42" s="7" t="n">
        <v>50</v>
      </c>
      <c r="G42" s="8" t="s">
        <v>136</v>
      </c>
      <c r="H42" s="6" t="s">
        <v>137</v>
      </c>
    </row>
    <row r="43" customFormat="false" ht="15" hidden="false" customHeight="false" outlineLevel="0" collapsed="false">
      <c r="A43" s="0" t="s">
        <v>138</v>
      </c>
      <c r="B43" s="6" t="s">
        <v>139</v>
      </c>
      <c r="C43" s="6" t="s">
        <v>68</v>
      </c>
      <c r="D43" s="7" t="n">
        <v>55</v>
      </c>
      <c r="E43" s="7" t="n">
        <v>62.3</v>
      </c>
      <c r="F43" s="7" t="n">
        <v>75</v>
      </c>
      <c r="G43" s="8" t="s">
        <v>52</v>
      </c>
      <c r="H43" s="8" t="s">
        <v>140</v>
      </c>
    </row>
    <row r="44" customFormat="false" ht="15" hidden="false" customHeight="false" outlineLevel="0" collapsed="false">
      <c r="A44" s="0" t="s">
        <v>141</v>
      </c>
      <c r="B44" s="6" t="s">
        <v>142</v>
      </c>
      <c r="C44" s="6" t="s">
        <v>68</v>
      </c>
      <c r="D44" s="7" t="n">
        <v>60</v>
      </c>
      <c r="E44" s="7" t="n">
        <v>71.2</v>
      </c>
      <c r="F44" s="7" t="n">
        <v>85</v>
      </c>
      <c r="G44" s="8" t="s">
        <v>52</v>
      </c>
      <c r="H44" s="8" t="s">
        <v>143</v>
      </c>
    </row>
    <row r="45" customFormat="false" ht="15" hidden="false" customHeight="false" outlineLevel="0" collapsed="false">
      <c r="A45" s="0" t="s">
        <v>144</v>
      </c>
      <c r="B45" s="6" t="s">
        <v>145</v>
      </c>
      <c r="C45" s="0" t="s">
        <v>42</v>
      </c>
      <c r="D45" s="7" t="n">
        <v>0.1</v>
      </c>
      <c r="E45" s="7" t="n">
        <v>0.15</v>
      </c>
      <c r="F45" s="7" t="n">
        <v>0.2</v>
      </c>
      <c r="G45" s="8" t="s">
        <v>56</v>
      </c>
      <c r="H45" s="6" t="s">
        <v>146</v>
      </c>
    </row>
    <row r="46" customFormat="false" ht="15" hidden="false" customHeight="false" outlineLevel="0" collapsed="false">
      <c r="A46" s="0" t="s">
        <v>147</v>
      </c>
      <c r="B46" s="0" t="s">
        <v>148</v>
      </c>
      <c r="C46" s="0" t="s">
        <v>42</v>
      </c>
      <c r="D46" s="7" t="n">
        <v>0.15</v>
      </c>
      <c r="E46" s="7" t="n">
        <v>0.2</v>
      </c>
      <c r="F46" s="7" t="n">
        <v>0.25</v>
      </c>
      <c r="G46" s="8" t="s">
        <v>56</v>
      </c>
    </row>
    <row r="47" customFormat="false" ht="15" hidden="false" customHeight="false" outlineLevel="0" collapsed="false">
      <c r="A47" s="0" t="s">
        <v>149</v>
      </c>
      <c r="B47" s="0" t="s">
        <v>150</v>
      </c>
      <c r="C47" s="0" t="s">
        <v>42</v>
      </c>
      <c r="D47" s="7" t="n">
        <v>0.35</v>
      </c>
      <c r="E47" s="7" t="n">
        <v>0.4</v>
      </c>
      <c r="F47" s="7" t="n">
        <v>0.45</v>
      </c>
      <c r="G47" s="8" t="s">
        <v>56</v>
      </c>
    </row>
    <row r="48" customFormat="false" ht="15" hidden="false" customHeight="false" outlineLevel="0" collapsed="false">
      <c r="A48" s="0" t="s">
        <v>151</v>
      </c>
      <c r="B48" s="6" t="s">
        <v>152</v>
      </c>
      <c r="C48" s="6" t="s">
        <v>68</v>
      </c>
      <c r="D48" s="7" t="n">
        <v>60</v>
      </c>
      <c r="E48" s="7" t="n">
        <v>75</v>
      </c>
      <c r="F48" s="7" t="n">
        <v>90</v>
      </c>
      <c r="G48" s="8" t="s">
        <v>56</v>
      </c>
      <c r="H48" s="6" t="s">
        <v>153</v>
      </c>
    </row>
    <row r="49" customFormat="false" ht="15" hidden="false" customHeight="false" outlineLevel="0" collapsed="false">
      <c r="A49" s="0" t="s">
        <v>154</v>
      </c>
      <c r="B49" s="6" t="s">
        <v>155</v>
      </c>
      <c r="C49" s="0" t="s">
        <v>36</v>
      </c>
      <c r="E49" s="7" t="n">
        <v>5800</v>
      </c>
      <c r="G49" s="8" t="s">
        <v>56</v>
      </c>
      <c r="H49" s="6" t="s">
        <v>156</v>
      </c>
    </row>
    <row r="50" customFormat="false" ht="15" hidden="false" customHeight="false" outlineLevel="0" collapsed="false">
      <c r="A50" s="0" t="s">
        <v>157</v>
      </c>
      <c r="B50" s="6" t="s">
        <v>158</v>
      </c>
      <c r="C50" s="0" t="s">
        <v>159</v>
      </c>
      <c r="E50" s="7" t="n">
        <v>0</v>
      </c>
      <c r="G50" s="8" t="s">
        <v>37</v>
      </c>
      <c r="H50" s="6" t="s">
        <v>160</v>
      </c>
    </row>
    <row r="51" customFormat="false" ht="15" hidden="false" customHeight="false" outlineLevel="0" collapsed="false">
      <c r="A51" s="0" t="s">
        <v>161</v>
      </c>
      <c r="B51" s="6" t="s">
        <v>162</v>
      </c>
      <c r="C51" s="0" t="s">
        <v>159</v>
      </c>
      <c r="E51" s="7" t="n">
        <v>0</v>
      </c>
      <c r="G51" s="8" t="s">
        <v>37</v>
      </c>
      <c r="H51" s="6" t="s">
        <v>163</v>
      </c>
    </row>
    <row r="52" customFormat="false" ht="15" hidden="false" customHeight="false" outlineLevel="0" collapsed="false">
      <c r="A52" s="0" t="s">
        <v>164</v>
      </c>
      <c r="B52" s="6" t="s">
        <v>165</v>
      </c>
      <c r="C52" s="0" t="s">
        <v>159</v>
      </c>
      <c r="E52" s="7" t="n">
        <v>0</v>
      </c>
      <c r="G52" s="8" t="s">
        <v>37</v>
      </c>
      <c r="H52" s="6" t="s">
        <v>163</v>
      </c>
    </row>
    <row r="53" customFormat="false" ht="15" hidden="false" customHeight="false" outlineLevel="0" collapsed="false">
      <c r="A53" s="0" t="s">
        <v>166</v>
      </c>
      <c r="B53" s="6" t="s">
        <v>167</v>
      </c>
      <c r="C53" s="0" t="s">
        <v>159</v>
      </c>
      <c r="E53" s="7" t="n">
        <v>0</v>
      </c>
      <c r="G53" s="8" t="s">
        <v>37</v>
      </c>
      <c r="H53" s="6" t="s">
        <v>163</v>
      </c>
    </row>
    <row r="54" customFormat="false" ht="15" hidden="false" customHeight="false" outlineLevel="0" collapsed="false">
      <c r="A54" s="0" t="s">
        <v>168</v>
      </c>
      <c r="B54" s="6" t="s">
        <v>169</v>
      </c>
      <c r="C54" s="0" t="s">
        <v>159</v>
      </c>
      <c r="E54" s="7" t="n">
        <v>0</v>
      </c>
      <c r="G54" s="8" t="s">
        <v>37</v>
      </c>
      <c r="H54" s="6" t="s">
        <v>163</v>
      </c>
    </row>
    <row r="55" customFormat="false" ht="15" hidden="false" customHeight="false" outlineLevel="0" collapsed="false">
      <c r="A55" s="0" t="s">
        <v>170</v>
      </c>
      <c r="B55" s="6" t="s">
        <v>171</v>
      </c>
      <c r="C55" s="0" t="s">
        <v>159</v>
      </c>
      <c r="E55" s="7" t="n">
        <v>0</v>
      </c>
      <c r="G55" s="8" t="s">
        <v>37</v>
      </c>
      <c r="H55" s="6" t="s">
        <v>163</v>
      </c>
    </row>
    <row r="56" customFormat="false" ht="15" hidden="false" customHeight="false" outlineLevel="0" collapsed="false">
      <c r="A56" s="0" t="s">
        <v>172</v>
      </c>
      <c r="B56" s="6" t="s">
        <v>173</v>
      </c>
      <c r="C56" s="0" t="s">
        <v>159</v>
      </c>
      <c r="E56" s="7" t="n">
        <v>0</v>
      </c>
      <c r="G56" s="8" t="s">
        <v>37</v>
      </c>
      <c r="H56" s="6" t="s">
        <v>163</v>
      </c>
    </row>
    <row r="57" customFormat="false" ht="15" hidden="false" customHeight="false" outlineLevel="0" collapsed="false">
      <c r="A57" s="0" t="s">
        <v>174</v>
      </c>
      <c r="B57" s="6" t="s">
        <v>175</v>
      </c>
      <c r="C57" s="0" t="s">
        <v>159</v>
      </c>
      <c r="E57" s="7" t="n">
        <v>0</v>
      </c>
      <c r="G57" s="8" t="s">
        <v>37</v>
      </c>
      <c r="H57" s="6" t="s">
        <v>163</v>
      </c>
    </row>
    <row r="58" customFormat="false" ht="15" hidden="false" customHeight="false" outlineLevel="0" collapsed="false">
      <c r="A58" s="0" t="s">
        <v>176</v>
      </c>
      <c r="B58" s="6" t="s">
        <v>177</v>
      </c>
      <c r="C58" s="0" t="s">
        <v>159</v>
      </c>
      <c r="E58" s="7" t="n">
        <v>0</v>
      </c>
      <c r="G58" s="8" t="s">
        <v>37</v>
      </c>
      <c r="H58" s="6" t="s">
        <v>163</v>
      </c>
    </row>
    <row r="59" customFormat="false" ht="15" hidden="false" customHeight="false" outlineLevel="0" collapsed="false">
      <c r="A59" s="1" t="s">
        <v>178</v>
      </c>
    </row>
    <row r="60" customFormat="false" ht="15" hidden="false" customHeight="false" outlineLevel="0" collapsed="false">
      <c r="A60" s="0" t="s">
        <v>179</v>
      </c>
      <c r="B60" s="6" t="s">
        <v>180</v>
      </c>
      <c r="C60" s="6" t="s">
        <v>68</v>
      </c>
      <c r="E60" s="7" t="n">
        <v>262.693</v>
      </c>
      <c r="G60" s="8" t="s">
        <v>37</v>
      </c>
      <c r="H60" s="8" t="s">
        <v>181</v>
      </c>
    </row>
    <row r="61" customFormat="false" ht="15" hidden="false" customHeight="false" outlineLevel="0" collapsed="false">
      <c r="A61" s="0" t="s">
        <v>182</v>
      </c>
      <c r="B61" s="6" t="s">
        <v>183</v>
      </c>
      <c r="C61" s="6" t="s">
        <v>68</v>
      </c>
      <c r="E61" s="7" t="n">
        <v>69.4</v>
      </c>
      <c r="G61" s="8" t="s">
        <v>37</v>
      </c>
      <c r="H61" s="8" t="s">
        <v>184</v>
      </c>
    </row>
    <row r="62" customFormat="false" ht="15" hidden="false" customHeight="false" outlineLevel="0" collapsed="false">
      <c r="A62" s="0" t="s">
        <v>185</v>
      </c>
      <c r="B62" s="6" t="s">
        <v>186</v>
      </c>
      <c r="C62" s="6" t="s">
        <v>187</v>
      </c>
      <c r="E62" s="7" t="n">
        <v>711.0755</v>
      </c>
      <c r="G62" s="8" t="s">
        <v>37</v>
      </c>
      <c r="H62" s="8" t="s">
        <v>181</v>
      </c>
    </row>
    <row r="63" customFormat="false" ht="15" hidden="false" customHeight="false" outlineLevel="0" collapsed="false">
      <c r="A63" s="0" t="s">
        <v>188</v>
      </c>
      <c r="B63" s="6" t="s">
        <v>189</v>
      </c>
      <c r="C63" s="6" t="s">
        <v>68</v>
      </c>
      <c r="E63" s="7" t="n">
        <v>40.4</v>
      </c>
      <c r="G63" s="8" t="s">
        <v>32</v>
      </c>
      <c r="H63" s="8" t="s">
        <v>190</v>
      </c>
    </row>
    <row r="64" customFormat="false" ht="15" hidden="false" customHeight="false" outlineLevel="0" collapsed="false">
      <c r="A64" s="0" t="s">
        <v>191</v>
      </c>
      <c r="B64" s="6" t="s">
        <v>192</v>
      </c>
      <c r="C64" s="6" t="s">
        <v>187</v>
      </c>
      <c r="E64" s="7" t="n">
        <v>17.79</v>
      </c>
      <c r="G64" s="8" t="s">
        <v>37</v>
      </c>
      <c r="H64" s="8" t="s">
        <v>193</v>
      </c>
    </row>
    <row r="65" customFormat="false" ht="15" hidden="false" customHeight="false" outlineLevel="0" collapsed="false">
      <c r="A65" s="0" t="s">
        <v>194</v>
      </c>
      <c r="B65" s="6" t="s">
        <v>195</v>
      </c>
      <c r="C65" s="6" t="s">
        <v>68</v>
      </c>
      <c r="E65" s="7" t="n">
        <v>40</v>
      </c>
      <c r="G65" s="8" t="s">
        <v>37</v>
      </c>
      <c r="H65" s="8" t="s">
        <v>196</v>
      </c>
    </row>
    <row r="66" customFormat="false" ht="15" hidden="false" customHeight="false" outlineLevel="0" collapsed="false">
      <c r="A66" s="0" t="s">
        <v>197</v>
      </c>
      <c r="B66" s="6" t="s">
        <v>198</v>
      </c>
      <c r="C66" s="6" t="s">
        <v>187</v>
      </c>
      <c r="E66" s="7" t="n">
        <v>24.07</v>
      </c>
      <c r="G66" s="8" t="s">
        <v>37</v>
      </c>
    </row>
    <row r="67" customFormat="false" ht="15" hidden="false" customHeight="false" outlineLevel="0" collapsed="false">
      <c r="A67" s="0" t="s">
        <v>199</v>
      </c>
      <c r="B67" s="6" t="s">
        <v>200</v>
      </c>
      <c r="C67" s="6" t="s">
        <v>68</v>
      </c>
      <c r="E67" s="7" t="n">
        <v>0.54</v>
      </c>
      <c r="G67" s="8" t="s">
        <v>32</v>
      </c>
      <c r="H67" s="6" t="s">
        <v>201</v>
      </c>
    </row>
    <row r="68" customFormat="false" ht="15" hidden="false" customHeight="false" outlineLevel="0" collapsed="false">
      <c r="A68" s="0" t="s">
        <v>202</v>
      </c>
      <c r="B68" s="6" t="s">
        <v>203</v>
      </c>
      <c r="C68" s="6" t="s">
        <v>68</v>
      </c>
      <c r="E68" s="7" t="n">
        <v>29.2</v>
      </c>
      <c r="G68" s="8" t="s">
        <v>32</v>
      </c>
      <c r="H68" s="6" t="s">
        <v>204</v>
      </c>
    </row>
    <row r="69" customFormat="false" ht="15" hidden="false" customHeight="false" outlineLevel="0" collapsed="false">
      <c r="A69" s="0" t="s">
        <v>205</v>
      </c>
      <c r="B69" s="6" t="s">
        <v>206</v>
      </c>
      <c r="C69" s="0" t="s">
        <v>36</v>
      </c>
      <c r="E69" s="7" t="n">
        <v>4541</v>
      </c>
      <c r="G69" s="8" t="s">
        <v>52</v>
      </c>
      <c r="H69" s="8" t="s">
        <v>207</v>
      </c>
    </row>
    <row r="70" customFormat="false" ht="15" hidden="false" customHeight="false" outlineLevel="0" collapsed="false">
      <c r="A70" s="0" t="s">
        <v>208</v>
      </c>
      <c r="B70" s="6" t="s">
        <v>209</v>
      </c>
      <c r="C70" s="0" t="s">
        <v>36</v>
      </c>
      <c r="E70" s="7" t="n">
        <v>5249</v>
      </c>
      <c r="G70" s="8" t="s">
        <v>52</v>
      </c>
      <c r="H70" s="6" t="s">
        <v>92</v>
      </c>
    </row>
    <row r="71" customFormat="false" ht="15" hidden="false" customHeight="false" outlineLevel="0" collapsed="false">
      <c r="A71" s="0" t="s">
        <v>210</v>
      </c>
      <c r="B71" s="6" t="s">
        <v>211</v>
      </c>
      <c r="C71" s="0" t="s">
        <v>42</v>
      </c>
      <c r="D71" s="7" t="n">
        <v>0.3</v>
      </c>
      <c r="E71" s="7" t="n">
        <v>0.5</v>
      </c>
      <c r="F71" s="7" t="n">
        <v>0.7</v>
      </c>
      <c r="G71" s="8" t="s">
        <v>37</v>
      </c>
      <c r="H71" s="6" t="s">
        <v>212</v>
      </c>
    </row>
    <row r="72" customFormat="false" ht="15" hidden="false" customHeight="false" outlineLevel="0" collapsed="false">
      <c r="A72" s="0" t="s">
        <v>213</v>
      </c>
      <c r="B72" s="6" t="s">
        <v>214</v>
      </c>
      <c r="C72" s="0" t="s">
        <v>36</v>
      </c>
      <c r="E72" s="7" t="n">
        <v>1723000</v>
      </c>
      <c r="G72" s="8" t="s">
        <v>56</v>
      </c>
      <c r="H72" s="6" t="s">
        <v>215</v>
      </c>
    </row>
    <row r="73" customFormat="false" ht="15" hidden="false" customHeight="false" outlineLevel="0" collapsed="false">
      <c r="A73" s="1" t="s">
        <v>216</v>
      </c>
    </row>
    <row r="74" customFormat="false" ht="15" hidden="false" customHeight="false" outlineLevel="0" collapsed="false">
      <c r="A74" s="0" t="s">
        <v>217</v>
      </c>
      <c r="B74" s="0" t="s">
        <v>218</v>
      </c>
      <c r="C74" s="0" t="s">
        <v>219</v>
      </c>
      <c r="E74" s="7" t="n">
        <v>1</v>
      </c>
      <c r="G74" s="8" t="s">
        <v>56</v>
      </c>
      <c r="H74" s="6" t="s">
        <v>220</v>
      </c>
    </row>
    <row r="75" customFormat="false" ht="15" hidden="false" customHeight="false" outlineLevel="0" collapsed="false">
      <c r="A75" s="0" t="s">
        <v>221</v>
      </c>
      <c r="B75" s="0" t="s">
        <v>222</v>
      </c>
      <c r="C75" s="0" t="s">
        <v>219</v>
      </c>
      <c r="E75" s="7" t="n">
        <v>1.6</v>
      </c>
      <c r="G75" s="8" t="s">
        <v>52</v>
      </c>
      <c r="H75" s="8" t="s">
        <v>223</v>
      </c>
    </row>
    <row r="76" customFormat="false" ht="15" hidden="false" customHeight="false" outlineLevel="0" collapsed="false">
      <c r="A76" s="0" t="s">
        <v>224</v>
      </c>
      <c r="B76" s="0" t="s">
        <v>225</v>
      </c>
      <c r="C76" s="0" t="s">
        <v>219</v>
      </c>
      <c r="E76" s="7" t="n">
        <v>3.3</v>
      </c>
      <c r="G76" s="8" t="s">
        <v>52</v>
      </c>
      <c r="H76" s="8" t="s">
        <v>226</v>
      </c>
    </row>
    <row r="77" customFormat="false" ht="15" hidden="false" customHeight="false" outlineLevel="0" collapsed="false">
      <c r="A77" s="0" t="s">
        <v>227</v>
      </c>
      <c r="B77" s="0" t="s">
        <v>228</v>
      </c>
      <c r="C77" s="0" t="s">
        <v>219</v>
      </c>
      <c r="E77" s="7" t="n">
        <v>4</v>
      </c>
      <c r="G77" s="8" t="s">
        <v>56</v>
      </c>
      <c r="H77" s="6" t="s">
        <v>229</v>
      </c>
    </row>
    <row r="78" customFormat="false" ht="15" hidden="false" customHeight="false" outlineLevel="0" collapsed="false">
      <c r="A78" s="0" t="s">
        <v>230</v>
      </c>
      <c r="B78" s="0" t="s">
        <v>231</v>
      </c>
      <c r="C78" s="0" t="s">
        <v>219</v>
      </c>
      <c r="E78" s="7" t="n">
        <v>8</v>
      </c>
      <c r="G78" s="8" t="s">
        <v>56</v>
      </c>
    </row>
    <row r="79" customFormat="false" ht="15" hidden="false" customHeight="false" outlineLevel="0" collapsed="false">
      <c r="A79" s="0" t="s">
        <v>232</v>
      </c>
      <c r="B79" s="0" t="s">
        <v>233</v>
      </c>
      <c r="C79" s="0" t="s">
        <v>219</v>
      </c>
      <c r="E79" s="7" t="n">
        <v>12</v>
      </c>
      <c r="G79" s="8" t="s">
        <v>56</v>
      </c>
    </row>
    <row r="80" customFormat="false" ht="15" hidden="false" customHeight="false" outlineLevel="0" collapsed="false">
      <c r="A80" s="1" t="s">
        <v>234</v>
      </c>
    </row>
    <row r="81" customFormat="false" ht="15" hidden="false" customHeight="false" outlineLevel="0" collapsed="false">
      <c r="A81" s="0" t="s">
        <v>235</v>
      </c>
      <c r="B81" s="6" t="s">
        <v>236</v>
      </c>
      <c r="C81" s="0" t="s">
        <v>42</v>
      </c>
      <c r="E81" s="7" t="n">
        <v>-0.025</v>
      </c>
      <c r="G81" s="8" t="s">
        <v>52</v>
      </c>
      <c r="H81" s="8" t="s">
        <v>237</v>
      </c>
    </row>
    <row r="82" customFormat="false" ht="15" hidden="false" customHeight="false" outlineLevel="0" collapsed="false">
      <c r="A82" s="0" t="s">
        <v>238</v>
      </c>
      <c r="B82" s="6" t="s">
        <v>239</v>
      </c>
      <c r="C82" s="0" t="s">
        <v>42</v>
      </c>
      <c r="E82" s="7" t="n">
        <v>0.125</v>
      </c>
      <c r="G82" s="8" t="s">
        <v>52</v>
      </c>
      <c r="H82" s="6" t="s">
        <v>92</v>
      </c>
    </row>
    <row r="83" customFormat="false" ht="15" hidden="false" customHeight="false" outlineLevel="0" collapsed="false">
      <c r="A83" s="0" t="s">
        <v>240</v>
      </c>
      <c r="B83" s="6" t="s">
        <v>241</v>
      </c>
      <c r="C83" s="0" t="s">
        <v>42</v>
      </c>
      <c r="E83" s="7" t="n">
        <v>0.475</v>
      </c>
      <c r="G83" s="8" t="s">
        <v>52</v>
      </c>
      <c r="H83" s="6" t="s">
        <v>92</v>
      </c>
    </row>
    <row r="84" customFormat="false" ht="15" hidden="false" customHeight="false" outlineLevel="0" collapsed="false">
      <c r="A84" s="0" t="s">
        <v>242</v>
      </c>
      <c r="B84" s="6" t="s">
        <v>243</v>
      </c>
      <c r="C84" s="0" t="s">
        <v>42</v>
      </c>
      <c r="E84" s="7" t="n">
        <v>0.95</v>
      </c>
      <c r="G84" s="8" t="s">
        <v>52</v>
      </c>
      <c r="H84" s="6" t="s">
        <v>92</v>
      </c>
    </row>
    <row r="85" customFormat="false" ht="15" hidden="false" customHeight="false" outlineLevel="0" collapsed="false">
      <c r="A85" s="0" t="s">
        <v>244</v>
      </c>
      <c r="B85" s="6" t="s">
        <v>245</v>
      </c>
      <c r="C85" s="0" t="s">
        <v>42</v>
      </c>
      <c r="E85" s="7" t="n">
        <v>0.605</v>
      </c>
      <c r="G85" s="8" t="s">
        <v>52</v>
      </c>
      <c r="H85" s="6" t="s">
        <v>92</v>
      </c>
    </row>
    <row r="86" customFormat="false" ht="15" hidden="false" customHeight="false" outlineLevel="0" collapsed="false">
      <c r="A86" s="0" t="s">
        <v>246</v>
      </c>
      <c r="B86" s="6" t="s">
        <v>247</v>
      </c>
      <c r="C86" s="0" t="s">
        <v>42</v>
      </c>
      <c r="E86" s="7" t="n">
        <v>0.155</v>
      </c>
      <c r="G86" s="8" t="s">
        <v>52</v>
      </c>
      <c r="H86" s="6" t="s">
        <v>92</v>
      </c>
    </row>
    <row r="87" customFormat="false" ht="15" hidden="false" customHeight="false" outlineLevel="0" collapsed="false">
      <c r="A87" s="0" t="s">
        <v>248</v>
      </c>
      <c r="B87" s="6" t="s">
        <v>249</v>
      </c>
      <c r="C87" s="0" t="s">
        <v>42</v>
      </c>
      <c r="E87" s="7" t="n">
        <v>0.125</v>
      </c>
      <c r="G87" s="8" t="s">
        <v>52</v>
      </c>
      <c r="H87" s="6" t="s">
        <v>92</v>
      </c>
    </row>
    <row r="88" customFormat="false" ht="15" hidden="false" customHeight="false" outlineLevel="0" collapsed="false">
      <c r="A88" s="0" t="s">
        <v>250</v>
      </c>
      <c r="B88" s="6" t="s">
        <v>251</v>
      </c>
      <c r="C88" s="0" t="s">
        <v>42</v>
      </c>
      <c r="E88" s="7" t="n">
        <v>0.03</v>
      </c>
      <c r="G88" s="8" t="s">
        <v>52</v>
      </c>
      <c r="H88" s="8" t="s">
        <v>252</v>
      </c>
    </row>
    <row r="89" customFormat="false" ht="15" hidden="false" customHeight="false" outlineLevel="0" collapsed="false">
      <c r="A89" s="0" t="s">
        <v>253</v>
      </c>
      <c r="B89" s="6" t="s">
        <v>254</v>
      </c>
      <c r="C89" s="0" t="s">
        <v>42</v>
      </c>
      <c r="E89" s="7" t="n">
        <v>0</v>
      </c>
      <c r="G89" s="8" t="s">
        <v>52</v>
      </c>
      <c r="H89" s="6" t="s">
        <v>92</v>
      </c>
    </row>
    <row r="90" customFormat="false" ht="15" hidden="false" customHeight="false" outlineLevel="0" collapsed="false">
      <c r="A90" s="0" t="s">
        <v>255</v>
      </c>
      <c r="B90" s="6" t="s">
        <v>256</v>
      </c>
      <c r="C90" s="0" t="s">
        <v>42</v>
      </c>
      <c r="E90" s="7" t="n">
        <v>-0.02</v>
      </c>
      <c r="G90" s="8" t="s">
        <v>52</v>
      </c>
      <c r="H90" s="6" t="s">
        <v>92</v>
      </c>
    </row>
    <row r="91" customFormat="false" ht="15" hidden="false" customHeight="false" outlineLevel="0" collapsed="false">
      <c r="A91" s="0" t="s">
        <v>257</v>
      </c>
      <c r="B91" s="6" t="s">
        <v>258</v>
      </c>
      <c r="C91" s="0" t="s">
        <v>42</v>
      </c>
      <c r="E91" s="7" t="n">
        <v>-0.03</v>
      </c>
      <c r="G91" s="8" t="s">
        <v>52</v>
      </c>
      <c r="H91" s="6" t="s">
        <v>92</v>
      </c>
    </row>
    <row r="92" customFormat="false" ht="15" hidden="false" customHeight="false" outlineLevel="0" collapsed="false">
      <c r="A92" s="0" t="s">
        <v>259</v>
      </c>
      <c r="B92" s="6" t="s">
        <v>260</v>
      </c>
      <c r="C92" s="0" t="s">
        <v>42</v>
      </c>
      <c r="E92" s="7" t="n">
        <v>-0.03</v>
      </c>
      <c r="G92" s="8" t="s">
        <v>52</v>
      </c>
      <c r="H92" s="6" t="s">
        <v>92</v>
      </c>
    </row>
    <row r="93" customFormat="false" ht="15" hidden="false" customHeight="false" outlineLevel="0" collapsed="false">
      <c r="A93" s="0" t="s">
        <v>261</v>
      </c>
      <c r="B93" s="6" t="s">
        <v>262</v>
      </c>
      <c r="C93" s="0" t="s">
        <v>42</v>
      </c>
      <c r="E93" s="7" t="n">
        <v>-0.03</v>
      </c>
      <c r="G93" s="8" t="s">
        <v>52</v>
      </c>
      <c r="H93" s="6" t="s">
        <v>92</v>
      </c>
    </row>
    <row r="94" customFormat="false" ht="15" hidden="false" customHeight="false" outlineLevel="0" collapsed="false">
      <c r="A94" s="0" t="s">
        <v>263</v>
      </c>
      <c r="B94" s="6" t="s">
        <v>264</v>
      </c>
      <c r="C94" s="0" t="s">
        <v>42</v>
      </c>
      <c r="E94" s="7" t="n">
        <v>-0.02</v>
      </c>
      <c r="G94" s="8" t="s">
        <v>52</v>
      </c>
      <c r="H94" s="6" t="s">
        <v>92</v>
      </c>
    </row>
    <row r="95" customFormat="false" ht="15" hidden="false" customHeight="false" outlineLevel="0" collapsed="false">
      <c r="A95" s="0" t="s">
        <v>265</v>
      </c>
      <c r="B95" s="6" t="s">
        <v>266</v>
      </c>
      <c r="C95" s="0" t="s">
        <v>42</v>
      </c>
      <c r="E95" s="7" t="n">
        <v>-0.02</v>
      </c>
      <c r="G95" s="8" t="s">
        <v>52</v>
      </c>
      <c r="H95" s="6" t="s">
        <v>92</v>
      </c>
    </row>
    <row r="96" customFormat="false" ht="15" hidden="false" customHeight="false" outlineLevel="0" collapsed="false">
      <c r="A96" s="0" t="s">
        <v>267</v>
      </c>
      <c r="B96" s="6" t="s">
        <v>268</v>
      </c>
      <c r="C96" s="0" t="s">
        <v>42</v>
      </c>
      <c r="E96" s="7" t="n">
        <v>-0.03</v>
      </c>
      <c r="G96" s="8" t="s">
        <v>52</v>
      </c>
      <c r="H96" s="6" t="s">
        <v>92</v>
      </c>
    </row>
    <row r="97" customFormat="false" ht="15" hidden="false" customHeight="false" outlineLevel="0" collapsed="false">
      <c r="A97" s="0" t="s">
        <v>269</v>
      </c>
      <c r="B97" s="6" t="s">
        <v>270</v>
      </c>
      <c r="C97" s="0" t="s">
        <v>42</v>
      </c>
      <c r="E97" s="7" t="n">
        <v>-0.03</v>
      </c>
      <c r="G97" s="8" t="s">
        <v>52</v>
      </c>
      <c r="H97" s="6" t="s">
        <v>92</v>
      </c>
    </row>
    <row r="98" customFormat="false" ht="15" hidden="false" customHeight="false" outlineLevel="0" collapsed="false">
      <c r="A98" s="0" t="s">
        <v>271</v>
      </c>
      <c r="B98" s="6" t="s">
        <v>272</v>
      </c>
      <c r="C98" s="0" t="s">
        <v>42</v>
      </c>
      <c r="E98" s="7" t="n">
        <v>-0.02</v>
      </c>
      <c r="G98" s="8" t="s">
        <v>52</v>
      </c>
      <c r="H98" s="6" t="s">
        <v>92</v>
      </c>
    </row>
    <row r="99" customFormat="false" ht="15" hidden="false" customHeight="false" outlineLevel="0" collapsed="false">
      <c r="A99" s="0" t="s">
        <v>273</v>
      </c>
      <c r="B99" s="6" t="s">
        <v>274</v>
      </c>
      <c r="C99" s="0" t="s">
        <v>42</v>
      </c>
      <c r="E99" s="7" t="n">
        <v>-0.02</v>
      </c>
      <c r="G99" s="8" t="s">
        <v>52</v>
      </c>
      <c r="H99" s="6" t="s">
        <v>92</v>
      </c>
    </row>
    <row r="100" customFormat="false" ht="15" hidden="false" customHeight="false" outlineLevel="0" collapsed="false">
      <c r="A100" s="0" t="s">
        <v>275</v>
      </c>
      <c r="B100" s="6" t="s">
        <v>276</v>
      </c>
      <c r="C100" s="0" t="s">
        <v>42</v>
      </c>
      <c r="E100" s="7" t="n">
        <v>0.05</v>
      </c>
      <c r="G100" s="8" t="s">
        <v>52</v>
      </c>
      <c r="H100" s="8" t="s">
        <v>277</v>
      </c>
    </row>
    <row r="101" customFormat="false" ht="15" hidden="false" customHeight="false" outlineLevel="0" collapsed="false">
      <c r="A101" s="0" t="s">
        <v>278</v>
      </c>
      <c r="B101" s="6" t="s">
        <v>279</v>
      </c>
      <c r="C101" s="0" t="s">
        <v>42</v>
      </c>
      <c r="E101" s="7" t="n">
        <v>0.02</v>
      </c>
      <c r="G101" s="8" t="s">
        <v>52</v>
      </c>
      <c r="H101" s="6" t="s">
        <v>92</v>
      </c>
    </row>
    <row r="102" customFormat="false" ht="15" hidden="false" customHeight="false" outlineLevel="0" collapsed="false">
      <c r="A102" s="0" t="s">
        <v>280</v>
      </c>
      <c r="B102" s="6" t="s">
        <v>281</v>
      </c>
      <c r="C102" s="0" t="s">
        <v>42</v>
      </c>
      <c r="E102" s="7" t="n">
        <v>-0.08</v>
      </c>
      <c r="G102" s="8" t="s">
        <v>52</v>
      </c>
      <c r="H102" s="6" t="s">
        <v>92</v>
      </c>
    </row>
    <row r="103" customFormat="false" ht="15" hidden="false" customHeight="false" outlineLevel="0" collapsed="false">
      <c r="A103" s="0" t="s">
        <v>282</v>
      </c>
      <c r="B103" s="6" t="s">
        <v>283</v>
      </c>
      <c r="C103" s="0" t="s">
        <v>42</v>
      </c>
      <c r="E103" s="7" t="n">
        <v>-0.15</v>
      </c>
      <c r="G103" s="8" t="s">
        <v>52</v>
      </c>
      <c r="H103" s="6" t="s">
        <v>92</v>
      </c>
    </row>
    <row r="104" customFormat="false" ht="15" hidden="false" customHeight="false" outlineLevel="0" collapsed="false">
      <c r="A104" s="0" t="s">
        <v>284</v>
      </c>
      <c r="B104" s="6" t="s">
        <v>285</v>
      </c>
      <c r="C104" s="0" t="s">
        <v>42</v>
      </c>
      <c r="E104" s="7" t="n">
        <v>-0.25</v>
      </c>
      <c r="G104" s="8" t="s">
        <v>52</v>
      </c>
      <c r="H104" s="6" t="s">
        <v>92</v>
      </c>
    </row>
    <row r="105" customFormat="false" ht="15" hidden="false" customHeight="false" outlineLevel="0" collapsed="false">
      <c r="A105" s="0" t="s">
        <v>286</v>
      </c>
      <c r="B105" s="6" t="s">
        <v>287</v>
      </c>
      <c r="C105" s="0" t="s">
        <v>42</v>
      </c>
      <c r="E105" s="7" t="n">
        <v>-0.15</v>
      </c>
      <c r="G105" s="8" t="s">
        <v>52</v>
      </c>
      <c r="H105" s="6" t="s">
        <v>92</v>
      </c>
    </row>
    <row r="106" customFormat="false" ht="15" hidden="false" customHeight="false" outlineLevel="0" collapsed="false">
      <c r="A106" s="0" t="s">
        <v>288</v>
      </c>
      <c r="B106" s="6" t="s">
        <v>289</v>
      </c>
      <c r="C106" s="0" t="s">
        <v>42</v>
      </c>
      <c r="E106" s="7" t="n">
        <v>-0.1</v>
      </c>
      <c r="G106" s="8" t="s">
        <v>52</v>
      </c>
      <c r="H106" s="6" t="s">
        <v>92</v>
      </c>
    </row>
    <row r="107" customFormat="false" ht="15" hidden="false" customHeight="false" outlineLevel="0" collapsed="false">
      <c r="A107" s="0" t="s">
        <v>290</v>
      </c>
      <c r="B107" s="6" t="s">
        <v>291</v>
      </c>
      <c r="C107" s="0" t="s">
        <v>42</v>
      </c>
      <c r="E107" s="7" t="n">
        <v>-0.05</v>
      </c>
      <c r="G107" s="8" t="s">
        <v>52</v>
      </c>
      <c r="H107" s="6" t="s">
        <v>92</v>
      </c>
    </row>
    <row r="108" customFormat="false" ht="15" hidden="false" customHeight="false" outlineLevel="0" collapsed="false">
      <c r="A108" s="0" t="s">
        <v>292</v>
      </c>
      <c r="B108" s="6" t="s">
        <v>293</v>
      </c>
      <c r="C108" s="0" t="s">
        <v>42</v>
      </c>
      <c r="E108" s="7" t="n">
        <v>0.05</v>
      </c>
      <c r="G108" s="8" t="s">
        <v>52</v>
      </c>
      <c r="H108" s="6" t="s">
        <v>92</v>
      </c>
    </row>
    <row r="109" customFormat="false" ht="15" hidden="false" customHeight="false" outlineLevel="0" collapsed="false">
      <c r="A109" s="0" t="s">
        <v>294</v>
      </c>
      <c r="B109" s="6" t="s">
        <v>295</v>
      </c>
      <c r="C109" s="0" t="s">
        <v>42</v>
      </c>
      <c r="E109" s="7" t="n">
        <v>0.05</v>
      </c>
      <c r="G109" s="8" t="s">
        <v>52</v>
      </c>
      <c r="H109" s="6" t="s">
        <v>92</v>
      </c>
    </row>
    <row r="110" customFormat="false" ht="15" hidden="false" customHeight="false" outlineLevel="0" collapsed="false">
      <c r="A110" s="0" t="s">
        <v>296</v>
      </c>
      <c r="B110" s="6" t="s">
        <v>297</v>
      </c>
      <c r="C110" s="0" t="s">
        <v>42</v>
      </c>
      <c r="E110" s="7" t="n">
        <v>0.03</v>
      </c>
      <c r="G110" s="8" t="s">
        <v>52</v>
      </c>
      <c r="H110" s="6" t="s">
        <v>92</v>
      </c>
    </row>
    <row r="111" customFormat="false" ht="15" hidden="false" customHeight="false" outlineLevel="0" collapsed="false">
      <c r="A111" s="0" t="s">
        <v>298</v>
      </c>
      <c r="B111" s="6" t="s">
        <v>299</v>
      </c>
      <c r="C111" s="0" t="s">
        <v>42</v>
      </c>
      <c r="E111" s="7" t="n">
        <v>0.03</v>
      </c>
      <c r="G111" s="8" t="s">
        <v>52</v>
      </c>
      <c r="H111" s="6" t="s">
        <v>92</v>
      </c>
    </row>
    <row r="112" customFormat="false" ht="15" hidden="false" customHeight="false" outlineLevel="0" collapsed="false">
      <c r="A112" s="0" t="s">
        <v>300</v>
      </c>
      <c r="B112" s="6" t="s">
        <v>301</v>
      </c>
      <c r="C112" s="0" t="s">
        <v>42</v>
      </c>
      <c r="E112" s="7" t="n">
        <v>0.05</v>
      </c>
      <c r="G112" s="8" t="s">
        <v>56</v>
      </c>
      <c r="H112" s="8" t="s">
        <v>302</v>
      </c>
    </row>
    <row r="113" customFormat="false" ht="15" hidden="false" customHeight="false" outlineLevel="0" collapsed="false">
      <c r="A113" s="0" t="s">
        <v>303</v>
      </c>
      <c r="B113" s="6" t="s">
        <v>304</v>
      </c>
      <c r="C113" s="0" t="s">
        <v>42</v>
      </c>
      <c r="E113" s="7" t="n">
        <v>0.02</v>
      </c>
      <c r="G113" s="8" t="s">
        <v>56</v>
      </c>
      <c r="H113" s="6" t="s">
        <v>92</v>
      </c>
    </row>
    <row r="114" customFormat="false" ht="15" hidden="false" customHeight="false" outlineLevel="0" collapsed="false">
      <c r="A114" s="0" t="s">
        <v>305</v>
      </c>
      <c r="B114" s="6" t="s">
        <v>306</v>
      </c>
      <c r="C114" s="0" t="s">
        <v>42</v>
      </c>
      <c r="E114" s="7" t="n">
        <v>-0.08</v>
      </c>
      <c r="G114" s="8" t="s">
        <v>56</v>
      </c>
      <c r="H114" s="6" t="s">
        <v>92</v>
      </c>
    </row>
    <row r="115" customFormat="false" ht="15" hidden="false" customHeight="false" outlineLevel="0" collapsed="false">
      <c r="A115" s="0" t="s">
        <v>307</v>
      </c>
      <c r="B115" s="6" t="s">
        <v>308</v>
      </c>
      <c r="C115" s="0" t="s">
        <v>42</v>
      </c>
      <c r="E115" s="7" t="n">
        <v>-0.15</v>
      </c>
      <c r="G115" s="8" t="s">
        <v>56</v>
      </c>
      <c r="H115" s="6" t="s">
        <v>92</v>
      </c>
    </row>
    <row r="116" customFormat="false" ht="15" hidden="false" customHeight="false" outlineLevel="0" collapsed="false">
      <c r="A116" s="0" t="s">
        <v>309</v>
      </c>
      <c r="B116" s="6" t="s">
        <v>310</v>
      </c>
      <c r="C116" s="0" t="s">
        <v>42</v>
      </c>
      <c r="E116" s="7" t="n">
        <v>-0.35</v>
      </c>
      <c r="G116" s="8" t="s">
        <v>56</v>
      </c>
      <c r="H116" s="6" t="s">
        <v>92</v>
      </c>
    </row>
    <row r="117" customFormat="false" ht="15" hidden="false" customHeight="false" outlineLevel="0" collapsed="false">
      <c r="A117" s="0" t="s">
        <v>311</v>
      </c>
      <c r="B117" s="6" t="s">
        <v>312</v>
      </c>
      <c r="C117" s="0" t="s">
        <v>42</v>
      </c>
      <c r="E117" s="7" t="n">
        <v>-0.3</v>
      </c>
      <c r="G117" s="8" t="s">
        <v>56</v>
      </c>
      <c r="H117" s="6" t="s">
        <v>92</v>
      </c>
    </row>
    <row r="118" customFormat="false" ht="15" hidden="false" customHeight="false" outlineLevel="0" collapsed="false">
      <c r="A118" s="0" t="s">
        <v>313</v>
      </c>
      <c r="B118" s="6" t="s">
        <v>314</v>
      </c>
      <c r="C118" s="0" t="s">
        <v>42</v>
      </c>
      <c r="E118" s="7" t="n">
        <v>-0.25</v>
      </c>
      <c r="G118" s="8" t="s">
        <v>56</v>
      </c>
      <c r="H118" s="6" t="s">
        <v>92</v>
      </c>
    </row>
    <row r="119" customFormat="false" ht="15" hidden="false" customHeight="false" outlineLevel="0" collapsed="false">
      <c r="A119" s="0" t="s">
        <v>315</v>
      </c>
      <c r="B119" s="6" t="s">
        <v>316</v>
      </c>
      <c r="C119" s="0" t="s">
        <v>42</v>
      </c>
      <c r="E119" s="7" t="n">
        <v>-0.2</v>
      </c>
      <c r="G119" s="8" t="s">
        <v>56</v>
      </c>
      <c r="H119" s="6" t="s">
        <v>92</v>
      </c>
    </row>
    <row r="120" customFormat="false" ht="15" hidden="false" customHeight="false" outlineLevel="0" collapsed="false">
      <c r="A120" s="0" t="s">
        <v>317</v>
      </c>
      <c r="B120" s="6" t="s">
        <v>318</v>
      </c>
      <c r="C120" s="0" t="s">
        <v>42</v>
      </c>
      <c r="E120" s="7" t="n">
        <v>0</v>
      </c>
      <c r="G120" s="8" t="s">
        <v>56</v>
      </c>
      <c r="H120" s="6" t="s">
        <v>92</v>
      </c>
    </row>
    <row r="121" customFormat="false" ht="15" hidden="false" customHeight="false" outlineLevel="0" collapsed="false">
      <c r="A121" s="0" t="s">
        <v>319</v>
      </c>
      <c r="B121" s="6" t="s">
        <v>320</v>
      </c>
      <c r="C121" s="0" t="s">
        <v>42</v>
      </c>
      <c r="E121" s="7" t="n">
        <v>0.05</v>
      </c>
      <c r="G121" s="8" t="s">
        <v>56</v>
      </c>
      <c r="H121" s="6" t="s">
        <v>92</v>
      </c>
    </row>
    <row r="122" customFormat="false" ht="15" hidden="false" customHeight="false" outlineLevel="0" collapsed="false">
      <c r="A122" s="0" t="s">
        <v>321</v>
      </c>
      <c r="B122" s="6" t="s">
        <v>322</v>
      </c>
      <c r="C122" s="0" t="s">
        <v>42</v>
      </c>
      <c r="E122" s="7" t="n">
        <v>0.08</v>
      </c>
      <c r="G122" s="8" t="s">
        <v>56</v>
      </c>
      <c r="H122" s="6" t="s">
        <v>92</v>
      </c>
    </row>
    <row r="123" customFormat="false" ht="15" hidden="false" customHeight="false" outlineLevel="0" collapsed="false">
      <c r="A123" s="0" t="s">
        <v>323</v>
      </c>
      <c r="B123" s="6" t="s">
        <v>324</v>
      </c>
      <c r="C123" s="0" t="s">
        <v>42</v>
      </c>
      <c r="E123" s="7" t="n">
        <v>0.1</v>
      </c>
      <c r="G123" s="8" t="s">
        <v>56</v>
      </c>
      <c r="H123" s="6" t="s">
        <v>92</v>
      </c>
    </row>
    <row r="124" customFormat="false" ht="15" hidden="false" customHeight="false" outlineLevel="0" collapsed="false">
      <c r="A124" s="0" t="s">
        <v>325</v>
      </c>
      <c r="B124" s="0" t="s">
        <v>326</v>
      </c>
      <c r="C124" s="0" t="s">
        <v>42</v>
      </c>
      <c r="E124" s="7" t="n">
        <v>0</v>
      </c>
      <c r="G124" s="8" t="s">
        <v>52</v>
      </c>
      <c r="H124" s="8" t="s">
        <v>327</v>
      </c>
    </row>
    <row r="125" customFormat="false" ht="15" hidden="false" customHeight="false" outlineLevel="0" collapsed="false">
      <c r="A125" s="0" t="s">
        <v>328</v>
      </c>
      <c r="B125" s="0" t="s">
        <v>329</v>
      </c>
      <c r="C125" s="0" t="s">
        <v>42</v>
      </c>
      <c r="E125" s="7" t="n">
        <v>0.05</v>
      </c>
      <c r="G125" s="8" t="s">
        <v>52</v>
      </c>
      <c r="H125" s="6" t="s">
        <v>92</v>
      </c>
    </row>
    <row r="126" customFormat="false" ht="15" hidden="false" customHeight="false" outlineLevel="0" collapsed="false">
      <c r="A126" s="0" t="s">
        <v>330</v>
      </c>
      <c r="B126" s="0" t="s">
        <v>331</v>
      </c>
      <c r="C126" s="0" t="s">
        <v>42</v>
      </c>
      <c r="E126" s="7" t="n">
        <v>0.3</v>
      </c>
      <c r="G126" s="8" t="s">
        <v>52</v>
      </c>
      <c r="H126" s="6" t="s">
        <v>92</v>
      </c>
    </row>
    <row r="127" customFormat="false" ht="15" hidden="false" customHeight="false" outlineLevel="0" collapsed="false">
      <c r="A127" s="0" t="s">
        <v>332</v>
      </c>
      <c r="B127" s="0" t="s">
        <v>333</v>
      </c>
      <c r="C127" s="0" t="s">
        <v>42</v>
      </c>
      <c r="E127" s="7" t="n">
        <v>0.875</v>
      </c>
      <c r="G127" s="8" t="s">
        <v>52</v>
      </c>
      <c r="H127" s="6" t="s">
        <v>92</v>
      </c>
    </row>
    <row r="128" customFormat="false" ht="15" hidden="false" customHeight="false" outlineLevel="0" collapsed="false">
      <c r="A128" s="0" t="s">
        <v>334</v>
      </c>
      <c r="B128" s="0" t="s">
        <v>335</v>
      </c>
      <c r="C128" s="0" t="s">
        <v>42</v>
      </c>
      <c r="E128" s="7" t="n">
        <v>0.725</v>
      </c>
      <c r="G128" s="8" t="s">
        <v>52</v>
      </c>
      <c r="H128" s="6" t="s">
        <v>92</v>
      </c>
    </row>
    <row r="129" customFormat="false" ht="15" hidden="false" customHeight="false" outlineLevel="0" collapsed="false">
      <c r="A129" s="0" t="s">
        <v>336</v>
      </c>
      <c r="B129" s="0" t="s">
        <v>337</v>
      </c>
      <c r="C129" s="0" t="s">
        <v>42</v>
      </c>
      <c r="E129" s="7" t="n">
        <v>0.15</v>
      </c>
      <c r="G129" s="8" t="s">
        <v>52</v>
      </c>
      <c r="H129" s="6" t="s">
        <v>92</v>
      </c>
    </row>
    <row r="130" customFormat="false" ht="15" hidden="false" customHeight="false" outlineLevel="0" collapsed="false">
      <c r="A130" s="0" t="s">
        <v>338</v>
      </c>
      <c r="B130" s="0" t="s">
        <v>339</v>
      </c>
      <c r="C130" s="0" t="s">
        <v>42</v>
      </c>
      <c r="E130" s="7" t="n">
        <v>0.175</v>
      </c>
      <c r="G130" s="8" t="s">
        <v>52</v>
      </c>
      <c r="H130" s="6" t="s">
        <v>92</v>
      </c>
    </row>
    <row r="131" customFormat="false" ht="15" hidden="false" customHeight="false" outlineLevel="0" collapsed="false">
      <c r="A131" s="0" t="s">
        <v>340</v>
      </c>
      <c r="B131" s="0" t="s">
        <v>341</v>
      </c>
      <c r="C131" s="0" t="s">
        <v>42</v>
      </c>
      <c r="E131" s="7" t="n">
        <v>0.03</v>
      </c>
      <c r="G131" s="8" t="s">
        <v>52</v>
      </c>
      <c r="H131" s="8" t="s">
        <v>342</v>
      </c>
    </row>
    <row r="132" customFormat="false" ht="15" hidden="false" customHeight="false" outlineLevel="0" collapsed="false">
      <c r="A132" s="0" t="s">
        <v>343</v>
      </c>
      <c r="B132" s="0" t="s">
        <v>344</v>
      </c>
      <c r="C132" s="0" t="s">
        <v>42</v>
      </c>
      <c r="E132" s="7" t="n">
        <v>0</v>
      </c>
      <c r="G132" s="8" t="s">
        <v>52</v>
      </c>
      <c r="H132" s="6" t="s">
        <v>92</v>
      </c>
    </row>
    <row r="133" customFormat="false" ht="15" hidden="false" customHeight="false" outlineLevel="0" collapsed="false">
      <c r="A133" s="0" t="s">
        <v>345</v>
      </c>
      <c r="B133" s="0" t="s">
        <v>346</v>
      </c>
      <c r="C133" s="0" t="s">
        <v>42</v>
      </c>
      <c r="E133" s="7" t="n">
        <v>-0.05</v>
      </c>
      <c r="G133" s="8" t="s">
        <v>52</v>
      </c>
      <c r="H133" s="6" t="s">
        <v>92</v>
      </c>
    </row>
    <row r="134" customFormat="false" ht="15" hidden="false" customHeight="false" outlineLevel="0" collapsed="false">
      <c r="A134" s="0" t="s">
        <v>347</v>
      </c>
      <c r="B134" s="0" t="s">
        <v>348</v>
      </c>
      <c r="C134" s="0" t="s">
        <v>42</v>
      </c>
      <c r="E134" s="7" t="n">
        <v>-0.07</v>
      </c>
      <c r="G134" s="8" t="s">
        <v>52</v>
      </c>
      <c r="H134" s="6" t="s">
        <v>92</v>
      </c>
    </row>
    <row r="135" customFormat="false" ht="15" hidden="false" customHeight="false" outlineLevel="0" collapsed="false">
      <c r="A135" s="0" t="s">
        <v>349</v>
      </c>
      <c r="B135" s="0" t="s">
        <v>350</v>
      </c>
      <c r="C135" s="0" t="s">
        <v>42</v>
      </c>
      <c r="E135" s="7" t="n">
        <v>-0.05</v>
      </c>
      <c r="G135" s="8" t="s">
        <v>52</v>
      </c>
      <c r="H135" s="6" t="s">
        <v>92</v>
      </c>
    </row>
    <row r="136" customFormat="false" ht="15" hidden="false" customHeight="false" outlineLevel="0" collapsed="false">
      <c r="A136" s="0" t="s">
        <v>351</v>
      </c>
      <c r="B136" s="0" t="s">
        <v>352</v>
      </c>
      <c r="C136" s="0" t="s">
        <v>42</v>
      </c>
      <c r="E136" s="7" t="n">
        <v>-0.05</v>
      </c>
      <c r="G136" s="8" t="s">
        <v>52</v>
      </c>
      <c r="H136" s="6" t="s">
        <v>92</v>
      </c>
    </row>
    <row r="137" customFormat="false" ht="15" hidden="false" customHeight="false" outlineLevel="0" collapsed="false">
      <c r="A137" s="0" t="s">
        <v>353</v>
      </c>
      <c r="B137" s="0" t="s">
        <v>354</v>
      </c>
      <c r="C137" s="0" t="s">
        <v>42</v>
      </c>
      <c r="E137" s="7" t="n">
        <v>-0.05</v>
      </c>
      <c r="G137" s="8" t="s">
        <v>52</v>
      </c>
      <c r="H137" s="6" t="s">
        <v>92</v>
      </c>
    </row>
    <row r="138" customFormat="false" ht="15" hidden="false" customHeight="false" outlineLevel="0" collapsed="false">
      <c r="A138" s="0" t="s">
        <v>355</v>
      </c>
      <c r="B138" s="0" t="s">
        <v>356</v>
      </c>
      <c r="C138" s="0" t="s">
        <v>42</v>
      </c>
      <c r="E138" s="7" t="n">
        <v>-0.05</v>
      </c>
      <c r="G138" s="8" t="s">
        <v>52</v>
      </c>
      <c r="H138" s="6" t="s">
        <v>92</v>
      </c>
    </row>
    <row r="139" customFormat="false" ht="15" hidden="false" customHeight="false" outlineLevel="0" collapsed="false">
      <c r="A139" s="0" t="s">
        <v>357</v>
      </c>
      <c r="B139" s="0" t="s">
        <v>358</v>
      </c>
      <c r="C139" s="0" t="s">
        <v>42</v>
      </c>
      <c r="E139" s="7" t="n">
        <v>-0.03</v>
      </c>
      <c r="G139" s="8" t="s">
        <v>52</v>
      </c>
      <c r="H139" s="6" t="s">
        <v>92</v>
      </c>
    </row>
    <row r="140" customFormat="false" ht="15" hidden="false" customHeight="false" outlineLevel="0" collapsed="false">
      <c r="A140" s="0" t="s">
        <v>359</v>
      </c>
      <c r="B140" s="0" t="s">
        <v>360</v>
      </c>
      <c r="C140" s="0" t="s">
        <v>42</v>
      </c>
      <c r="E140" s="7" t="n">
        <v>-0.03</v>
      </c>
      <c r="G140" s="8" t="s">
        <v>52</v>
      </c>
      <c r="H140" s="6" t="s">
        <v>92</v>
      </c>
    </row>
    <row r="141" customFormat="false" ht="15" hidden="false" customHeight="false" outlineLevel="0" collapsed="false">
      <c r="A141" s="0" t="s">
        <v>361</v>
      </c>
      <c r="B141" s="0" t="s">
        <v>362</v>
      </c>
      <c r="C141" s="0" t="s">
        <v>42</v>
      </c>
      <c r="E141" s="7" t="n">
        <v>-0.03</v>
      </c>
      <c r="G141" s="8" t="s">
        <v>52</v>
      </c>
      <c r="H141" s="6" t="s">
        <v>92</v>
      </c>
    </row>
    <row r="142" customFormat="false" ht="15" hidden="false" customHeight="false" outlineLevel="0" collapsed="false">
      <c r="A142" s="0" t="s">
        <v>363</v>
      </c>
      <c r="B142" s="0" t="s">
        <v>364</v>
      </c>
      <c r="C142" s="0" t="s">
        <v>42</v>
      </c>
      <c r="E142" s="7" t="n">
        <v>-0.03</v>
      </c>
      <c r="G142" s="8" t="s">
        <v>52</v>
      </c>
      <c r="H142" s="6" t="s">
        <v>92</v>
      </c>
    </row>
    <row r="143" customFormat="false" ht="15" hidden="false" customHeight="false" outlineLevel="0" collapsed="false">
      <c r="A143" s="0" t="s">
        <v>365</v>
      </c>
      <c r="B143" s="0" t="s">
        <v>366</v>
      </c>
      <c r="C143" s="0" t="s">
        <v>42</v>
      </c>
      <c r="E143" s="7" t="n">
        <v>0.05</v>
      </c>
      <c r="G143" s="8" t="s">
        <v>52</v>
      </c>
      <c r="H143" s="8" t="s">
        <v>367</v>
      </c>
    </row>
    <row r="144" customFormat="false" ht="15" hidden="false" customHeight="false" outlineLevel="0" collapsed="false">
      <c r="A144" s="0" t="s">
        <v>368</v>
      </c>
      <c r="B144" s="0" t="s">
        <v>369</v>
      </c>
      <c r="C144" s="0" t="s">
        <v>42</v>
      </c>
      <c r="E144" s="7" t="n">
        <v>0.02</v>
      </c>
      <c r="G144" s="8" t="s">
        <v>52</v>
      </c>
      <c r="H144" s="6" t="s">
        <v>92</v>
      </c>
    </row>
    <row r="145" customFormat="false" ht="15" hidden="false" customHeight="false" outlineLevel="0" collapsed="false">
      <c r="A145" s="0" t="s">
        <v>370</v>
      </c>
      <c r="B145" s="0" t="s">
        <v>371</v>
      </c>
      <c r="C145" s="0" t="s">
        <v>42</v>
      </c>
      <c r="E145" s="7" t="n">
        <v>-0.1</v>
      </c>
      <c r="G145" s="8" t="s">
        <v>52</v>
      </c>
      <c r="H145" s="6" t="s">
        <v>92</v>
      </c>
    </row>
    <row r="146" customFormat="false" ht="15" hidden="false" customHeight="false" outlineLevel="0" collapsed="false">
      <c r="A146" s="0" t="s">
        <v>372</v>
      </c>
      <c r="B146" s="0" t="s">
        <v>373</v>
      </c>
      <c r="C146" s="0" t="s">
        <v>42</v>
      </c>
      <c r="E146" s="7" t="n">
        <v>-0.2</v>
      </c>
      <c r="G146" s="8" t="s">
        <v>52</v>
      </c>
      <c r="H146" s="6" t="s">
        <v>92</v>
      </c>
    </row>
    <row r="147" customFormat="false" ht="15" hidden="false" customHeight="false" outlineLevel="0" collapsed="false">
      <c r="A147" s="0" t="s">
        <v>374</v>
      </c>
      <c r="B147" s="0" t="s">
        <v>375</v>
      </c>
      <c r="C147" s="0" t="s">
        <v>42</v>
      </c>
      <c r="E147" s="7" t="n">
        <v>-0.3</v>
      </c>
      <c r="G147" s="8" t="s">
        <v>52</v>
      </c>
      <c r="H147" s="6" t="s">
        <v>92</v>
      </c>
    </row>
    <row r="148" customFormat="false" ht="15" hidden="false" customHeight="false" outlineLevel="0" collapsed="false">
      <c r="A148" s="0" t="s">
        <v>376</v>
      </c>
      <c r="B148" s="0" t="s">
        <v>377</v>
      </c>
      <c r="C148" s="0" t="s">
        <v>42</v>
      </c>
      <c r="E148" s="7" t="n">
        <v>-0.25</v>
      </c>
      <c r="G148" s="8" t="s">
        <v>52</v>
      </c>
      <c r="H148" s="6" t="s">
        <v>92</v>
      </c>
    </row>
    <row r="149" customFormat="false" ht="15" hidden="false" customHeight="false" outlineLevel="0" collapsed="false">
      <c r="A149" s="0" t="s">
        <v>378</v>
      </c>
      <c r="B149" s="0" t="s">
        <v>379</v>
      </c>
      <c r="C149" s="0" t="s">
        <v>42</v>
      </c>
      <c r="E149" s="7" t="n">
        <v>-0.2</v>
      </c>
      <c r="G149" s="8" t="s">
        <v>52</v>
      </c>
      <c r="H149" s="6" t="s">
        <v>92</v>
      </c>
    </row>
    <row r="150" customFormat="false" ht="15" hidden="false" customHeight="false" outlineLevel="0" collapsed="false">
      <c r="A150" s="0" t="s">
        <v>380</v>
      </c>
      <c r="B150" s="0" t="s">
        <v>381</v>
      </c>
      <c r="C150" s="0" t="s">
        <v>42</v>
      </c>
      <c r="E150" s="7" t="n">
        <v>-0.1</v>
      </c>
      <c r="G150" s="8" t="s">
        <v>52</v>
      </c>
      <c r="H150" s="6" t="s">
        <v>92</v>
      </c>
    </row>
    <row r="151" customFormat="false" ht="15" hidden="false" customHeight="false" outlineLevel="0" collapsed="false">
      <c r="A151" s="0" t="s">
        <v>382</v>
      </c>
      <c r="B151" s="0" t="s">
        <v>383</v>
      </c>
      <c r="C151" s="0" t="s">
        <v>42</v>
      </c>
      <c r="E151" s="7" t="n">
        <v>0.05</v>
      </c>
      <c r="G151" s="8" t="s">
        <v>52</v>
      </c>
      <c r="H151" s="6" t="s">
        <v>92</v>
      </c>
    </row>
    <row r="152" customFormat="false" ht="15" hidden="false" customHeight="false" outlineLevel="0" collapsed="false">
      <c r="A152" s="0" t="s">
        <v>384</v>
      </c>
      <c r="B152" s="0" t="s">
        <v>385</v>
      </c>
      <c r="C152" s="0" t="s">
        <v>42</v>
      </c>
      <c r="E152" s="7" t="n">
        <v>0.05</v>
      </c>
      <c r="G152" s="8" t="s">
        <v>52</v>
      </c>
      <c r="H152" s="6" t="s">
        <v>92</v>
      </c>
    </row>
    <row r="153" customFormat="false" ht="15" hidden="false" customHeight="false" outlineLevel="0" collapsed="false">
      <c r="A153" s="0" t="s">
        <v>386</v>
      </c>
      <c r="B153" s="0" t="s">
        <v>387</v>
      </c>
      <c r="C153" s="0" t="s">
        <v>42</v>
      </c>
      <c r="E153" s="7" t="n">
        <v>0.03</v>
      </c>
      <c r="G153" s="8" t="s">
        <v>52</v>
      </c>
      <c r="H153" s="6" t="s">
        <v>92</v>
      </c>
    </row>
    <row r="154" customFormat="false" ht="15" hidden="false" customHeight="false" outlineLevel="0" collapsed="false">
      <c r="A154" s="0" t="s">
        <v>388</v>
      </c>
      <c r="B154" s="0" t="s">
        <v>389</v>
      </c>
      <c r="C154" s="0" t="s">
        <v>42</v>
      </c>
      <c r="E154" s="7" t="n">
        <v>0.03</v>
      </c>
      <c r="G154" s="8" t="s">
        <v>52</v>
      </c>
      <c r="H154" s="6" t="s">
        <v>92</v>
      </c>
    </row>
    <row r="155" customFormat="false" ht="15" hidden="false" customHeight="false" outlineLevel="0" collapsed="false">
      <c r="A155" s="0" t="s">
        <v>390</v>
      </c>
      <c r="B155" s="0" t="s">
        <v>391</v>
      </c>
      <c r="C155" s="0" t="s">
        <v>42</v>
      </c>
      <c r="E155" s="7" t="n">
        <v>0.05</v>
      </c>
      <c r="G155" s="8" t="s">
        <v>56</v>
      </c>
      <c r="H155" s="8" t="s">
        <v>392</v>
      </c>
    </row>
    <row r="156" customFormat="false" ht="15" hidden="false" customHeight="false" outlineLevel="0" collapsed="false">
      <c r="A156" s="0" t="s">
        <v>393</v>
      </c>
      <c r="B156" s="0" t="s">
        <v>394</v>
      </c>
      <c r="C156" s="0" t="s">
        <v>42</v>
      </c>
      <c r="E156" s="7" t="n">
        <v>0.02</v>
      </c>
      <c r="G156" s="8" t="s">
        <v>56</v>
      </c>
      <c r="H156" s="6" t="s">
        <v>92</v>
      </c>
    </row>
    <row r="157" customFormat="false" ht="15" hidden="false" customHeight="false" outlineLevel="0" collapsed="false">
      <c r="A157" s="0" t="s">
        <v>395</v>
      </c>
      <c r="B157" s="0" t="s">
        <v>396</v>
      </c>
      <c r="C157" s="0" t="s">
        <v>42</v>
      </c>
      <c r="E157" s="7" t="n">
        <v>-0.1</v>
      </c>
      <c r="G157" s="8" t="s">
        <v>56</v>
      </c>
      <c r="H157" s="6" t="s">
        <v>92</v>
      </c>
    </row>
    <row r="158" customFormat="false" ht="15" hidden="false" customHeight="false" outlineLevel="0" collapsed="false">
      <c r="A158" s="0" t="s">
        <v>397</v>
      </c>
      <c r="B158" s="0" t="s">
        <v>398</v>
      </c>
      <c r="C158" s="0" t="s">
        <v>42</v>
      </c>
      <c r="E158" s="7" t="n">
        <v>-0.2</v>
      </c>
      <c r="G158" s="8" t="s">
        <v>56</v>
      </c>
      <c r="H158" s="6" t="s">
        <v>92</v>
      </c>
    </row>
    <row r="159" customFormat="false" ht="15" hidden="false" customHeight="false" outlineLevel="0" collapsed="false">
      <c r="A159" s="0" t="s">
        <v>399</v>
      </c>
      <c r="B159" s="0" t="s">
        <v>400</v>
      </c>
      <c r="C159" s="0" t="s">
        <v>42</v>
      </c>
      <c r="E159" s="7" t="n">
        <v>-0.35</v>
      </c>
      <c r="G159" s="8" t="s">
        <v>56</v>
      </c>
      <c r="H159" s="6" t="s">
        <v>92</v>
      </c>
    </row>
    <row r="160" customFormat="false" ht="15" hidden="false" customHeight="false" outlineLevel="0" collapsed="false">
      <c r="A160" s="0" t="s">
        <v>401</v>
      </c>
      <c r="B160" s="0" t="s">
        <v>402</v>
      </c>
      <c r="C160" s="0" t="s">
        <v>42</v>
      </c>
      <c r="E160" s="7" t="n">
        <v>-0.35</v>
      </c>
      <c r="G160" s="8" t="s">
        <v>56</v>
      </c>
      <c r="H160" s="6" t="s">
        <v>92</v>
      </c>
    </row>
    <row r="161" customFormat="false" ht="15" hidden="false" customHeight="false" outlineLevel="0" collapsed="false">
      <c r="A161" s="0" t="s">
        <v>403</v>
      </c>
      <c r="B161" s="0" t="s">
        <v>404</v>
      </c>
      <c r="C161" s="0" t="s">
        <v>42</v>
      </c>
      <c r="E161" s="7" t="n">
        <v>-0.25</v>
      </c>
      <c r="G161" s="8" t="s">
        <v>56</v>
      </c>
      <c r="H161" s="6" t="s">
        <v>92</v>
      </c>
    </row>
    <row r="162" customFormat="false" ht="15" hidden="false" customHeight="false" outlineLevel="0" collapsed="false">
      <c r="A162" s="0" t="s">
        <v>405</v>
      </c>
      <c r="B162" s="0" t="s">
        <v>406</v>
      </c>
      <c r="C162" s="0" t="s">
        <v>42</v>
      </c>
      <c r="E162" s="7" t="n">
        <v>-0.2</v>
      </c>
      <c r="G162" s="8" t="s">
        <v>56</v>
      </c>
      <c r="H162" s="6" t="s">
        <v>92</v>
      </c>
    </row>
    <row r="163" customFormat="false" ht="15" hidden="false" customHeight="false" outlineLevel="0" collapsed="false">
      <c r="A163" s="0" t="s">
        <v>407</v>
      </c>
      <c r="B163" s="0" t="s">
        <v>408</v>
      </c>
      <c r="C163" s="0" t="s">
        <v>42</v>
      </c>
      <c r="E163" s="7" t="n">
        <v>0</v>
      </c>
      <c r="G163" s="8" t="s">
        <v>56</v>
      </c>
      <c r="H163" s="6" t="s">
        <v>92</v>
      </c>
    </row>
    <row r="164" customFormat="false" ht="15" hidden="false" customHeight="false" outlineLevel="0" collapsed="false">
      <c r="A164" s="0" t="s">
        <v>409</v>
      </c>
      <c r="B164" s="0" t="s">
        <v>410</v>
      </c>
      <c r="C164" s="0" t="s">
        <v>42</v>
      </c>
      <c r="E164" s="7" t="n">
        <v>0.05</v>
      </c>
      <c r="G164" s="8" t="s">
        <v>56</v>
      </c>
      <c r="H164" s="6" t="s">
        <v>92</v>
      </c>
    </row>
    <row r="165" customFormat="false" ht="15" hidden="false" customHeight="false" outlineLevel="0" collapsed="false">
      <c r="A165" s="0" t="s">
        <v>411</v>
      </c>
      <c r="B165" s="0" t="s">
        <v>412</v>
      </c>
      <c r="C165" s="0" t="s">
        <v>42</v>
      </c>
      <c r="E165" s="7" t="n">
        <v>0.08</v>
      </c>
      <c r="G165" s="8" t="s">
        <v>56</v>
      </c>
      <c r="H165" s="6" t="s">
        <v>92</v>
      </c>
    </row>
    <row r="166" customFormat="false" ht="15" hidden="false" customHeight="false" outlineLevel="0" collapsed="false">
      <c r="A166" s="0" t="s">
        <v>413</v>
      </c>
      <c r="B166" s="0" t="s">
        <v>414</v>
      </c>
      <c r="C166" s="0" t="s">
        <v>42</v>
      </c>
      <c r="E166" s="7" t="n">
        <v>0.1</v>
      </c>
      <c r="G166" s="8" t="s">
        <v>56</v>
      </c>
      <c r="H166" s="6" t="s">
        <v>92</v>
      </c>
    </row>
    <row r="167" customFormat="false" ht="15" hidden="false" customHeight="false" outlineLevel="0" collapsed="false">
      <c r="A167" s="1" t="s">
        <v>415</v>
      </c>
    </row>
    <row r="168" customFormat="false" ht="15" hidden="false" customHeight="false" outlineLevel="0" collapsed="false">
      <c r="A168" s="0" t="s">
        <v>416</v>
      </c>
      <c r="B168" s="0" t="s">
        <v>417</v>
      </c>
      <c r="C168" s="6" t="s">
        <v>418</v>
      </c>
      <c r="E168" s="7" t="n">
        <v>5.4</v>
      </c>
      <c r="G168" s="8" t="s">
        <v>52</v>
      </c>
      <c r="H168" s="6" t="s">
        <v>419</v>
      </c>
    </row>
    <row r="169" customFormat="false" ht="15" hidden="false" customHeight="false" outlineLevel="0" collapsed="false">
      <c r="A169" s="0" t="s">
        <v>420</v>
      </c>
      <c r="B169" s="0" t="s">
        <v>421</v>
      </c>
      <c r="C169" s="6" t="s">
        <v>418</v>
      </c>
      <c r="E169" s="7" t="n">
        <v>2.4</v>
      </c>
      <c r="G169" s="8" t="s">
        <v>52</v>
      </c>
      <c r="H169" s="6" t="s">
        <v>92</v>
      </c>
    </row>
    <row r="170" customFormat="false" ht="15" hidden="false" customHeight="false" outlineLevel="0" collapsed="false">
      <c r="A170" s="0" t="s">
        <v>422</v>
      </c>
      <c r="B170" s="0" t="s">
        <v>423</v>
      </c>
      <c r="C170" s="6" t="s">
        <v>418</v>
      </c>
      <c r="E170" s="7" t="n">
        <v>0.5</v>
      </c>
      <c r="G170" s="8" t="s">
        <v>52</v>
      </c>
      <c r="H170" s="6" t="s">
        <v>92</v>
      </c>
    </row>
    <row r="171" customFormat="false" ht="15" hidden="false" customHeight="false" outlineLevel="0" collapsed="false">
      <c r="A171" s="0" t="s">
        <v>424</v>
      </c>
      <c r="B171" s="0" t="s">
        <v>425</v>
      </c>
      <c r="C171" s="0" t="s">
        <v>426</v>
      </c>
      <c r="E171" s="7" t="n">
        <v>260</v>
      </c>
      <c r="G171" s="8" t="s">
        <v>52</v>
      </c>
      <c r="H171" s="6" t="s">
        <v>92</v>
      </c>
    </row>
    <row r="172" customFormat="false" ht="15" hidden="false" customHeight="false" outlineLevel="0" collapsed="false">
      <c r="A172" s="0" t="s">
        <v>427</v>
      </c>
      <c r="B172" s="0" t="s">
        <v>428</v>
      </c>
      <c r="C172" s="0" t="s">
        <v>426</v>
      </c>
      <c r="E172" s="7" t="n">
        <v>280</v>
      </c>
      <c r="G172" s="8" t="s">
        <v>52</v>
      </c>
      <c r="H172" s="6" t="s">
        <v>92</v>
      </c>
    </row>
    <row r="173" customFormat="false" ht="15" hidden="false" customHeight="false" outlineLevel="0" collapsed="false">
      <c r="A173" s="0" t="s">
        <v>429</v>
      </c>
      <c r="B173" s="0" t="s">
        <v>430</v>
      </c>
      <c r="C173" s="0" t="s">
        <v>426</v>
      </c>
      <c r="E173" s="7" t="n">
        <v>288</v>
      </c>
      <c r="G173" s="8" t="s">
        <v>52</v>
      </c>
      <c r="H173" s="6" t="s">
        <v>92</v>
      </c>
    </row>
    <row r="174" customFormat="false" ht="15" hidden="false" customHeight="false" outlineLevel="0" collapsed="false">
      <c r="A174" s="0" t="s">
        <v>431</v>
      </c>
      <c r="B174" s="0" t="s">
        <v>432</v>
      </c>
      <c r="C174" s="6" t="s">
        <v>418</v>
      </c>
      <c r="E174" s="7" t="n">
        <v>1.7</v>
      </c>
      <c r="G174" s="8" t="s">
        <v>52</v>
      </c>
      <c r="H174" s="8" t="s">
        <v>433</v>
      </c>
    </row>
    <row r="175" customFormat="false" ht="15" hidden="false" customHeight="false" outlineLevel="0" collapsed="false">
      <c r="A175" s="0" t="s">
        <v>434</v>
      </c>
      <c r="B175" s="0" t="s">
        <v>435</v>
      </c>
      <c r="C175" s="6" t="s">
        <v>418</v>
      </c>
      <c r="E175" s="7" t="n">
        <v>7</v>
      </c>
      <c r="G175" s="8" t="s">
        <v>52</v>
      </c>
      <c r="H175" s="6" t="s">
        <v>92</v>
      </c>
    </row>
    <row r="176" customFormat="false" ht="15" hidden="false" customHeight="false" outlineLevel="0" collapsed="false">
      <c r="A176" s="0" t="s">
        <v>436</v>
      </c>
      <c r="B176" s="0" t="s">
        <v>437</v>
      </c>
      <c r="C176" s="6" t="s">
        <v>418</v>
      </c>
      <c r="E176" s="7" t="n">
        <v>7</v>
      </c>
      <c r="G176" s="8" t="s">
        <v>52</v>
      </c>
      <c r="H176" s="6" t="s">
        <v>92</v>
      </c>
    </row>
    <row r="177" customFormat="false" ht="15" hidden="false" customHeight="false" outlineLevel="0" collapsed="false">
      <c r="A177" s="0" t="s">
        <v>438</v>
      </c>
      <c r="B177" s="0" t="s">
        <v>439</v>
      </c>
      <c r="C177" s="0" t="s">
        <v>426</v>
      </c>
      <c r="E177" s="7" t="n">
        <v>288</v>
      </c>
      <c r="G177" s="8" t="s">
        <v>52</v>
      </c>
      <c r="H177" s="6" t="s">
        <v>92</v>
      </c>
    </row>
    <row r="178" customFormat="false" ht="15" hidden="false" customHeight="false" outlineLevel="0" collapsed="false">
      <c r="A178" s="0" t="s">
        <v>440</v>
      </c>
      <c r="B178" s="0" t="s">
        <v>441</v>
      </c>
      <c r="C178" s="0" t="s">
        <v>426</v>
      </c>
      <c r="E178" s="7" t="n">
        <v>288</v>
      </c>
      <c r="G178" s="8" t="s">
        <v>52</v>
      </c>
      <c r="H178" s="6" t="s">
        <v>92</v>
      </c>
    </row>
    <row r="179" customFormat="false" ht="15" hidden="false" customHeight="false" outlineLevel="0" collapsed="false">
      <c r="A179" s="0" t="s">
        <v>442</v>
      </c>
      <c r="B179" s="0" t="s">
        <v>443</v>
      </c>
      <c r="C179" s="0" t="s">
        <v>426</v>
      </c>
      <c r="E179" s="7" t="n">
        <v>288</v>
      </c>
      <c r="G179" s="8" t="s">
        <v>52</v>
      </c>
      <c r="H179" s="6" t="s">
        <v>92</v>
      </c>
    </row>
    <row r="180" customFormat="false" ht="15" hidden="false" customHeight="false" outlineLevel="0" collapsed="false">
      <c r="A180" s="0" t="s">
        <v>444</v>
      </c>
      <c r="B180" s="0" t="s">
        <v>445</v>
      </c>
      <c r="C180" s="6" t="s">
        <v>418</v>
      </c>
      <c r="E180" s="7" t="n">
        <v>0</v>
      </c>
      <c r="G180" s="8" t="s">
        <v>56</v>
      </c>
      <c r="H180" s="6" t="s">
        <v>446</v>
      </c>
    </row>
    <row r="181" customFormat="false" ht="15" hidden="false" customHeight="false" outlineLevel="0" collapsed="false">
      <c r="A181" s="0" t="s">
        <v>447</v>
      </c>
      <c r="B181" s="0" t="s">
        <v>448</v>
      </c>
      <c r="C181" s="6" t="s">
        <v>418</v>
      </c>
      <c r="E181" s="7" t="n">
        <v>0.3</v>
      </c>
      <c r="G181" s="8" t="s">
        <v>56</v>
      </c>
      <c r="H181" s="6" t="s">
        <v>92</v>
      </c>
    </row>
    <row r="182" customFormat="false" ht="15" hidden="false" customHeight="false" outlineLevel="0" collapsed="false">
      <c r="A182" s="0" t="s">
        <v>449</v>
      </c>
      <c r="B182" s="0" t="s">
        <v>450</v>
      </c>
      <c r="C182" s="6" t="s">
        <v>418</v>
      </c>
      <c r="E182" s="7" t="n">
        <v>2</v>
      </c>
      <c r="G182" s="8" t="s">
        <v>56</v>
      </c>
      <c r="H182" s="6" t="s">
        <v>92</v>
      </c>
    </row>
    <row r="183" customFormat="false" ht="15" hidden="false" customHeight="false" outlineLevel="0" collapsed="false">
      <c r="A183" s="0" t="s">
        <v>451</v>
      </c>
      <c r="B183" s="0" t="s">
        <v>452</v>
      </c>
      <c r="C183" s="0" t="s">
        <v>426</v>
      </c>
      <c r="E183" s="7" t="n">
        <v>1024</v>
      </c>
      <c r="G183" s="8" t="s">
        <v>56</v>
      </c>
      <c r="H183" s="6" t="s">
        <v>92</v>
      </c>
    </row>
    <row r="184" customFormat="false" ht="15" hidden="false" customHeight="false" outlineLevel="0" collapsed="false">
      <c r="A184" s="0" t="s">
        <v>453</v>
      </c>
      <c r="B184" s="0" t="s">
        <v>454</v>
      </c>
      <c r="C184" s="0" t="s">
        <v>426</v>
      </c>
      <c r="E184" s="7" t="n">
        <v>1024</v>
      </c>
      <c r="G184" s="8" t="s">
        <v>56</v>
      </c>
      <c r="H184" s="6" t="s">
        <v>92</v>
      </c>
    </row>
    <row r="185" customFormat="false" ht="15" hidden="false" customHeight="false" outlineLevel="0" collapsed="false">
      <c r="A185" s="0" t="s">
        <v>455</v>
      </c>
      <c r="B185" s="0" t="s">
        <v>456</v>
      </c>
      <c r="C185" s="0" t="s">
        <v>426</v>
      </c>
      <c r="E185" s="7" t="n">
        <v>1024</v>
      </c>
      <c r="G185" s="8" t="s">
        <v>56</v>
      </c>
      <c r="H185" s="6" t="s">
        <v>92</v>
      </c>
    </row>
    <row r="186" customFormat="false" ht="15" hidden="false" customHeight="false" outlineLevel="0" collapsed="false">
      <c r="A186" s="0" t="s">
        <v>457</v>
      </c>
      <c r="B186" s="0" t="s">
        <v>458</v>
      </c>
      <c r="C186" s="6" t="s">
        <v>418</v>
      </c>
      <c r="E186" s="7" t="n">
        <v>0.5</v>
      </c>
      <c r="G186" s="8" t="s">
        <v>52</v>
      </c>
      <c r="H186" s="8" t="s">
        <v>459</v>
      </c>
    </row>
    <row r="187" customFormat="false" ht="15" hidden="false" customHeight="false" outlineLevel="0" collapsed="false">
      <c r="A187" s="0" t="s">
        <v>460</v>
      </c>
      <c r="B187" s="0" t="s">
        <v>461</v>
      </c>
      <c r="C187" s="6" t="s">
        <v>418</v>
      </c>
      <c r="E187" s="7" t="n">
        <v>0</v>
      </c>
      <c r="G187" s="8" t="s">
        <v>52</v>
      </c>
      <c r="H187" s="6" t="s">
        <v>92</v>
      </c>
    </row>
    <row r="188" customFormat="false" ht="15" hidden="false" customHeight="false" outlineLevel="0" collapsed="false">
      <c r="A188" s="0" t="s">
        <v>462</v>
      </c>
      <c r="B188" s="0" t="s">
        <v>463</v>
      </c>
      <c r="C188" s="6" t="s">
        <v>418</v>
      </c>
      <c r="E188" s="7" t="n">
        <v>0</v>
      </c>
      <c r="G188" s="8" t="s">
        <v>52</v>
      </c>
      <c r="H188" s="6" t="s">
        <v>92</v>
      </c>
    </row>
    <row r="189" customFormat="false" ht="15" hidden="false" customHeight="false" outlineLevel="0" collapsed="false">
      <c r="A189" s="0" t="s">
        <v>464</v>
      </c>
      <c r="B189" s="0" t="s">
        <v>465</v>
      </c>
      <c r="C189" s="0" t="s">
        <v>426</v>
      </c>
      <c r="E189" s="7" t="n">
        <v>141</v>
      </c>
      <c r="G189" s="8" t="s">
        <v>52</v>
      </c>
      <c r="H189" s="6" t="s">
        <v>92</v>
      </c>
    </row>
    <row r="190" customFormat="false" ht="15" hidden="false" customHeight="false" outlineLevel="0" collapsed="false">
      <c r="A190" s="0" t="s">
        <v>466</v>
      </c>
      <c r="B190" s="0" t="s">
        <v>467</v>
      </c>
      <c r="C190" s="0" t="s">
        <v>426</v>
      </c>
      <c r="E190" s="7" t="n">
        <v>141</v>
      </c>
      <c r="G190" s="8" t="s">
        <v>52</v>
      </c>
      <c r="H190" s="6" t="s">
        <v>92</v>
      </c>
    </row>
    <row r="191" customFormat="false" ht="15" hidden="false" customHeight="false" outlineLevel="0" collapsed="false">
      <c r="A191" s="0" t="s">
        <v>468</v>
      </c>
      <c r="B191" s="0" t="s">
        <v>469</v>
      </c>
      <c r="C191" s="0" t="s">
        <v>426</v>
      </c>
      <c r="E191" s="7" t="n">
        <v>141</v>
      </c>
      <c r="G191" s="8" t="s">
        <v>52</v>
      </c>
      <c r="H191" s="6" t="s">
        <v>92</v>
      </c>
    </row>
    <row r="192" customFormat="false" ht="15" hidden="false" customHeight="false" outlineLevel="0" collapsed="false">
      <c r="A192" s="0" t="s">
        <v>470</v>
      </c>
      <c r="B192" s="0" t="s">
        <v>471</v>
      </c>
      <c r="C192" s="6" t="s">
        <v>418</v>
      </c>
      <c r="E192" s="7" t="n">
        <v>0.75</v>
      </c>
      <c r="G192" s="8" t="s">
        <v>472</v>
      </c>
      <c r="H192" s="8" t="s">
        <v>473</v>
      </c>
    </row>
    <row r="193" customFormat="false" ht="15" hidden="false" customHeight="false" outlineLevel="0" collapsed="false">
      <c r="A193" s="0" t="s">
        <v>474</v>
      </c>
      <c r="B193" s="0" t="s">
        <v>475</v>
      </c>
      <c r="C193" s="6" t="s">
        <v>418</v>
      </c>
      <c r="E193" s="7" t="n">
        <v>1.5</v>
      </c>
      <c r="G193" s="8" t="s">
        <v>472</v>
      </c>
      <c r="H193" s="6" t="s">
        <v>92</v>
      </c>
    </row>
    <row r="194" customFormat="false" ht="15" hidden="false" customHeight="false" outlineLevel="0" collapsed="false">
      <c r="A194" s="0" t="s">
        <v>476</v>
      </c>
      <c r="B194" s="0" t="s">
        <v>477</v>
      </c>
      <c r="C194" s="6" t="s">
        <v>418</v>
      </c>
      <c r="E194" s="7" t="n">
        <v>2</v>
      </c>
      <c r="G194" s="8" t="s">
        <v>472</v>
      </c>
      <c r="H194" s="6" t="s">
        <v>92</v>
      </c>
    </row>
    <row r="195" customFormat="false" ht="15" hidden="false" customHeight="false" outlineLevel="0" collapsed="false">
      <c r="A195" s="0" t="s">
        <v>478</v>
      </c>
      <c r="B195" s="0" t="s">
        <v>479</v>
      </c>
      <c r="C195" s="0" t="s">
        <v>426</v>
      </c>
      <c r="E195" s="7" t="n">
        <v>288</v>
      </c>
      <c r="G195" s="8" t="s">
        <v>472</v>
      </c>
      <c r="H195" s="6" t="s">
        <v>92</v>
      </c>
    </row>
    <row r="196" customFormat="false" ht="15" hidden="false" customHeight="false" outlineLevel="0" collapsed="false">
      <c r="A196" s="0" t="s">
        <v>480</v>
      </c>
      <c r="B196" s="0" t="s">
        <v>481</v>
      </c>
      <c r="C196" s="0" t="s">
        <v>426</v>
      </c>
      <c r="E196" s="7" t="n">
        <v>360</v>
      </c>
      <c r="G196" s="8" t="s">
        <v>472</v>
      </c>
      <c r="H196" s="6" t="s">
        <v>92</v>
      </c>
    </row>
    <row r="197" customFormat="false" ht="15" hidden="false" customHeight="false" outlineLevel="0" collapsed="false">
      <c r="A197" s="0" t="s">
        <v>482</v>
      </c>
      <c r="B197" s="0" t="s">
        <v>483</v>
      </c>
      <c r="C197" s="0" t="s">
        <v>426</v>
      </c>
      <c r="E197" s="7" t="n">
        <v>432</v>
      </c>
      <c r="G197" s="8" t="s">
        <v>472</v>
      </c>
      <c r="H197" s="6" t="s">
        <v>92</v>
      </c>
    </row>
    <row r="198" customFormat="false" ht="15" hidden="false" customHeight="false" outlineLevel="0" collapsed="false">
      <c r="A198" s="0" t="s">
        <v>484</v>
      </c>
      <c r="B198" s="0" t="s">
        <v>485</v>
      </c>
      <c r="C198" s="6" t="s">
        <v>418</v>
      </c>
      <c r="E198" s="7" t="n">
        <v>3.85</v>
      </c>
      <c r="G198" s="8" t="s">
        <v>52</v>
      </c>
      <c r="H198" s="8" t="s">
        <v>486</v>
      </c>
    </row>
    <row r="199" customFormat="false" ht="15" hidden="false" customHeight="false" outlineLevel="0" collapsed="false">
      <c r="A199" s="0" t="s">
        <v>487</v>
      </c>
      <c r="B199" s="0" t="s">
        <v>488</v>
      </c>
      <c r="C199" s="6" t="s">
        <v>418</v>
      </c>
      <c r="E199" s="7" t="n">
        <v>5.5</v>
      </c>
      <c r="G199" s="8" t="s">
        <v>52</v>
      </c>
      <c r="H199" s="6" t="s">
        <v>92</v>
      </c>
    </row>
    <row r="200" customFormat="false" ht="15" hidden="false" customHeight="false" outlineLevel="0" collapsed="false">
      <c r="A200" s="0" t="s">
        <v>489</v>
      </c>
      <c r="B200" s="0" t="s">
        <v>490</v>
      </c>
      <c r="C200" s="6" t="s">
        <v>418</v>
      </c>
      <c r="E200" s="7" t="n">
        <v>7</v>
      </c>
      <c r="G200" s="8" t="s">
        <v>52</v>
      </c>
      <c r="H200" s="6" t="s">
        <v>92</v>
      </c>
    </row>
    <row r="201" customFormat="false" ht="15" hidden="false" customHeight="false" outlineLevel="0" collapsed="false">
      <c r="A201" s="0" t="s">
        <v>491</v>
      </c>
      <c r="B201" s="0" t="s">
        <v>492</v>
      </c>
      <c r="C201" s="0" t="s">
        <v>426</v>
      </c>
      <c r="E201" s="7" t="n">
        <v>192</v>
      </c>
      <c r="G201" s="8" t="s">
        <v>52</v>
      </c>
      <c r="H201" s="6" t="s">
        <v>92</v>
      </c>
    </row>
    <row r="202" customFormat="false" ht="15" hidden="false" customHeight="false" outlineLevel="0" collapsed="false">
      <c r="A202" s="0" t="s">
        <v>493</v>
      </c>
      <c r="B202" s="0" t="s">
        <v>494</v>
      </c>
      <c r="C202" s="0" t="s">
        <v>426</v>
      </c>
      <c r="E202" s="7" t="n">
        <v>250</v>
      </c>
      <c r="G202" s="8" t="s">
        <v>52</v>
      </c>
      <c r="H202" s="6" t="s">
        <v>92</v>
      </c>
    </row>
    <row r="203" customFormat="false" ht="15" hidden="false" customHeight="false" outlineLevel="0" collapsed="false">
      <c r="A203" s="0" t="s">
        <v>495</v>
      </c>
      <c r="B203" s="0" t="s">
        <v>496</v>
      </c>
      <c r="C203" s="0" t="s">
        <v>426</v>
      </c>
      <c r="E203" s="7" t="n">
        <v>288</v>
      </c>
      <c r="G203" s="8" t="s">
        <v>52</v>
      </c>
      <c r="H203" s="6" t="s">
        <v>92</v>
      </c>
    </row>
    <row r="204" customFormat="false" ht="15" hidden="false" customHeight="false" outlineLevel="0" collapsed="false">
      <c r="A204" s="0" t="s">
        <v>497</v>
      </c>
      <c r="B204" s="0" t="s">
        <v>498</v>
      </c>
      <c r="C204" s="6" t="s">
        <v>418</v>
      </c>
      <c r="E204" s="7" t="n">
        <v>2</v>
      </c>
      <c r="G204" s="8" t="s">
        <v>56</v>
      </c>
      <c r="H204" s="6" t="s">
        <v>499</v>
      </c>
    </row>
    <row r="205" customFormat="false" ht="15" hidden="false" customHeight="false" outlineLevel="0" collapsed="false">
      <c r="A205" s="0" t="s">
        <v>500</v>
      </c>
      <c r="B205" s="0" t="s">
        <v>501</v>
      </c>
      <c r="C205" s="6" t="s">
        <v>418</v>
      </c>
      <c r="E205" s="7" t="n">
        <v>2.5</v>
      </c>
      <c r="G205" s="8" t="s">
        <v>56</v>
      </c>
      <c r="H205" s="6" t="s">
        <v>92</v>
      </c>
    </row>
    <row r="206" customFormat="false" ht="15" hidden="false" customHeight="false" outlineLevel="0" collapsed="false">
      <c r="A206" s="0" t="s">
        <v>502</v>
      </c>
      <c r="B206" s="0" t="s">
        <v>503</v>
      </c>
      <c r="C206" s="6" t="s">
        <v>418</v>
      </c>
      <c r="E206" s="7" t="n">
        <v>3</v>
      </c>
      <c r="G206" s="8" t="s">
        <v>56</v>
      </c>
      <c r="H206" s="6" t="s">
        <v>92</v>
      </c>
    </row>
    <row r="207" customFormat="false" ht="15" hidden="false" customHeight="false" outlineLevel="0" collapsed="false">
      <c r="A207" s="0" t="s">
        <v>504</v>
      </c>
      <c r="B207" s="0" t="s">
        <v>505</v>
      </c>
      <c r="C207" s="0" t="s">
        <v>426</v>
      </c>
      <c r="E207" s="7" t="n">
        <v>110</v>
      </c>
      <c r="G207" s="8" t="s">
        <v>56</v>
      </c>
      <c r="H207" s="6" t="s">
        <v>92</v>
      </c>
    </row>
    <row r="208" customFormat="false" ht="15" hidden="false" customHeight="false" outlineLevel="0" collapsed="false">
      <c r="A208" s="0" t="s">
        <v>506</v>
      </c>
      <c r="B208" s="0" t="s">
        <v>507</v>
      </c>
      <c r="C208" s="0" t="s">
        <v>426</v>
      </c>
      <c r="E208" s="7" t="n">
        <v>144</v>
      </c>
      <c r="G208" s="8" t="s">
        <v>56</v>
      </c>
      <c r="H208" s="6" t="s">
        <v>92</v>
      </c>
    </row>
    <row r="209" customFormat="false" ht="15" hidden="false" customHeight="false" outlineLevel="0" collapsed="false">
      <c r="A209" s="0" t="s">
        <v>508</v>
      </c>
      <c r="B209" s="0" t="s">
        <v>509</v>
      </c>
      <c r="C209" s="0" t="s">
        <v>426</v>
      </c>
      <c r="E209" s="7" t="n">
        <v>200</v>
      </c>
      <c r="G209" s="8" t="s">
        <v>56</v>
      </c>
      <c r="H209" s="6" t="s">
        <v>92</v>
      </c>
    </row>
    <row r="210" customFormat="false" ht="15" hidden="false" customHeight="false" outlineLevel="0" collapsed="false">
      <c r="A210" s="0" t="s">
        <v>510</v>
      </c>
      <c r="B210" s="6" t="s">
        <v>511</v>
      </c>
      <c r="C210" s="6" t="s">
        <v>418</v>
      </c>
      <c r="E210" s="7" t="n">
        <v>1</v>
      </c>
      <c r="G210" s="8" t="s">
        <v>512</v>
      </c>
      <c r="H210" s="8" t="s">
        <v>513</v>
      </c>
    </row>
    <row r="211" customFormat="false" ht="15" hidden="false" customHeight="false" outlineLevel="0" collapsed="false">
      <c r="A211" s="0" t="s">
        <v>514</v>
      </c>
      <c r="B211" s="6" t="s">
        <v>515</v>
      </c>
      <c r="C211" s="6" t="s">
        <v>418</v>
      </c>
      <c r="E211" s="7" t="n">
        <v>4.5</v>
      </c>
      <c r="G211" s="8" t="s">
        <v>512</v>
      </c>
      <c r="H211" s="6" t="s">
        <v>92</v>
      </c>
    </row>
    <row r="212" customFormat="false" ht="15" hidden="false" customHeight="false" outlineLevel="0" collapsed="false">
      <c r="A212" s="0" t="s">
        <v>516</v>
      </c>
      <c r="B212" s="6" t="s">
        <v>517</v>
      </c>
      <c r="C212" s="6" t="s">
        <v>418</v>
      </c>
      <c r="E212" s="7" t="n">
        <v>5</v>
      </c>
      <c r="G212" s="8" t="s">
        <v>512</v>
      </c>
      <c r="H212" s="6" t="s">
        <v>92</v>
      </c>
    </row>
    <row r="213" customFormat="false" ht="15" hidden="false" customHeight="false" outlineLevel="0" collapsed="false">
      <c r="A213" s="0" t="s">
        <v>518</v>
      </c>
      <c r="B213" s="6" t="s">
        <v>519</v>
      </c>
      <c r="C213" s="0" t="s">
        <v>426</v>
      </c>
      <c r="E213" s="7" t="n">
        <v>150</v>
      </c>
      <c r="G213" s="8" t="s">
        <v>512</v>
      </c>
      <c r="H213" s="6" t="s">
        <v>92</v>
      </c>
    </row>
    <row r="214" customFormat="false" ht="15" hidden="false" customHeight="false" outlineLevel="0" collapsed="false">
      <c r="A214" s="0" t="s">
        <v>520</v>
      </c>
      <c r="B214" s="6" t="s">
        <v>521</v>
      </c>
      <c r="C214" s="0" t="s">
        <v>426</v>
      </c>
      <c r="E214" s="7" t="n">
        <v>200</v>
      </c>
      <c r="G214" s="8" t="s">
        <v>512</v>
      </c>
      <c r="H214" s="6" t="s">
        <v>92</v>
      </c>
    </row>
    <row r="215" customFormat="false" ht="15" hidden="false" customHeight="false" outlineLevel="0" collapsed="false">
      <c r="A215" s="0" t="s">
        <v>522</v>
      </c>
      <c r="B215" s="6" t="s">
        <v>523</v>
      </c>
      <c r="C215" s="0" t="s">
        <v>426</v>
      </c>
      <c r="E215" s="7" t="n">
        <v>250</v>
      </c>
      <c r="G215" s="8" t="s">
        <v>512</v>
      </c>
      <c r="H215" s="6" t="s">
        <v>92</v>
      </c>
    </row>
    <row r="216" customFormat="false" ht="15" hidden="false" customHeight="false" outlineLevel="0" collapsed="false">
      <c r="A216" s="1" t="s">
        <v>524</v>
      </c>
    </row>
    <row r="217" customFormat="false" ht="15" hidden="false" customHeight="false" outlineLevel="0" collapsed="false">
      <c r="A217" s="0" t="s">
        <v>525</v>
      </c>
      <c r="B217" s="6" t="s">
        <v>526</v>
      </c>
      <c r="C217" s="0" t="s">
        <v>219</v>
      </c>
      <c r="E217" s="7" t="n">
        <v>1</v>
      </c>
      <c r="G217" s="8" t="s">
        <v>56</v>
      </c>
      <c r="H217" s="8" t="s">
        <v>527</v>
      </c>
    </row>
    <row r="218" customFormat="false" ht="15" hidden="false" customHeight="false" outlineLevel="0" collapsed="false">
      <c r="A218" s="0" t="s">
        <v>528</v>
      </c>
      <c r="B218" s="6" t="s">
        <v>529</v>
      </c>
      <c r="C218" s="0" t="s">
        <v>219</v>
      </c>
      <c r="E218" s="7" t="n">
        <v>1</v>
      </c>
      <c r="G218" s="8" t="s">
        <v>56</v>
      </c>
      <c r="H218" s="6" t="s">
        <v>92</v>
      </c>
    </row>
    <row r="219" customFormat="false" ht="15" hidden="false" customHeight="false" outlineLevel="0" collapsed="false">
      <c r="A219" s="0" t="s">
        <v>530</v>
      </c>
      <c r="B219" s="6" t="s">
        <v>531</v>
      </c>
      <c r="C219" s="0" t="s">
        <v>219</v>
      </c>
      <c r="D219" s="7" t="n">
        <v>0.7</v>
      </c>
      <c r="E219" s="7" t="n">
        <v>0.8</v>
      </c>
      <c r="F219" s="7" t="n">
        <v>0.9</v>
      </c>
      <c r="G219" s="8" t="s">
        <v>56</v>
      </c>
      <c r="H219" s="6" t="s">
        <v>92</v>
      </c>
    </row>
    <row r="220" customFormat="false" ht="15" hidden="false" customHeight="false" outlineLevel="0" collapsed="false">
      <c r="A220" s="0" t="s">
        <v>532</v>
      </c>
      <c r="B220" s="6" t="s">
        <v>533</v>
      </c>
      <c r="C220" s="0" t="s">
        <v>219</v>
      </c>
      <c r="D220" s="7" t="n">
        <v>0.75</v>
      </c>
      <c r="E220" s="7" t="n">
        <v>0.85</v>
      </c>
      <c r="F220" s="7" t="n">
        <v>0.95</v>
      </c>
      <c r="G220" s="8" t="s">
        <v>56</v>
      </c>
      <c r="H220" s="6" t="s">
        <v>92</v>
      </c>
    </row>
    <row r="221" customFormat="false" ht="15" hidden="false" customHeight="false" outlineLevel="0" collapsed="false">
      <c r="A221" s="0" t="s">
        <v>534</v>
      </c>
      <c r="B221" s="6" t="s">
        <v>535</v>
      </c>
      <c r="C221" s="0" t="s">
        <v>219</v>
      </c>
      <c r="D221" s="7" t="n">
        <v>0.5</v>
      </c>
      <c r="E221" s="7" t="n">
        <v>0.6</v>
      </c>
      <c r="F221" s="7" t="n">
        <v>0.7</v>
      </c>
      <c r="G221" s="8" t="s">
        <v>56</v>
      </c>
      <c r="H221" s="6" t="s">
        <v>92</v>
      </c>
    </row>
    <row r="222" customFormat="false" ht="15" hidden="false" customHeight="false" outlineLevel="0" collapsed="false">
      <c r="A222" s="0" t="s">
        <v>536</v>
      </c>
      <c r="B222" s="6" t="s">
        <v>537</v>
      </c>
      <c r="C222" s="0" t="s">
        <v>219</v>
      </c>
      <c r="D222" s="7" t="n">
        <v>0.5</v>
      </c>
      <c r="E222" s="7" t="n">
        <v>0.6</v>
      </c>
      <c r="F222" s="7" t="n">
        <v>0.7</v>
      </c>
      <c r="G222" s="8" t="s">
        <v>56</v>
      </c>
      <c r="H222" s="6" t="s">
        <v>92</v>
      </c>
    </row>
    <row r="223" customFormat="false" ht="15" hidden="false" customHeight="false" outlineLevel="0" collapsed="false">
      <c r="A223" s="1" t="s">
        <v>538</v>
      </c>
    </row>
    <row r="224" customFormat="false" ht="15" hidden="false" customHeight="false" outlineLevel="0" collapsed="false">
      <c r="A224" s="0" t="s">
        <v>539</v>
      </c>
      <c r="B224" s="0" t="s">
        <v>540</v>
      </c>
      <c r="C224" s="0" t="s">
        <v>541</v>
      </c>
      <c r="D224" s="7" t="n">
        <v>34</v>
      </c>
      <c r="E224" s="7" t="n">
        <v>35</v>
      </c>
      <c r="F224" s="7" t="n">
        <v>35</v>
      </c>
      <c r="G224" s="8" t="s">
        <v>37</v>
      </c>
      <c r="H224" s="8" t="s">
        <v>542</v>
      </c>
    </row>
    <row r="225" customFormat="false" ht="15" hidden="false" customHeight="false" outlineLevel="0" collapsed="false">
      <c r="A225" s="0" t="s">
        <v>543</v>
      </c>
      <c r="B225" s="0" t="s">
        <v>544</v>
      </c>
      <c r="C225" s="0" t="s">
        <v>42</v>
      </c>
      <c r="D225" s="7" t="n">
        <v>0.6</v>
      </c>
      <c r="E225" s="7" t="n">
        <v>0.7</v>
      </c>
      <c r="F225" s="7" t="n">
        <v>0.8</v>
      </c>
      <c r="G225" s="8" t="s">
        <v>52</v>
      </c>
      <c r="H225" s="8" t="s">
        <v>545</v>
      </c>
    </row>
    <row r="226" customFormat="false" ht="15" hidden="false" customHeight="false" outlineLevel="0" collapsed="false">
      <c r="A226" s="0" t="s">
        <v>546</v>
      </c>
      <c r="B226" s="6" t="s">
        <v>547</v>
      </c>
      <c r="C226" s="0" t="s">
        <v>219</v>
      </c>
      <c r="D226" s="7" t="n">
        <v>1</v>
      </c>
      <c r="E226" s="7" t="n">
        <v>1.15</v>
      </c>
      <c r="F226" s="7" t="n">
        <v>1.3</v>
      </c>
      <c r="G226" s="8" t="s">
        <v>56</v>
      </c>
      <c r="H226" s="6" t="s">
        <v>548</v>
      </c>
    </row>
    <row r="227" customFormat="false" ht="15" hidden="false" customHeight="false" outlineLevel="0" collapsed="false">
      <c r="A227" s="0" t="s">
        <v>549</v>
      </c>
      <c r="B227" s="0" t="s">
        <v>550</v>
      </c>
      <c r="C227" s="0" t="s">
        <v>42</v>
      </c>
      <c r="D227" s="7" t="n">
        <v>0.5</v>
      </c>
      <c r="E227" s="7" t="n">
        <v>0.55</v>
      </c>
      <c r="F227" s="7" t="n">
        <v>0.63</v>
      </c>
      <c r="G227" s="8" t="s">
        <v>52</v>
      </c>
      <c r="H227" s="8" t="s">
        <v>551</v>
      </c>
    </row>
    <row r="228" customFormat="false" ht="15" hidden="false" customHeight="false" outlineLevel="0" collapsed="false">
      <c r="A228" s="0" t="s">
        <v>552</v>
      </c>
      <c r="B228" s="0" t="s">
        <v>553</v>
      </c>
      <c r="C228" s="0" t="s">
        <v>42</v>
      </c>
      <c r="D228" s="7" t="n">
        <v>0.3</v>
      </c>
      <c r="E228" s="7" t="n">
        <v>0.45</v>
      </c>
      <c r="F228" s="7" t="n">
        <v>0.63</v>
      </c>
      <c r="G228" s="8" t="s">
        <v>56</v>
      </c>
      <c r="H228" s="6" t="s">
        <v>554</v>
      </c>
    </row>
    <row r="229" customFormat="false" ht="15" hidden="false" customHeight="false" outlineLevel="0" collapsed="false">
      <c r="A229" s="0" t="s">
        <v>555</v>
      </c>
      <c r="B229" s="0" t="s">
        <v>556</v>
      </c>
      <c r="C229" s="0" t="s">
        <v>557</v>
      </c>
      <c r="D229" s="7" t="n">
        <v>12.5</v>
      </c>
      <c r="E229" s="7" t="n">
        <v>14.6</v>
      </c>
      <c r="F229" s="7" t="n">
        <v>16</v>
      </c>
      <c r="G229" s="8" t="s">
        <v>52</v>
      </c>
      <c r="H229" s="8" t="s">
        <v>558</v>
      </c>
    </row>
    <row r="230" customFormat="false" ht="15" hidden="false" customHeight="false" outlineLevel="0" collapsed="false">
      <c r="A230" s="0" t="s">
        <v>559</v>
      </c>
      <c r="B230" s="0" t="s">
        <v>560</v>
      </c>
      <c r="C230" s="0" t="s">
        <v>42</v>
      </c>
      <c r="D230" s="7" t="n">
        <v>0.38</v>
      </c>
      <c r="E230" s="7" t="n">
        <v>0.8</v>
      </c>
      <c r="F230" s="7" t="n">
        <v>1.21</v>
      </c>
      <c r="G230" s="8" t="s">
        <v>52</v>
      </c>
      <c r="H230" s="8" t="s">
        <v>561</v>
      </c>
    </row>
    <row r="231" customFormat="false" ht="15" hidden="false" customHeight="false" outlineLevel="0" collapsed="false">
      <c r="A231" s="0" t="s">
        <v>562</v>
      </c>
      <c r="B231" s="0" t="s">
        <v>563</v>
      </c>
      <c r="C231" s="0" t="s">
        <v>42</v>
      </c>
      <c r="D231" s="7" t="n">
        <v>0</v>
      </c>
      <c r="E231" s="7" t="n">
        <v>0.1</v>
      </c>
      <c r="F231" s="7" t="n">
        <v>0.25</v>
      </c>
      <c r="G231" s="8" t="s">
        <v>52</v>
      </c>
      <c r="H231" s="8" t="s">
        <v>564</v>
      </c>
    </row>
    <row r="232" customFormat="false" ht="15" hidden="false" customHeight="false" outlineLevel="0" collapsed="false">
      <c r="A232" s="0" t="s">
        <v>565</v>
      </c>
      <c r="B232" s="0" t="s">
        <v>566</v>
      </c>
      <c r="C232" s="0" t="s">
        <v>42</v>
      </c>
      <c r="D232" s="7" t="n">
        <v>-0.4</v>
      </c>
      <c r="E232" s="7" t="n">
        <v>-0.25</v>
      </c>
      <c r="F232" s="7" t="n">
        <v>-0.1</v>
      </c>
      <c r="G232" s="8" t="s">
        <v>56</v>
      </c>
      <c r="H232" s="6" t="s">
        <v>567</v>
      </c>
    </row>
    <row r="233" customFormat="false" ht="15" hidden="false" customHeight="false" outlineLevel="0" collapsed="false">
      <c r="A233" s="0" t="s">
        <v>568</v>
      </c>
      <c r="B233" s="0" t="s">
        <v>569</v>
      </c>
      <c r="C233" s="0" t="s">
        <v>42</v>
      </c>
      <c r="D233" s="7" t="n">
        <v>-0.55</v>
      </c>
      <c r="E233" s="7" t="n">
        <v>-0.4</v>
      </c>
      <c r="F233" s="7" t="n">
        <v>-0.25</v>
      </c>
      <c r="G233" s="8" t="s">
        <v>56</v>
      </c>
      <c r="H233" s="6" t="s">
        <v>570</v>
      </c>
    </row>
    <row r="234" customFormat="false" ht="15" hidden="false" customHeight="false" outlineLevel="0" collapsed="false">
      <c r="A234" s="0" t="s">
        <v>571</v>
      </c>
      <c r="B234" s="0" t="s">
        <v>572</v>
      </c>
      <c r="C234" s="0" t="s">
        <v>42</v>
      </c>
      <c r="D234" s="7" t="n">
        <v>0.2</v>
      </c>
      <c r="E234" s="7" t="n">
        <v>0.3</v>
      </c>
      <c r="F234" s="7" t="n">
        <v>0.45</v>
      </c>
      <c r="G234" s="8" t="s">
        <v>56</v>
      </c>
      <c r="H234" s="8" t="s">
        <v>573</v>
      </c>
    </row>
    <row r="235" customFormat="false" ht="15" hidden="false" customHeight="false" outlineLevel="0" collapsed="false">
      <c r="A235" s="0" t="s">
        <v>574</v>
      </c>
      <c r="B235" s="0" t="s">
        <v>575</v>
      </c>
      <c r="C235" s="0" t="s">
        <v>42</v>
      </c>
      <c r="D235" s="7" t="n">
        <v>0.25</v>
      </c>
      <c r="E235" s="7" t="n">
        <v>0.35</v>
      </c>
      <c r="F235" s="7" t="n">
        <v>0.5</v>
      </c>
      <c r="G235" s="8" t="s">
        <v>56</v>
      </c>
      <c r="H235" s="8" t="s">
        <v>576</v>
      </c>
    </row>
    <row r="236" customFormat="false" ht="15" hidden="false" customHeight="false" outlineLevel="0" collapsed="false">
      <c r="A236" s="0" t="s">
        <v>577</v>
      </c>
      <c r="B236" s="0" t="s">
        <v>578</v>
      </c>
      <c r="C236" s="0" t="s">
        <v>42</v>
      </c>
      <c r="D236" s="7" t="n">
        <v>-0.15</v>
      </c>
      <c r="E236" s="7" t="n">
        <v>-0.05</v>
      </c>
      <c r="F236" s="7" t="n">
        <v>0.05</v>
      </c>
      <c r="G236" s="8" t="s">
        <v>56</v>
      </c>
    </row>
    <row r="237" customFormat="false" ht="15" hidden="false" customHeight="false" outlineLevel="0" collapsed="false">
      <c r="A237" s="0" t="s">
        <v>579</v>
      </c>
      <c r="B237" s="0" t="s">
        <v>580</v>
      </c>
      <c r="C237" s="0" t="s">
        <v>42</v>
      </c>
      <c r="D237" s="7" t="n">
        <v>-0.1</v>
      </c>
      <c r="E237" s="7" t="n">
        <v>0</v>
      </c>
      <c r="F237" s="7" t="n">
        <v>0.1</v>
      </c>
      <c r="G237" s="8" t="s">
        <v>56</v>
      </c>
    </row>
    <row r="238" customFormat="false" ht="15" hidden="false" customHeight="false" outlineLevel="0" collapsed="false">
      <c r="A238" s="0" t="s">
        <v>581</v>
      </c>
      <c r="B238" s="0" t="s">
        <v>582</v>
      </c>
      <c r="C238" s="0" t="s">
        <v>42</v>
      </c>
      <c r="D238" s="7" t="n">
        <v>-0.1</v>
      </c>
      <c r="E238" s="7" t="n">
        <v>0.05</v>
      </c>
      <c r="F238" s="7" t="n">
        <v>0.15</v>
      </c>
      <c r="G238" s="8" t="s">
        <v>56</v>
      </c>
      <c r="H238" s="6" t="s">
        <v>583</v>
      </c>
    </row>
    <row r="239" customFormat="false" ht="15" hidden="false" customHeight="false" outlineLevel="0" collapsed="false">
      <c r="A239" s="1" t="s">
        <v>584</v>
      </c>
    </row>
    <row r="240" customFormat="false" ht="15" hidden="false" customHeight="false" outlineLevel="0" collapsed="false">
      <c r="A240" s="0" t="s">
        <v>585</v>
      </c>
      <c r="B240" s="0" t="s">
        <v>586</v>
      </c>
      <c r="C240" s="0" t="s">
        <v>541</v>
      </c>
      <c r="D240" s="7" t="n">
        <v>340</v>
      </c>
      <c r="E240" s="7" t="n">
        <v>374</v>
      </c>
      <c r="F240" s="7" t="n">
        <v>400</v>
      </c>
      <c r="G240" s="8" t="s">
        <v>587</v>
      </c>
      <c r="H240" s="8" t="s">
        <v>588</v>
      </c>
    </row>
    <row r="241" customFormat="false" ht="15" hidden="false" customHeight="false" outlineLevel="0" collapsed="false">
      <c r="A241" s="0" t="s">
        <v>589</v>
      </c>
      <c r="B241" s="6" t="s">
        <v>590</v>
      </c>
      <c r="C241" s="0" t="s">
        <v>591</v>
      </c>
      <c r="D241" s="7" t="n">
        <v>38</v>
      </c>
      <c r="E241" s="7" t="n">
        <v>42.8</v>
      </c>
      <c r="F241" s="7" t="n">
        <v>48</v>
      </c>
      <c r="G241" s="8" t="s">
        <v>32</v>
      </c>
      <c r="H241" s="8" t="s">
        <v>592</v>
      </c>
    </row>
    <row r="242" customFormat="false" ht="15" hidden="false" customHeight="false" outlineLevel="0" collapsed="false">
      <c r="A242" s="0" t="s">
        <v>593</v>
      </c>
      <c r="B242" s="6" t="s">
        <v>594</v>
      </c>
      <c r="C242" s="0" t="s">
        <v>591</v>
      </c>
      <c r="D242" s="7" t="n">
        <v>3.5</v>
      </c>
      <c r="E242" s="7" t="n">
        <v>4.46</v>
      </c>
      <c r="F242" s="7" t="n">
        <v>4.9</v>
      </c>
      <c r="G242" s="8" t="s">
        <v>32</v>
      </c>
      <c r="H242" s="8" t="s">
        <v>595</v>
      </c>
    </row>
    <row r="243" customFormat="false" ht="15" hidden="false" customHeight="false" outlineLevel="0" collapsed="false">
      <c r="A243" s="0" t="s">
        <v>596</v>
      </c>
      <c r="B243" s="6" t="s">
        <v>597</v>
      </c>
      <c r="C243" s="0" t="s">
        <v>541</v>
      </c>
      <c r="E243" s="7" t="n">
        <v>54.6</v>
      </c>
      <c r="G243" s="8" t="s">
        <v>52</v>
      </c>
      <c r="H243" s="8" t="s">
        <v>598</v>
      </c>
    </row>
    <row r="244" customFormat="false" ht="15" hidden="false" customHeight="false" outlineLevel="0" collapsed="false">
      <c r="A244" s="0" t="s">
        <v>599</v>
      </c>
      <c r="B244" s="6" t="s">
        <v>600</v>
      </c>
      <c r="C244" s="0" t="s">
        <v>541</v>
      </c>
      <c r="E244" s="7" t="n">
        <v>77.4</v>
      </c>
      <c r="G244" s="8" t="s">
        <v>52</v>
      </c>
      <c r="H244" s="8" t="s">
        <v>601</v>
      </c>
    </row>
    <row r="245" customFormat="false" ht="15" hidden="false" customHeight="false" outlineLevel="0" collapsed="false">
      <c r="A245" s="0" t="s">
        <v>602</v>
      </c>
      <c r="B245" s="6" t="s">
        <v>603</v>
      </c>
      <c r="C245" s="0" t="s">
        <v>541</v>
      </c>
      <c r="E245" s="7" t="n">
        <v>152.8</v>
      </c>
      <c r="G245" s="8" t="s">
        <v>52</v>
      </c>
      <c r="H245" s="8" t="s"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5" hidden="false" customHeight="false" outlineLevel="0" collapsed="false">
      <c r="A1" s="0" t="s">
        <v>605</v>
      </c>
    </row>
    <row r="3" customFormat="false" ht="15" hidden="false" customHeight="false" outlineLevel="0" collapsed="false">
      <c r="A3" s="5" t="s">
        <v>606</v>
      </c>
      <c r="B3" s="5" t="s">
        <v>607</v>
      </c>
      <c r="C3" s="9" t="s">
        <v>608</v>
      </c>
      <c r="D3" s="9" t="s">
        <v>609</v>
      </c>
      <c r="E3" s="9" t="s">
        <v>610</v>
      </c>
      <c r="F3" s="9" t="s">
        <v>611</v>
      </c>
      <c r="G3" s="9" t="s">
        <v>612</v>
      </c>
      <c r="H3" s="9" t="s">
        <v>613</v>
      </c>
      <c r="I3" s="9" t="s">
        <v>614</v>
      </c>
      <c r="J3" s="9" t="s">
        <v>615</v>
      </c>
      <c r="K3" s="9" t="s">
        <v>616</v>
      </c>
      <c r="L3" s="9" t="s">
        <v>617</v>
      </c>
      <c r="M3" s="9" t="s">
        <v>618</v>
      </c>
      <c r="N3" s="9" t="s">
        <v>619</v>
      </c>
      <c r="O3" s="9" t="s">
        <v>620</v>
      </c>
      <c r="P3" s="9" t="s">
        <v>621</v>
      </c>
      <c r="Q3" s="9" t="s">
        <v>622</v>
      </c>
      <c r="R3" s="9" t="s">
        <v>623</v>
      </c>
      <c r="S3" s="9" t="s">
        <v>624</v>
      </c>
      <c r="T3" s="9" t="s">
        <v>625</v>
      </c>
      <c r="U3" s="9" t="s">
        <v>626</v>
      </c>
      <c r="V3" s="9" t="s">
        <v>627</v>
      </c>
    </row>
    <row r="4" customFormat="false" ht="15" hidden="false" customHeight="false" outlineLevel="0" collapsed="false">
      <c r="A4" s="6" t="s">
        <v>628</v>
      </c>
      <c r="B4" s="0" t="s">
        <v>629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5" hidden="false" customHeight="false" outlineLevel="0" collapsed="false">
      <c r="A5" s="6" t="s">
        <v>628</v>
      </c>
      <c r="B5" s="0" t="s">
        <v>630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5" hidden="false" customHeight="false" outlineLevel="0" collapsed="false">
      <c r="A6" s="6" t="s">
        <v>628</v>
      </c>
      <c r="B6" s="0" t="s">
        <v>631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632</v>
      </c>
      <c r="B8" s="0" t="s">
        <v>629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632</v>
      </c>
      <c r="B9" s="0" t="s">
        <v>630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632</v>
      </c>
      <c r="B10" s="0" t="s">
        <v>631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3" t="s">
        <v>633</v>
      </c>
    </row>
    <row r="13" customFormat="false" ht="15" hidden="false" customHeight="false" outlineLevel="0" collapsed="false">
      <c r="A13" s="5" t="s">
        <v>606</v>
      </c>
      <c r="B13" s="5" t="s">
        <v>607</v>
      </c>
      <c r="C13" s="9" t="s">
        <v>634</v>
      </c>
      <c r="D13" s="9" t="s">
        <v>635</v>
      </c>
      <c r="E13" s="9" t="s">
        <v>636</v>
      </c>
      <c r="F13" s="9" t="s">
        <v>637</v>
      </c>
      <c r="G13" s="9" t="s">
        <v>638</v>
      </c>
      <c r="H13" s="9" t="s">
        <v>639</v>
      </c>
      <c r="I13" s="9" t="s">
        <v>640</v>
      </c>
      <c r="J13" s="9" t="s">
        <v>641</v>
      </c>
      <c r="K13" s="9" t="s">
        <v>642</v>
      </c>
    </row>
    <row r="14" customFormat="false" ht="15" hidden="false" customHeight="false" outlineLevel="0" collapsed="false">
      <c r="A14" s="6" t="s">
        <v>628</v>
      </c>
      <c r="B14" s="0" t="s">
        <v>629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5" hidden="false" customHeight="false" outlineLevel="0" collapsed="false">
      <c r="A15" s="6" t="s">
        <v>628</v>
      </c>
      <c r="B15" s="0" t="s">
        <v>630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5" hidden="false" customHeight="false" outlineLevel="0" collapsed="false">
      <c r="A16" s="6" t="s">
        <v>628</v>
      </c>
      <c r="B16" s="0" t="s">
        <v>631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632</v>
      </c>
      <c r="B17" s="0" t="s">
        <v>629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632</v>
      </c>
      <c r="B18" s="0" t="s">
        <v>630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632</v>
      </c>
      <c r="B19" s="0" t="s">
        <v>631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0" t="s">
        <v>643</v>
      </c>
    </row>
    <row r="3" customFormat="false" ht="15" hidden="false" customHeight="false" outlineLevel="0" collapsed="false">
      <c r="A3" s="5" t="s">
        <v>21</v>
      </c>
      <c r="B3" s="5" t="s">
        <v>22</v>
      </c>
      <c r="C3" s="9" t="s">
        <v>634</v>
      </c>
      <c r="D3" s="9" t="s">
        <v>635</v>
      </c>
      <c r="E3" s="9" t="s">
        <v>636</v>
      </c>
      <c r="F3" s="9" t="s">
        <v>637</v>
      </c>
      <c r="G3" s="9" t="s">
        <v>638</v>
      </c>
      <c r="H3" s="5" t="s">
        <v>644</v>
      </c>
    </row>
    <row r="4" customFormat="false" ht="15" hidden="false" customHeight="false" outlineLevel="0" collapsed="false">
      <c r="A4" s="3" t="s">
        <v>645</v>
      </c>
    </row>
    <row r="5" customFormat="false" ht="15" hidden="false" customHeight="false" outlineLevel="0" collapsed="false">
      <c r="A5" s="0" t="s">
        <v>646</v>
      </c>
      <c r="B5" s="0" t="s">
        <v>647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648</v>
      </c>
      <c r="B6" s="0" t="s">
        <v>647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649</v>
      </c>
      <c r="B7" s="0" t="s">
        <v>647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5" hidden="false" customHeight="false" outlineLevel="0" collapsed="false">
      <c r="A8" s="0" t="s">
        <v>650</v>
      </c>
      <c r="B8" s="0" t="s">
        <v>647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651</v>
      </c>
      <c r="B9" s="0" t="s">
        <v>647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652</v>
      </c>
      <c r="B10" s="0" t="s">
        <v>647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653</v>
      </c>
      <c r="B11" s="0" t="s">
        <v>647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5" hidden="false" customHeight="false" outlineLevel="0" collapsed="false">
      <c r="A12" s="6" t="s">
        <v>654</v>
      </c>
      <c r="B12" s="0" t="s">
        <v>647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655</v>
      </c>
      <c r="B13" s="0" t="s">
        <v>656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5" hidden="false" customHeight="false" outlineLevel="0" collapsed="false">
      <c r="A14" s="6" t="s">
        <v>657</v>
      </c>
      <c r="B14" s="0" t="s">
        <v>656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5" hidden="false" customHeight="false" outlineLevel="0" collapsed="false">
      <c r="A15" s="6" t="s">
        <v>658</v>
      </c>
      <c r="B15" s="6" t="s">
        <v>418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659</v>
      </c>
    </row>
    <row r="16" customFormat="false" ht="15" hidden="false" customHeight="false" outlineLevel="0" collapsed="false">
      <c r="A16" s="6" t="s">
        <v>660</v>
      </c>
      <c r="B16" s="0" t="s">
        <v>426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5" hidden="false" customHeight="false" outlineLevel="0" collapsed="false">
      <c r="A17" s="6" t="s">
        <v>661</v>
      </c>
      <c r="B17" s="0" t="s">
        <v>656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662</v>
      </c>
    </row>
    <row r="18" customFormat="false" ht="15" hidden="false" customHeight="false" outlineLevel="0" collapsed="false">
      <c r="A18" s="6" t="s">
        <v>663</v>
      </c>
      <c r="B18" s="0" t="s">
        <v>219</v>
      </c>
      <c r="D18" s="10" t="n">
        <v>1</v>
      </c>
      <c r="E18" s="10" t="n">
        <v>1</v>
      </c>
      <c r="F18" s="10" t="n">
        <f aca="false">um28_A</f>
        <v>1</v>
      </c>
      <c r="G18" s="10" t="n">
        <f aca="false">um29_A</f>
        <v>1</v>
      </c>
      <c r="H18" s="8" t="s">
        <v>664</v>
      </c>
    </row>
    <row r="19" customFormat="false" ht="15" hidden="false" customHeight="false" outlineLevel="0" collapsed="false">
      <c r="A19" s="6" t="s">
        <v>665</v>
      </c>
      <c r="B19" s="0" t="s">
        <v>219</v>
      </c>
      <c r="D19" s="10" t="n">
        <v>1</v>
      </c>
      <c r="E19" s="10" t="n">
        <v>1</v>
      </c>
      <c r="F19" s="10" t="n">
        <f aca="false">um28_B</f>
        <v>0.8</v>
      </c>
      <c r="G19" s="10" t="n">
        <f aca="false">um29_B</f>
        <v>0.85</v>
      </c>
      <c r="H19" s="8" t="s">
        <v>664</v>
      </c>
    </row>
    <row r="20" customFormat="false" ht="15" hidden="false" customHeight="false" outlineLevel="0" collapsed="false">
      <c r="A20" s="6" t="s">
        <v>666</v>
      </c>
      <c r="B20" s="0" t="s">
        <v>219</v>
      </c>
      <c r="D20" s="10" t="n">
        <v>1</v>
      </c>
      <c r="E20" s="10" t="n">
        <v>1</v>
      </c>
      <c r="F20" s="10" t="n">
        <f aca="false">um28_C</f>
        <v>0.6</v>
      </c>
      <c r="G20" s="10" t="n">
        <f aca="false">um29_C</f>
        <v>0.6</v>
      </c>
      <c r="H20" s="8" t="s">
        <v>664</v>
      </c>
    </row>
    <row r="21" customFormat="false" ht="15" hidden="false" customHeight="false" outlineLevel="0" collapsed="false">
      <c r="A21" s="6" t="s">
        <v>667</v>
      </c>
      <c r="B21" s="0" t="s">
        <v>656</v>
      </c>
      <c r="D21" s="10" t="n">
        <f aca="false">D14*D18</f>
        <v>3.782695</v>
      </c>
      <c r="E21" s="10" t="n">
        <f aca="false">E14*E18</f>
        <v>7.09573</v>
      </c>
      <c r="F21" s="10" t="n">
        <f aca="false">F14*F18</f>
        <v>10.2787</v>
      </c>
      <c r="G21" s="10" t="n">
        <f aca="false">G14*G18</f>
        <v>13.36231</v>
      </c>
    </row>
    <row r="22" customFormat="false" ht="15" hidden="false" customHeight="false" outlineLevel="0" collapsed="false">
      <c r="A22" s="6" t="s">
        <v>668</v>
      </c>
      <c r="B22" s="0" t="s">
        <v>656</v>
      </c>
      <c r="D22" s="10" t="n">
        <f aca="false">D14*D19</f>
        <v>3.782695</v>
      </c>
      <c r="E22" s="10" t="n">
        <f aca="false">E14*E19</f>
        <v>7.09573</v>
      </c>
      <c r="F22" s="10" t="n">
        <f aca="false">F14*F19</f>
        <v>8.22296</v>
      </c>
      <c r="G22" s="10" t="n">
        <f aca="false">G14*G19</f>
        <v>11.3579635</v>
      </c>
    </row>
    <row r="23" customFormat="false" ht="15" hidden="false" customHeight="false" outlineLevel="0" collapsed="false">
      <c r="A23" s="6" t="s">
        <v>669</v>
      </c>
      <c r="B23" s="0" t="s">
        <v>656</v>
      </c>
      <c r="D23" s="10" t="n">
        <f aca="false">D14*D20</f>
        <v>3.782695</v>
      </c>
      <c r="E23" s="10" t="n">
        <f aca="false">E14*E20</f>
        <v>7.09573</v>
      </c>
      <c r="F23" s="10" t="n">
        <f aca="false">F14*F20</f>
        <v>6.16722</v>
      </c>
      <c r="G23" s="10" t="n">
        <f aca="false">G14*G20</f>
        <v>8.017386</v>
      </c>
    </row>
    <row r="24" customFormat="false" ht="15" hidden="false" customHeight="false" outlineLevel="0" collapsed="false">
      <c r="A24" s="6" t="s">
        <v>670</v>
      </c>
      <c r="B24" s="0" t="s">
        <v>656</v>
      </c>
      <c r="C24" s="10" t="n">
        <f aca="false">C17</f>
        <v>2.22511470588235</v>
      </c>
      <c r="D24" s="10" t="n">
        <f aca="false">MIN(D21,D17)</f>
        <v>3.782695</v>
      </c>
      <c r="E24" s="10" t="n">
        <f aca="false">MIN(E21,E17)</f>
        <v>5.86317725</v>
      </c>
      <c r="F24" s="10" t="n">
        <f aca="false">MIN(F21,F17)</f>
        <v>8.5016070125</v>
      </c>
      <c r="G24" s="10" t="n">
        <f aca="false">MIN(G21,G17)</f>
        <v>11.477169466875</v>
      </c>
      <c r="H24" s="6" t="s">
        <v>671</v>
      </c>
    </row>
    <row r="25" customFormat="false" ht="15" hidden="false" customHeight="false" outlineLevel="0" collapsed="false">
      <c r="A25" s="6" t="s">
        <v>672</v>
      </c>
      <c r="B25" s="0" t="s">
        <v>656</v>
      </c>
      <c r="C25" s="10" t="n">
        <f aca="false">C17</f>
        <v>2.22511470588235</v>
      </c>
      <c r="D25" s="10" t="n">
        <f aca="false">MIN(D22,D17)</f>
        <v>3.782695</v>
      </c>
      <c r="E25" s="10" t="n">
        <f aca="false">MIN(E22,E17)</f>
        <v>5.86317725</v>
      </c>
      <c r="F25" s="10" t="n">
        <f aca="false">MIN(F22,F17)</f>
        <v>8.22296</v>
      </c>
      <c r="G25" s="10" t="n">
        <f aca="false">MIN(G22,G17)</f>
        <v>11.3579635</v>
      </c>
    </row>
    <row r="26" customFormat="false" ht="15" hidden="false" customHeight="false" outlineLevel="0" collapsed="false">
      <c r="A26" s="6" t="s">
        <v>673</v>
      </c>
      <c r="B26" s="0" t="s">
        <v>656</v>
      </c>
      <c r="C26" s="10" t="n">
        <f aca="false">C17</f>
        <v>2.22511470588235</v>
      </c>
      <c r="D26" s="10" t="n">
        <f aca="false">MIN(D23,D17)</f>
        <v>3.782695</v>
      </c>
      <c r="E26" s="10" t="n">
        <f aca="false">MIN(E23,E17)</f>
        <v>5.86317725</v>
      </c>
      <c r="F26" s="10" t="n">
        <f aca="false">MIN(F23,F17)</f>
        <v>6.16722</v>
      </c>
      <c r="G26" s="10" t="n">
        <f aca="false">MIN(G23,G17)</f>
        <v>8.017386</v>
      </c>
    </row>
    <row r="27" customFormat="false" ht="15" hidden="false" customHeight="false" outlineLevel="0" collapsed="false">
      <c r="A27" s="6" t="s">
        <v>674</v>
      </c>
      <c r="B27" s="0" t="s">
        <v>656</v>
      </c>
      <c r="D27" s="10" t="n">
        <f aca="false">D21-D17</f>
        <v>0</v>
      </c>
      <c r="E27" s="10" t="n">
        <f aca="false">E21-E17</f>
        <v>1.23255275</v>
      </c>
      <c r="F27" s="10" t="n">
        <f aca="false">F21-F17</f>
        <v>1.7770929875</v>
      </c>
      <c r="G27" s="10" t="n">
        <f aca="false">G21-G17</f>
        <v>1.885140533125</v>
      </c>
    </row>
    <row r="28" customFormat="false" ht="15" hidden="false" customHeight="false" outlineLevel="0" collapsed="false">
      <c r="A28" s="6" t="s">
        <v>675</v>
      </c>
      <c r="B28" s="0" t="s">
        <v>656</v>
      </c>
      <c r="D28" s="10" t="n">
        <f aca="false">D22-D17</f>
        <v>0</v>
      </c>
      <c r="E28" s="10" t="n">
        <f aca="false">E22-E17</f>
        <v>1.23255275</v>
      </c>
      <c r="F28" s="10" t="n">
        <f aca="false">F22-F17</f>
        <v>-0.278647012499999</v>
      </c>
      <c r="G28" s="10" t="n">
        <f aca="false">G22-G17</f>
        <v>-0.119205966875001</v>
      </c>
    </row>
    <row r="29" customFormat="false" ht="15" hidden="false" customHeight="false" outlineLevel="0" collapsed="false">
      <c r="A29" s="6" t="s">
        <v>676</v>
      </c>
      <c r="B29" s="0" t="s">
        <v>656</v>
      </c>
      <c r="D29" s="10" t="n">
        <f aca="false">D23-D17</f>
        <v>0</v>
      </c>
      <c r="E29" s="10" t="n">
        <f aca="false">E23-E17</f>
        <v>1.23255275</v>
      </c>
      <c r="F29" s="10" t="n">
        <f aca="false">F23-F17</f>
        <v>-2.3343870125</v>
      </c>
      <c r="G29" s="10" t="n">
        <f aca="false">G23-G17</f>
        <v>-3.459783466875</v>
      </c>
    </row>
    <row r="30" customFormat="false" ht="15" hidden="false" customHeight="false" outlineLevel="0" collapsed="false">
      <c r="A30" s="0" t="s">
        <v>677</v>
      </c>
      <c r="B30" s="0" t="s">
        <v>557</v>
      </c>
      <c r="C30" s="10" t="n">
        <f aca="false">hbm_mkt25/C24</f>
        <v>15.7295261711557</v>
      </c>
      <c r="D30" s="10" t="n">
        <f aca="false">hbm_p26</f>
        <v>14.6</v>
      </c>
      <c r="E30" s="10" t="n">
        <f aca="false">D30*(1+hbm_p27)</f>
        <v>26.28</v>
      </c>
      <c r="F30" s="10" t="n">
        <f aca="false">E30*(1+hbm_p28_A)</f>
        <v>28.908</v>
      </c>
      <c r="G30" s="8" t="n">
        <f aca="false">F30*(1+hbm_p29_A)</f>
        <v>27.4626</v>
      </c>
    </row>
    <row r="31" customFormat="false" ht="15" hidden="false" customHeight="false" outlineLevel="0" collapsed="false">
      <c r="A31" s="0" t="s">
        <v>678</v>
      </c>
      <c r="B31" s="0" t="s">
        <v>557</v>
      </c>
      <c r="C31" s="10" t="n">
        <f aca="false">hbm_mkt25/C24</f>
        <v>15.7295261711557</v>
      </c>
      <c r="D31" s="10" t="n">
        <f aca="false">hbm_p26</f>
        <v>14.6</v>
      </c>
      <c r="E31" s="10" t="n">
        <f aca="false">D31*(1+hbm_p27)</f>
        <v>26.28</v>
      </c>
      <c r="F31" s="10" t="n">
        <f aca="false">E31*(1+hbm_p28_B)</f>
        <v>19.71</v>
      </c>
      <c r="G31" s="8" t="n">
        <f aca="false">F31*(1+hbm_p29_B)</f>
        <v>19.71</v>
      </c>
    </row>
    <row r="32" customFormat="false" ht="15" hidden="false" customHeight="false" outlineLevel="0" collapsed="false">
      <c r="A32" s="0" t="s">
        <v>679</v>
      </c>
      <c r="B32" s="0" t="s">
        <v>557</v>
      </c>
      <c r="C32" s="10" t="n">
        <f aca="false">hbm_mkt25/C24</f>
        <v>15.7295261711557</v>
      </c>
      <c r="D32" s="10" t="n">
        <f aca="false">hbm_p26</f>
        <v>14.6</v>
      </c>
      <c r="E32" s="10" t="n">
        <f aca="false">D32*(1+hbm_p27)</f>
        <v>26.28</v>
      </c>
      <c r="F32" s="10" t="n">
        <f aca="false">E32*(1+hbm_p28_C)</f>
        <v>15.768</v>
      </c>
      <c r="G32" s="8" t="n">
        <f aca="false">F32*(1+hbm_p29_C)</f>
        <v>16.5564</v>
      </c>
    </row>
    <row r="33" customFormat="false" ht="15" hidden="false" customHeight="false" outlineLevel="0" collapsed="false">
      <c r="A33" s="0" t="s">
        <v>680</v>
      </c>
      <c r="B33" s="0" t="s">
        <v>541</v>
      </c>
      <c r="C33" s="13" t="n">
        <f aca="false">C24*C30</f>
        <v>35</v>
      </c>
      <c r="D33" s="13" t="n">
        <f aca="false">D24*D30</f>
        <v>55.227347</v>
      </c>
      <c r="E33" s="13" t="n">
        <f aca="false">E24*E30</f>
        <v>154.08429813</v>
      </c>
      <c r="F33" s="13" t="n">
        <f aca="false">F24*F30</f>
        <v>245.76445551735</v>
      </c>
      <c r="G33" s="13" t="n">
        <f aca="false">G24*G30</f>
        <v>315.192914201001</v>
      </c>
    </row>
    <row r="34" customFormat="false" ht="15" hidden="false" customHeight="false" outlineLevel="0" collapsed="false">
      <c r="A34" s="0" t="s">
        <v>681</v>
      </c>
      <c r="B34" s="0" t="s">
        <v>541</v>
      </c>
      <c r="C34" s="13" t="n">
        <f aca="false">C25*C31</f>
        <v>35</v>
      </c>
      <c r="D34" s="13" t="n">
        <f aca="false">D25*D31</f>
        <v>55.227347</v>
      </c>
      <c r="E34" s="13" t="n">
        <f aca="false">E25*E31</f>
        <v>154.08429813</v>
      </c>
      <c r="F34" s="13" t="n">
        <f aca="false">F25*F31</f>
        <v>162.0745416</v>
      </c>
      <c r="G34" s="13" t="n">
        <f aca="false">G25*G31</f>
        <v>223.865460585</v>
      </c>
    </row>
    <row r="35" customFormat="false" ht="15" hidden="false" customHeight="false" outlineLevel="0" collapsed="false">
      <c r="A35" s="0" t="s">
        <v>682</v>
      </c>
      <c r="B35" s="0" t="s">
        <v>541</v>
      </c>
      <c r="C35" s="13" t="n">
        <f aca="false">C26*C32</f>
        <v>35</v>
      </c>
      <c r="D35" s="13" t="n">
        <f aca="false">D26*D32</f>
        <v>55.227347</v>
      </c>
      <c r="E35" s="13" t="n">
        <f aca="false">E26*E32</f>
        <v>154.08429813</v>
      </c>
      <c r="F35" s="13" t="n">
        <f aca="false">F26*F32</f>
        <v>97.24472496</v>
      </c>
      <c r="G35" s="13" t="n">
        <f aca="false">G26*G32</f>
        <v>132.7390495704</v>
      </c>
    </row>
    <row r="37" customFormat="false" ht="15" hidden="false" customHeight="false" outlineLevel="0" collapsed="false">
      <c r="A37" s="3" t="s">
        <v>683</v>
      </c>
    </row>
    <row r="38" customFormat="false" ht="15" hidden="false" customHeight="false" outlineLevel="0" collapsed="false">
      <c r="A38" s="6" t="s">
        <v>684</v>
      </c>
      <c r="B38" s="0" t="s">
        <v>541</v>
      </c>
      <c r="D38" s="13" t="n">
        <f aca="false">(D5+D6+D7+D8)/1000*hbm_p26</f>
        <v>28.67586</v>
      </c>
    </row>
    <row r="39" customFormat="false" ht="15" hidden="false" customHeight="false" outlineLevel="0" collapsed="false">
      <c r="A39" s="6" t="s">
        <v>685</v>
      </c>
      <c r="B39" s="0" t="s">
        <v>541</v>
      </c>
      <c r="D39" s="13" t="n">
        <f aca="false">nv_dc26*nv_hbm/nv_content</f>
        <v>38.9728971962617</v>
      </c>
      <c r="H39" s="6" t="s">
        <v>686</v>
      </c>
    </row>
    <row r="40" customFormat="false" ht="15" hidden="false" customHeight="false" outlineLevel="0" collapsed="false">
      <c r="A40" s="6" t="s">
        <v>687</v>
      </c>
      <c r="B40" s="0" t="s">
        <v>42</v>
      </c>
      <c r="D40" s="11" t="n">
        <f aca="false">D38/D39-1</f>
        <v>-0.264210205990264</v>
      </c>
    </row>
    <row r="41" customFormat="false" ht="15" hidden="false" customHeight="false" outlineLevel="0" collapsed="false">
      <c r="A41" s="6" t="s">
        <v>688</v>
      </c>
      <c r="B41" s="6" t="s">
        <v>418</v>
      </c>
      <c r="D41" s="13" t="n">
        <f aca="false">nv_dc26/nv_content</f>
        <v>8.73831775700935</v>
      </c>
      <c r="E41" s="13" t="n">
        <f aca="false">u_bw_26+u_rb_26+u_hp_26</f>
        <v>7.6</v>
      </c>
      <c r="H41" s="8" t="s">
        <v>689</v>
      </c>
    </row>
    <row r="42" customFormat="false" ht="15" hidden="false" customHeight="false" outlineLevel="0" collapsed="false">
      <c r="A42" s="6" t="s">
        <v>690</v>
      </c>
      <c r="B42" s="0" t="s">
        <v>541</v>
      </c>
      <c r="D42" s="13" t="n">
        <f aca="false">pub26_lo</f>
        <v>54.6</v>
      </c>
      <c r="E42" s="13" t="n">
        <f aca="false">pub26_hi</f>
        <v>77.4</v>
      </c>
      <c r="F42" s="13" t="n">
        <f aca="false">pub27</f>
        <v>152.8</v>
      </c>
    </row>
    <row r="43" customFormat="false" ht="15" hidden="false" customHeight="false" outlineLevel="0" collapsed="false">
      <c r="A43" s="6" t="s">
        <v>691</v>
      </c>
      <c r="B43" s="0" t="s">
        <v>42</v>
      </c>
      <c r="D43" s="11" t="n">
        <f aca="false">D33/pub26_lo-1</f>
        <v>0.0114898717948717</v>
      </c>
      <c r="F43" s="11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0" t="s">
        <v>692</v>
      </c>
    </row>
    <row r="3" customFormat="false" ht="15" hidden="false" customHeight="false" outlineLevel="0" collapsed="false">
      <c r="A3" s="5" t="s">
        <v>21</v>
      </c>
      <c r="B3" s="9" t="s">
        <v>608</v>
      </c>
      <c r="C3" s="9" t="s">
        <v>609</v>
      </c>
      <c r="D3" s="9" t="s">
        <v>610</v>
      </c>
      <c r="E3" s="9" t="s">
        <v>611</v>
      </c>
      <c r="F3" s="9" t="s">
        <v>612</v>
      </c>
      <c r="G3" s="9" t="s">
        <v>613</v>
      </c>
      <c r="H3" s="9" t="s">
        <v>693</v>
      </c>
      <c r="I3" s="9" t="s">
        <v>694</v>
      </c>
      <c r="J3" s="9" t="s">
        <v>695</v>
      </c>
    </row>
    <row r="4" customFormat="false" ht="15" hidden="false" customHeight="false" outlineLevel="0" collapsed="false">
      <c r="A4" s="6" t="s">
        <v>696</v>
      </c>
      <c r="B4" s="14" t="n">
        <v>17.639</v>
      </c>
      <c r="C4" s="14" t="n">
        <v>22.232</v>
      </c>
      <c r="D4" s="14" t="n">
        <v>24.449</v>
      </c>
      <c r="E4" s="14" t="n">
        <v>32.827</v>
      </c>
      <c r="F4" s="14" t="n">
        <v>52.576</v>
      </c>
      <c r="G4" s="14" t="n">
        <v>79.319</v>
      </c>
      <c r="H4" s="8" t="n">
        <f aca="false">H5+H6+H7</f>
        <v>96.311345015</v>
      </c>
      <c r="I4" s="8" t="n">
        <f aca="false">I5+I6+I7</f>
        <v>113.112885464856</v>
      </c>
      <c r="J4" s="10" t="n">
        <f aca="false">SUM(F4:I4)</f>
        <v>341.319230479856</v>
      </c>
    </row>
    <row r="5" customFormat="false" ht="15" hidden="false" customHeight="false" outlineLevel="0" collapsed="false">
      <c r="A5" s="0" t="s">
        <v>697</v>
      </c>
      <c r="F5" s="10" t="n">
        <f aca="false">F4*0.773</f>
        <v>40.641248</v>
      </c>
      <c r="G5" s="10" t="n">
        <f aca="false">G4*0.73</f>
        <v>57.90287</v>
      </c>
      <c r="H5" s="8" t="n">
        <f aca="false">G5*(1+q3_db)*(1+q3_dp)</f>
        <v>71.33633584</v>
      </c>
      <c r="I5" s="8" t="n">
        <f aca="false">H5*(1+q4_db)*(1+q4_dp)</f>
        <v>82.3934678952</v>
      </c>
      <c r="J5" s="10" t="n">
        <f aca="false">SUM(F5:I5)</f>
        <v>252.2739217352</v>
      </c>
    </row>
    <row r="6" customFormat="false" ht="15" hidden="false" customHeight="false" outlineLevel="0" collapsed="false">
      <c r="A6" s="0" t="s">
        <v>698</v>
      </c>
      <c r="F6" s="10" t="n">
        <f aca="false">F4*0.22</f>
        <v>11.56672</v>
      </c>
      <c r="G6" s="10" t="n">
        <f aca="false">G4*0.27</f>
        <v>21.41613</v>
      </c>
      <c r="H6" s="8" t="n">
        <f aca="false">G6*(1+q3_nb)*(1+q3_np)</f>
        <v>24.575009175</v>
      </c>
      <c r="I6" s="8" t="n">
        <f aca="false">H6*(1+q4_nb)*(1+q4_np)</f>
        <v>30.3194175696563</v>
      </c>
      <c r="J6" s="10" t="n">
        <f aca="false">SUM(F6:I6)</f>
        <v>87.8772767446563</v>
      </c>
    </row>
    <row r="7" customFormat="false" ht="15" hidden="false" customHeight="false" outlineLevel="0" collapsed="false">
      <c r="A7" s="6" t="s">
        <v>699</v>
      </c>
      <c r="F7" s="0" t="n">
        <f aca="false">F4-F5-F6</f>
        <v>0.368031999999996</v>
      </c>
      <c r="G7" s="0" t="n">
        <f aca="false">G4-G5-G6</f>
        <v>0</v>
      </c>
      <c r="H7" s="0" t="n">
        <f aca="false">other_y/4</f>
        <v>0.4</v>
      </c>
      <c r="I7" s="0" t="n">
        <f aca="false">other_y/4</f>
        <v>0.4</v>
      </c>
      <c r="J7" s="10" t="n">
        <f aca="false">SUM(F7:I7)</f>
        <v>1.168032</v>
      </c>
    </row>
    <row r="8" customFormat="false" ht="15" hidden="false" customHeight="false" outlineLevel="0" collapsed="false">
      <c r="A8" s="6" t="s">
        <v>700</v>
      </c>
      <c r="F8" s="10" t="n">
        <f aca="false">F4*(1-0.79)</f>
        <v>11.04096</v>
      </c>
      <c r="G8" s="10" t="n">
        <f aca="false">G4*(1-0.83)</f>
        <v>13.48423</v>
      </c>
      <c r="H8" s="8" t="n">
        <f aca="false">(G8-da_cogs*G13)*((w_c+w_h)*H14/G14+w_n*H15/G15)*(1-costdn_q)+da_cogs*da_q3</f>
        <v>14.198319828</v>
      </c>
      <c r="I8" s="8" t="n">
        <f aca="false">(H8-da_cogs*H13)*((w_c+w_h)*I14/H14+w_n*I15/H15)*(1-costdn_q)+da_cogs*da_q4</f>
        <v>14.659393744818</v>
      </c>
      <c r="J8" s="10" t="n">
        <f aca="false">SUM(F8:I8)</f>
        <v>53.382903572818</v>
      </c>
    </row>
    <row r="9" customFormat="false" ht="15" hidden="false" customHeight="false" outlineLevel="0" collapsed="false">
      <c r="A9" s="6" t="s">
        <v>701</v>
      </c>
      <c r="F9" s="0" t="n">
        <f aca="false">F4-F8-F10</f>
        <v>3.92504</v>
      </c>
      <c r="G9" s="0" t="n">
        <f aca="false">G4-G8-G10</f>
        <v>5.29176999999999</v>
      </c>
      <c r="H9" s="0" t="n">
        <f aca="false">opex_fix_q+opex_var*H4</f>
        <v>6.026633215705</v>
      </c>
      <c r="I9" s="0" t="n">
        <f aca="false">opex_fix_q+opex_var*I4</f>
        <v>6.81630561684825</v>
      </c>
      <c r="J9" s="10" t="n">
        <f aca="false">SUM(F9:I9)</f>
        <v>22.0597488325532</v>
      </c>
    </row>
    <row r="10" customFormat="false" ht="15" hidden="false" customHeight="false" outlineLevel="0" collapsed="false">
      <c r="A10" s="6" t="s">
        <v>702</v>
      </c>
      <c r="B10" s="14" t="n">
        <v>7.441</v>
      </c>
      <c r="C10" s="14" t="n">
        <v>9.213</v>
      </c>
      <c r="D10" s="14" t="n">
        <v>11.383</v>
      </c>
      <c r="E10" s="14" t="n">
        <v>19.17</v>
      </c>
      <c r="F10" s="14" t="n">
        <v>37.61</v>
      </c>
      <c r="G10" s="14" t="n">
        <v>60.543</v>
      </c>
      <c r="H10" s="8" t="n">
        <f aca="false">H4-H8-H9</f>
        <v>76.086391971295</v>
      </c>
      <c r="I10" s="8" t="n">
        <f aca="false">I4-I8-I9</f>
        <v>91.63718610319</v>
      </c>
      <c r="J10" s="10" t="n">
        <f aca="false">SUM(F10:I10)</f>
        <v>265.876578074485</v>
      </c>
    </row>
    <row r="11" customFormat="false" ht="15" hidden="false" customHeight="false" outlineLevel="0" collapsed="false">
      <c r="A11" s="6" t="s">
        <v>703</v>
      </c>
      <c r="B11" s="15" t="n">
        <f aca="false">IF(B4=0,"",B10/B4)</f>
        <v>0.421849311185441</v>
      </c>
      <c r="C11" s="15" t="n">
        <f aca="false">IF(C4=0,"",C10/C4)</f>
        <v>0.414402662828356</v>
      </c>
      <c r="D11" s="15" t="n">
        <f aca="false">IF(D4=0,"",D10/D4)</f>
        <v>0.465581414372776</v>
      </c>
      <c r="E11" s="15" t="n">
        <f aca="false">IF(E4=0,"",E10/E4)</f>
        <v>0.583970512078472</v>
      </c>
      <c r="F11" s="15" t="n">
        <f aca="false">IF(F4=0,"",F10/F4)</f>
        <v>0.715345404747413</v>
      </c>
      <c r="G11" s="15" t="n">
        <f aca="false">IF(G4=0,"",G10/G4)</f>
        <v>0.763284963249663</v>
      </c>
      <c r="H11" s="15" t="n">
        <f aca="false">IF(H4=0,"",H10/H4)</f>
        <v>0.790004458555167</v>
      </c>
      <c r="I11" s="15" t="n">
        <f aca="false">IF(I4=0,"",I10/I4)</f>
        <v>0.810139231499504</v>
      </c>
      <c r="J11" s="15" t="n">
        <f aca="false">J10/J4</f>
        <v>0.778967471890443</v>
      </c>
    </row>
    <row r="12" customFormat="false" ht="15" hidden="false" customHeight="false" outlineLevel="0" collapsed="false">
      <c r="A12" s="6" t="s">
        <v>704</v>
      </c>
      <c r="B12" s="14" t="n">
        <v>8.108</v>
      </c>
      <c r="C12" s="14" t="n">
        <v>6.996</v>
      </c>
      <c r="D12" s="14" t="n">
        <v>12.598</v>
      </c>
      <c r="E12" s="14" t="n">
        <v>15.246</v>
      </c>
      <c r="F12" s="14" t="n">
        <v>40.346</v>
      </c>
      <c r="G12" s="14" t="n">
        <v>93.923</v>
      </c>
      <c r="H12" s="8" t="n">
        <f aca="false">(H10+nonop_q+nm_op_q)*(1-tax)</f>
        <v>59.3565218178972</v>
      </c>
      <c r="I12" s="8" t="n">
        <f aca="false">(I10+nonop_q+nm_op_q)*(1-tax)</f>
        <v>71.3306332994563</v>
      </c>
      <c r="J12" s="10" t="n">
        <f aca="false">SUM(F12:I12)</f>
        <v>264.956155117354</v>
      </c>
    </row>
    <row r="13" customFormat="false" ht="15" hidden="false" customHeight="false" outlineLevel="0" collapsed="false">
      <c r="A13" s="6" t="s">
        <v>705</v>
      </c>
      <c r="B13" s="14" t="n">
        <v>3.334</v>
      </c>
      <c r="C13" s="14" t="n">
        <v>3.443</v>
      </c>
      <c r="D13" s="14" t="n">
        <v>3.556</v>
      </c>
      <c r="E13" s="14" t="n">
        <v>3.557</v>
      </c>
      <c r="F13" s="14" t="n">
        <v>3.726</v>
      </c>
      <c r="G13" s="14" t="n">
        <v>4.028</v>
      </c>
      <c r="H13" s="8" t="n">
        <f aca="false">da_q3</f>
        <v>4.3</v>
      </c>
      <c r="I13" s="8" t="n">
        <f aca="false">da_q4</f>
        <v>4.6</v>
      </c>
      <c r="J13" s="10" t="n">
        <f aca="false">SUM(F13:I13)</f>
        <v>16.654</v>
      </c>
    </row>
    <row r="14" customFormat="false" ht="15" hidden="false" customHeight="false" outlineLevel="0" collapsed="false">
      <c r="A14" s="0" t="s">
        <v>706</v>
      </c>
      <c r="G14" s="0" t="n">
        <v>1</v>
      </c>
      <c r="H14" s="0" t="n">
        <f aca="false">G14*(1+q3_db)</f>
        <v>1.1</v>
      </c>
      <c r="I14" s="0" t="n">
        <f aca="false">H14*(1+q4_db)</f>
        <v>1.155</v>
      </c>
    </row>
    <row r="15" customFormat="false" ht="15" hidden="false" customHeight="false" outlineLevel="0" collapsed="false">
      <c r="A15" s="0" t="s">
        <v>707</v>
      </c>
      <c r="G15" s="0" t="n">
        <v>1</v>
      </c>
      <c r="H15" s="0" t="n">
        <f aca="false">G15*(1+q3_nb)</f>
        <v>1.02</v>
      </c>
      <c r="I15" s="0" t="n">
        <f aca="false">H15*(1+q4_nb)</f>
        <v>1.071</v>
      </c>
    </row>
    <row r="18" customFormat="false" ht="15" hidden="false" customHeight="false" outlineLevel="0" collapsed="false">
      <c r="A18" s="0" t="s">
        <v>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5" hidden="false" customHeight="false" outlineLevel="0" collapsed="false">
      <c r="A1" s="0" t="s">
        <v>709</v>
      </c>
    </row>
    <row r="3" customFormat="false" ht="15" hidden="false" customHeight="false" outlineLevel="0" collapsed="false">
      <c r="A3" s="5" t="s">
        <v>21</v>
      </c>
      <c r="B3" s="9" t="s">
        <v>710</v>
      </c>
      <c r="C3" s="9" t="s">
        <v>711</v>
      </c>
      <c r="D3" s="9" t="s">
        <v>712</v>
      </c>
      <c r="E3" s="9" t="s">
        <v>713</v>
      </c>
      <c r="F3" s="9" t="s">
        <v>714</v>
      </c>
      <c r="G3" s="9" t="s">
        <v>715</v>
      </c>
      <c r="H3" s="9" t="s">
        <v>716</v>
      </c>
      <c r="I3" s="9" t="s">
        <v>717</v>
      </c>
      <c r="J3" s="9" t="s">
        <v>718</v>
      </c>
      <c r="K3" s="9" t="s">
        <v>719</v>
      </c>
      <c r="L3" s="9" t="s">
        <v>720</v>
      </c>
      <c r="M3" s="5" t="s">
        <v>644</v>
      </c>
    </row>
    <row r="4" customFormat="false" ht="15" hidden="false" customHeight="false" outlineLevel="0" collapsed="false">
      <c r="A4" s="6" t="s">
        <v>696</v>
      </c>
      <c r="B4" s="13" t="n">
        <f aca="false">SUM(Q!B4:E4)</f>
        <v>97.147</v>
      </c>
      <c r="C4" s="13" t="n">
        <f aca="false">Q!J4</f>
        <v>341.319230479856</v>
      </c>
      <c r="D4" s="13" t="n">
        <f aca="false">D5+D6+D7+D8</f>
        <v>531.511774306725</v>
      </c>
      <c r="E4" s="13" t="n">
        <f aca="false">E5+E6+E7+E8</f>
        <v>587.501270002768</v>
      </c>
      <c r="F4" s="13" t="n">
        <f aca="false">F5+F6+F7+F8</f>
        <v>634.346098476078</v>
      </c>
      <c r="G4" s="13" t="n">
        <f aca="false">G5+G6+G7+G8</f>
        <v>520.522081420466</v>
      </c>
      <c r="H4" s="13" t="n">
        <f aca="false">H5+H6+H7+H8</f>
        <v>337.986178187734</v>
      </c>
      <c r="I4" s="13" t="n">
        <f aca="false">I5+I6+I7+I8</f>
        <v>589.301041891434</v>
      </c>
      <c r="J4" s="13" t="n">
        <f aca="false">J5+J6+J7+J8</f>
        <v>520.522081420466</v>
      </c>
      <c r="K4" s="13" t="n">
        <f aca="false">K5+K6+K7+K8</f>
        <v>232.680297370142</v>
      </c>
      <c r="L4" s="13" t="n">
        <f aca="false">L5+L6+L7+L8</f>
        <v>424.074703633121</v>
      </c>
    </row>
    <row r="5" customFormat="false" ht="15" hidden="false" customHeight="false" outlineLevel="0" collapsed="false">
      <c r="A5" s="6" t="s">
        <v>721</v>
      </c>
      <c r="C5" s="13" t="n">
        <f aca="false">Q!J5-C6</f>
        <v>211.4940487104</v>
      </c>
      <c r="D5" s="13" t="n">
        <f aca="false">C5*(1+cb_1)*(AVERAGE(Path!K4:N4)/AVERAGE(Path!G4:J4))</f>
        <v>300.147769900106</v>
      </c>
      <c r="E5" s="13" t="n">
        <f aca="false">D5*(1+cb_2)*(AVERAGE(Path!O4:R4)/AVERAGE(Path!K4:N4))</f>
        <v>311.925679400333</v>
      </c>
      <c r="F5" s="13" t="n">
        <f aca="false">D5*(1+cb_3)*(AVERAGE(Path!S4:V4)/AVERAGE(Path!O4:R4))</f>
        <v>311.909484672588</v>
      </c>
      <c r="G5" s="13" t="n">
        <f aca="false">C5*(1+cb_1)*(AVERAGE(Path!K5:N5)/AVERAGE(Path!G5:J5))</f>
        <v>292.387333127425</v>
      </c>
      <c r="H5" s="13" t="n">
        <f aca="false">G5*(1+cb_2)*(AVERAGE(Path!O5:R5)/AVERAGE(Path!K5:N5))</f>
        <v>178.965093118978</v>
      </c>
      <c r="I5" s="13" t="n">
        <f aca="false">G5*(1+cb_3)*(AVERAGE(Path!S5:V5)/AVERAGE(Path!O5:R5))</f>
        <v>325.971774128907</v>
      </c>
      <c r="J5" s="13" t="n">
        <f aca="false">C5*(1+cb_1)*(AVERAGE(Path!K6:N6)/AVERAGE(Path!G6:J6))</f>
        <v>292.387333127425</v>
      </c>
      <c r="K5" s="13" t="n">
        <f aca="false">J5*(1+cb_2)*(AVERAGE(Path!O6:R6)/AVERAGE(Path!K6:N6))</f>
        <v>122.764314643446</v>
      </c>
      <c r="L5" s="13" t="n">
        <f aca="false">J5*(1+cb_3)*(AVERAGE(Path!S6:V6)/AVERAGE(Path!O6:R6))</f>
        <v>236.60338946468</v>
      </c>
      <c r="M5" s="6" t="s">
        <v>722</v>
      </c>
    </row>
    <row r="6" customFormat="false" ht="15" hidden="false" customHeight="false" outlineLevel="0" collapsed="false">
      <c r="A6" s="0" t="s">
        <v>723</v>
      </c>
      <c r="C6" s="13" t="n">
        <f aca="false">(Mkt!D33/4*sh26+Mkt!D33/4*sh26+Mkt!D33/4*sh26+Mkt!D33/4*sh26)*fx/1000</f>
        <v>40.7798730248</v>
      </c>
      <c r="D6" s="13" t="n">
        <f aca="false">(Mkt!E33/4*sh27+Mkt!E33/4*sh27+Mkt!E33/4*sh27+Mkt!E33/4*sh27)*fx/1000</f>
        <v>91.895875404732</v>
      </c>
      <c r="E6" s="13" t="n">
        <f aca="false">(Mkt!F33/4*sh28+Mkt!F33/4*sh28+Mkt!F33/4*sh28+Mkt!F33/4*sh28)*fx/1000</f>
        <v>139.594210733855</v>
      </c>
      <c r="F6" s="13" t="n">
        <f aca="false">(Mkt!G33/4*sh29+Mkt!G33/4*sh29+Mkt!G33/4*sh29+Mkt!G33/4*sh29)*fx/1000</f>
        <v>179.029575266169</v>
      </c>
      <c r="G6" s="13" t="n">
        <f aca="false">(Mkt!E34/4*sh27+Mkt!E34/4*sh27+Mkt!E34/4*sh27+Mkt!E34/4*sh27)*fx/1000</f>
        <v>91.895875404732</v>
      </c>
      <c r="H6" s="13" t="n">
        <f aca="false">(Mkt!F34/4*sh28+Mkt!F34/4*sh28+Mkt!F34/4*sh28+Mkt!F34/4*sh28)*fx/1000</f>
        <v>92.0583396288</v>
      </c>
      <c r="I6" s="13" t="n">
        <f aca="false">(Mkt!G34/4*sh29+Mkt!G34/4*sh29+Mkt!G34/4*sh29+Mkt!G34/4*sh29)*fx/1000</f>
        <v>127.15558161228</v>
      </c>
      <c r="J6" s="13" t="n">
        <f aca="false">(Mkt!E35/4*sh27+Mkt!E35/4*sh27+Mkt!E35/4*sh27+Mkt!E35/4*sh27)*fx/1000</f>
        <v>91.895875404732</v>
      </c>
      <c r="K6" s="13" t="n">
        <f aca="false">(Mkt!F35/4*sh28+Mkt!F35/4*sh28+Mkt!F35/4*sh28+Mkt!F35/4*sh28)*fx/1000</f>
        <v>55.23500377728</v>
      </c>
      <c r="L6" s="13" t="n">
        <f aca="false">(Mkt!G35/4*sh29+Mkt!G35/4*sh29+Mkt!G35/4*sh29+Mkt!G35/4*sh29)*fx/1000</f>
        <v>75.3957801559872</v>
      </c>
      <c r="M6" s="8" t="s">
        <v>724</v>
      </c>
    </row>
    <row r="7" customFormat="false" ht="15" hidden="false" customHeight="false" outlineLevel="0" collapsed="false">
      <c r="A7" s="0" t="s">
        <v>698</v>
      </c>
      <c r="C7" s="13" t="n">
        <f aca="false">Q!J6</f>
        <v>87.8772767446563</v>
      </c>
      <c r="D7" s="13" t="n">
        <f aca="false">C7*(1+nb_1)*(AVERAGE(Path!K8:N8)/AVERAGE(Path!G8:J8))</f>
        <v>137.868129001886</v>
      </c>
      <c r="E7" s="13" t="n">
        <f aca="false">D7*(1+nb_2)*(AVERAGE(Path!O8:R8)/AVERAGE(Path!K8:N8))</f>
        <v>134.381379868581</v>
      </c>
      <c r="F7" s="13" t="n">
        <f aca="false">D7*(1+nb_3)*(AVERAGE(Path!S8:V8)/AVERAGE(Path!O8:R8))</f>
        <v>141.807038537321</v>
      </c>
      <c r="G7" s="13" t="n">
        <f aca="false">C7*(1+nb_1)*(AVERAGE(Path!K9:N9)/AVERAGE(Path!G9:J9))</f>
        <v>134.638872888309</v>
      </c>
      <c r="H7" s="13" t="n">
        <f aca="false">G7*(1+nb_2)*(AVERAGE(Path!O9:R9)/AVERAGE(Path!K9:N9))</f>
        <v>65.3627454399564</v>
      </c>
      <c r="I7" s="13" t="n">
        <f aca="false">G7*(1+nb_3)*(AVERAGE(Path!S9:V9)/AVERAGE(Path!O9:R9))</f>
        <v>134.573686150247</v>
      </c>
      <c r="J7" s="13" t="n">
        <f aca="false">C7*(1+nb_1)*(AVERAGE(Path!K10:N10)/AVERAGE(Path!G10:J10))</f>
        <v>134.638872888309</v>
      </c>
      <c r="K7" s="13" t="n">
        <f aca="false">J7*(1+nb_2)*(AVERAGE(Path!O10:R10)/AVERAGE(Path!K10:N10))</f>
        <v>53.0809789494159</v>
      </c>
      <c r="L7" s="13" t="n">
        <f aca="false">J7*(1+nb_3)*(AVERAGE(Path!S10:V10)/AVERAGE(Path!O10:R10))</f>
        <v>110.475534012453</v>
      </c>
    </row>
    <row r="8" customFormat="false" ht="15" hidden="false" customHeight="false" outlineLevel="0" collapsed="false">
      <c r="A8" s="6" t="s">
        <v>699</v>
      </c>
      <c r="C8" s="13" t="n">
        <f aca="false">Q!J7</f>
        <v>1.168032</v>
      </c>
      <c r="D8" s="13" t="n">
        <f aca="false">other_y</f>
        <v>1.6</v>
      </c>
      <c r="E8" s="13" t="n">
        <f aca="false">other_y</f>
        <v>1.6</v>
      </c>
      <c r="F8" s="13" t="n">
        <f aca="false">other_y</f>
        <v>1.6</v>
      </c>
      <c r="G8" s="13" t="n">
        <f aca="false">other_y</f>
        <v>1.6</v>
      </c>
      <c r="H8" s="13" t="n">
        <f aca="false">other_y</f>
        <v>1.6</v>
      </c>
      <c r="I8" s="13" t="n">
        <f aca="false">other_y</f>
        <v>1.6</v>
      </c>
      <c r="J8" s="13" t="n">
        <f aca="false">other_y</f>
        <v>1.6</v>
      </c>
      <c r="K8" s="13" t="n">
        <f aca="false">other_y</f>
        <v>1.6</v>
      </c>
      <c r="L8" s="13" t="n">
        <f aca="false">other_y</f>
        <v>1.6</v>
      </c>
    </row>
    <row r="9" customFormat="false" ht="15" hidden="false" customHeight="false" outlineLevel="0" collapsed="false">
      <c r="A9" s="0" t="s">
        <v>725</v>
      </c>
      <c r="C9" s="15" t="n">
        <f aca="false">C6/C4</f>
        <v>0.119477220687121</v>
      </c>
      <c r="D9" s="15" t="n">
        <f aca="false">D6/D4</f>
        <v>0.172895276919493</v>
      </c>
      <c r="E9" s="15" t="n">
        <f aca="false">E6/E4</f>
        <v>0.237606653570633</v>
      </c>
      <c r="F9" s="15" t="n">
        <f aca="false">F6/F4</f>
        <v>0.282226966787154</v>
      </c>
      <c r="G9" s="15" t="n">
        <f aca="false">G6/G4</f>
        <v>0.176545585067121</v>
      </c>
      <c r="H9" s="15" t="n">
        <f aca="false">H6/H4</f>
        <v>0.27237308969974</v>
      </c>
      <c r="I9" s="15" t="n">
        <f aca="false">I6/I4</f>
        <v>0.215773556422298</v>
      </c>
      <c r="J9" s="15" t="n">
        <f aca="false">J6/J4</f>
        <v>0.176545585067121</v>
      </c>
      <c r="K9" s="15" t="n">
        <f aca="false">K6/K4</f>
        <v>0.23738582252804</v>
      </c>
      <c r="L9" s="15" t="n">
        <f aca="false">L6/L4</f>
        <v>0.177788911977203</v>
      </c>
    </row>
    <row r="10" customFormat="false" ht="15" hidden="false" customHeight="false" outlineLevel="0" collapsed="false">
      <c r="A10" s="6" t="s">
        <v>705</v>
      </c>
      <c r="B10" s="13" t="n">
        <f aca="false">SUM(Q!B13:E13)</f>
        <v>13.89</v>
      </c>
      <c r="C10" s="13" t="n">
        <f aca="false">Q!J13</f>
        <v>16.654</v>
      </c>
      <c r="D10" s="13" t="n">
        <f aca="false">C10+(C21-C10)/da_life</f>
        <v>23.0632</v>
      </c>
      <c r="E10" s="13" t="n">
        <f aca="false">D10+(D21-D10)/da_life</f>
        <v>30.91056</v>
      </c>
      <c r="F10" s="13" t="n">
        <f aca="false">D10+(D21-D10)/da_life</f>
        <v>30.91056</v>
      </c>
      <c r="G10" s="13" t="n">
        <f aca="false">C10+(C21-C10)/da_life</f>
        <v>23.0632</v>
      </c>
      <c r="H10" s="13" t="n">
        <f aca="false">G10+(G21-G10)/da_life</f>
        <v>30.91056</v>
      </c>
      <c r="I10" s="13" t="n">
        <f aca="false">G10+(G21-G10)/da_life</f>
        <v>30.91056</v>
      </c>
      <c r="J10" s="13" t="n">
        <f aca="false">C10+(C21-C10)/da_life</f>
        <v>23.0632</v>
      </c>
      <c r="K10" s="13" t="n">
        <f aca="false">J10+(J21-J10)/da_life</f>
        <v>30.91056</v>
      </c>
      <c r="L10" s="13" t="n">
        <f aca="false">J10+(J21-J10)/da_life</f>
        <v>30.91056</v>
      </c>
    </row>
    <row r="11" customFormat="false" ht="15" hidden="false" customHeight="false" outlineLevel="0" collapsed="false">
      <c r="A11" s="6" t="s">
        <v>726</v>
      </c>
      <c r="D11" s="10" t="n">
        <f aca="false">w_c*(1+cb_1)+w_h*D31/C31+w_n*(1+nb_1)</f>
        <v>1.17057692307692</v>
      </c>
      <c r="E11" s="10" t="n">
        <f aca="false">w_c*(1+cb_2)+w_h*E31/D31+w_n*(1+nb_2)</f>
        <v>1.23178571428571</v>
      </c>
      <c r="F11" s="10" t="n">
        <f aca="false">w_c*(1+cb_3)+w_h*F31/D31+w_n*(1+nb_3)</f>
        <v>1.37678571428571</v>
      </c>
      <c r="G11" s="10" t="n">
        <f aca="false">w_c*(1+cb_1)+w_h*G31/C31+w_n*(1+nb_1)</f>
        <v>1.17057692307692</v>
      </c>
      <c r="H11" s="10" t="n">
        <f aca="false">w_c*(1+cb_2)+w_h*H31/G31+w_n*(1+nb_2)</f>
        <v>1.21820716655498</v>
      </c>
      <c r="I11" s="10" t="n">
        <f aca="false">w_c*(1+cb_3)+w_h*I31/G31+w_n*(1+nb_3)</f>
        <v>1.37097677380407</v>
      </c>
      <c r="J11" s="10" t="n">
        <f aca="false">w_c*(1+cb_1)+w_h*J31/C31+w_n*(1+nb_1)</f>
        <v>1.17057692307692</v>
      </c>
      <c r="K11" s="10" t="n">
        <f aca="false">w_c*(1+cb_2)+w_h*K31/J31+w_n*(1+nb_2)</f>
        <v>1.11803037491624</v>
      </c>
      <c r="L11" s="10" t="n">
        <f aca="false">w_c*(1+cb_3)+w_h*L31/J31+w_n*(1+nb_3)</f>
        <v>1.20818948739111</v>
      </c>
    </row>
    <row r="12" customFormat="false" ht="15" hidden="false" customHeight="false" outlineLevel="0" collapsed="false">
      <c r="A12" s="6" t="s">
        <v>700</v>
      </c>
      <c r="C12" s="13" t="n">
        <f aca="false">Q!J8</f>
        <v>53.382903572818</v>
      </c>
      <c r="D12" s="13" t="n">
        <f aca="false">(C12-da_cogs*C10)*D11*(1-costdn_y)+da_cogs*D10</f>
        <v>61.2060171659556</v>
      </c>
      <c r="E12" s="13" t="n">
        <f aca="false">(D12-da_cogs*D10)*E11*(1-costdn_y)+da_cogs*E10</f>
        <v>72.6617063845867</v>
      </c>
      <c r="F12" s="13" t="n">
        <f aca="false">(D12-da_cogs*D10)*F11*(1-costdn_y)+da_cogs*F10</f>
        <v>77.9403187847439</v>
      </c>
      <c r="G12" s="13" t="n">
        <f aca="false">(C12-da_cogs*C10)*G11*(1-costdn_y)+da_cogs*G10</f>
        <v>61.2060171659556</v>
      </c>
      <c r="H12" s="13" t="n">
        <f aca="false">(G12-da_cogs*G10)*H11*(1-costdn_y)+da_cogs*H10</f>
        <v>72.1673898988794</v>
      </c>
      <c r="I12" s="13" t="n">
        <f aca="false">(G12-da_cogs*G10)*I11*(1-costdn_y)+da_cogs*I10</f>
        <v>77.7288488174461</v>
      </c>
      <c r="J12" s="13" t="n">
        <f aca="false">(C12-da_cogs*C10)*J11*(1-costdn_y)+da_cogs*J10</f>
        <v>61.2060171659556</v>
      </c>
      <c r="K12" s="13" t="n">
        <f aca="false">(J12-da_cogs*J10)*K11*(1-costdn_y)+da_cogs*K10</f>
        <v>68.5205315916225</v>
      </c>
      <c r="L12" s="13" t="n">
        <f aca="false">(J12-da_cogs*J10)*L11*(1-costdn_y)+da_cogs*L10</f>
        <v>71.8027040681537</v>
      </c>
      <c r="M12" s="6" t="s">
        <v>727</v>
      </c>
    </row>
    <row r="13" customFormat="false" ht="15" hidden="false" customHeight="false" outlineLevel="0" collapsed="false">
      <c r="A13" s="6" t="s">
        <v>701</v>
      </c>
      <c r="C13" s="13" t="n">
        <f aca="false">Q!J9</f>
        <v>22.0597488325532</v>
      </c>
      <c r="D13" s="13" t="n">
        <f aca="false">opex_fix_y*(1+opex_g)^1+opex_var*D4</f>
        <v>31.5810533924161</v>
      </c>
      <c r="E13" s="13" t="n">
        <f aca="false">opex_fix_y*(1+opex_g)^2+opex_var*E4</f>
        <v>34.8725596901301</v>
      </c>
      <c r="F13" s="13" t="n">
        <f aca="false">opex_fix_y*(1+opex_g)^3+opex_var*F4</f>
        <v>37.8002666283757</v>
      </c>
      <c r="G13" s="13" t="n">
        <f aca="false">opex_fix_y*(1+opex_g)^1+opex_var*G4</f>
        <v>31.0645378267619</v>
      </c>
      <c r="H13" s="13" t="n">
        <f aca="false">opex_fix_y*(1+opex_g)^2+opex_var*H4</f>
        <v>23.1453503748235</v>
      </c>
      <c r="I13" s="13" t="n">
        <f aca="false">opex_fix_y*(1+opex_g)^3+opex_var*I4</f>
        <v>35.6831489688974</v>
      </c>
      <c r="J13" s="13" t="n">
        <f aca="false">opex_fix_y*(1+opex_g)^1+opex_var*J4</f>
        <v>31.0645378267619</v>
      </c>
      <c r="K13" s="13" t="n">
        <f aca="false">opex_fix_y*(1+opex_g)^2+opex_var*K4</f>
        <v>18.1959739763967</v>
      </c>
      <c r="L13" s="13" t="n">
        <f aca="false">opex_fix_y*(1+opex_g)^3+opex_var*L4</f>
        <v>27.9175110707567</v>
      </c>
    </row>
    <row r="14" customFormat="false" ht="15" hidden="false" customHeight="false" outlineLevel="0" collapsed="false">
      <c r="A14" s="6" t="s">
        <v>702</v>
      </c>
      <c r="B14" s="13" t="n">
        <f aca="false">SUM(Q!B10:E10)</f>
        <v>47.207</v>
      </c>
      <c r="C14" s="13" t="n">
        <f aca="false">Q!J10</f>
        <v>265.876578074485</v>
      </c>
      <c r="D14" s="13" t="n">
        <f aca="false">D4-D12-D13</f>
        <v>438.724703748353</v>
      </c>
      <c r="E14" s="13" t="n">
        <f aca="false">E4-E12-E13</f>
        <v>479.967003928052</v>
      </c>
      <c r="F14" s="13" t="n">
        <f aca="false">F4-F12-F13</f>
        <v>518.605513062959</v>
      </c>
      <c r="G14" s="13" t="n">
        <f aca="false">G4-G12-G13</f>
        <v>428.251526427748</v>
      </c>
      <c r="H14" s="13" t="n">
        <f aca="false">H4-H12-H13</f>
        <v>242.673437914031</v>
      </c>
      <c r="I14" s="13" t="n">
        <f aca="false">I4-I12-I13</f>
        <v>475.88904410509</v>
      </c>
      <c r="J14" s="13" t="n">
        <f aca="false">J4-J12-J13</f>
        <v>428.251526427748</v>
      </c>
      <c r="K14" s="13" t="n">
        <f aca="false">K4-K12-K13</f>
        <v>145.963791802123</v>
      </c>
      <c r="L14" s="13" t="n">
        <f aca="false">L4-L12-L13</f>
        <v>324.35448849421</v>
      </c>
    </row>
    <row r="15" customFormat="false" ht="15" hidden="false" customHeight="false" outlineLevel="0" collapsed="false">
      <c r="A15" s="6" t="s">
        <v>703</v>
      </c>
      <c r="B15" s="15" t="n">
        <f aca="false">B14/B4</f>
        <v>0.485933688122124</v>
      </c>
      <c r="C15" s="15" t="n">
        <f aca="false">C14/C4</f>
        <v>0.778967471890443</v>
      </c>
      <c r="D15" s="15" t="n">
        <f aca="false">D14/D4</f>
        <v>0.825428005467239</v>
      </c>
      <c r="E15" s="15" t="n">
        <f aca="false">E14/E4</f>
        <v>0.816963347033769</v>
      </c>
      <c r="F15" s="15" t="n">
        <f aca="false">F14/F4</f>
        <v>0.81754347399445</v>
      </c>
      <c r="G15" s="15" t="n">
        <f aca="false">G14/G4</f>
        <v>0.822734599959875</v>
      </c>
      <c r="H15" s="15" t="n">
        <f aca="false">H14/H4</f>
        <v>0.717998112275581</v>
      </c>
      <c r="I15" s="15" t="n">
        <f aca="false">I14/I4</f>
        <v>0.807548282245805</v>
      </c>
      <c r="J15" s="15" t="n">
        <f aca="false">J14/J4</f>
        <v>0.822734599959875</v>
      </c>
      <c r="K15" s="15" t="n">
        <f aca="false">K14/K4</f>
        <v>0.627314789657189</v>
      </c>
      <c r="L15" s="15" t="n">
        <f aca="false">L14/L4</f>
        <v>0.764852243520799</v>
      </c>
    </row>
    <row r="16" customFormat="false" ht="15" hidden="false" customHeight="false" outlineLevel="0" collapsed="false">
      <c r="A16" s="6" t="s">
        <v>728</v>
      </c>
      <c r="C16" s="13" t="n">
        <f aca="false">nm_rev_0</f>
        <v>0</v>
      </c>
      <c r="D16" s="13" t="n">
        <f aca="false">nm_rev_1</f>
        <v>0</v>
      </c>
      <c r="E16" s="13" t="n">
        <f aca="false">nm_rev_2</f>
        <v>0</v>
      </c>
      <c r="F16" s="13" t="n">
        <f aca="false">nm_rev_3</f>
        <v>0</v>
      </c>
      <c r="G16" s="13" t="n">
        <f aca="false">nm_rev_1</f>
        <v>0</v>
      </c>
      <c r="H16" s="13" t="n">
        <f aca="false">nm_rev_2</f>
        <v>0</v>
      </c>
      <c r="I16" s="13" t="n">
        <f aca="false">nm_rev_3</f>
        <v>0</v>
      </c>
      <c r="J16" s="13" t="n">
        <f aca="false">nm_rev_1</f>
        <v>0</v>
      </c>
      <c r="K16" s="13" t="n">
        <f aca="false">nm_rev_2</f>
        <v>0</v>
      </c>
      <c r="L16" s="13" t="n">
        <f aca="false">nm_rev_3</f>
        <v>0</v>
      </c>
    </row>
    <row r="17" customFormat="false" ht="15" hidden="false" customHeight="false" outlineLevel="0" collapsed="false">
      <c r="A17" s="6" t="s">
        <v>729</v>
      </c>
      <c r="C17" s="13" t="n">
        <f aca="false">nm_op_0</f>
        <v>0</v>
      </c>
      <c r="D17" s="13" t="n">
        <f aca="false">nm_op_1</f>
        <v>0</v>
      </c>
      <c r="E17" s="13" t="n">
        <f aca="false">nm_op_2</f>
        <v>0</v>
      </c>
      <c r="F17" s="13" t="n">
        <f aca="false">nm_op_3</f>
        <v>0</v>
      </c>
      <c r="G17" s="13" t="n">
        <f aca="false">nm_op_1</f>
        <v>0</v>
      </c>
      <c r="H17" s="13" t="n">
        <f aca="false">nm_op_2</f>
        <v>0</v>
      </c>
      <c r="I17" s="13" t="n">
        <f aca="false">nm_op_3</f>
        <v>0</v>
      </c>
      <c r="J17" s="13" t="n">
        <f aca="false">nm_op_1</f>
        <v>0</v>
      </c>
      <c r="K17" s="13" t="n">
        <f aca="false">nm_op_2</f>
        <v>0</v>
      </c>
      <c r="L17" s="13" t="n">
        <f aca="false">nm_op_3</f>
        <v>0</v>
      </c>
    </row>
    <row r="18" customFormat="false" ht="15" hidden="false" customHeight="false" outlineLevel="0" collapsed="false">
      <c r="A18" s="6" t="s">
        <v>730</v>
      </c>
      <c r="C18" s="13" t="n">
        <f aca="false">C4+C16</f>
        <v>341.319230479856</v>
      </c>
      <c r="D18" s="13" t="n">
        <f aca="false">D4+D16</f>
        <v>531.511774306725</v>
      </c>
      <c r="E18" s="13" t="n">
        <f aca="false">E4+E16</f>
        <v>587.501270002768</v>
      </c>
      <c r="F18" s="13" t="n">
        <f aca="false">F4+F16</f>
        <v>634.346098476078</v>
      </c>
      <c r="G18" s="13" t="n">
        <f aca="false">G4+G16</f>
        <v>520.522081420466</v>
      </c>
      <c r="H18" s="13" t="n">
        <f aca="false">H4+H16</f>
        <v>337.986178187734</v>
      </c>
      <c r="I18" s="13" t="n">
        <f aca="false">I4+I16</f>
        <v>589.301041891434</v>
      </c>
      <c r="J18" s="13" t="n">
        <f aca="false">J4+J16</f>
        <v>520.522081420466</v>
      </c>
      <c r="K18" s="13" t="n">
        <f aca="false">K4+K16</f>
        <v>232.680297370142</v>
      </c>
      <c r="L18" s="13" t="n">
        <f aca="false">L4+L16</f>
        <v>424.074703633121</v>
      </c>
    </row>
    <row r="19" customFormat="false" ht="15" hidden="false" customHeight="false" outlineLevel="0" collapsed="false">
      <c r="A19" s="6" t="s">
        <v>731</v>
      </c>
      <c r="C19" s="13" t="n">
        <f aca="false">C14+C17</f>
        <v>265.876578074485</v>
      </c>
      <c r="D19" s="13" t="n">
        <f aca="false">D14+D17</f>
        <v>438.724703748353</v>
      </c>
      <c r="E19" s="13" t="n">
        <f aca="false">E14+E17</f>
        <v>479.967003928052</v>
      </c>
      <c r="F19" s="13" t="n">
        <f aca="false">F14+F17</f>
        <v>518.605513062959</v>
      </c>
      <c r="G19" s="13" t="n">
        <f aca="false">G14+G17</f>
        <v>428.251526427748</v>
      </c>
      <c r="H19" s="13" t="n">
        <f aca="false">H14+H17</f>
        <v>242.673437914031</v>
      </c>
      <c r="I19" s="13" t="n">
        <f aca="false">I14+I17</f>
        <v>475.88904410509</v>
      </c>
      <c r="J19" s="13" t="n">
        <f aca="false">J14+J17</f>
        <v>428.251526427748</v>
      </c>
      <c r="K19" s="13" t="n">
        <f aca="false">K14+K17</f>
        <v>145.963791802123</v>
      </c>
      <c r="L19" s="13" t="n">
        <f aca="false">L14+L17</f>
        <v>324.35448849421</v>
      </c>
    </row>
    <row r="20" customFormat="false" ht="15" hidden="false" customHeight="false" outlineLevel="0" collapsed="false">
      <c r="A20" s="6" t="s">
        <v>732</v>
      </c>
      <c r="B20" s="13" t="n">
        <f aca="false">SUM(Q!B12:E12)</f>
        <v>42.948</v>
      </c>
      <c r="C20" s="13" t="n">
        <f aca="false">Q!J12</f>
        <v>264.956155117354</v>
      </c>
      <c r="D20" s="13" t="n">
        <f aca="false">(D19+rf*C26)*(1-tax)</f>
        <v>340.584588075039</v>
      </c>
      <c r="E20" s="13" t="n">
        <f aca="false">(E19+rf*D26)*(1-tax)</f>
        <v>374.661537181585</v>
      </c>
      <c r="F20" s="13" t="n">
        <f aca="false">(F19+rf*D26)*(1-tax)</f>
        <v>404.413189215463</v>
      </c>
      <c r="G20" s="13" t="n">
        <f aca="false">(G19+rf*C26)*(1-tax)</f>
        <v>332.520241538174</v>
      </c>
      <c r="H20" s="13" t="n">
        <f aca="false">(H19+rf*G26)*(1-tax)</f>
        <v>191.883395882455</v>
      </c>
      <c r="I20" s="13" t="n">
        <f aca="false">(I19+rf*G26)*(1-tax)</f>
        <v>371.459412649571</v>
      </c>
      <c r="J20" s="13" t="n">
        <f aca="false">(J19+rf*C26)*(1-tax)</f>
        <v>332.520241538174</v>
      </c>
      <c r="K20" s="13" t="n">
        <f aca="false">(K19+rf*J26)*(1-tax)</f>
        <v>117.416968376286</v>
      </c>
      <c r="L20" s="13" t="n">
        <f aca="false">(L19+rf*J26)*(1-tax)</f>
        <v>254.777804829193</v>
      </c>
      <c r="M20" s="6" t="s">
        <v>733</v>
      </c>
    </row>
    <row r="21" customFormat="false" ht="15" hidden="false" customHeight="false" outlineLevel="0" collapsed="false">
      <c r="A21" s="6" t="s">
        <v>734</v>
      </c>
      <c r="C21" s="13" t="n">
        <f aca="false">cap_0</f>
        <v>48.7</v>
      </c>
      <c r="D21" s="13" t="n">
        <f aca="false">cap_1</f>
        <v>62.3</v>
      </c>
      <c r="E21" s="13" t="n">
        <f aca="false">cap_2</f>
        <v>71.2</v>
      </c>
      <c r="F21" s="13" t="n">
        <f aca="false">cap_3</f>
        <v>75</v>
      </c>
      <c r="G21" s="13" t="n">
        <f aca="false">cap_1</f>
        <v>62.3</v>
      </c>
      <c r="H21" s="13" t="n">
        <f aca="false">cap_2</f>
        <v>71.2</v>
      </c>
      <c r="I21" s="13" t="n">
        <f aca="false">cap_3</f>
        <v>75</v>
      </c>
      <c r="J21" s="13" t="n">
        <f aca="false">cap_1</f>
        <v>62.3</v>
      </c>
      <c r="K21" s="13" t="n">
        <f aca="false">cap_2</f>
        <v>71.2</v>
      </c>
      <c r="L21" s="13" t="n">
        <f aca="false">cap_3</f>
        <v>75</v>
      </c>
    </row>
    <row r="22" customFormat="false" ht="15" hidden="false" customHeight="false" outlineLevel="0" collapsed="false">
      <c r="A22" s="6" t="s">
        <v>735</v>
      </c>
      <c r="C22" s="13" t="n">
        <f aca="false">C20+C10-C21</f>
        <v>232.910155117354</v>
      </c>
      <c r="D22" s="13" t="n">
        <f aca="false">D20+D10-D21</f>
        <v>301.347788075039</v>
      </c>
      <c r="E22" s="13" t="n">
        <f aca="false">E20+E10-E21</f>
        <v>334.372097181585</v>
      </c>
      <c r="F22" s="13" t="n">
        <f aca="false">F20+F10-F21</f>
        <v>360.323749215463</v>
      </c>
      <c r="G22" s="13" t="n">
        <f aca="false">G20+G10-G21</f>
        <v>293.283441538174</v>
      </c>
      <c r="H22" s="13" t="n">
        <f aca="false">H20+H10-H21</f>
        <v>151.593955882455</v>
      </c>
      <c r="I22" s="13" t="n">
        <f aca="false">I20+I10-I21</f>
        <v>327.369972649571</v>
      </c>
      <c r="J22" s="13" t="n">
        <f aca="false">J20+J10-J21</f>
        <v>293.283441538174</v>
      </c>
      <c r="K22" s="13" t="n">
        <f aca="false">K20+K10-K21</f>
        <v>77.1275283762859</v>
      </c>
      <c r="L22" s="13" t="n">
        <f aca="false">L20+L10-L21</f>
        <v>210.688364829193</v>
      </c>
    </row>
    <row r="23" customFormat="false" ht="15" hidden="false" customHeight="false" outlineLevel="0" collapsed="false">
      <c r="A23" s="6" t="s">
        <v>736</v>
      </c>
      <c r="C23" s="13" t="n">
        <f aca="false">div_0</f>
        <v>0.54</v>
      </c>
      <c r="D23" s="13" t="n">
        <f aca="false">dps_1*C27/1000000</f>
        <v>3.2004763655</v>
      </c>
      <c r="E23" s="13" t="n">
        <f aca="false">dps_2*D27/1000000</f>
        <v>3.25020404069534</v>
      </c>
      <c r="F23" s="13" t="n">
        <f aca="false">dps_3*D27/1000000</f>
        <v>3.59138568032634</v>
      </c>
      <c r="G23" s="13" t="n">
        <f aca="false">dps_1*C27/1000000</f>
        <v>3.2004763655</v>
      </c>
      <c r="H23" s="13" t="n">
        <f aca="false">dps_2*G27/1000000</f>
        <v>3.26248777690312</v>
      </c>
      <c r="I23" s="13" t="n">
        <f aca="false">dps_3*G27/1000000</f>
        <v>3.60495886950621</v>
      </c>
      <c r="J23" s="13" t="n">
        <f aca="false">dps_1*C27/1000000</f>
        <v>3.2004763655</v>
      </c>
      <c r="K23" s="13" t="n">
        <f aca="false">dps_2*J27/1000000</f>
        <v>3.26248777690312</v>
      </c>
      <c r="L23" s="13" t="n">
        <f aca="false">dps_3*J27/1000000</f>
        <v>3.60495886950621</v>
      </c>
    </row>
    <row r="24" customFormat="false" ht="15" hidden="false" customHeight="false" outlineLevel="0" collapsed="false">
      <c r="A24" s="6" t="s">
        <v>737</v>
      </c>
      <c r="C24" s="13" t="n">
        <f aca="false">bb_0</f>
        <v>40</v>
      </c>
      <c r="D24" s="13" t="n">
        <f aca="false">MAX(0,payout*D22-D23)</f>
        <v>147.473417672019</v>
      </c>
      <c r="E24" s="13" t="n">
        <f aca="false">MAX(0,payout*E22-E23)</f>
        <v>163.935844550097</v>
      </c>
      <c r="F24" s="13" t="n">
        <f aca="false">MAX(0,payout*F22-F23)</f>
        <v>176.570488927405</v>
      </c>
      <c r="G24" s="13" t="n">
        <f aca="false">MAX(0,payout*G22-G23)</f>
        <v>143.441244403587</v>
      </c>
      <c r="H24" s="13" t="n">
        <f aca="false">MAX(0,payout*H22-H23)</f>
        <v>72.5344901643245</v>
      </c>
      <c r="I24" s="13" t="n">
        <f aca="false">MAX(0,payout*I22-I23)</f>
        <v>160.080027455279</v>
      </c>
      <c r="J24" s="13" t="n">
        <f aca="false">MAX(0,payout*J22-J23)</f>
        <v>143.441244403587</v>
      </c>
      <c r="K24" s="13" t="n">
        <f aca="false">MAX(0,payout*K22-K23)</f>
        <v>35.3012764112398</v>
      </c>
      <c r="L24" s="13" t="n">
        <f aca="false">MAX(0,payout*L22-L23)</f>
        <v>101.73922354509</v>
      </c>
      <c r="M24" s="6" t="s">
        <v>738</v>
      </c>
    </row>
    <row r="25" customFormat="false" ht="15" hidden="false" customHeight="false" outlineLevel="0" collapsed="false">
      <c r="A25" s="6" t="s">
        <v>739</v>
      </c>
      <c r="C25" s="13" t="n">
        <f aca="false">eq_last+(Q!H12+Q!I12)+extra_eq-C24-C23</f>
        <v>393.240155117353</v>
      </c>
      <c r="D25" s="13" t="n">
        <f aca="false">C25+D20-D23-D24</f>
        <v>583.150849154873</v>
      </c>
      <c r="E25" s="13" t="n">
        <f aca="false">D25+E20-E23-E24</f>
        <v>790.626337745665</v>
      </c>
      <c r="F25" s="13" t="n">
        <f aca="false">D25+F20-F23-F24</f>
        <v>807.402163762605</v>
      </c>
      <c r="G25" s="13" t="n">
        <f aca="false">C25+G20-G23-G24</f>
        <v>579.11867588644</v>
      </c>
      <c r="H25" s="13" t="n">
        <f aca="false">G25+H20-H23-H24</f>
        <v>695.205093827668</v>
      </c>
      <c r="I25" s="13" t="n">
        <f aca="false">G25+I20-I23-I24</f>
        <v>786.893102211226</v>
      </c>
      <c r="J25" s="13" t="n">
        <f aca="false">C25+J20-J23-J24</f>
        <v>579.11867588644</v>
      </c>
      <c r="K25" s="13" t="n">
        <f aca="false">J25+K20-K23-K24</f>
        <v>657.971880074583</v>
      </c>
      <c r="L25" s="13" t="n">
        <f aca="false">J25+L20-L23-L24</f>
        <v>728.552298301037</v>
      </c>
    </row>
    <row r="26" customFormat="false" ht="15" hidden="false" customHeight="false" outlineLevel="0" collapsed="false">
      <c r="A26" s="6" t="s">
        <v>740</v>
      </c>
      <c r="C26" s="13" t="n">
        <f aca="false">nc_last+(Q!H12+Q!I12)+(Q!H13+Q!I13)-capex_rem+extra_eq-C24-C23</f>
        <v>179.647155117354</v>
      </c>
      <c r="D26" s="13" t="n">
        <f aca="false">C26+D22-D23-D24</f>
        <v>330.321049154873</v>
      </c>
      <c r="E26" s="13" t="n">
        <f aca="false">D26+E22-E23-E24</f>
        <v>497.507097745665</v>
      </c>
      <c r="F26" s="13" t="n">
        <f aca="false">D26+F22-F23-F24</f>
        <v>510.482923762605</v>
      </c>
      <c r="G26" s="13" t="n">
        <f aca="false">C26+G22-G23-G24</f>
        <v>326.28887588644</v>
      </c>
      <c r="H26" s="13" t="n">
        <f aca="false">G26+H22-H23-H24</f>
        <v>402.085853827668</v>
      </c>
      <c r="I26" s="13" t="n">
        <f aca="false">G26+I22-I23-I24</f>
        <v>489.973862211226</v>
      </c>
      <c r="J26" s="13" t="n">
        <f aca="false">C26+J22-J23-J24</f>
        <v>326.28887588644</v>
      </c>
      <c r="K26" s="13" t="n">
        <f aca="false">J26+K22-K23-K24</f>
        <v>364.852640074583</v>
      </c>
      <c r="L26" s="13" t="n">
        <f aca="false">J26+L22-L23-L24</f>
        <v>431.633058301037</v>
      </c>
    </row>
    <row r="27" customFormat="false" ht="15" hidden="false" customHeight="false" outlineLevel="0" collapsed="false">
      <c r="A27" s="6" t="s">
        <v>741</v>
      </c>
      <c r="C27" s="13" t="n">
        <f aca="false">sh_last+extra_sh-bb_sh_0</f>
        <v>704.7955</v>
      </c>
      <c r="D27" s="13" t="n">
        <f aca="false">C27-D24/bb_px*1000000</f>
        <v>619.204427642473</v>
      </c>
      <c r="E27" s="13" t="n">
        <f aca="false">D27-E24/bb_px*1000000</f>
        <v>524.058841716705</v>
      </c>
      <c r="F27" s="13" t="n">
        <f aca="false">D27-F24/bb_px*1000000</f>
        <v>516.725908241773</v>
      </c>
      <c r="G27" s="13" t="n">
        <f aca="false">C27-G24/bb_px*1000000</f>
        <v>621.544632673484</v>
      </c>
      <c r="H27" s="13" t="n">
        <f aca="false">G27-H24/bb_px*1000000</f>
        <v>579.446843837544</v>
      </c>
      <c r="I27" s="13" t="n">
        <f aca="false">G27-I24/bb_px*1000000</f>
        <v>528.636897644303</v>
      </c>
      <c r="J27" s="13" t="n">
        <f aca="false">C27-J24/bb_px*1000000</f>
        <v>621.544632673484</v>
      </c>
      <c r="K27" s="13" t="n">
        <f aca="false">J27-K24/bb_px*1000000</f>
        <v>601.056370101668</v>
      </c>
      <c r="L27" s="13" t="n">
        <f aca="false">J27-L24/bb_px*1000000</f>
        <v>562.496911521371</v>
      </c>
    </row>
    <row r="28" customFormat="false" ht="15" hidden="false" customHeight="false" outlineLevel="0" collapsed="false">
      <c r="A28" s="6" t="s">
        <v>742</v>
      </c>
      <c r="C28" s="16" t="n">
        <f aca="false">C25/C27*1000000</f>
        <v>557949.298934731</v>
      </c>
      <c r="D28" s="16" t="n">
        <f aca="false">D25/D27*1000000</f>
        <v>941774.352898496</v>
      </c>
      <c r="E28" s="16" t="n">
        <f aca="false">E25/E27*1000000</f>
        <v>1508659.47639723</v>
      </c>
      <c r="F28" s="16" t="n">
        <f aca="false">F25/F27*1000000</f>
        <v>1562534.70337862</v>
      </c>
      <c r="G28" s="16" t="n">
        <f aca="false">G25/G27*1000000</f>
        <v>931741.09378991</v>
      </c>
      <c r="H28" s="16" t="n">
        <f aca="false">H25/H27*1000000</f>
        <v>1199773.71733269</v>
      </c>
      <c r="I28" s="16" t="n">
        <f aca="false">I25/I27*1000000</f>
        <v>1488532.30963967</v>
      </c>
      <c r="J28" s="16" t="n">
        <f aca="false">J25/J27*1000000</f>
        <v>931741.09378991</v>
      </c>
      <c r="K28" s="16" t="n">
        <f aca="false">K25/K27*1000000</f>
        <v>1094692.46613806</v>
      </c>
      <c r="L28" s="16" t="n">
        <f aca="false">L25/L27*1000000</f>
        <v>1295211.19739225</v>
      </c>
    </row>
    <row r="29" customFormat="false" ht="15" hidden="false" customHeight="false" outlineLevel="0" collapsed="false">
      <c r="A29" s="6" t="s">
        <v>743</v>
      </c>
      <c r="C29" s="16" t="n">
        <f aca="false">C20/C27*1000000</f>
        <v>375933.380842178</v>
      </c>
      <c r="D29" s="16" t="n">
        <f aca="false">D20/D27*1000000</f>
        <v>550035.776345727</v>
      </c>
      <c r="E29" s="16" t="n">
        <f aca="false">E20/E27*1000000</f>
        <v>714922.652491223</v>
      </c>
      <c r="F29" s="16" t="n">
        <f aca="false">F20/F27*1000000</f>
        <v>782645.465932861</v>
      </c>
      <c r="G29" s="16" t="n">
        <f aca="false">G20/G27*1000000</f>
        <v>534990.126304986</v>
      </c>
      <c r="H29" s="16" t="n">
        <f aca="false">H20/H27*1000000</f>
        <v>331149.264031978</v>
      </c>
      <c r="I29" s="16" t="n">
        <f aca="false">I20/I27*1000000</f>
        <v>702674.017468054</v>
      </c>
      <c r="J29" s="16" t="n">
        <f aca="false">J20/J27*1000000</f>
        <v>534990.126304986</v>
      </c>
      <c r="K29" s="16" t="n">
        <f aca="false">K20/K27*1000000</f>
        <v>195351.00901838</v>
      </c>
      <c r="L29" s="16" t="n">
        <f aca="false">L20/L27*1000000</f>
        <v>452940.806626123</v>
      </c>
    </row>
    <row r="30" customFormat="false" ht="15" hidden="false" customHeight="false" outlineLevel="0" collapsed="false">
      <c r="A30" s="0" t="s">
        <v>744</v>
      </c>
      <c r="C30" s="11" t="n">
        <f aca="false">C20/C25</f>
        <v>0.673776957081821</v>
      </c>
      <c r="D30" s="11" t="n">
        <f aca="false">D20/D25</f>
        <v>0.584041999713502</v>
      </c>
      <c r="E30" s="11" t="n">
        <f aca="false">E20/E25</f>
        <v>0.473879403322014</v>
      </c>
      <c r="F30" s="11" t="n">
        <f aca="false">F20/F25</f>
        <v>0.500881973527099</v>
      </c>
      <c r="G30" s="11" t="n">
        <f aca="false">G20/G25</f>
        <v>0.574183246688072</v>
      </c>
      <c r="H30" s="11" t="n">
        <f aca="false">H20/H25</f>
        <v>0.276009766881859</v>
      </c>
      <c r="I30" s="11" t="n">
        <f aca="false">I20/I25</f>
        <v>0.472058290517153</v>
      </c>
      <c r="J30" s="11" t="n">
        <f aca="false">J20/J25</f>
        <v>0.574183246688072</v>
      </c>
      <c r="K30" s="11" t="n">
        <f aca="false">K20/K25</f>
        <v>0.178452866956831</v>
      </c>
      <c r="L30" s="11" t="n">
        <f aca="false">L20/L25</f>
        <v>0.349704208501336</v>
      </c>
    </row>
    <row r="31" customFormat="false" ht="15" hidden="false" customHeight="false" outlineLevel="0" collapsed="false">
      <c r="A31" s="0" t="s">
        <v>745</v>
      </c>
      <c r="C31" s="10" t="n">
        <f aca="false">(Mkt!D24/4*sh26+Mkt!D24/4*sh26+Mkt!D24/4*sh26+Mkt!D24/4*sh26)</f>
        <v>1.9670014</v>
      </c>
      <c r="D31" s="10" t="n">
        <f aca="false">(Mkt!E24/4*sh27+Mkt!E24/4*sh27+Mkt!E24/4*sh27+Mkt!E24/4*sh27)</f>
        <v>2.462534445</v>
      </c>
      <c r="E31" s="10" t="n">
        <f aca="false">(Mkt!F24/4*sh28+Mkt!F24/4*sh28+Mkt!F24/4*sh28+Mkt!F24/4*sh28)</f>
        <v>3.400642805</v>
      </c>
      <c r="F31" s="10" t="n">
        <f aca="false">(Mkt!G24/4*sh29+Mkt!G24/4*sh29+Mkt!G24/4*sh29+Mkt!G24/4*sh29)</f>
        <v>4.59086778675</v>
      </c>
      <c r="G31" s="10" t="n">
        <f aca="false">(Mkt!E25/4*sh27+Mkt!E25/4*sh27+Mkt!E25/4*sh27+Mkt!E25/4*sh27)</f>
        <v>2.462534445</v>
      </c>
      <c r="H31" s="10" t="n">
        <f aca="false">(Mkt!F25/4*sh28+Mkt!F25/4*sh28+Mkt!F25/4*sh28+Mkt!F25/4*sh28)</f>
        <v>3.289184</v>
      </c>
      <c r="I31" s="10" t="n">
        <f aca="false">(Mkt!G25/4*sh29+Mkt!G25/4*sh29+Mkt!G25/4*sh29+Mkt!G25/4*sh29)</f>
        <v>4.5431854</v>
      </c>
      <c r="J31" s="10" t="n">
        <f aca="false">(Mkt!E26/4*sh27+Mkt!E26/4*sh27+Mkt!E26/4*sh27+Mkt!E26/4*sh27)</f>
        <v>2.462534445</v>
      </c>
      <c r="K31" s="10" t="n">
        <f aca="false">(Mkt!F26/4*sh28+Mkt!F26/4*sh28+Mkt!F26/4*sh28+Mkt!F26/4*sh28)</f>
        <v>2.466888</v>
      </c>
      <c r="L31" s="10" t="n">
        <f aca="false">(Mkt!G26/4*sh29+Mkt!G26/4*sh29+Mkt!G26/4*sh29+Mkt!G26/4*sh29)</f>
        <v>3.2069544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746</v>
      </c>
    </row>
    <row r="3" customFormat="false" ht="15" hidden="false" customHeight="false" outlineLevel="0" collapsed="false">
      <c r="A3" s="5" t="s">
        <v>747</v>
      </c>
      <c r="B3" s="5" t="s">
        <v>748</v>
      </c>
      <c r="C3" s="5" t="s">
        <v>24</v>
      </c>
      <c r="D3" s="5" t="s">
        <v>607</v>
      </c>
      <c r="E3" s="5" t="s">
        <v>749</v>
      </c>
      <c r="F3" s="5" t="s">
        <v>750</v>
      </c>
      <c r="G3" s="5" t="s">
        <v>751</v>
      </c>
    </row>
    <row r="4" customFormat="false" ht="15" hidden="false" customHeight="false" outlineLevel="0" collapsed="false">
      <c r="A4" s="0" t="s">
        <v>218</v>
      </c>
      <c r="B4" s="0" t="n">
        <f aca="false">pb_1</f>
        <v>1</v>
      </c>
      <c r="C4" s="0" t="s">
        <v>752</v>
      </c>
      <c r="D4" s="6" t="s">
        <v>753</v>
      </c>
      <c r="E4" s="16" t="n">
        <f aca="false">Y!C28</f>
        <v>557949.298934731</v>
      </c>
      <c r="F4" s="16" t="n">
        <f aca="false">B4*E4</f>
        <v>557949.298934731</v>
      </c>
      <c r="G4" s="11" t="n">
        <f aca="false">F4/px-1</f>
        <v>-0.676175682568351</v>
      </c>
    </row>
    <row r="5" customFormat="false" ht="15" hidden="false" customHeight="false" outlineLevel="0" collapsed="false">
      <c r="A5" s="0" t="s">
        <v>754</v>
      </c>
      <c r="B5" s="0" t="n">
        <f aca="false">pb_2</f>
        <v>1.6</v>
      </c>
      <c r="C5" s="0" t="s">
        <v>752</v>
      </c>
      <c r="D5" s="6" t="s">
        <v>753</v>
      </c>
      <c r="E5" s="16" t="n">
        <f aca="false">Y!C28</f>
        <v>557949.298934731</v>
      </c>
      <c r="F5" s="16" t="n">
        <f aca="false">B5*E5</f>
        <v>892718.87829557</v>
      </c>
      <c r="G5" s="11" t="n">
        <f aca="false">F5/px-1</f>
        <v>-0.481881092109362</v>
      </c>
    </row>
    <row r="6" customFormat="false" ht="15" hidden="false" customHeight="false" outlineLevel="0" collapsed="false">
      <c r="A6" s="0" t="s">
        <v>755</v>
      </c>
      <c r="B6" s="0" t="n">
        <f aca="false">pb_3</f>
        <v>3.3</v>
      </c>
      <c r="C6" s="0" t="s">
        <v>752</v>
      </c>
      <c r="D6" s="6" t="s">
        <v>753</v>
      </c>
      <c r="E6" s="16" t="n">
        <f aca="false">Y!C28</f>
        <v>557949.298934731</v>
      </c>
      <c r="F6" s="16" t="n">
        <f aca="false">B6*E6</f>
        <v>1841232.68648461</v>
      </c>
      <c r="G6" s="11" t="n">
        <f aca="false">F6/px-1</f>
        <v>0.0686202475244417</v>
      </c>
    </row>
    <row r="7" customFormat="false" ht="15" hidden="false" customHeight="false" outlineLevel="0" collapsed="false">
      <c r="A7" s="0" t="s">
        <v>218</v>
      </c>
      <c r="B7" s="0" t="n">
        <f aca="false">pb_1</f>
        <v>1</v>
      </c>
      <c r="C7" s="0" t="s">
        <v>756</v>
      </c>
      <c r="D7" s="0" t="s">
        <v>629</v>
      </c>
      <c r="E7" s="16" t="n">
        <f aca="false">Y!D28</f>
        <v>941774.352898496</v>
      </c>
      <c r="F7" s="16" t="n">
        <f aca="false">B7*E7</f>
        <v>941774.352898496</v>
      </c>
      <c r="G7" s="11" t="n">
        <f aca="false">F7/px-1</f>
        <v>-0.453410126002034</v>
      </c>
    </row>
    <row r="8" customFormat="false" ht="15" hidden="false" customHeight="false" outlineLevel="0" collapsed="false">
      <c r="A8" s="0" t="s">
        <v>754</v>
      </c>
      <c r="B8" s="0" t="n">
        <f aca="false">pb_2</f>
        <v>1.6</v>
      </c>
      <c r="C8" s="0" t="s">
        <v>756</v>
      </c>
      <c r="D8" s="0" t="s">
        <v>629</v>
      </c>
      <c r="E8" s="16" t="n">
        <f aca="false">Y!D28</f>
        <v>941774.352898496</v>
      </c>
      <c r="F8" s="16" t="n">
        <f aca="false">B8*E8</f>
        <v>1506838.96463759</v>
      </c>
      <c r="G8" s="11" t="n">
        <f aca="false">F8/px-1</f>
        <v>-0.125456201603254</v>
      </c>
    </row>
    <row r="9" customFormat="false" ht="15" hidden="false" customHeight="false" outlineLevel="0" collapsed="false">
      <c r="A9" s="0" t="s">
        <v>755</v>
      </c>
      <c r="B9" s="0" t="n">
        <f aca="false">pb_3</f>
        <v>3.3</v>
      </c>
      <c r="C9" s="0" t="s">
        <v>756</v>
      </c>
      <c r="D9" s="0" t="s">
        <v>629</v>
      </c>
      <c r="E9" s="16" t="n">
        <f aca="false">Y!D28</f>
        <v>941774.352898496</v>
      </c>
      <c r="F9" s="16" t="n">
        <f aca="false">B9*E9</f>
        <v>3107855.36456504</v>
      </c>
      <c r="G9" s="11" t="n">
        <f aca="false">F9/px-1</f>
        <v>0.803746584193288</v>
      </c>
    </row>
    <row r="10" customFormat="false" ht="15" hidden="false" customHeight="false" outlineLevel="0" collapsed="false">
      <c r="A10" s="0" t="s">
        <v>218</v>
      </c>
      <c r="B10" s="0" t="n">
        <f aca="false">pb_1</f>
        <v>1</v>
      </c>
      <c r="C10" s="0" t="s">
        <v>756</v>
      </c>
      <c r="D10" s="0" t="s">
        <v>630</v>
      </c>
      <c r="E10" s="16" t="n">
        <f aca="false">Y!G28</f>
        <v>931741.09378991</v>
      </c>
      <c r="F10" s="16" t="n">
        <f aca="false">B10*E10</f>
        <v>931741.09378991</v>
      </c>
      <c r="G10" s="11" t="n">
        <f aca="false">F10/px-1</f>
        <v>-0.459233259553157</v>
      </c>
    </row>
    <row r="11" customFormat="false" ht="15" hidden="false" customHeight="false" outlineLevel="0" collapsed="false">
      <c r="A11" s="0" t="s">
        <v>754</v>
      </c>
      <c r="B11" s="0" t="n">
        <f aca="false">pb_2</f>
        <v>1.6</v>
      </c>
      <c r="C11" s="0" t="s">
        <v>756</v>
      </c>
      <c r="D11" s="0" t="s">
        <v>630</v>
      </c>
      <c r="E11" s="16" t="n">
        <f aca="false">Y!G28</f>
        <v>931741.09378991</v>
      </c>
      <c r="F11" s="16" t="n">
        <f aca="false">B11*E11</f>
        <v>1490785.75006386</v>
      </c>
      <c r="G11" s="11" t="n">
        <f aca="false">F11/px-1</f>
        <v>-0.134773215285051</v>
      </c>
    </row>
    <row r="12" customFormat="false" ht="15" hidden="false" customHeight="false" outlineLevel="0" collapsed="false">
      <c r="A12" s="0" t="s">
        <v>755</v>
      </c>
      <c r="B12" s="0" t="n">
        <f aca="false">pb_3</f>
        <v>3.3</v>
      </c>
      <c r="C12" s="0" t="s">
        <v>756</v>
      </c>
      <c r="D12" s="0" t="s">
        <v>630</v>
      </c>
      <c r="E12" s="16" t="n">
        <f aca="false">Y!G28</f>
        <v>931741.09378991</v>
      </c>
      <c r="F12" s="16" t="n">
        <f aca="false">B12*E12</f>
        <v>3074745.6095067</v>
      </c>
      <c r="G12" s="11" t="n">
        <f aca="false">F12/px-1</f>
        <v>0.784530243474582</v>
      </c>
    </row>
    <row r="13" customFormat="false" ht="15" hidden="false" customHeight="false" outlineLevel="0" collapsed="false">
      <c r="A13" s="0" t="s">
        <v>218</v>
      </c>
      <c r="B13" s="0" t="n">
        <f aca="false">pb_1</f>
        <v>1</v>
      </c>
      <c r="C13" s="0" t="s">
        <v>756</v>
      </c>
      <c r="D13" s="0" t="s">
        <v>631</v>
      </c>
      <c r="E13" s="16" t="n">
        <f aca="false">Y!J28</f>
        <v>931741.09378991</v>
      </c>
      <c r="F13" s="16" t="n">
        <f aca="false">B13*E13</f>
        <v>931741.09378991</v>
      </c>
      <c r="G13" s="11" t="n">
        <f aca="false">F13/px-1</f>
        <v>-0.459233259553157</v>
      </c>
    </row>
    <row r="14" customFormat="false" ht="15" hidden="false" customHeight="false" outlineLevel="0" collapsed="false">
      <c r="A14" s="0" t="s">
        <v>754</v>
      </c>
      <c r="B14" s="0" t="n">
        <f aca="false">pb_2</f>
        <v>1.6</v>
      </c>
      <c r="C14" s="0" t="s">
        <v>756</v>
      </c>
      <c r="D14" s="0" t="s">
        <v>631</v>
      </c>
      <c r="E14" s="16" t="n">
        <f aca="false">Y!J28</f>
        <v>931741.09378991</v>
      </c>
      <c r="F14" s="16" t="n">
        <f aca="false">B14*E14</f>
        <v>1490785.75006386</v>
      </c>
      <c r="G14" s="11" t="n">
        <f aca="false">F14/px-1</f>
        <v>-0.134773215285051</v>
      </c>
    </row>
    <row r="15" customFormat="false" ht="15" hidden="false" customHeight="false" outlineLevel="0" collapsed="false">
      <c r="A15" s="0" t="s">
        <v>755</v>
      </c>
      <c r="B15" s="0" t="n">
        <f aca="false">pb_3</f>
        <v>3.3</v>
      </c>
      <c r="C15" s="0" t="s">
        <v>756</v>
      </c>
      <c r="D15" s="0" t="s">
        <v>631</v>
      </c>
      <c r="E15" s="16" t="n">
        <f aca="false">Y!J28</f>
        <v>931741.09378991</v>
      </c>
      <c r="F15" s="16" t="n">
        <f aca="false">B15*E15</f>
        <v>3074745.6095067</v>
      </c>
      <c r="G15" s="11" t="n">
        <f aca="false">F15/px-1</f>
        <v>0.784530243474582</v>
      </c>
    </row>
    <row r="16" customFormat="false" ht="15" hidden="false" customHeight="false" outlineLevel="0" collapsed="false">
      <c r="A16" s="0" t="s">
        <v>218</v>
      </c>
      <c r="B16" s="0" t="n">
        <f aca="false">pb_1</f>
        <v>1</v>
      </c>
      <c r="C16" s="0" t="s">
        <v>757</v>
      </c>
      <c r="D16" s="0" t="s">
        <v>629</v>
      </c>
      <c r="E16" s="16" t="n">
        <f aca="false">Y!E28</f>
        <v>1508659.47639723</v>
      </c>
      <c r="F16" s="16" t="n">
        <f aca="false">B16*E16</f>
        <v>1508659.47639723</v>
      </c>
      <c r="G16" s="11" t="n">
        <f aca="false">F16/px-1</f>
        <v>-0.124399607430509</v>
      </c>
    </row>
    <row r="17" customFormat="false" ht="15" hidden="false" customHeight="false" outlineLevel="0" collapsed="false">
      <c r="A17" s="0" t="s">
        <v>754</v>
      </c>
      <c r="B17" s="0" t="n">
        <f aca="false">pb_2</f>
        <v>1.6</v>
      </c>
      <c r="C17" s="0" t="s">
        <v>757</v>
      </c>
      <c r="D17" s="0" t="s">
        <v>629</v>
      </c>
      <c r="E17" s="16" t="n">
        <f aca="false">Y!E28</f>
        <v>1508659.47639723</v>
      </c>
      <c r="F17" s="16" t="n">
        <f aca="false">B17*E17</f>
        <v>2413855.16223557</v>
      </c>
      <c r="G17" s="11" t="n">
        <f aca="false">F17/px-1</f>
        <v>0.400960628111186</v>
      </c>
    </row>
    <row r="18" customFormat="false" ht="15" hidden="false" customHeight="false" outlineLevel="0" collapsed="false">
      <c r="A18" s="0" t="s">
        <v>755</v>
      </c>
      <c r="B18" s="0" t="n">
        <f aca="false">pb_3</f>
        <v>3.3</v>
      </c>
      <c r="C18" s="0" t="s">
        <v>757</v>
      </c>
      <c r="D18" s="0" t="s">
        <v>629</v>
      </c>
      <c r="E18" s="16" t="n">
        <f aca="false">Y!E28</f>
        <v>1508659.47639723</v>
      </c>
      <c r="F18" s="16" t="n">
        <f aca="false">B18*E18</f>
        <v>4978576.27211087</v>
      </c>
      <c r="G18" s="11" t="n">
        <f aca="false">F18/px-1</f>
        <v>1.88948129547932</v>
      </c>
    </row>
    <row r="19" customFormat="false" ht="15" hidden="false" customHeight="false" outlineLevel="0" collapsed="false">
      <c r="A19" s="0" t="s">
        <v>218</v>
      </c>
      <c r="B19" s="0" t="n">
        <f aca="false">pb_1</f>
        <v>1</v>
      </c>
      <c r="C19" s="0" t="s">
        <v>757</v>
      </c>
      <c r="D19" s="0" t="s">
        <v>630</v>
      </c>
      <c r="E19" s="16" t="n">
        <f aca="false">Y!H28</f>
        <v>1199773.71733269</v>
      </c>
      <c r="F19" s="16" t="n">
        <f aca="false">B19*E19</f>
        <v>1199773.71733269</v>
      </c>
      <c r="G19" s="11" t="n">
        <f aca="false">F19/px-1</f>
        <v>-0.30367166724742</v>
      </c>
    </row>
    <row r="20" customFormat="false" ht="15" hidden="false" customHeight="false" outlineLevel="0" collapsed="false">
      <c r="A20" s="0" t="s">
        <v>754</v>
      </c>
      <c r="B20" s="0" t="n">
        <f aca="false">pb_2</f>
        <v>1.6</v>
      </c>
      <c r="C20" s="0" t="s">
        <v>757</v>
      </c>
      <c r="D20" s="0" t="s">
        <v>630</v>
      </c>
      <c r="E20" s="16" t="n">
        <f aca="false">Y!H28</f>
        <v>1199773.71733269</v>
      </c>
      <c r="F20" s="16" t="n">
        <f aca="false">B20*E20</f>
        <v>1919637.94773231</v>
      </c>
      <c r="G20" s="11" t="n">
        <f aca="false">F20/px-1</f>
        <v>0.114125332404128</v>
      </c>
    </row>
    <row r="21" customFormat="false" ht="15" hidden="false" customHeight="false" outlineLevel="0" collapsed="false">
      <c r="A21" s="0" t="s">
        <v>755</v>
      </c>
      <c r="B21" s="0" t="n">
        <f aca="false">pb_3</f>
        <v>3.3</v>
      </c>
      <c r="C21" s="0" t="s">
        <v>757</v>
      </c>
      <c r="D21" s="0" t="s">
        <v>630</v>
      </c>
      <c r="E21" s="16" t="n">
        <f aca="false">Y!H28</f>
        <v>1199773.71733269</v>
      </c>
      <c r="F21" s="16" t="n">
        <f aca="false">B21*E21</f>
        <v>3959253.26719789</v>
      </c>
      <c r="G21" s="11" t="n">
        <f aca="false">F21/px-1</f>
        <v>1.29788349808351</v>
      </c>
    </row>
    <row r="22" customFormat="false" ht="15" hidden="false" customHeight="false" outlineLevel="0" collapsed="false">
      <c r="A22" s="0" t="s">
        <v>218</v>
      </c>
      <c r="B22" s="0" t="n">
        <f aca="false">pb_1</f>
        <v>1</v>
      </c>
      <c r="C22" s="0" t="s">
        <v>757</v>
      </c>
      <c r="D22" s="0" t="s">
        <v>631</v>
      </c>
      <c r="E22" s="16" t="n">
        <f aca="false">Y!K28</f>
        <v>1094692.46613806</v>
      </c>
      <c r="F22" s="16" t="n">
        <f aca="false">B22*E22</f>
        <v>1094692.46613806</v>
      </c>
      <c r="G22" s="11" t="n">
        <f aca="false">F22/px-1</f>
        <v>-0.364659044609369</v>
      </c>
    </row>
    <row r="23" customFormat="false" ht="15" hidden="false" customHeight="false" outlineLevel="0" collapsed="false">
      <c r="A23" s="0" t="s">
        <v>754</v>
      </c>
      <c r="B23" s="0" t="n">
        <f aca="false">pb_2</f>
        <v>1.6</v>
      </c>
      <c r="C23" s="0" t="s">
        <v>757</v>
      </c>
      <c r="D23" s="0" t="s">
        <v>631</v>
      </c>
      <c r="E23" s="16" t="n">
        <f aca="false">Y!K28</f>
        <v>1094692.46613806</v>
      </c>
      <c r="F23" s="16" t="n">
        <f aca="false">B23*E23</f>
        <v>1751507.94582089</v>
      </c>
      <c r="G23" s="11" t="n">
        <f aca="false">F23/px-1</f>
        <v>0.0165455286250091</v>
      </c>
    </row>
    <row r="24" customFormat="false" ht="15" hidden="false" customHeight="false" outlineLevel="0" collapsed="false">
      <c r="A24" s="0" t="s">
        <v>755</v>
      </c>
      <c r="B24" s="0" t="n">
        <f aca="false">pb_3</f>
        <v>3.3</v>
      </c>
      <c r="C24" s="0" t="s">
        <v>757</v>
      </c>
      <c r="D24" s="0" t="s">
        <v>631</v>
      </c>
      <c r="E24" s="16" t="n">
        <f aca="false">Y!K28</f>
        <v>1094692.46613806</v>
      </c>
      <c r="F24" s="16" t="n">
        <f aca="false">B24*E24</f>
        <v>3612485.13825559</v>
      </c>
      <c r="G24" s="11" t="n">
        <f aca="false">F24/px-1</f>
        <v>1.09662515278908</v>
      </c>
    </row>
    <row r="25" customFormat="false" ht="15" hidden="false" customHeight="false" outlineLevel="0" collapsed="false">
      <c r="A25" s="0" t="s">
        <v>218</v>
      </c>
      <c r="B25" s="0" t="n">
        <f aca="false">pb_1</f>
        <v>1</v>
      </c>
      <c r="C25" s="0" t="s">
        <v>758</v>
      </c>
      <c r="D25" s="0" t="s">
        <v>629</v>
      </c>
      <c r="E25" s="16" t="n">
        <f aca="false">Y!F28</f>
        <v>1562534.70337862</v>
      </c>
      <c r="F25" s="16" t="n">
        <f aca="false">B25*E25</f>
        <v>1562534.70337862</v>
      </c>
      <c r="G25" s="11" t="n">
        <f aca="false">F25/px-1</f>
        <v>-0.0931313387239612</v>
      </c>
    </row>
    <row r="26" customFormat="false" ht="15" hidden="false" customHeight="false" outlineLevel="0" collapsed="false">
      <c r="A26" s="0" t="s">
        <v>754</v>
      </c>
      <c r="B26" s="0" t="n">
        <f aca="false">pb_2</f>
        <v>1.6</v>
      </c>
      <c r="C26" s="0" t="s">
        <v>758</v>
      </c>
      <c r="D26" s="0" t="s">
        <v>629</v>
      </c>
      <c r="E26" s="16" t="n">
        <f aca="false">Y!F28</f>
        <v>1562534.70337862</v>
      </c>
      <c r="F26" s="16" t="n">
        <f aca="false">B26*E26</f>
        <v>2500055.52540578</v>
      </c>
      <c r="G26" s="11" t="n">
        <f aca="false">F26/px-1</f>
        <v>0.450989858041662</v>
      </c>
    </row>
    <row r="27" customFormat="false" ht="15" hidden="false" customHeight="false" outlineLevel="0" collapsed="false">
      <c r="A27" s="0" t="s">
        <v>755</v>
      </c>
      <c r="B27" s="0" t="n">
        <f aca="false">pb_3</f>
        <v>3.3</v>
      </c>
      <c r="C27" s="0" t="s">
        <v>758</v>
      </c>
      <c r="D27" s="0" t="s">
        <v>629</v>
      </c>
      <c r="E27" s="16" t="n">
        <f aca="false">Y!F28</f>
        <v>1562534.70337862</v>
      </c>
      <c r="F27" s="16" t="n">
        <f aca="false">B27*E27</f>
        <v>5156364.52114943</v>
      </c>
      <c r="G27" s="11" t="n">
        <f aca="false">F27/px-1</f>
        <v>1.99266658221093</v>
      </c>
    </row>
    <row r="28" customFormat="false" ht="15" hidden="false" customHeight="false" outlineLevel="0" collapsed="false">
      <c r="A28" s="0" t="s">
        <v>218</v>
      </c>
      <c r="B28" s="0" t="n">
        <f aca="false">pb_1</f>
        <v>1</v>
      </c>
      <c r="C28" s="0" t="s">
        <v>758</v>
      </c>
      <c r="D28" s="0" t="s">
        <v>630</v>
      </c>
      <c r="E28" s="16" t="n">
        <f aca="false">Y!I28</f>
        <v>1488532.30963967</v>
      </c>
      <c r="F28" s="16" t="n">
        <f aca="false">B28*E28</f>
        <v>1488532.30963967</v>
      </c>
      <c r="G28" s="11" t="n">
        <f aca="false">F28/px-1</f>
        <v>-0.136081073917775</v>
      </c>
    </row>
    <row r="29" customFormat="false" ht="15" hidden="false" customHeight="false" outlineLevel="0" collapsed="false">
      <c r="A29" s="0" t="s">
        <v>754</v>
      </c>
      <c r="B29" s="0" t="n">
        <f aca="false">pb_2</f>
        <v>1.6</v>
      </c>
      <c r="C29" s="0" t="s">
        <v>758</v>
      </c>
      <c r="D29" s="0" t="s">
        <v>630</v>
      </c>
      <c r="E29" s="16" t="n">
        <f aca="false">Y!I28</f>
        <v>1488532.30963967</v>
      </c>
      <c r="F29" s="16" t="n">
        <f aca="false">B29*E29</f>
        <v>2381651.69542348</v>
      </c>
      <c r="G29" s="11" t="n">
        <f aca="false">F29/px-1</f>
        <v>0.382270281731559</v>
      </c>
    </row>
    <row r="30" customFormat="false" ht="15" hidden="false" customHeight="false" outlineLevel="0" collapsed="false">
      <c r="A30" s="0" t="s">
        <v>755</v>
      </c>
      <c r="B30" s="0" t="n">
        <f aca="false">pb_3</f>
        <v>3.3</v>
      </c>
      <c r="C30" s="0" t="s">
        <v>758</v>
      </c>
      <c r="D30" s="0" t="s">
        <v>630</v>
      </c>
      <c r="E30" s="16" t="n">
        <f aca="false">Y!I28</f>
        <v>1488532.30963967</v>
      </c>
      <c r="F30" s="16" t="n">
        <f aca="false">B30*E30</f>
        <v>4912156.62181092</v>
      </c>
      <c r="G30" s="11" t="n">
        <f aca="false">F30/px-1</f>
        <v>1.85093245607134</v>
      </c>
    </row>
    <row r="31" customFormat="false" ht="15" hidden="false" customHeight="false" outlineLevel="0" collapsed="false">
      <c r="A31" s="0" t="s">
        <v>218</v>
      </c>
      <c r="B31" s="0" t="n">
        <f aca="false">pb_1</f>
        <v>1</v>
      </c>
      <c r="C31" s="0" t="s">
        <v>758</v>
      </c>
      <c r="D31" s="0" t="s">
        <v>631</v>
      </c>
      <c r="E31" s="16" t="n">
        <f aca="false">Y!L28</f>
        <v>1295211.19739225</v>
      </c>
      <c r="F31" s="16" t="n">
        <f aca="false">B31*E31</f>
        <v>1295211.19739225</v>
      </c>
      <c r="G31" s="11" t="n">
        <f aca="false">F31/px-1</f>
        <v>-0.2482813712175</v>
      </c>
    </row>
    <row r="32" customFormat="false" ht="15" hidden="false" customHeight="false" outlineLevel="0" collapsed="false">
      <c r="A32" s="0" t="s">
        <v>754</v>
      </c>
      <c r="B32" s="0" t="n">
        <f aca="false">pb_2</f>
        <v>1.6</v>
      </c>
      <c r="C32" s="0" t="s">
        <v>758</v>
      </c>
      <c r="D32" s="0" t="s">
        <v>631</v>
      </c>
      <c r="E32" s="16" t="n">
        <f aca="false">Y!L28</f>
        <v>1295211.19739225</v>
      </c>
      <c r="F32" s="16" t="n">
        <f aca="false">B32*E32</f>
        <v>2072337.9158276</v>
      </c>
      <c r="G32" s="11" t="n">
        <f aca="false">F32/px-1</f>
        <v>0.202749806052001</v>
      </c>
    </row>
    <row r="33" customFormat="false" ht="15" hidden="false" customHeight="false" outlineLevel="0" collapsed="false">
      <c r="A33" s="0" t="s">
        <v>755</v>
      </c>
      <c r="B33" s="0" t="n">
        <f aca="false">pb_3</f>
        <v>3.3</v>
      </c>
      <c r="C33" s="0" t="s">
        <v>758</v>
      </c>
      <c r="D33" s="0" t="s">
        <v>631</v>
      </c>
      <c r="E33" s="16" t="n">
        <f aca="false">Y!L28</f>
        <v>1295211.19739225</v>
      </c>
      <c r="F33" s="16" t="n">
        <f aca="false">B33*E33</f>
        <v>4274196.95139442</v>
      </c>
      <c r="G33" s="11" t="n">
        <f aca="false">F33/px-1</f>
        <v>1.48067147498225</v>
      </c>
    </row>
    <row r="34" customFormat="false" ht="15" hidden="false" customHeight="false" outlineLevel="0" collapsed="false">
      <c r="A34" s="0" t="s">
        <v>228</v>
      </c>
      <c r="B34" s="0" t="n">
        <f aca="false">pe_1</f>
        <v>4</v>
      </c>
      <c r="C34" s="0" t="s">
        <v>759</v>
      </c>
      <c r="D34" s="0" t="s">
        <v>629</v>
      </c>
      <c r="E34" s="16" t="n">
        <f aca="false">Y!D29</f>
        <v>550035.776345727</v>
      </c>
      <c r="F34" s="16" t="n">
        <f aca="false">B34*E34</f>
        <v>2200143.10538291</v>
      </c>
      <c r="G34" s="11" t="n">
        <f aca="false">F34/px-1</f>
        <v>0.276925772131694</v>
      </c>
    </row>
    <row r="35" customFormat="false" ht="15" hidden="false" customHeight="false" outlineLevel="0" collapsed="false">
      <c r="A35" s="0" t="s">
        <v>231</v>
      </c>
      <c r="B35" s="0" t="n">
        <f aca="false">pe_2</f>
        <v>8</v>
      </c>
      <c r="C35" s="0" t="s">
        <v>759</v>
      </c>
      <c r="D35" s="0" t="s">
        <v>629</v>
      </c>
      <c r="E35" s="16" t="n">
        <f aca="false">Y!D29</f>
        <v>550035.776345727</v>
      </c>
      <c r="F35" s="16" t="n">
        <f aca="false">B35*E35</f>
        <v>4400286.21076582</v>
      </c>
      <c r="G35" s="11" t="n">
        <f aca="false">F35/px-1</f>
        <v>1.55385154426339</v>
      </c>
    </row>
    <row r="36" customFormat="false" ht="15" hidden="false" customHeight="false" outlineLevel="0" collapsed="false">
      <c r="A36" s="0" t="s">
        <v>233</v>
      </c>
      <c r="B36" s="0" t="n">
        <f aca="false">pe_3</f>
        <v>12</v>
      </c>
      <c r="C36" s="0" t="s">
        <v>759</v>
      </c>
      <c r="D36" s="0" t="s">
        <v>629</v>
      </c>
      <c r="E36" s="16" t="n">
        <f aca="false">Y!D29</f>
        <v>550035.776345727</v>
      </c>
      <c r="F36" s="16" t="n">
        <f aca="false">B36*E36</f>
        <v>6600429.31614872</v>
      </c>
      <c r="G36" s="11" t="n">
        <f aca="false">F36/px-1</f>
        <v>2.83077731639508</v>
      </c>
    </row>
    <row r="37" customFormat="false" ht="15" hidden="false" customHeight="false" outlineLevel="0" collapsed="false">
      <c r="A37" s="0" t="s">
        <v>228</v>
      </c>
      <c r="B37" s="0" t="n">
        <f aca="false">pe_1</f>
        <v>4</v>
      </c>
      <c r="C37" s="0" t="s">
        <v>759</v>
      </c>
      <c r="D37" s="0" t="s">
        <v>630</v>
      </c>
      <c r="E37" s="16" t="n">
        <f aca="false">Y!G29</f>
        <v>534990.126304986</v>
      </c>
      <c r="F37" s="16" t="n">
        <f aca="false">B37*E37</f>
        <v>2139960.50521994</v>
      </c>
      <c r="G37" s="11" t="n">
        <f aca="false">F37/px-1</f>
        <v>0.241996810922777</v>
      </c>
    </row>
    <row r="38" customFormat="false" ht="15" hidden="false" customHeight="false" outlineLevel="0" collapsed="false">
      <c r="A38" s="0" t="s">
        <v>231</v>
      </c>
      <c r="B38" s="0" t="n">
        <f aca="false">pe_2</f>
        <v>8</v>
      </c>
      <c r="C38" s="0" t="s">
        <v>759</v>
      </c>
      <c r="D38" s="0" t="s">
        <v>630</v>
      </c>
      <c r="E38" s="16" t="n">
        <f aca="false">Y!G29</f>
        <v>534990.126304986</v>
      </c>
      <c r="F38" s="16" t="n">
        <f aca="false">B38*E38</f>
        <v>4279921.01043989</v>
      </c>
      <c r="G38" s="11" t="n">
        <f aca="false">F38/px-1</f>
        <v>1.48399362184555</v>
      </c>
    </row>
    <row r="39" customFormat="false" ht="15" hidden="false" customHeight="false" outlineLevel="0" collapsed="false">
      <c r="A39" s="0" t="s">
        <v>233</v>
      </c>
      <c r="B39" s="0" t="n">
        <f aca="false">pe_3</f>
        <v>12</v>
      </c>
      <c r="C39" s="0" t="s">
        <v>759</v>
      </c>
      <c r="D39" s="0" t="s">
        <v>630</v>
      </c>
      <c r="E39" s="16" t="n">
        <f aca="false">Y!G29</f>
        <v>534990.126304986</v>
      </c>
      <c r="F39" s="16" t="n">
        <f aca="false">B39*E39</f>
        <v>6419881.51565983</v>
      </c>
      <c r="G39" s="11" t="n">
        <f aca="false">F39/px-1</f>
        <v>2.72599043276833</v>
      </c>
    </row>
    <row r="40" customFormat="false" ht="15" hidden="false" customHeight="false" outlineLevel="0" collapsed="false">
      <c r="A40" s="0" t="s">
        <v>228</v>
      </c>
      <c r="B40" s="0" t="n">
        <f aca="false">pe_1</f>
        <v>4</v>
      </c>
      <c r="C40" s="0" t="s">
        <v>759</v>
      </c>
      <c r="D40" s="0" t="s">
        <v>631</v>
      </c>
      <c r="E40" s="16" t="n">
        <f aca="false">Y!J29</f>
        <v>534990.126304986</v>
      </c>
      <c r="F40" s="16" t="n">
        <f aca="false">B40*E40</f>
        <v>2139960.50521994</v>
      </c>
      <c r="G40" s="11" t="n">
        <f aca="false">F40/px-1</f>
        <v>0.241996810922777</v>
      </c>
    </row>
    <row r="41" customFormat="false" ht="15" hidden="false" customHeight="false" outlineLevel="0" collapsed="false">
      <c r="A41" s="0" t="s">
        <v>231</v>
      </c>
      <c r="B41" s="0" t="n">
        <f aca="false">pe_2</f>
        <v>8</v>
      </c>
      <c r="C41" s="0" t="s">
        <v>759</v>
      </c>
      <c r="D41" s="0" t="s">
        <v>631</v>
      </c>
      <c r="E41" s="16" t="n">
        <f aca="false">Y!J29</f>
        <v>534990.126304986</v>
      </c>
      <c r="F41" s="16" t="n">
        <f aca="false">B41*E41</f>
        <v>4279921.01043989</v>
      </c>
      <c r="G41" s="11" t="n">
        <f aca="false">F41/px-1</f>
        <v>1.48399362184555</v>
      </c>
    </row>
    <row r="42" customFormat="false" ht="15" hidden="false" customHeight="false" outlineLevel="0" collapsed="false">
      <c r="A42" s="0" t="s">
        <v>233</v>
      </c>
      <c r="B42" s="0" t="n">
        <f aca="false">pe_3</f>
        <v>12</v>
      </c>
      <c r="C42" s="0" t="s">
        <v>759</v>
      </c>
      <c r="D42" s="0" t="s">
        <v>631</v>
      </c>
      <c r="E42" s="16" t="n">
        <f aca="false">Y!J29</f>
        <v>534990.126304986</v>
      </c>
      <c r="F42" s="16" t="n">
        <f aca="false">B42*E42</f>
        <v>6419881.51565983</v>
      </c>
      <c r="G42" s="11" t="n">
        <f aca="false">F42/px-1</f>
        <v>2.72599043276833</v>
      </c>
    </row>
    <row r="43" customFormat="false" ht="15" hidden="false" customHeight="false" outlineLevel="0" collapsed="false">
      <c r="A43" s="0" t="s">
        <v>228</v>
      </c>
      <c r="B43" s="0" t="n">
        <f aca="false">pe_1</f>
        <v>4</v>
      </c>
      <c r="C43" s="0" t="s">
        <v>760</v>
      </c>
      <c r="D43" s="0" t="s">
        <v>629</v>
      </c>
      <c r="E43" s="16" t="n">
        <f aca="false">Y!E29</f>
        <v>714922.652491223</v>
      </c>
      <c r="F43" s="16" t="n">
        <f aca="false">B43*E43</f>
        <v>2859690.60996489</v>
      </c>
      <c r="G43" s="11" t="n">
        <f aca="false">F43/px-1</f>
        <v>0.659715966317406</v>
      </c>
    </row>
    <row r="44" customFormat="false" ht="15" hidden="false" customHeight="false" outlineLevel="0" collapsed="false">
      <c r="A44" s="0" t="s">
        <v>231</v>
      </c>
      <c r="B44" s="0" t="n">
        <f aca="false">pe_2</f>
        <v>8</v>
      </c>
      <c r="C44" s="0" t="s">
        <v>760</v>
      </c>
      <c r="D44" s="0" t="s">
        <v>629</v>
      </c>
      <c r="E44" s="16" t="n">
        <f aca="false">Y!E29</f>
        <v>714922.652491223</v>
      </c>
      <c r="F44" s="16" t="n">
        <f aca="false">B44*E44</f>
        <v>5719381.21992978</v>
      </c>
      <c r="G44" s="11" t="n">
        <f aca="false">F44/px-1</f>
        <v>2.31943193263481</v>
      </c>
    </row>
    <row r="45" customFormat="false" ht="15" hidden="false" customHeight="false" outlineLevel="0" collapsed="false">
      <c r="A45" s="0" t="s">
        <v>233</v>
      </c>
      <c r="B45" s="0" t="n">
        <f aca="false">pe_3</f>
        <v>12</v>
      </c>
      <c r="C45" s="0" t="s">
        <v>760</v>
      </c>
      <c r="D45" s="0" t="s">
        <v>629</v>
      </c>
      <c r="E45" s="16" t="n">
        <f aca="false">Y!E29</f>
        <v>714922.652491223</v>
      </c>
      <c r="F45" s="16" t="n">
        <f aca="false">B45*E45</f>
        <v>8579071.82989467</v>
      </c>
      <c r="G45" s="11" t="n">
        <f aca="false">F45/px-1</f>
        <v>3.97914789895222</v>
      </c>
    </row>
    <row r="46" customFormat="false" ht="15" hidden="false" customHeight="false" outlineLevel="0" collapsed="false">
      <c r="A46" s="0" t="s">
        <v>228</v>
      </c>
      <c r="B46" s="0" t="n">
        <f aca="false">pe_1</f>
        <v>4</v>
      </c>
      <c r="C46" s="0" t="s">
        <v>760</v>
      </c>
      <c r="D46" s="0" t="s">
        <v>630</v>
      </c>
      <c r="E46" s="16" t="n">
        <f aca="false">Y!H29</f>
        <v>331149.264031978</v>
      </c>
      <c r="F46" s="16" t="n">
        <f aca="false">B46*E46</f>
        <v>1324597.05612791</v>
      </c>
      <c r="G46" s="11" t="n">
        <f aca="false">F46/px-1</f>
        <v>-0.231226316814909</v>
      </c>
    </row>
    <row r="47" customFormat="false" ht="15" hidden="false" customHeight="false" outlineLevel="0" collapsed="false">
      <c r="A47" s="0" t="s">
        <v>231</v>
      </c>
      <c r="B47" s="0" t="n">
        <f aca="false">pe_2</f>
        <v>8</v>
      </c>
      <c r="C47" s="0" t="s">
        <v>760</v>
      </c>
      <c r="D47" s="0" t="s">
        <v>630</v>
      </c>
      <c r="E47" s="16" t="n">
        <f aca="false">Y!H29</f>
        <v>331149.264031978</v>
      </c>
      <c r="F47" s="16" t="n">
        <f aca="false">B47*E47</f>
        <v>2649194.11225582</v>
      </c>
      <c r="G47" s="11" t="n">
        <f aca="false">F47/px-1</f>
        <v>0.537547366370182</v>
      </c>
    </row>
    <row r="48" customFormat="false" ht="15" hidden="false" customHeight="false" outlineLevel="0" collapsed="false">
      <c r="A48" s="0" t="s">
        <v>233</v>
      </c>
      <c r="B48" s="0" t="n">
        <f aca="false">pe_3</f>
        <v>12</v>
      </c>
      <c r="C48" s="0" t="s">
        <v>760</v>
      </c>
      <c r="D48" s="0" t="s">
        <v>630</v>
      </c>
      <c r="E48" s="16" t="n">
        <f aca="false">Y!H29</f>
        <v>331149.264031978</v>
      </c>
      <c r="F48" s="16" t="n">
        <f aca="false">B48*E48</f>
        <v>3973791.16838374</v>
      </c>
      <c r="G48" s="11" t="n">
        <f aca="false">F48/px-1</f>
        <v>1.30632104955527</v>
      </c>
    </row>
    <row r="49" customFormat="false" ht="15" hidden="false" customHeight="false" outlineLevel="0" collapsed="false">
      <c r="A49" s="0" t="s">
        <v>228</v>
      </c>
      <c r="B49" s="0" t="n">
        <f aca="false">pe_1</f>
        <v>4</v>
      </c>
      <c r="C49" s="0" t="s">
        <v>760</v>
      </c>
      <c r="D49" s="0" t="s">
        <v>631</v>
      </c>
      <c r="E49" s="16" t="n">
        <f aca="false">Y!K29</f>
        <v>195351.00901838</v>
      </c>
      <c r="F49" s="16" t="n">
        <f aca="false">B49*E49</f>
        <v>781404.036073522</v>
      </c>
      <c r="G49" s="11" t="n">
        <f aca="false">F49/px-1</f>
        <v>-0.546486340061798</v>
      </c>
    </row>
    <row r="50" customFormat="false" ht="15" hidden="false" customHeight="false" outlineLevel="0" collapsed="false">
      <c r="A50" s="0" t="s">
        <v>231</v>
      </c>
      <c r="B50" s="0" t="n">
        <f aca="false">pe_2</f>
        <v>8</v>
      </c>
      <c r="C50" s="0" t="s">
        <v>760</v>
      </c>
      <c r="D50" s="0" t="s">
        <v>631</v>
      </c>
      <c r="E50" s="16" t="n">
        <f aca="false">Y!K29</f>
        <v>195351.00901838</v>
      </c>
      <c r="F50" s="16" t="n">
        <f aca="false">B50*E50</f>
        <v>1562808.07214704</v>
      </c>
      <c r="G50" s="11" t="n">
        <f aca="false">F50/px-1</f>
        <v>-0.0929726801235965</v>
      </c>
    </row>
    <row r="51" customFormat="false" ht="15" hidden="false" customHeight="false" outlineLevel="0" collapsed="false">
      <c r="A51" s="0" t="s">
        <v>233</v>
      </c>
      <c r="B51" s="0" t="n">
        <f aca="false">pe_3</f>
        <v>12</v>
      </c>
      <c r="C51" s="0" t="s">
        <v>760</v>
      </c>
      <c r="D51" s="0" t="s">
        <v>631</v>
      </c>
      <c r="E51" s="16" t="n">
        <f aca="false">Y!K29</f>
        <v>195351.00901838</v>
      </c>
      <c r="F51" s="16" t="n">
        <f aca="false">B51*E51</f>
        <v>2344212.10822056</v>
      </c>
      <c r="G51" s="11" t="n">
        <f aca="false">F51/px-1</f>
        <v>0.360540979814605</v>
      </c>
    </row>
    <row r="52" customFormat="false" ht="15" hidden="false" customHeight="false" outlineLevel="0" collapsed="false">
      <c r="A52" s="0" t="s">
        <v>228</v>
      </c>
      <c r="B52" s="0" t="n">
        <f aca="false">pe_1</f>
        <v>4</v>
      </c>
      <c r="C52" s="0" t="s">
        <v>761</v>
      </c>
      <c r="D52" s="0" t="s">
        <v>629</v>
      </c>
      <c r="E52" s="16" t="n">
        <f aca="false">Y!F29</f>
        <v>782645.465932861</v>
      </c>
      <c r="F52" s="16" t="n">
        <f aca="false">B52*E52</f>
        <v>3130581.86373144</v>
      </c>
      <c r="G52" s="11" t="n">
        <f aca="false">F52/px-1</f>
        <v>0.816936659159282</v>
      </c>
    </row>
    <row r="53" customFormat="false" ht="15" hidden="false" customHeight="false" outlineLevel="0" collapsed="false">
      <c r="A53" s="0" t="s">
        <v>231</v>
      </c>
      <c r="B53" s="0" t="n">
        <f aca="false">pe_2</f>
        <v>8</v>
      </c>
      <c r="C53" s="0" t="s">
        <v>761</v>
      </c>
      <c r="D53" s="0" t="s">
        <v>629</v>
      </c>
      <c r="E53" s="16" t="n">
        <f aca="false">Y!F29</f>
        <v>782645.465932861</v>
      </c>
      <c r="F53" s="16" t="n">
        <f aca="false">B53*E53</f>
        <v>6261163.72746288</v>
      </c>
      <c r="G53" s="11" t="n">
        <f aca="false">F53/px-1</f>
        <v>2.63387331831856</v>
      </c>
    </row>
    <row r="54" customFormat="false" ht="15" hidden="false" customHeight="false" outlineLevel="0" collapsed="false">
      <c r="A54" s="0" t="s">
        <v>233</v>
      </c>
      <c r="B54" s="0" t="n">
        <f aca="false">pe_3</f>
        <v>12</v>
      </c>
      <c r="C54" s="0" t="s">
        <v>761</v>
      </c>
      <c r="D54" s="0" t="s">
        <v>629</v>
      </c>
      <c r="E54" s="16" t="n">
        <f aca="false">Y!F29</f>
        <v>782645.465932861</v>
      </c>
      <c r="F54" s="16" t="n">
        <f aca="false">B54*E54</f>
        <v>9391745.59119433</v>
      </c>
      <c r="G54" s="11" t="n">
        <f aca="false">F54/px-1</f>
        <v>4.45080997747785</v>
      </c>
    </row>
    <row r="55" customFormat="false" ht="15" hidden="false" customHeight="false" outlineLevel="0" collapsed="false">
      <c r="A55" s="0" t="s">
        <v>228</v>
      </c>
      <c r="B55" s="0" t="n">
        <f aca="false">pe_1</f>
        <v>4</v>
      </c>
      <c r="C55" s="0" t="s">
        <v>761</v>
      </c>
      <c r="D55" s="0" t="s">
        <v>630</v>
      </c>
      <c r="E55" s="16" t="n">
        <f aca="false">Y!I29</f>
        <v>702674.017468054</v>
      </c>
      <c r="F55" s="16" t="n">
        <f aca="false">B55*E55</f>
        <v>2810696.06987222</v>
      </c>
      <c r="G55" s="11" t="n">
        <f aca="false">F55/px-1</f>
        <v>0.63128036556716</v>
      </c>
    </row>
    <row r="56" customFormat="false" ht="15" hidden="false" customHeight="false" outlineLevel="0" collapsed="false">
      <c r="A56" s="0" t="s">
        <v>231</v>
      </c>
      <c r="B56" s="0" t="n">
        <f aca="false">pe_2</f>
        <v>8</v>
      </c>
      <c r="C56" s="0" t="s">
        <v>761</v>
      </c>
      <c r="D56" s="0" t="s">
        <v>630</v>
      </c>
      <c r="E56" s="16" t="n">
        <f aca="false">Y!I29</f>
        <v>702674.017468054</v>
      </c>
      <c r="F56" s="16" t="n">
        <f aca="false">B56*E56</f>
        <v>5621392.13974443</v>
      </c>
      <c r="G56" s="11" t="n">
        <f aca="false">F56/px-1</f>
        <v>2.26256073113432</v>
      </c>
    </row>
    <row r="57" customFormat="false" ht="15" hidden="false" customHeight="false" outlineLevel="0" collapsed="false">
      <c r="A57" s="0" t="s">
        <v>233</v>
      </c>
      <c r="B57" s="0" t="n">
        <f aca="false">pe_3</f>
        <v>12</v>
      </c>
      <c r="C57" s="0" t="s">
        <v>761</v>
      </c>
      <c r="D57" s="0" t="s">
        <v>630</v>
      </c>
      <c r="E57" s="16" t="n">
        <f aca="false">Y!I29</f>
        <v>702674.017468054</v>
      </c>
      <c r="F57" s="16" t="n">
        <f aca="false">B57*E57</f>
        <v>8432088.20961665</v>
      </c>
      <c r="G57" s="11" t="n">
        <f aca="false">F57/px-1</f>
        <v>3.89384109670148</v>
      </c>
    </row>
    <row r="58" customFormat="false" ht="15" hidden="false" customHeight="false" outlineLevel="0" collapsed="false">
      <c r="A58" s="0" t="s">
        <v>228</v>
      </c>
      <c r="B58" s="0" t="n">
        <f aca="false">pe_1</f>
        <v>4</v>
      </c>
      <c r="C58" s="0" t="s">
        <v>761</v>
      </c>
      <c r="D58" s="0" t="s">
        <v>631</v>
      </c>
      <c r="E58" s="16" t="n">
        <f aca="false">Y!L29</f>
        <v>452940.806626123</v>
      </c>
      <c r="F58" s="16" t="n">
        <f aca="false">B58*E58</f>
        <v>1811763.22650449</v>
      </c>
      <c r="G58" s="11" t="n">
        <f aca="false">F58/px-1</f>
        <v>0.0515166723763747</v>
      </c>
    </row>
    <row r="59" customFormat="false" ht="15" hidden="false" customHeight="false" outlineLevel="0" collapsed="false">
      <c r="A59" s="0" t="s">
        <v>231</v>
      </c>
      <c r="B59" s="0" t="n">
        <f aca="false">pe_2</f>
        <v>8</v>
      </c>
      <c r="C59" s="0" t="s">
        <v>761</v>
      </c>
      <c r="D59" s="0" t="s">
        <v>631</v>
      </c>
      <c r="E59" s="16" t="n">
        <f aca="false">Y!L29</f>
        <v>452940.806626123</v>
      </c>
      <c r="F59" s="16" t="n">
        <f aca="false">B59*E59</f>
        <v>3623526.45300899</v>
      </c>
      <c r="G59" s="11" t="n">
        <f aca="false">F59/px-1</f>
        <v>1.10303334475275</v>
      </c>
    </row>
    <row r="60" customFormat="false" ht="15" hidden="false" customHeight="false" outlineLevel="0" collapsed="false">
      <c r="A60" s="0" t="s">
        <v>233</v>
      </c>
      <c r="B60" s="0" t="n">
        <f aca="false">pe_3</f>
        <v>12</v>
      </c>
      <c r="C60" s="0" t="s">
        <v>761</v>
      </c>
      <c r="D60" s="0" t="s">
        <v>631</v>
      </c>
      <c r="E60" s="16" t="n">
        <f aca="false">Y!L29</f>
        <v>452940.806626123</v>
      </c>
      <c r="F60" s="16" t="n">
        <f aca="false">B60*E60</f>
        <v>5435289.67951348</v>
      </c>
      <c r="G60" s="11" t="n">
        <f aca="false">F60/px-1</f>
        <v>2.15455001712912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0" t="s">
        <v>762</v>
      </c>
    </row>
    <row r="3" customFormat="false" ht="15" hidden="false" customHeight="false" outlineLevel="0" collapsed="false">
      <c r="A3" s="5" t="s">
        <v>763</v>
      </c>
      <c r="B3" s="5" t="s">
        <v>764</v>
      </c>
      <c r="C3" s="9" t="s">
        <v>765</v>
      </c>
      <c r="D3" s="5" t="s">
        <v>766</v>
      </c>
      <c r="E3" s="5" t="s">
        <v>767</v>
      </c>
    </row>
    <row r="4" customFormat="false" ht="15" hidden="false" customHeight="false" outlineLevel="0" collapsed="false">
      <c r="A4" s="1" t="s">
        <v>712</v>
      </c>
      <c r="B4" s="6" t="s">
        <v>24</v>
      </c>
      <c r="D4" s="13" t="n">
        <f aca="false">Y!D14</f>
        <v>438.724703748353</v>
      </c>
    </row>
    <row r="5" customFormat="false" ht="15" hidden="false" customHeight="false" outlineLevel="0" collapsed="false">
      <c r="A5" s="0" t="s">
        <v>712</v>
      </c>
      <c r="B5" s="6" t="s">
        <v>768</v>
      </c>
      <c r="C5" s="13" t="n">
        <f aca="false">-0.2*Y!D5</f>
        <v>-60.0295539800212</v>
      </c>
      <c r="D5" s="13" t="n">
        <f aca="false">D4+C5*(1-opex_var)</f>
        <v>381.516538805393</v>
      </c>
      <c r="E5" s="11" t="n">
        <f aca="false">D5/D4-1</f>
        <v>-0.130396497972848</v>
      </c>
    </row>
    <row r="6" customFormat="false" ht="15" hidden="false" customHeight="false" outlineLevel="0" collapsed="false">
      <c r="A6" s="0" t="s">
        <v>712</v>
      </c>
      <c r="B6" s="6" t="s">
        <v>769</v>
      </c>
      <c r="C6" s="13" t="n">
        <f aca="false">0.2*Y!D5</f>
        <v>60.0295539800212</v>
      </c>
      <c r="D6" s="13" t="n">
        <f aca="false">D4+C6*(1-opex_var)</f>
        <v>495.932868691313</v>
      </c>
      <c r="E6" s="11" t="n">
        <f aca="false">D6/D4-1</f>
        <v>0.130396497972848</v>
      </c>
    </row>
    <row r="7" customFormat="false" ht="15" hidden="false" customHeight="false" outlineLevel="0" collapsed="false">
      <c r="A7" s="0" t="s">
        <v>712</v>
      </c>
      <c r="B7" s="0" t="s">
        <v>770</v>
      </c>
      <c r="C7" s="13" t="n">
        <f aca="false">-0.3*Y!D6</f>
        <v>-27.5687626214196</v>
      </c>
      <c r="D7" s="13" t="n">
        <f aca="false">D4+C7*(1-opex_var)</f>
        <v>412.45167297014</v>
      </c>
      <c r="E7" s="11" t="n">
        <f aca="false">D7/D4-1</f>
        <v>-0.0598850043176115</v>
      </c>
    </row>
    <row r="8" customFormat="false" ht="15" hidden="false" customHeight="false" outlineLevel="0" collapsed="false">
      <c r="A8" s="0" t="s">
        <v>712</v>
      </c>
      <c r="B8" s="0" t="s">
        <v>771</v>
      </c>
      <c r="C8" s="13" t="n">
        <f aca="false">0.3*Y!D6</f>
        <v>27.5687626214196</v>
      </c>
      <c r="D8" s="13" t="n">
        <f aca="false">D4+C8*(1-opex_var)</f>
        <v>464.997734526566</v>
      </c>
      <c r="E8" s="11" t="n">
        <f aca="false">D8/D4-1</f>
        <v>0.0598850043176113</v>
      </c>
    </row>
    <row r="9" customFormat="false" ht="15" hidden="false" customHeight="false" outlineLevel="0" collapsed="false">
      <c r="A9" s="0" t="s">
        <v>712</v>
      </c>
      <c r="B9" s="0" t="s">
        <v>772</v>
      </c>
      <c r="C9" s="13" t="n">
        <f aca="false">-0.3*Y!D7</f>
        <v>-41.3604387005659</v>
      </c>
      <c r="D9" s="13" t="n">
        <f aca="false">D4+C9*(1-opex_var)</f>
        <v>399.308205666714</v>
      </c>
      <c r="E9" s="11" t="n">
        <f aca="false">D9/D4-1</f>
        <v>-0.08984335220897</v>
      </c>
    </row>
    <row r="10" customFormat="false" ht="15" hidden="false" customHeight="false" outlineLevel="0" collapsed="false">
      <c r="A10" s="0" t="s">
        <v>712</v>
      </c>
      <c r="B10" s="0" t="s">
        <v>773</v>
      </c>
      <c r="C10" s="13" t="n">
        <f aca="false">0.3*Y!D7</f>
        <v>41.3604387005659</v>
      </c>
      <c r="D10" s="13" t="n">
        <f aca="false">D4+C10*(1-opex_var)</f>
        <v>478.141201829992</v>
      </c>
      <c r="E10" s="11" t="n">
        <f aca="false">D10/D4-1</f>
        <v>0.0898433522089701</v>
      </c>
    </row>
    <row r="12" customFormat="false" ht="15" hidden="false" customHeight="false" outlineLevel="0" collapsed="false">
      <c r="A12" s="1" t="s">
        <v>716</v>
      </c>
      <c r="B12" s="6" t="s">
        <v>24</v>
      </c>
      <c r="D12" s="13" t="n">
        <f aca="false">Y!H14</f>
        <v>242.673437914031</v>
      </c>
    </row>
    <row r="13" customFormat="false" ht="15" hidden="false" customHeight="false" outlineLevel="0" collapsed="false">
      <c r="A13" s="0" t="s">
        <v>716</v>
      </c>
      <c r="B13" s="6" t="s">
        <v>768</v>
      </c>
      <c r="C13" s="13" t="n">
        <f aca="false">-0.2*Y!H5</f>
        <v>-35.7930186237955</v>
      </c>
      <c r="D13" s="13" t="n">
        <f aca="false">D12+C13*(1-opex_var)</f>
        <v>208.562691165554</v>
      </c>
      <c r="E13" s="11" t="n">
        <f aca="false">D13/D12-1</f>
        <v>-0.140562341893228</v>
      </c>
    </row>
    <row r="14" customFormat="false" ht="15" hidden="false" customHeight="false" outlineLevel="0" collapsed="false">
      <c r="A14" s="0" t="s">
        <v>716</v>
      </c>
      <c r="B14" s="6" t="s">
        <v>769</v>
      </c>
      <c r="C14" s="13" t="n">
        <f aca="false">0.2*Y!H5</f>
        <v>35.7930186237955</v>
      </c>
      <c r="D14" s="13" t="n">
        <f aca="false">D12+C14*(1-opex_var)</f>
        <v>276.784184662508</v>
      </c>
      <c r="E14" s="11" t="n">
        <f aca="false">D14/D12-1</f>
        <v>0.140562341893228</v>
      </c>
    </row>
    <row r="15" customFormat="false" ht="15" hidden="false" customHeight="false" outlineLevel="0" collapsed="false">
      <c r="A15" s="0" t="s">
        <v>716</v>
      </c>
      <c r="B15" s="0" t="s">
        <v>770</v>
      </c>
      <c r="C15" s="13" t="n">
        <f aca="false">-0.3*Y!H6</f>
        <v>-27.61750188864</v>
      </c>
      <c r="D15" s="13" t="n">
        <f aca="false">D12+C15*(1-opex_var)</f>
        <v>216.353958614157</v>
      </c>
      <c r="E15" s="11" t="n">
        <f aca="false">D15/D12-1</f>
        <v>-0.108456366407921</v>
      </c>
    </row>
    <row r="16" customFormat="false" ht="15" hidden="false" customHeight="false" outlineLevel="0" collapsed="false">
      <c r="A16" s="0" t="s">
        <v>716</v>
      </c>
      <c r="B16" s="0" t="s">
        <v>771</v>
      </c>
      <c r="C16" s="13" t="n">
        <f aca="false">0.3*Y!H6</f>
        <v>27.61750188864</v>
      </c>
      <c r="D16" s="13" t="n">
        <f aca="false">D12+C16*(1-opex_var)</f>
        <v>268.992917213905</v>
      </c>
      <c r="E16" s="11" t="n">
        <f aca="false">D16/D12-1</f>
        <v>0.108456366407921</v>
      </c>
    </row>
    <row r="17" customFormat="false" ht="15" hidden="false" customHeight="false" outlineLevel="0" collapsed="false">
      <c r="A17" s="0" t="s">
        <v>716</v>
      </c>
      <c r="B17" s="0" t="s">
        <v>772</v>
      </c>
      <c r="C17" s="13" t="n">
        <f aca="false">-0.3*Y!H7</f>
        <v>-19.6088236319869</v>
      </c>
      <c r="D17" s="13" t="n">
        <f aca="false">D12+C17*(1-opex_var)</f>
        <v>223.986228992748</v>
      </c>
      <c r="E17" s="11" t="n">
        <f aca="false">D17/D12-1</f>
        <v>-0.077005580346637</v>
      </c>
    </row>
    <row r="18" customFormat="false" ht="15" hidden="false" customHeight="false" outlineLevel="0" collapsed="false">
      <c r="A18" s="0" t="s">
        <v>716</v>
      </c>
      <c r="B18" s="0" t="s">
        <v>773</v>
      </c>
      <c r="C18" s="13" t="n">
        <f aca="false">0.3*Y!H7</f>
        <v>19.6088236319869</v>
      </c>
      <c r="D18" s="13" t="n">
        <f aca="false">D12+C18*(1-opex_var)</f>
        <v>261.360646835315</v>
      </c>
      <c r="E18" s="11" t="n">
        <f aca="false">D18/D12-1</f>
        <v>0.077005580346637</v>
      </c>
    </row>
    <row r="20" customFormat="false" ht="15" hidden="false" customHeight="false" outlineLevel="0" collapsed="false">
      <c r="A20" s="1" t="s">
        <v>719</v>
      </c>
      <c r="B20" s="6" t="s">
        <v>24</v>
      </c>
      <c r="D20" s="13" t="n">
        <f aca="false">Y!K14</f>
        <v>145.963791802123</v>
      </c>
    </row>
    <row r="21" customFormat="false" ht="15" hidden="false" customHeight="false" outlineLevel="0" collapsed="false">
      <c r="A21" s="0" t="s">
        <v>719</v>
      </c>
      <c r="B21" s="6" t="s">
        <v>768</v>
      </c>
      <c r="C21" s="13" t="n">
        <f aca="false">-0.2*Y!K5</f>
        <v>-24.5528629286893</v>
      </c>
      <c r="D21" s="13" t="n">
        <f aca="false">D20+C21*(1-opex_var)</f>
        <v>122.564913431082</v>
      </c>
      <c r="E21" s="11" t="n">
        <f aca="false">D21/D20-1</f>
        <v>-0.160306046329365</v>
      </c>
    </row>
    <row r="22" customFormat="false" ht="15" hidden="false" customHeight="false" outlineLevel="0" collapsed="false">
      <c r="A22" s="0" t="s">
        <v>719</v>
      </c>
      <c r="B22" s="6" t="s">
        <v>769</v>
      </c>
      <c r="C22" s="13" t="n">
        <f aca="false">0.2*Y!K5</f>
        <v>24.5528629286893</v>
      </c>
      <c r="D22" s="13" t="n">
        <f aca="false">D20+C22*(1-opex_var)</f>
        <v>169.362670173164</v>
      </c>
      <c r="E22" s="11" t="n">
        <f aca="false">D22/D20-1</f>
        <v>0.160306046329365</v>
      </c>
    </row>
    <row r="23" customFormat="false" ht="15" hidden="false" customHeight="false" outlineLevel="0" collapsed="false">
      <c r="A23" s="0" t="s">
        <v>719</v>
      </c>
      <c r="B23" s="0" t="s">
        <v>770</v>
      </c>
      <c r="C23" s="13" t="n">
        <f aca="false">-0.3*Y!K6</f>
        <v>-16.570501133184</v>
      </c>
      <c r="D23" s="13" t="n">
        <f aca="false">D20+C23*(1-opex_var)</f>
        <v>130.172104222199</v>
      </c>
      <c r="E23" s="11" t="n">
        <f aca="false">D23/D20-1</f>
        <v>-0.108189074735277</v>
      </c>
    </row>
    <row r="24" customFormat="false" ht="15" hidden="false" customHeight="false" outlineLevel="0" collapsed="false">
      <c r="A24" s="0" t="s">
        <v>719</v>
      </c>
      <c r="B24" s="0" t="s">
        <v>771</v>
      </c>
      <c r="C24" s="13" t="n">
        <f aca="false">0.3*Y!K6</f>
        <v>16.570501133184</v>
      </c>
      <c r="D24" s="13" t="n">
        <f aca="false">D20+C24*(1-opex_var)</f>
        <v>161.755479382047</v>
      </c>
      <c r="E24" s="11" t="n">
        <f aca="false">D24/D20-1</f>
        <v>0.108189074735277</v>
      </c>
    </row>
    <row r="25" customFormat="false" ht="15" hidden="false" customHeight="false" outlineLevel="0" collapsed="false">
      <c r="A25" s="0" t="s">
        <v>719</v>
      </c>
      <c r="B25" s="0" t="s">
        <v>772</v>
      </c>
      <c r="C25" s="13" t="n">
        <f aca="false">-0.3*Y!K7</f>
        <v>-15.9242936848248</v>
      </c>
      <c r="D25" s="13" t="n">
        <f aca="false">D20+C25*(1-opex_var)</f>
        <v>130.787939920485</v>
      </c>
      <c r="E25" s="11" t="n">
        <f aca="false">D25/D20-1</f>
        <v>-0.103969975665001</v>
      </c>
    </row>
    <row r="26" customFormat="false" ht="15" hidden="false" customHeight="false" outlineLevel="0" collapsed="false">
      <c r="A26" s="0" t="s">
        <v>719</v>
      </c>
      <c r="B26" s="0" t="s">
        <v>773</v>
      </c>
      <c r="C26" s="13" t="n">
        <f aca="false">0.3*Y!K7</f>
        <v>15.9242936848248</v>
      </c>
      <c r="D26" s="13" t="n">
        <f aca="false">D20+C26*(1-opex_var)</f>
        <v>161.139643683761</v>
      </c>
      <c r="E26" s="11" t="n">
        <f aca="false">D26/D20-1</f>
        <v>0.103969975665001</v>
      </c>
    </row>
    <row r="28" customFormat="false" ht="15" hidden="false" customHeight="false" outlineLevel="0" collapsed="false">
      <c r="A28" s="1" t="s">
        <v>720</v>
      </c>
      <c r="B28" s="6" t="s">
        <v>24</v>
      </c>
      <c r="D28" s="13" t="n">
        <f aca="false">Y!L14</f>
        <v>324.35448849421</v>
      </c>
    </row>
    <row r="29" customFormat="false" ht="15" hidden="false" customHeight="false" outlineLevel="0" collapsed="false">
      <c r="A29" s="0" t="s">
        <v>720</v>
      </c>
      <c r="B29" s="6" t="s">
        <v>768</v>
      </c>
      <c r="C29" s="13" t="n">
        <f aca="false">-0.2*Y!L5</f>
        <v>-47.3206778929361</v>
      </c>
      <c r="D29" s="13" t="n">
        <f aca="false">D28+C29*(1-opex_var)</f>
        <v>279.257882462242</v>
      </c>
      <c r="E29" s="11" t="n">
        <f aca="false">D29/D28-1</f>
        <v>-0.139034937488689</v>
      </c>
    </row>
    <row r="30" customFormat="false" ht="15" hidden="false" customHeight="false" outlineLevel="0" collapsed="false">
      <c r="A30" s="0" t="s">
        <v>720</v>
      </c>
      <c r="B30" s="6" t="s">
        <v>769</v>
      </c>
      <c r="C30" s="13" t="n">
        <f aca="false">0.2*Y!L5</f>
        <v>47.3206778929361</v>
      </c>
      <c r="D30" s="13" t="n">
        <f aca="false">D28+C30*(1-opex_var)</f>
        <v>369.451094526178</v>
      </c>
      <c r="E30" s="11" t="n">
        <f aca="false">D30/D28-1</f>
        <v>0.139034937488689</v>
      </c>
    </row>
    <row r="31" customFormat="false" ht="15" hidden="false" customHeight="false" outlineLevel="0" collapsed="false">
      <c r="A31" s="0" t="s">
        <v>720</v>
      </c>
      <c r="B31" s="0" t="s">
        <v>770</v>
      </c>
      <c r="C31" s="13" t="n">
        <f aca="false">-0.3*Y!L6</f>
        <v>-22.6187340467962</v>
      </c>
      <c r="D31" s="13" t="n">
        <f aca="false">D28+C31*(1-opex_var)</f>
        <v>302.798834947614</v>
      </c>
      <c r="E31" s="11" t="n">
        <f aca="false">D31/D28-1</f>
        <v>-0.0664570841817763</v>
      </c>
    </row>
    <row r="32" customFormat="false" ht="15" hidden="false" customHeight="false" outlineLevel="0" collapsed="false">
      <c r="A32" s="0" t="s">
        <v>720</v>
      </c>
      <c r="B32" s="0" t="s">
        <v>771</v>
      </c>
      <c r="C32" s="13" t="n">
        <f aca="false">0.3*Y!L6</f>
        <v>22.6187340467962</v>
      </c>
      <c r="D32" s="13" t="n">
        <f aca="false">D28+C32*(1-opex_var)</f>
        <v>345.910142040807</v>
      </c>
      <c r="E32" s="11" t="n">
        <f aca="false">D32/D28-1</f>
        <v>0.0664570841817762</v>
      </c>
    </row>
    <row r="33" customFormat="false" ht="15" hidden="false" customHeight="false" outlineLevel="0" collapsed="false">
      <c r="A33" s="0" t="s">
        <v>720</v>
      </c>
      <c r="B33" s="0" t="s">
        <v>772</v>
      </c>
      <c r="C33" s="13" t="n">
        <f aca="false">-0.3*Y!L7</f>
        <v>-33.1426602037359</v>
      </c>
      <c r="D33" s="13" t="n">
        <f aca="false">D28+C33*(1-opex_var)</f>
        <v>292.76953332005</v>
      </c>
      <c r="E33" s="11" t="n">
        <f aca="false">D33/D28-1</f>
        <v>-0.0973778883738928</v>
      </c>
    </row>
    <row r="34" customFormat="false" ht="15" hidden="false" customHeight="false" outlineLevel="0" collapsed="false">
      <c r="A34" s="0" t="s">
        <v>720</v>
      </c>
      <c r="B34" s="0" t="s">
        <v>773</v>
      </c>
      <c r="C34" s="13" t="n">
        <f aca="false">0.3*Y!L7</f>
        <v>33.1426602037359</v>
      </c>
      <c r="D34" s="13" t="n">
        <f aca="false">D28+C34*(1-opex_var)</f>
        <v>355.939443668371</v>
      </c>
      <c r="E34" s="11" t="n">
        <f aca="false">D34/D28-1</f>
        <v>0.0973778883738927</v>
      </c>
    </row>
    <row r="36" customFormat="false" ht="15" hidden="false" customHeight="false" outlineLevel="0" collapsed="false">
      <c r="A36" s="6" t="s">
        <v>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0" t="s">
        <v>775</v>
      </c>
    </row>
    <row r="3" customFormat="false" ht="15" hidden="false" customHeight="false" outlineLevel="0" collapsed="false">
      <c r="A3" s="5" t="s">
        <v>21</v>
      </c>
      <c r="B3" s="5" t="s">
        <v>776</v>
      </c>
      <c r="C3" s="5" t="s">
        <v>777</v>
      </c>
      <c r="D3" s="5" t="s">
        <v>778</v>
      </c>
      <c r="E3" s="5" t="s">
        <v>779</v>
      </c>
    </row>
    <row r="4" customFormat="false" ht="15" hidden="false" customHeight="false" outlineLevel="0" collapsed="false">
      <c r="A4" s="0" t="s">
        <v>780</v>
      </c>
      <c r="B4" s="13" t="n">
        <f aca="false">Y!C4</f>
        <v>341.319230479856</v>
      </c>
      <c r="C4" s="7" t="n">
        <v>344.2</v>
      </c>
      <c r="D4" s="11" t="n">
        <f aca="false">B4/C4-1</f>
        <v>-0.00836946403295669</v>
      </c>
      <c r="E4" s="8" t="s">
        <v>781</v>
      </c>
    </row>
    <row r="5" customFormat="false" ht="15" hidden="false" customHeight="false" outlineLevel="0" collapsed="false">
      <c r="A5" s="0" t="s">
        <v>782</v>
      </c>
      <c r="B5" s="13" t="n">
        <f aca="false">Y!C14</f>
        <v>265.876578074485</v>
      </c>
      <c r="C5" s="7" t="n">
        <v>266.1</v>
      </c>
      <c r="D5" s="11" t="n">
        <f aca="false">B5/C5-1</f>
        <v>-0.000839616405542865</v>
      </c>
      <c r="E5" s="8" t="s">
        <v>783</v>
      </c>
    </row>
    <row r="6" customFormat="false" ht="15" hidden="false" customHeight="false" outlineLevel="0" collapsed="false">
      <c r="A6" s="0" t="s">
        <v>784</v>
      </c>
      <c r="B6" s="13" t="n">
        <f aca="false">Y!C20</f>
        <v>264.956155117354</v>
      </c>
      <c r="C6" s="7" t="n">
        <v>256.3</v>
      </c>
      <c r="D6" s="11" t="n">
        <f aca="false">B6/C6-1</f>
        <v>0.0337735275745357</v>
      </c>
      <c r="E6" s="8" t="s">
        <v>785</v>
      </c>
    </row>
    <row r="7" customFormat="false" ht="15" hidden="false" customHeight="false" outlineLevel="0" collapsed="false">
      <c r="A7" s="0" t="s">
        <v>786</v>
      </c>
      <c r="B7" s="13" t="n">
        <f aca="false">Y!C6</f>
        <v>40.7798730248</v>
      </c>
      <c r="C7" s="7" t="n">
        <v>45.7</v>
      </c>
      <c r="D7" s="11" t="n">
        <f aca="false">B7/C7-1</f>
        <v>-0.107661421776805</v>
      </c>
      <c r="E7" s="8" t="s">
        <v>787</v>
      </c>
    </row>
    <row r="8" customFormat="false" ht="15" hidden="false" customHeight="false" outlineLevel="0" collapsed="false">
      <c r="A8" s="0" t="s">
        <v>788</v>
      </c>
      <c r="B8" s="13" t="n">
        <f aca="false">Y!D4</f>
        <v>531.511774306725</v>
      </c>
      <c r="C8" s="7" t="n">
        <v>531.3</v>
      </c>
      <c r="D8" s="11" t="n">
        <f aca="false">B8/C8-1</f>
        <v>0.000398596474166402</v>
      </c>
      <c r="E8" s="8" t="s">
        <v>785</v>
      </c>
    </row>
    <row r="9" customFormat="false" ht="15" hidden="false" customHeight="false" outlineLevel="0" collapsed="false">
      <c r="A9" s="0" t="s">
        <v>789</v>
      </c>
      <c r="B9" s="13" t="n">
        <f aca="false">Y!D14</f>
        <v>438.724703748353</v>
      </c>
      <c r="C9" s="7" t="n">
        <v>417.2</v>
      </c>
      <c r="D9" s="11" t="n">
        <f aca="false">B9/C9-1</f>
        <v>0.0515932496365124</v>
      </c>
      <c r="E9" s="8" t="s">
        <v>790</v>
      </c>
    </row>
    <row r="10" customFormat="false" ht="15" hidden="false" customHeight="false" outlineLevel="0" collapsed="false">
      <c r="A10" s="0" t="s">
        <v>791</v>
      </c>
      <c r="B10" s="13" t="n">
        <f aca="false">Y!D20</f>
        <v>340.584588075039</v>
      </c>
      <c r="C10" s="7" t="n">
        <v>336.2</v>
      </c>
      <c r="D10" s="11" t="n">
        <f aca="false">B10/C10-1</f>
        <v>0.0130416064099912</v>
      </c>
      <c r="E10" s="8" t="s">
        <v>785</v>
      </c>
    </row>
    <row r="11" customFormat="false" ht="15" hidden="false" customHeight="false" outlineLevel="0" collapsed="false">
      <c r="A11" s="0" t="s">
        <v>792</v>
      </c>
      <c r="B11" s="13" t="n">
        <f aca="false">Y!E14</f>
        <v>479.967003928052</v>
      </c>
      <c r="C11" s="7" t="n">
        <v>454</v>
      </c>
      <c r="D11" s="11" t="n">
        <f aca="false">B11/C11-1</f>
        <v>0.0571960438943868</v>
      </c>
      <c r="E11" s="8" t="s">
        <v>793</v>
      </c>
    </row>
    <row r="12" customFormat="false" ht="15" hidden="false" customHeight="false" outlineLevel="0" collapsed="false">
      <c r="A12" s="0" t="s">
        <v>794</v>
      </c>
      <c r="B12" s="13" t="n">
        <f aca="false">Q!H4</f>
        <v>96.311345015</v>
      </c>
      <c r="C12" s="7" t="n">
        <v>94.1</v>
      </c>
      <c r="D12" s="11" t="n">
        <f aca="false">B12/C12-1</f>
        <v>0.0234999470244424</v>
      </c>
      <c r="E12" s="8" t="s">
        <v>795</v>
      </c>
    </row>
    <row r="13" customFormat="false" ht="15" hidden="false" customHeight="false" outlineLevel="0" collapsed="false">
      <c r="A13" s="0" t="s">
        <v>796</v>
      </c>
      <c r="B13" s="13" t="n">
        <f aca="false">Q!H10</f>
        <v>76.086391971295</v>
      </c>
      <c r="C13" s="7" t="n">
        <v>76.1</v>
      </c>
      <c r="D13" s="11" t="n">
        <f aca="false">B13/C13-1</f>
        <v>-0.000178817722798708</v>
      </c>
      <c r="E13" s="8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798</v>
      </c>
    </row>
    <row r="3" customFormat="false" ht="15" hidden="false" customHeight="false" outlineLevel="0" collapsed="false">
      <c r="A3" s="6" t="s">
        <v>799</v>
      </c>
      <c r="B3" s="0" t="n">
        <f aca="false">nv_hbm</f>
        <v>4.46</v>
      </c>
      <c r="C3" s="0" t="s">
        <v>591</v>
      </c>
    </row>
    <row r="4" customFormat="false" ht="15" hidden="false" customHeight="false" outlineLevel="0" collapsed="false">
      <c r="A4" s="6" t="s">
        <v>800</v>
      </c>
      <c r="B4" s="0" t="str">
        <f aca="false">TEXT(Mkt!D16,"0")&amp;" ／ "&amp;TEXT(Mkt!E16,"0")</f>
        <v>216 ／ 260</v>
      </c>
      <c r="C4" s="0" t="s">
        <v>426</v>
      </c>
    </row>
    <row r="5" customFormat="false" ht="15" hidden="false" customHeight="false" outlineLevel="0" collapsed="false">
      <c r="A5" s="0" t="s">
        <v>801</v>
      </c>
      <c r="B5" s="0" t="str">
        <f aca="false">TEXT(Mkt!D33,"0")&amp;" ／ "&amp;TEXT(Mkt!E33,"0")</f>
        <v>55 ／ 154</v>
      </c>
      <c r="C5" s="0" t="s">
        <v>541</v>
      </c>
    </row>
    <row r="6" customFormat="false" ht="15" hidden="false" customHeight="false" outlineLevel="0" collapsed="false">
      <c r="A6" s="0" t="s">
        <v>802</v>
      </c>
      <c r="B6" s="10" t="n">
        <f aca="false">Mkt!E27</f>
        <v>1.23255275</v>
      </c>
      <c r="C6" s="8" t="s">
        <v>656</v>
      </c>
    </row>
    <row r="7" customFormat="false" ht="15" hidden="false" customHeight="false" outlineLevel="0" collapsed="false">
      <c r="A7" s="0" t="s">
        <v>803</v>
      </c>
      <c r="B7" s="6" t="s">
        <v>804</v>
      </c>
      <c r="C7" s="0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805</v>
      </c>
    </row>
    <row r="2" customFormat="false" ht="15" hidden="false" customHeight="false" outlineLevel="0" collapsed="false">
      <c r="A2" s="0" t="s">
        <v>806</v>
      </c>
      <c r="B2" s="0" t="s">
        <v>807</v>
      </c>
    </row>
    <row r="3" customFormat="false" ht="15" hidden="false" customHeight="false" outlineLevel="0" collapsed="false">
      <c r="A3" s="0" t="s">
        <v>808</v>
      </c>
      <c r="B3" s="0" t="s">
        <v>809</v>
      </c>
    </row>
    <row r="4" customFormat="false" ht="15" hidden="false" customHeight="false" outlineLevel="0" collapsed="false">
      <c r="A4" s="0" t="s">
        <v>810</v>
      </c>
      <c r="B4" s="0" t="s">
        <v>811</v>
      </c>
    </row>
    <row r="5" customFormat="false" ht="15" hidden="false" customHeight="false" outlineLevel="0" collapsed="false">
      <c r="A5" s="0" t="s">
        <v>207</v>
      </c>
      <c r="B5" s="0" t="s">
        <v>812</v>
      </c>
    </row>
    <row r="6" customFormat="false" ht="15" hidden="false" customHeight="false" outlineLevel="0" collapsed="false">
      <c r="A6" s="0" t="s">
        <v>813</v>
      </c>
      <c r="B6" s="0" t="s">
        <v>814</v>
      </c>
    </row>
    <row r="7" customFormat="false" ht="15" hidden="false" customHeight="false" outlineLevel="0" collapsed="false">
      <c r="A7" s="0" t="s">
        <v>815</v>
      </c>
      <c r="B7" s="0" t="s">
        <v>816</v>
      </c>
    </row>
    <row r="8" customFormat="false" ht="15" hidden="false" customHeight="false" outlineLevel="0" collapsed="false">
      <c r="A8" s="0" t="s">
        <v>817</v>
      </c>
      <c r="B8" s="0" t="s">
        <v>818</v>
      </c>
    </row>
    <row r="9" customFormat="false" ht="15" hidden="false" customHeight="false" outlineLevel="0" collapsed="false">
      <c r="A9" s="0" t="s">
        <v>819</v>
      </c>
      <c r="B9" s="0" t="s">
        <v>820</v>
      </c>
    </row>
    <row r="10" customFormat="false" ht="15" hidden="false" customHeight="false" outlineLevel="0" collapsed="false">
      <c r="A10" s="0" t="s">
        <v>821</v>
      </c>
      <c r="B10" s="0" t="s">
        <v>822</v>
      </c>
    </row>
    <row r="11" customFormat="false" ht="15" hidden="false" customHeight="false" outlineLevel="0" collapsed="false">
      <c r="A11" s="0" t="s">
        <v>823</v>
      </c>
      <c r="B11" s="0" t="s">
        <v>824</v>
      </c>
    </row>
    <row r="12" customFormat="false" ht="15" hidden="false" customHeight="false" outlineLevel="0" collapsed="false">
      <c r="A12" s="0" t="s">
        <v>825</v>
      </c>
      <c r="B12" s="0" t="s">
        <v>826</v>
      </c>
    </row>
    <row r="13" customFormat="false" ht="15" hidden="false" customHeight="false" outlineLevel="0" collapsed="false">
      <c r="A13" s="0" t="s">
        <v>827</v>
      </c>
      <c r="B13" s="0" t="s">
        <v>828</v>
      </c>
    </row>
    <row r="14" customFormat="false" ht="14.9" hidden="false" customHeight="false" outlineLevel="0" collapsed="false">
      <c r="A14" s="0" t="s">
        <v>829</v>
      </c>
      <c r="B14" s="6" t="s">
        <v>830</v>
      </c>
    </row>
    <row r="15" customFormat="false" ht="15" hidden="false" customHeight="false" outlineLevel="0" collapsed="false">
      <c r="A15" s="0" t="s">
        <v>831</v>
      </c>
      <c r="B15" s="6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2026-10-23T05:33:16Z</dcterms:created>
  <dc:creator>openpyxl</dc:creator>
  <dc:description/>
  <dc:language>en-US</dc:language>
  <cp:lastModifiedBy/>
  <dcterms:modified xsi:type="dcterms:W3CDTF">2026-10-23T05:33:16Z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