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Mkt" sheetId="3" state="visible" r:id="rId5"/>
    <sheet name="Q" sheetId="4" state="visible" r:id="rId6"/>
    <sheet name="Y" sheetId="5" state="visible" r:id="rId7"/>
    <sheet name="Val" sheetId="6" state="visible" r:id="rId8"/>
    <sheet name="Sens" sheetId="7" state="visible" r:id="rId9"/>
    <sheet name="Recon" sheetId="8" state="visible" r:id="rId10"/>
    <sheet name="Feedback" sheetId="9" state="visible" r:id="rId11"/>
    <sheet name="Sources" sheetId="10" state="visible" r:id="rId12"/>
  </sheets>
  <definedNames>
    <definedName function="false" hidden="false" name="ads_kw" vbProcedure="false">In!$E$119</definedName>
    <definedName function="false" hidden="false" name="ads_sh" vbProcedure="false">In!$E$120</definedName>
    <definedName function="false" hidden="false" name="bb26" vbProcedure="false">In!$E$121</definedName>
    <definedName function="false" hidden="false" name="bb26_sh" vbProcedure="false">In!$E$122</definedName>
    <definedName function="false" hidden="false" name="bb_px" vbProcedure="false">In!$E$127</definedName>
    <definedName function="false" hidden="false" name="cap26" vbProcedure="false">In!$E$111</definedName>
    <definedName function="false" hidden="false" name="cap26_hi" vbProcedure="false">In!$F$111</definedName>
    <definedName function="false" hidden="false" name="cap26_lo" vbProcedure="false">In!$D$111</definedName>
    <definedName function="false" hidden="false" name="cap27" vbProcedure="false">In!$E$112</definedName>
    <definedName function="false" hidden="false" name="cap27_hi" vbProcedure="false">In!$F$112</definedName>
    <definedName function="false" hidden="false" name="cap27_lo" vbProcedure="false">In!$D$112</definedName>
    <definedName function="false" hidden="false" name="cap28" vbProcedure="false">In!$E$113</definedName>
    <definedName function="false" hidden="false" name="cap28_hi" vbProcedure="false">In!$F$113</definedName>
    <definedName function="false" hidden="false" name="cap28_lo" vbProcedure="false">In!$D$113</definedName>
    <definedName function="false" hidden="false" name="cb27" vbProcedure="false">In!$E$91</definedName>
    <definedName function="false" hidden="false" name="cb27_hi" vbProcedure="false">In!$F$91</definedName>
    <definedName function="false" hidden="false" name="cb27_lo" vbProcedure="false">In!$D$91</definedName>
    <definedName function="false" hidden="false" name="cb28" vbProcedure="false">In!$E$92</definedName>
    <definedName function="false" hidden="false" name="cb28_hi" vbProcedure="false">In!$F$92</definedName>
    <definedName function="false" hidden="false" name="cb28_lo" vbProcedure="false">In!$D$92</definedName>
    <definedName function="false" hidden="false" name="costdn_q" vbProcedure="false">In!$E$83</definedName>
    <definedName function="false" hidden="false" name="costdn_q_hi" vbProcedure="false">In!$F$83</definedName>
    <definedName function="false" hidden="false" name="costdn_q_lo" vbProcedure="false">In!$D$83</definedName>
    <definedName function="false" hidden="false" name="costdn_y" vbProcedure="false">In!$E$107</definedName>
    <definedName function="false" hidden="false" name="costdn_y_hi" vbProcedure="false">In!$F$107</definedName>
    <definedName function="false" hidden="false" name="costdn_y_lo" vbProcedure="false">In!$D$107</definedName>
    <definedName function="false" hidden="false" name="cp27_A" vbProcedure="false">In!$E$93</definedName>
    <definedName function="false" hidden="false" name="cp27_A_hi" vbProcedure="false">In!$F$93</definedName>
    <definedName function="false" hidden="false" name="cp27_A_lo" vbProcedure="false">In!$D$93</definedName>
    <definedName function="false" hidden="false" name="cp27_B" vbProcedure="false">In!$E$94</definedName>
    <definedName function="false" hidden="false" name="cp27_B_hi" vbProcedure="false">In!$F$94</definedName>
    <definedName function="false" hidden="false" name="cp27_B_lo" vbProcedure="false">In!$D$94</definedName>
    <definedName function="false" hidden="false" name="cp28_A" vbProcedure="false">In!$E$95</definedName>
    <definedName function="false" hidden="false" name="cp28_A_hi" vbProcedure="false">In!$F$95</definedName>
    <definedName function="false" hidden="false" name="cp28_A_lo" vbProcedure="false">In!$D$95</definedName>
    <definedName function="false" hidden="false" name="cp28_B" vbProcedure="false">In!$E$96</definedName>
    <definedName function="false" hidden="false" name="cp28_B_hi" vbProcedure="false">In!$F$96</definedName>
    <definedName function="false" hidden="false" name="cp28_B_lo" vbProcedure="false">In!$D$96</definedName>
    <definedName function="false" hidden="false" name="da_cogs" vbProcedure="false">In!$E$109</definedName>
    <definedName function="false" hidden="false" name="da_life" vbProcedure="false">In!$E$108</definedName>
    <definedName function="false" hidden="false" name="da_life_hi" vbProcedure="false">In!$F$108</definedName>
    <definedName function="false" hidden="false" name="da_life_lo" vbProcedure="false">In!$D$108</definedName>
    <definedName function="false" hidden="false" name="da_q3" vbProcedure="false">In!$E$84</definedName>
    <definedName function="false" hidden="false" name="da_q4" vbProcedure="false">In!$E$85</definedName>
    <definedName function="false" hidden="false" name="div26_h2" vbProcedure="false">In!$E$123</definedName>
    <definedName function="false" hidden="false" name="dps27" vbProcedure="false">In!$E$124</definedName>
    <definedName function="false" hidden="false" name="dps28" vbProcedure="false">In!$E$125</definedName>
    <definedName function="false" hidden="false" name="eq_h1" vbProcedure="false">In!$E$116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In!$E$35</definedName>
    <definedName function="false" hidden="false" name="g_amd_27" vbProcedure="false">In!$E$36</definedName>
    <definedName function="false" hidden="false" name="g_amd_28" vbProcedure="false">In!$E$37</definedName>
    <definedName function="false" hidden="false" name="g_bw_26" vbProcedure="false">In!$E$11</definedName>
    <definedName function="false" hidden="false" name="g_bw_27" vbProcedure="false">In!$E$12</definedName>
    <definedName function="false" hidden="false" name="g_bw_28" vbProcedure="false">In!$E$13</definedName>
    <definedName function="false" hidden="false" name="g_hp_26" vbProcedure="false">In!$E$29</definedName>
    <definedName function="false" hidden="false" name="g_hp_27" vbProcedure="false">In!$E$30</definedName>
    <definedName function="false" hidden="false" name="g_hp_28" vbProcedure="false">In!$E$31</definedName>
    <definedName function="false" hidden="false" name="g_oth_26" vbProcedure="false">In!$E$53</definedName>
    <definedName function="false" hidden="false" name="g_oth_27" vbProcedure="false">In!$E$54</definedName>
    <definedName function="false" hidden="false" name="g_oth_28" vbProcedure="false">In!$E$55</definedName>
    <definedName function="false" hidden="false" name="g_rb_26" vbProcedure="false">In!$E$17</definedName>
    <definedName function="false" hidden="false" name="g_rb_27" vbProcedure="false">In!$E$18</definedName>
    <definedName function="false" hidden="false" name="g_rb_28" vbProcedure="false">In!$E$19</definedName>
    <definedName function="false" hidden="false" name="g_ru_26" vbProcedure="false">In!$E$23</definedName>
    <definedName function="false" hidden="false" name="g_ru_27" vbProcedure="false">In!$E$24</definedName>
    <definedName function="false" hidden="false" name="g_ru_28" vbProcedure="false">In!$E$25</definedName>
    <definedName function="false" hidden="false" name="g_tpu_26" vbProcedure="false">In!$E$41</definedName>
    <definedName function="false" hidden="false" name="g_tpu_27" vbProcedure="false">In!$E$42</definedName>
    <definedName function="false" hidden="false" name="g_tpu_28" vbProcedure="false">In!$E$43</definedName>
    <definedName function="false" hidden="false" name="g_trn_26" vbProcedure="false">In!$E$47</definedName>
    <definedName function="false" hidden="false" name="g_trn_27" vbProcedure="false">In!$E$48</definedName>
    <definedName function="false" hidden="false" name="g_trn_28" vbProcedure="false">In!$E$49</definedName>
    <definedName function="false" hidden="false" name="hbm_gross" vbProcedure="false">In!$E$57</definedName>
    <definedName function="false" hidden="false" name="hbm_gross_hi" vbProcedure="false">In!$F$57</definedName>
    <definedName function="false" hidden="false" name="hbm_gross_lo" vbProcedure="false">In!$D$57</definedName>
    <definedName function="false" hidden="false" name="hbm_p26" vbProcedure="false">In!$E$60</definedName>
    <definedName function="false" hidden="false" name="hbm_p26_hi" vbProcedure="false">In!$F$60</definedName>
    <definedName function="false" hidden="false" name="hbm_p26_lo" vbProcedure="false">In!$D$60</definedName>
    <definedName function="false" hidden="false" name="hbm_p27_A" vbProcedure="false">In!$E$61</definedName>
    <definedName function="false" hidden="false" name="hbm_p27_A_hi" vbProcedure="false">In!$F$61</definedName>
    <definedName function="false" hidden="false" name="hbm_p27_A_lo" vbProcedure="false">In!$D$61</definedName>
    <definedName function="false" hidden="false" name="hbm_p27_B" vbProcedure="false">In!$E$62</definedName>
    <definedName function="false" hidden="false" name="hbm_p27_B_hi" vbProcedure="false">In!$F$62</definedName>
    <definedName function="false" hidden="false" name="hbm_p27_B_lo" vbProcedure="false">In!$D$62</definedName>
    <definedName function="false" hidden="false" name="hbm_p28_A" vbProcedure="false">In!$E$63</definedName>
    <definedName function="false" hidden="false" name="hbm_p28_A_hi" vbProcedure="false">In!$F$63</definedName>
    <definedName function="false" hidden="false" name="hbm_p28_A_lo" vbProcedure="false">In!$D$63</definedName>
    <definedName function="false" hidden="false" name="hbm_p28_B" vbProcedure="false">In!$E$64</definedName>
    <definedName function="false" hidden="false" name="hbm_p28_B_hi" vbProcedure="false">In!$F$64</definedName>
    <definedName function="false" hidden="false" name="hbm_p28_B_lo" vbProcedure="false">In!$D$64</definedName>
    <definedName function="false" hidden="false" name="hbm_sup27" vbProcedure="false">In!$E$58</definedName>
    <definedName function="false" hidden="false" name="hbm_sup27_hi" vbProcedure="false">In!$F$58</definedName>
    <definedName function="false" hidden="false" name="hbm_sup27_lo" vbProcedure="false">In!$D$58</definedName>
    <definedName function="false" hidden="false" name="hbm_sup28" vbProcedure="false">In!$E$59</definedName>
    <definedName function="false" hidden="false" name="hbm_sup28_hi" vbProcedure="false">In!$F$59</definedName>
    <definedName function="false" hidden="false" name="hbm_sup28_lo" vbProcedure="false">In!$D$59</definedName>
    <definedName function="false" hidden="false" name="nb27" vbProcedure="false">In!$E$97</definedName>
    <definedName function="false" hidden="false" name="nb27_hi" vbProcedure="false">In!$F$97</definedName>
    <definedName function="false" hidden="false" name="nb27_lo" vbProcedure="false">In!$D$97</definedName>
    <definedName function="false" hidden="false" name="nb28" vbProcedure="false">In!$E$98</definedName>
    <definedName function="false" hidden="false" name="nb28_hi" vbProcedure="false">In!$F$98</definedName>
    <definedName function="false" hidden="false" name="nb28_lo" vbProcedure="false">In!$D$98</definedName>
    <definedName function="false" hidden="false" name="nc_h1" vbProcedure="false">In!$E$117</definedName>
    <definedName function="false" hidden="false" name="nonop_q" vbProcedure="false">In!$E$88</definedName>
    <definedName function="false" hidden="false" name="nonop_q_hi" vbProcedure="false">In!$F$88</definedName>
    <definedName function="false" hidden="false" name="nonop_q_lo" vbProcedure="false">In!$D$88</definedName>
    <definedName function="false" hidden="false" name="np27_A" vbProcedure="false">In!$E$99</definedName>
    <definedName function="false" hidden="false" name="np27_A_hi" vbProcedure="false">In!$F$99</definedName>
    <definedName function="false" hidden="false" name="np27_A_lo" vbProcedure="false">In!$D$99</definedName>
    <definedName function="false" hidden="false" name="np27_B" vbProcedure="false">In!$E$100</definedName>
    <definedName function="false" hidden="false" name="np27_B_hi" vbProcedure="false">In!$F$100</definedName>
    <definedName function="false" hidden="false" name="np27_B_lo" vbProcedure="false">In!$D$100</definedName>
    <definedName function="false" hidden="false" name="np28_A" vbProcedure="false">In!$E$101</definedName>
    <definedName function="false" hidden="false" name="np28_A_hi" vbProcedure="false">In!$F$101</definedName>
    <definedName function="false" hidden="false" name="np28_A_lo" vbProcedure="false">In!$D$101</definedName>
    <definedName function="false" hidden="false" name="np28_B" vbProcedure="false">In!$E$102</definedName>
    <definedName function="false" hidden="false" name="np28_B_hi" vbProcedure="false">In!$F$102</definedName>
    <definedName function="false" hidden="false" name="np28_B_lo" vbProcedure="false">In!$D$102</definedName>
    <definedName function="false" hidden="false" name="nv_content" vbProcedure="false">In!$E$69</definedName>
    <definedName function="false" hidden="false" name="nv_content_hi" vbProcedure="false">In!$F$69</definedName>
    <definedName function="false" hidden="false" name="nv_content_lo" vbProcedure="false">In!$D$69</definedName>
    <definedName function="false" hidden="false" name="nv_dc26" vbProcedure="false">In!$E$68</definedName>
    <definedName function="false" hidden="false" name="nv_dc26_hi" vbProcedure="false">In!$F$68</definedName>
    <definedName function="false" hidden="false" name="nv_dc26_lo" vbProcedure="false">In!$D$68</definedName>
    <definedName function="false" hidden="false" name="nv_hbm" vbProcedure="false">In!$E$70</definedName>
    <definedName function="false" hidden="false" name="nv_hbm_hi" vbProcedure="false">In!$F$70</definedName>
    <definedName function="false" hidden="false" name="nv_hbm_lo" vbProcedure="false">In!$D$70</definedName>
    <definedName function="false" hidden="false" name="opex_fix" vbProcedure="false">In!$E$86</definedName>
    <definedName function="false" hidden="false" name="opex_g" vbProcedure="false">In!$E$110</definedName>
    <definedName function="false" hidden="false" name="opex_var" vbProcedure="false">In!$E$87</definedName>
    <definedName function="false" hidden="false" name="opex_var_hi" vbProcedure="false">In!$F$87</definedName>
    <definedName function="false" hidden="false" name="opex_var_lo" vbProcedure="false">In!$D$87</definedName>
    <definedName function="false" hidden="false" name="other_y" vbProcedure="false">In!$E$103</definedName>
    <definedName function="false" hidden="false" name="payout" vbProcedure="false">In!$E$126</definedName>
    <definedName function="false" hidden="false" name="payout_hi" vbProcedure="false">In!$F$126</definedName>
    <definedName function="false" hidden="false" name="payout_lo" vbProcedure="false">In!$D$126</definedName>
    <definedName function="false" hidden="false" name="pb_1" vbProcedure="false">In!$E$129</definedName>
    <definedName function="false" hidden="false" name="pb_2" vbProcedure="false">In!$E$130</definedName>
    <definedName function="false" hidden="false" name="pb_3" vbProcedure="false">In!$E$131</definedName>
    <definedName function="false" hidden="false" name="pe_1" vbProcedure="false">In!$E$132</definedName>
    <definedName function="false" hidden="false" name="pe_2" vbProcedure="false">In!$E$133</definedName>
    <definedName function="false" hidden="false" name="pe_3" vbProcedure="false">In!$E$134</definedName>
    <definedName function="false" hidden="false" name="pub26_hi" vbProcedure="false">In!$E$72</definedName>
    <definedName function="false" hidden="false" name="pub26_lo" vbProcedure="false">In!$E$71</definedName>
    <definedName function="false" hidden="false" name="pub27" vbProcedure="false">In!$E$73</definedName>
    <definedName function="false" hidden="false" name="px" vbProcedure="false">In!$E$6</definedName>
    <definedName function="false" hidden="false" name="q3_db" vbProcedure="false">In!$E$75</definedName>
    <definedName function="false" hidden="false" name="q3_db_hi" vbProcedure="false">In!$F$75</definedName>
    <definedName function="false" hidden="false" name="q3_db_lo" vbProcedure="false">In!$D$75</definedName>
    <definedName function="false" hidden="false" name="q3_dp" vbProcedure="false">In!$E$76</definedName>
    <definedName function="false" hidden="false" name="q3_dp_hi" vbProcedure="false">In!$F$76</definedName>
    <definedName function="false" hidden="false" name="q3_dp_lo" vbProcedure="false">In!$D$76</definedName>
    <definedName function="false" hidden="false" name="q3_nb" vbProcedure="false">In!$E$77</definedName>
    <definedName function="false" hidden="false" name="q3_nb_hi" vbProcedure="false">In!$F$77</definedName>
    <definedName function="false" hidden="false" name="q3_nb_lo" vbProcedure="false">In!$D$77</definedName>
    <definedName function="false" hidden="false" name="q3_np" vbProcedure="false">In!$E$78</definedName>
    <definedName function="false" hidden="false" name="q3_np_hi" vbProcedure="false">In!$F$78</definedName>
    <definedName function="false" hidden="false" name="q3_np_lo" vbProcedure="false">In!$D$78</definedName>
    <definedName function="false" hidden="false" name="q4_db" vbProcedure="false">In!$E$79</definedName>
    <definedName function="false" hidden="false" name="q4_db_hi" vbProcedure="false">In!$F$79</definedName>
    <definedName function="false" hidden="false" name="q4_db_lo" vbProcedure="false">In!$D$79</definedName>
    <definedName function="false" hidden="false" name="q4_dp" vbProcedure="false">In!$E$80</definedName>
    <definedName function="false" hidden="false" name="q4_dp_hi" vbProcedure="false">In!$F$80</definedName>
    <definedName function="false" hidden="false" name="q4_dp_lo" vbProcedure="false">In!$D$80</definedName>
    <definedName function="false" hidden="false" name="q4_nb" vbProcedure="false">In!$E$81</definedName>
    <definedName function="false" hidden="false" name="q4_nb_hi" vbProcedure="false">In!$F$81</definedName>
    <definedName function="false" hidden="false" name="q4_nb_lo" vbProcedure="false">In!$D$81</definedName>
    <definedName function="false" hidden="false" name="q4_np" vbProcedure="false">In!$E$82</definedName>
    <definedName function="false" hidden="false" name="q4_np_hi" vbProcedure="false">In!$F$82</definedName>
    <definedName function="false" hidden="false" name="q4_np_lo" vbProcedure="false">In!$D$82</definedName>
    <definedName function="false" hidden="false" name="rf" vbProcedure="false">In!$E$114</definedName>
    <definedName function="false" hidden="false" name="sh26" vbProcedure="false">In!$E$65</definedName>
    <definedName function="false" hidden="false" name="sh26_hi" vbProcedure="false">In!$F$65</definedName>
    <definedName function="false" hidden="false" name="sh26_lo" vbProcedure="false">In!$D$65</definedName>
    <definedName function="false" hidden="false" name="sh27" vbProcedure="false">In!$E$66</definedName>
    <definedName function="false" hidden="false" name="sh27_hi" vbProcedure="false">In!$F$66</definedName>
    <definedName function="false" hidden="false" name="sh27_lo" vbProcedure="false">In!$D$66</definedName>
    <definedName function="false" hidden="false" name="sh28" vbProcedure="false">In!$E$67</definedName>
    <definedName function="false" hidden="false" name="sh28_hi" vbProcedure="false">In!$F$67</definedName>
    <definedName function="false" hidden="false" name="sh28_lo" vbProcedure="false">In!$D$67</definedName>
    <definedName function="false" hidden="false" name="sh_h1" vbProcedure="false">In!$E$118</definedName>
    <definedName function="false" hidden="false" name="tax" vbProcedure="false">In!$E$89</definedName>
    <definedName function="false" hidden="false" name="tax_hi" vbProcedure="false">In!$F$89</definedName>
    <definedName function="false" hidden="false" name="tax_lo" vbProcedure="false">In!$D$89</definedName>
    <definedName function="false" hidden="false" name="u_amd_26" vbProcedure="false">In!$E$32</definedName>
    <definedName function="false" hidden="false" name="u_amd_27" vbProcedure="false">In!$E$33</definedName>
    <definedName function="false" hidden="false" name="u_amd_28" vbProcedure="false">In!$E$34</definedName>
    <definedName function="false" hidden="false" name="u_bw_26" vbProcedure="false">In!$E$8</definedName>
    <definedName function="false" hidden="false" name="u_bw_27" vbProcedure="false">In!$E$9</definedName>
    <definedName function="false" hidden="false" name="u_bw_28" vbProcedure="false">In!$E$10</definedName>
    <definedName function="false" hidden="false" name="u_hp_26" vbProcedure="false">In!$E$26</definedName>
    <definedName function="false" hidden="false" name="u_hp_27" vbProcedure="false">In!$E$27</definedName>
    <definedName function="false" hidden="false" name="u_hp_28" vbProcedure="false">In!$E$28</definedName>
    <definedName function="false" hidden="false" name="u_oth_26" vbProcedure="false">In!$E$50</definedName>
    <definedName function="false" hidden="false" name="u_oth_27" vbProcedure="false">In!$E$51</definedName>
    <definedName function="false" hidden="false" name="u_oth_28" vbProcedure="false">In!$E$52</definedName>
    <definedName function="false" hidden="false" name="u_rb_26" vbProcedure="false">In!$E$14</definedName>
    <definedName function="false" hidden="false" name="u_rb_27" vbProcedure="false">In!$E$15</definedName>
    <definedName function="false" hidden="false" name="u_rb_28" vbProcedure="false">In!$E$16</definedName>
    <definedName function="false" hidden="false" name="u_ru_26" vbProcedure="false">In!$E$20</definedName>
    <definedName function="false" hidden="false" name="u_ru_27" vbProcedure="false">In!$E$21</definedName>
    <definedName function="false" hidden="false" name="u_ru_28" vbProcedure="false">In!$E$22</definedName>
    <definedName function="false" hidden="false" name="u_tpu_26" vbProcedure="false">In!$E$38</definedName>
    <definedName function="false" hidden="false" name="u_tpu_27" vbProcedure="false">In!$E$39</definedName>
    <definedName function="false" hidden="false" name="u_tpu_28" vbProcedure="false">In!$E$40</definedName>
    <definedName function="false" hidden="false" name="u_trn_26" vbProcedure="false">In!$E$44</definedName>
    <definedName function="false" hidden="false" name="u_trn_27" vbProcedure="false">In!$E$45</definedName>
    <definedName function="false" hidden="false" name="u_trn_28" vbProcedure="false">In!$E$46</definedName>
    <definedName function="false" hidden="false" name="w_c" vbProcedure="false">In!$E$104</definedName>
    <definedName function="false" hidden="false" name="w_h" vbProcedure="false">In!$E$105</definedName>
    <definedName function="false" hidden="false" name="w_n" vbProcedure="false">In!$E$106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<sst xmlns="http://schemas.openxmlformats.org/spreadsheetml/2006/main" count="1041" uniqueCount="645">
  <si>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半導體樣板第一家）　</t>
    </r>
    <r>
      <rPr>
        <b val="true"/>
        <sz val="11"/>
        <rFont val="Cambria"/>
        <family val="0"/>
        <charset val="1"/>
      </rPr>
      <t xml:space="preserve">2026-10-08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</si>
  <si>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；股價取決於這個循環在哪一年見頂，以及見頂時累積了多少淨值。</t>
    </r>
  </si>
  <si>
    <t xml:space="preserve">驅動因子 → 推導量（頁：輸入 → 推導 → 因果方向）</t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</si>
  <si>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→ HBM </t>
    </r>
    <r>
      <rPr>
        <sz val="11"/>
        <rFont val="Noto Sans CJK SC"/>
        <family val="2"/>
      </rPr>
      <t xml:space="preserve">需求位元；供給成長 → 出貨位元＝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營收。需求 </t>
    </r>
    <r>
      <rPr>
        <sz val="11"/>
        <rFont val="Cambria"/>
        <family val="0"/>
        <charset val="1"/>
      </rPr>
      <t xml:space="preserve">&gt; </t>
    </r>
    <r>
      <rPr>
        <sz val="11"/>
        <rFont val="Noto Sans CJK SC"/>
        <family val="2"/>
      </rPr>
      <t xml:space="preserve">供給 → 價格上漲（缺口列）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</si>
  <si>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2026H1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SEC 6-K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</t>
    </r>
    <r>
      <rPr>
        <sz val="11"/>
        <rFont val="Cambria"/>
        <family val="0"/>
        <charset val="1"/>
      </rPr>
      <t xml:space="preserve">2026H2 </t>
    </r>
    <r>
      <rPr>
        <sz val="11"/>
        <rFont val="Noto Sans CJK SC"/>
        <family val="2"/>
      </rPr>
      <t xml:space="preserve">營收與成本；成本隨位元量增、每季單位成本降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</si>
  <si>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：一般 </t>
    </r>
    <r>
      <rPr>
        <sz val="11"/>
        <rFont val="Cambria"/>
        <family val="0"/>
        <charset val="1"/>
      </rPr>
      <t xml:space="preserve">DRAM 2026 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(1</t>
    </r>
    <r>
      <rPr>
        <sz val="11"/>
        <rFont val="Noto Sans CJK SC"/>
        <family val="2"/>
      </rPr>
      <t xml:space="preserve">＋年均價變動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同；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取自 </t>
    </r>
    <r>
      <rPr>
        <sz val="11"/>
        <rFont val="Cambria"/>
        <family val="0"/>
        <charset val="1"/>
      </rPr>
      <t xml:space="preserve">Mkt → </t>
    </r>
    <r>
      <rPr>
        <sz val="11"/>
        <rFont val="Noto Sans CJK SC"/>
        <family val="2"/>
      </rPr>
      <t xml:space="preserve">營收；成本量指數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權益（減股利、買回）→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</si>
  <si>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（對照）→ 隱含股價 </t>
    </r>
    <r>
      <rPr>
        <sz val="11"/>
        <rFont val="Cambria"/>
        <family val="0"/>
        <charset val="1"/>
      </rPr>
      <t xml:space="preserve">vs </t>
    </r>
    <r>
      <rPr>
        <sz val="11"/>
        <rFont val="Noto Sans CJK SC"/>
        <family val="2"/>
      </rPr>
      <t xml:space="preserve">目前股價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</si>
  <si>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：一次動一個輸入 → </t>
    </r>
    <r>
      <rPr>
        <sz val="11"/>
        <rFont val="Cambria"/>
        <family val="0"/>
        <charset val="1"/>
      </rPr>
      <t xml:space="preserve">2027E </t>
    </r>
    <r>
      <rPr>
        <sz val="11"/>
        <rFont val="Noto Sans CJK SC"/>
        <family val="2"/>
      </rPr>
      <t xml:space="preserve">營業利益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</si>
  <si>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vs </t>
    </r>
    <r>
      <rPr>
        <sz val="11"/>
        <rFont val="Noto Sans CJK SC"/>
        <family val="2"/>
      </rPr>
      <t xml:space="preserve">共識（事後對照；參數不由共識回推）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</si>
  <si>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 −50%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−65%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型）。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兩情境相同。</t>
    </r>
  </si>
  <si>
    <r>
      <rPr>
        <sz val="11"/>
        <rFont val="Noto Sans CJK SC"/>
        <family val="2"/>
      </rPr>
      <t xml:space="preserve">取數：</t>
    </r>
    <r>
      <rPr>
        <sz val="11"/>
        <rFont val="Cambria"/>
        <family val="0"/>
        <charset val="1"/>
      </rPr>
      <t xml:space="preserve">markets/chip_bridge v0.1</t>
    </r>
    <r>
      <rPr>
        <sz val="11"/>
        <rFont val="Noto Sans CJK SC"/>
        <family val="2"/>
      </rPr>
      <t xml:space="preserve">（每顆 </t>
    </r>
    <r>
      <rPr>
        <sz val="11"/>
        <rFont val="Cambria"/>
        <family val="0"/>
        <charset val="1"/>
      </rPr>
      <t xml:space="preserve">GPU HBM </t>
    </r>
    <r>
      <rPr>
        <sz val="11"/>
        <rFont val="Noto Sans CJK SC"/>
        <family val="2"/>
      </rPr>
      <t xml:space="preserve">金額、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內容，取 </t>
    </r>
    <r>
      <rPr>
        <sz val="11"/>
        <rFont val="Cambria"/>
        <family val="0"/>
        <charset val="1"/>
      </rPr>
      <t xml:space="preserve">Tokenomics v5.27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</si>
  <si>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 </t>
    </r>
    <r>
      <rPr>
        <sz val="11"/>
        <rFont val="Noto Sans CJK SC"/>
        <family val="2"/>
      </rPr>
      <t xml:space="preserve">公開一手；</t>
    </r>
    <r>
      <rPr>
        <sz val="11"/>
        <rFont val="Cambria"/>
        <family val="0"/>
        <charset val="1"/>
      </rPr>
      <t xml:space="preserve">Interested-party </t>
    </r>
    <r>
      <rPr>
        <sz val="11"/>
        <rFont val="Noto Sans CJK SC"/>
        <family val="2"/>
      </rPr>
      <t xml:space="preserve">有利害關係；</t>
    </r>
    <r>
      <rPr>
        <sz val="11"/>
        <rFont val="Cambria"/>
        <family val="0"/>
        <charset val="1"/>
      </rPr>
      <t xml:space="preserve">Analogy </t>
    </r>
    <r>
      <rPr>
        <sz val="11"/>
        <rFont val="Noto Sans CJK SC"/>
        <family val="2"/>
      </rPr>
      <t xml:space="preserve">類比；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無實證；</t>
    </r>
    <r>
      <rPr>
        <sz val="11"/>
        <rFont val="Cambria"/>
        <family val="0"/>
        <charset val="1"/>
      </rPr>
      <t xml:space="preserve">Derived </t>
    </r>
    <r>
      <rPr>
        <sz val="11"/>
        <rFont val="Noto Sans CJK SC"/>
        <family val="2"/>
      </rPr>
      <t xml:space="preserve">推導。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 </t>
    </r>
    <r>
      <rPr>
        <sz val="11"/>
        <rFont val="Noto Sans CJK SC"/>
        <family val="2"/>
      </rPr>
      <t xml:space="preserve">皆有低／高區間（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頁）。</t>
    </r>
  </si>
  <si>
    <r>
      <rPr>
        <sz val="11"/>
        <rFont val="Noto Sans CJK SC"/>
        <family val="2"/>
      </rPr>
      <t xml:space="preserve">已知簡化（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(1) 2025 </t>
    </r>
    <r>
      <rPr>
        <sz val="11"/>
        <rFont val="Noto Sans CJK SC"/>
        <family val="2"/>
      </rPr>
      <t xml:space="preserve">年成本拆分示意；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營運資金變動未計；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股數用期末；</t>
    </r>
    <r>
      <rPr>
        <sz val="11"/>
        <rFont val="Cambria"/>
        <family val="0"/>
        <charset val="1"/>
      </rPr>
      <t xml:space="preserve">(4) HBM </t>
    </r>
    <r>
      <rPr>
        <sz val="11"/>
        <rFont val="Noto Sans CJK SC"/>
        <family val="2"/>
      </rPr>
      <t xml:space="preserve">市場暫放本活頁簿，複製到美光時移到 </t>
    </r>
    <r>
      <rPr>
        <sz val="11"/>
        <rFont val="Cambria"/>
        <family val="0"/>
        <charset val="1"/>
      </rPr>
      <t xml:space="preserve">markets/hbm/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的成本只以權重區分，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毛利率無法由公開資料分離。</t>
    </r>
  </si>
  <si>
    <r>
      <rPr>
        <b val="true"/>
        <sz val="11"/>
        <rFont val="Noto Sans CJK SC"/>
        <family val="2"/>
      </rPr>
      <t xml:space="preserve">樣板驗收標準（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</si>
  <si>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取數註明版本：✓（</t>
    </r>
    <r>
      <rPr>
        <sz val="11"/>
        <rFont val="Cambria"/>
        <family val="0"/>
        <charset val="1"/>
      </rPr>
      <t xml:space="preserve">Tokenomics v5.27 </t>
    </r>
    <r>
      <rPr>
        <sz val="11"/>
        <rFont val="Noto Sans CJK SC"/>
        <family val="2"/>
      </rPr>
      <t xml:space="preserve">經橋接表 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）　</t>
    </r>
    <r>
      <rPr>
        <sz val="11"/>
        <rFont val="Cambria"/>
        <family val="0"/>
        <charset val="1"/>
      </rPr>
      <t xml:space="preserve">2 HBM </t>
    </r>
    <r>
      <rPr>
        <sz val="11"/>
        <rFont val="Noto Sans CJK SC"/>
        <family val="2"/>
      </rPr>
      <t xml:space="preserve">由上而下 </t>
    </r>
    <r>
      <rPr>
        <sz val="11"/>
        <rFont val="Cambria"/>
        <family val="0"/>
        <charset val="1"/>
      </rPr>
      <t xml:space="preserve">vs </t>
    </r>
    <r>
      <rPr>
        <sz val="11"/>
        <rFont val="Noto Sans CJK SC"/>
        <family val="2"/>
      </rPr>
      <t xml:space="preserve">由下而上對帳：見 </t>
    </r>
    <r>
      <rPr>
        <sz val="11"/>
        <rFont val="Cambria"/>
        <family val="0"/>
        <charset val="1"/>
      </rPr>
      <t xml:space="preserve">Mkt </t>
    </r>
    <r>
      <rPr>
        <sz val="11"/>
        <rFont val="Noto Sans CJK SC"/>
        <family val="2"/>
      </rPr>
      <t xml:space="preserve">對帳列　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回饋摘要：</t>
    </r>
    <r>
      <rPr>
        <sz val="11"/>
        <rFont val="Cambria"/>
        <family val="0"/>
        <charset val="1"/>
      </rPr>
      <t xml:space="preserve">Feedback </t>
    </r>
    <r>
      <rPr>
        <sz val="11"/>
        <rFont val="Noto Sans CJK SC"/>
        <family val="2"/>
      </rPr>
      <t xml:space="preserve">頁　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命題＋驅動對照＋</t>
    </r>
    <r>
      <rPr>
        <sz val="11"/>
        <rFont val="Cambria"/>
        <family val="0"/>
        <charset val="1"/>
      </rPr>
      <t xml:space="preserve">Excel</t>
    </r>
    <r>
      <rPr>
        <sz val="11"/>
        <rFont val="Noto Sans CJK SC"/>
        <family val="2"/>
      </rPr>
      <t xml:space="preserve">：本頁　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兩個使用端結論：另記（不放公開 </t>
    </r>
    <r>
      <rPr>
        <sz val="11"/>
        <rFont val="Cambria"/>
        <family val="0"/>
        <charset val="1"/>
      </rPr>
      <t xml:space="preserve">repo</t>
    </r>
    <r>
      <rPr>
        <sz val="11"/>
        <rFont val="Noto Sans CJK SC"/>
        <family val="2"/>
      </rPr>
      <t xml:space="preserve">）　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審閱＋模型後先驗：待　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複製測試（美光）：待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</si>
  <si>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輸入（藍字＝基準值；低／高供敏感度）。每列有具名範圍＝鍵（指向基準欄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</si>
  <si>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</si>
  <si>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</si>
  <si>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</si>
  <si>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</si>
  <si>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</si>
  <si>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</si>
  <si>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</si>
  <si>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</si>
  <si>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匯率與市場價格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</si>
  <si>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</si>
  <si>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</si>
  <si>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</si>
  <si>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</si>
  <si>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兆韓元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定價匯率 </t>
    </r>
    <r>
      <rPr>
        <sz val="11"/>
        <color theme="1"/>
        <rFont val="Calibri"/>
        <family val="2"/>
        <charset val="1"/>
      </rPr>
      <t xml:space="preserve">1,538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S1</t>
    </r>
    <r>
      <rPr>
        <sz val="11"/>
        <color theme="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</si>
  <si>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</si>
  <si>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</si>
  <si>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</si>
  <si>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</si>
  <si>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歷史價格；</t>
    </r>
    <r>
      <rPr>
        <sz val="11"/>
        <color theme="1"/>
        <rFont val="Calibri"/>
        <family val="2"/>
        <charset val="1"/>
      </rPr>
      <t xml:space="preserve">10-02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1,841,000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</si>
  <si>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加速器數量層（百萬顆，封裝）與每顆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需求端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</si>
  <si>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</si>
  <si>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</si>
  <si>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</si>
  <si>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</si>
  <si>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 </t>
    </r>
    <r>
      <rPr>
        <sz val="11"/>
        <color theme="1"/>
        <rFont val="Noto Sans CJK SC"/>
        <family val="2"/>
      </rPr>
      <t xml:space="preserve">淨新增；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的組合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</si>
  <si>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</si>
  <si>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</si>
  <si>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</si>
  <si>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</si>
  <si>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</si>
  <si>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</si>
  <si>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</si>
  <si>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</si>
  <si>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</si>
  <si>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</si>
  <si>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</si>
  <si>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</si>
  <si>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</si>
  <si>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</si>
  <si>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萬架 </t>
    </r>
    <r>
      <rPr>
        <sz val="11"/>
        <color theme="1"/>
        <rFont val="Calibri"/>
        <family val="2"/>
        <charset val="1"/>
      </rPr>
      <t xml:space="preserve">NVL72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2028 Assumed </t>
    </r>
    <r>
      <rPr>
        <sz val="11"/>
        <color theme="1"/>
        <rFont val="Noto Sans CJK SC"/>
        <family val="2"/>
      </rPr>
      <t xml:space="preserve">持平。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 </t>
    </r>
    <r>
      <rPr>
        <sz val="11"/>
        <color theme="1"/>
        <rFont val="Calibri"/>
        <family val="2"/>
        <charset val="1"/>
      </rPr>
      <t xml:space="preserve">288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</si>
  <si>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</si>
  <si>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</si>
  <si>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</si>
  <si>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</si>
  <si>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</si>
  <si>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</si>
  <si>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</si>
  <si>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</si>
  <si>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</si>
  <si>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</si>
  <si>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</si>
  <si>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</si>
  <si>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Assumed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</si>
  <si>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下半年起）；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</si>
  <si>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</si>
  <si>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</si>
  <si>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</si>
  <si>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</si>
  <si>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</si>
  <si>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</si>
  <si>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</si>
  <si>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</si>
  <si>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</si>
  <si>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</si>
  <si>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</si>
  <si>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</si>
  <si>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</si>
  <si>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</si>
  <si>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</si>
  <si>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</si>
  <si>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</si>
  <si>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</si>
  <si>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</si>
  <si>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</si>
  <si>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</si>
  <si>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</si>
  <si>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</si>
  <si>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</si>
  <si>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</si>
  <si>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</si>
  <si>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MI455X 432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216 [Derived]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</si>
  <si>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</si>
  <si>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</si>
  <si>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</si>
  <si>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</si>
  <si>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</si>
  <si>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</si>
  <si>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</si>
  <si>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</si>
  <si>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</si>
  <si>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</si>
  <si>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</si>
  <si>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</si>
  <si>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Morgan Stanley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GF Securities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；取中間偏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Ironwood 192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8i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208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</si>
  <si>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</si>
  <si>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</si>
  <si>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</si>
  <si>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</si>
  <si>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</si>
  <si>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</si>
  <si>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</si>
  <si>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</si>
  <si>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</si>
  <si>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</si>
  <si>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</si>
  <si>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</si>
  <si>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年出貨未找到；累計已部署約 </t>
    </r>
    <r>
      <rPr>
        <sz val="11"/>
        <color theme="1"/>
        <rFont val="Calibri"/>
        <family val="2"/>
        <charset val="1"/>
      </rPr>
      <t xml:space="preserve">1.4M Trainium2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288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</si>
  <si>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</si>
  <si>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</si>
  <si>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</si>
  <si>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</si>
  <si>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</si>
  <si>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</si>
  <si>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</si>
  <si>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</si>
  <si>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</si>
  <si>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</si>
  <si>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</si>
  <si>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</si>
  <si>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</si>
  <si>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</si>
  <si>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</si>
  <si>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</si>
  <si>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</si>
  <si>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</si>
  <si>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</si>
  <si>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</si>
  <si>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</si>
  <si>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</si>
  <si>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</si>
  <si>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</si>
  <si>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市場（供給、價格、份額）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</si>
  <si>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</si>
  <si>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加速器裝載位元（封裝良率損失、庫存、通路）</t>
    </r>
  </si>
  <si>
    <t xml:space="preserve">x</t>
  </si>
  <si>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；另含庫存與未列入的買方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</si>
  <si>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</si>
  <si>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</si>
  <si>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</si>
  <si>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TrendForce 2027 </t>
    </r>
    <r>
      <rPr>
        <sz val="11"/>
        <color theme="1"/>
        <rFont val="Noto Sans CJK SC"/>
        <family val="2"/>
      </rPr>
      <t xml:space="preserve">位元需求 </t>
    </r>
    <r>
      <rPr>
        <sz val="11"/>
        <color theme="1"/>
        <rFont val="Calibri"/>
        <family val="2"/>
        <charset val="1"/>
      </rPr>
      <t xml:space="preserve">+50–60%</t>
    </r>
    <r>
      <rPr>
        <sz val="11"/>
        <color theme="1"/>
        <rFont val="Noto Sans CJK SC"/>
        <family val="2"/>
      </rPr>
      <t xml:space="preserve">（供給受晶圓與 </t>
    </r>
    <r>
      <rPr>
        <sz val="11"/>
        <color theme="1"/>
        <rFont val="Calibri"/>
        <family val="2"/>
        <charset val="1"/>
      </rPr>
      <t xml:space="preserve">TSV </t>
    </r>
    <r>
      <rPr>
        <sz val="11"/>
        <color theme="1"/>
        <rFont val="Noto Sans CJK SC"/>
        <family val="2"/>
      </rPr>
      <t xml:space="preserve">產能限制）；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</si>
  <si>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</si>
  <si>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</si>
  <si>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JPMorgan CAGR 63% </t>
    </r>
    <r>
      <rPr>
        <sz val="11"/>
        <color theme="1"/>
        <rFont val="Noto Sans CJK SC"/>
        <family val="2"/>
      </rPr>
      <t xml:space="preserve">為上限；新廠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</si>
  <si>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</si>
  <si>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</si>
  <si>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</si>
  <si>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</si>
  <si>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</si>
  <si>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</si>
  <si>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；取中間</t>
    </r>
  </si>
  <si>
    <t xml:space="preserve">hbm_p27_B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</si>
  <si>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</si>
  <si>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年約已在議價，兩情境相同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</si>
  <si>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</si>
  <si>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</si>
  <si>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（上限）；</t>
    </r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溫和修正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</si>
  <si>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</si>
  <si>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</si>
  <si>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大跌時，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年約重議跟著下修</t>
    </r>
  </si>
  <si>
    <t xml:space="preserve">sh26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</si>
  <si>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</si>
  <si>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</si>
  <si>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</si>
  <si>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</si>
  <si>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：三星＋美光 </t>
    </r>
    <r>
      <rPr>
        <sz val="11"/>
        <color theme="1"/>
        <rFont val="Calibri"/>
        <family val="2"/>
        <charset val="1"/>
      </rPr>
      <t xml:space="preserve">59%</t>
    </r>
  </si>
  <si>
    <t xml:space="preserve">sh28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</si>
  <si>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</si>
  <si>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延續 </t>
    </r>
    <r>
      <rPr>
        <sz val="11"/>
        <color theme="1"/>
        <rFont val="Calibri"/>
        <family val="2"/>
        <charset val="1"/>
      </rPr>
      <t xml:space="preserve">2027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</si>
  <si>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</si>
  <si>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</si>
  <si>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t xml:space="preserve">$B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</si>
  <si>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</si>
  <si>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</si>
  <si>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</si>
  <si>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橋接表）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</si>
  <si>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</si>
  <si>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IT capex $77K/GPU × NVIDIA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÷ IT 67.4%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</si>
  <si>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</si>
  <si>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橋接表）</t>
    </r>
  </si>
  <si>
    <r>
      <rPr>
        <sz val="11"/>
        <color theme="1"/>
        <rFont val="Calibri"/>
        <family val="2"/>
        <charset val="1"/>
      </rPr>
      <t xml:space="preserve">markets/chip_bridge 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288GB × $15.5/GB</t>
    </r>
    <r>
      <rPr>
        <sz val="11"/>
        <color theme="1"/>
        <rFont val="Noto Sans CJK SC"/>
        <family val="2"/>
      </rPr>
      <t xml:space="preserve">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</si>
  <si>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</si>
  <si>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市場（低）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</si>
  <si>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</si>
  <si>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</si>
  <si>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市場（高）</t>
    </r>
  </si>
  <si>
    <r>
      <rPr>
        <sz val="11"/>
        <color theme="1"/>
        <rFont val="Calibri"/>
        <family val="2"/>
        <charset val="1"/>
      </rPr>
      <t xml:space="preserve">BofA 2026-08-07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</t>
    </r>
    <r>
      <rPr>
        <sz val="11"/>
        <color theme="1"/>
        <rFont val="Noto Sans CJK SC"/>
        <family val="2"/>
      </rPr>
      <t xml:space="preserve">推算約 </t>
    </r>
    <r>
      <rPr>
        <sz val="11"/>
        <color theme="1"/>
        <rFont val="Calibri"/>
        <family val="2"/>
        <charset val="1"/>
      </rPr>
      <t xml:space="preserve">69</t>
    </r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</si>
  <si>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</si>
  <si>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</si>
  <si>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</si>
  <si>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Cambria"/>
        <family val="0"/>
        <charset val="1"/>
      </rPr>
      <t xml:space="preserve">D. SK </t>
    </r>
    <r>
      <rPr>
        <b val="true"/>
        <sz val="11"/>
        <rFont val="Noto Sans CJK SC"/>
        <family val="2"/>
      </rPr>
      <t xml:space="preserve">海力士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下半年（實績錨定＋公司指引＋</t>
    </r>
    <r>
      <rPr>
        <b val="true"/>
        <sz val="11"/>
        <rFont val="Cambria"/>
        <family val="0"/>
        <charset val="1"/>
      </rPr>
      <t xml:space="preserve">TrendForce </t>
    </r>
    <r>
      <rPr>
        <b val="true"/>
        <sz val="11"/>
        <rFont val="Noto Sans CJK SC"/>
        <family val="2"/>
      </rPr>
      <t xml:space="preserve">價格）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</si>
  <si>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</si>
  <si>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</si>
  <si>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+10%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</si>
  <si>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</si>
  <si>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</si>
  <si>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+13–18%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年約鎖價拉低混合值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</si>
  <si>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</si>
  <si>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</si>
  <si>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公司：低個位數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</si>
  <si>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</si>
  <si>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</si>
  <si>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</si>
  <si>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</si>
  <si>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</si>
  <si>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公司：下半年位元成長優於上半年</t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</si>
  <si>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</si>
  <si>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</si>
  <si>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產業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</si>
  <si>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</si>
  <si>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</si>
  <si>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</si>
  <si>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</si>
  <si>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</si>
  <si>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costdn_q</t>
  </si>
  <si>
    <t xml:space="preserve">單位成本季降</t>
  </si>
  <si>
    <r>
      <rPr>
        <sz val="11"/>
        <color theme="1"/>
        <rFont val="Noto Sans CJK SC"/>
        <family val="2"/>
      </rPr>
      <t xml:space="preserve">製程微縮；年約 −</t>
    </r>
    <r>
      <rPr>
        <sz val="11"/>
        <color theme="1"/>
        <rFont val="Calibri"/>
        <family val="2"/>
        <charset val="1"/>
      </rPr>
      <t xml:space="preserve">10–12%</t>
    </r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</si>
  <si>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</si>
  <si>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折舊攤銷</t>
    </r>
  </si>
  <si>
    <t xml:space="preserve">兆韓元</t>
  </si>
  <si>
    <r>
      <rPr>
        <sz val="11"/>
        <color theme="1"/>
        <rFont val="Calibri"/>
        <family val="2"/>
        <charset val="1"/>
      </rPr>
      <t xml:space="preserve">Q1 3.726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4.028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）延伸</t>
    </r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</si>
  <si>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</si>
  <si>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折舊攤銷</t>
    </r>
  </si>
  <si>
    <t xml:space="preserve">opex_fix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</si>
  <si>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</si>
  <si>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Noto Sans CJK SC"/>
        <family val="2"/>
      </rPr>
      <t xml:space="preserve">對營收 </t>
    </r>
    <r>
      <rPr>
        <sz val="11"/>
        <color theme="1"/>
        <rFont val="Calibri"/>
        <family val="2"/>
        <charset val="1"/>
      </rPr>
      <t xml:space="preserve">52.6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79.3 </t>
    </r>
    <r>
      <rPr>
        <sz val="11"/>
        <color theme="1"/>
        <rFont val="Noto Sans CJK SC"/>
        <family val="2"/>
      </rPr>
      <t xml:space="preserve">迴歸 → 固定約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、變動 </t>
    </r>
    <r>
      <rPr>
        <sz val="11"/>
        <color theme="1"/>
        <rFont val="Calibri"/>
        <family val="2"/>
        <charset val="1"/>
      </rPr>
      <t xml:space="preserve">4.7%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</si>
  <si>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</si>
  <si>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</si>
  <si>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</si>
  <si>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同上（含績效獎金隨獲利增加）</t>
  </si>
  <si>
    <t xml:space="preserve">nonop_q</t>
  </si>
  <si>
    <t xml:space="preserve">下半年每季業外淨收益（利息等）</t>
  </si>
  <si>
    <r>
      <rPr>
        <sz val="11"/>
        <color theme="1"/>
        <rFont val="Noto Sans CJK SC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70–110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 </t>
    </r>
    <r>
      <rPr>
        <sz val="11"/>
        <color theme="1"/>
        <rFont val="Calibri"/>
        <family val="2"/>
        <charset val="1"/>
      </rPr>
      <t xml:space="preserve">÷ 4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</si>
  <si>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</si>
  <si>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</si>
  <si>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2025 14.9%</t>
    </r>
  </si>
  <si>
    <r>
      <rPr>
        <b val="true"/>
        <sz val="11"/>
        <rFont val="Cambria"/>
        <family val="0"/>
        <charset val="1"/>
      </rPr>
      <t xml:space="preserve">E. 2027–2028 </t>
    </r>
    <r>
      <rPr>
        <b val="true"/>
        <sz val="11"/>
        <rFont val="Noto Sans CJK SC"/>
        <family val="2"/>
      </rPr>
      <t xml:space="preserve">年度驅動（情境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＝共識：</t>
    </r>
    <r>
      <rPr>
        <b val="true"/>
        <sz val="11"/>
        <rFont val="Cambria"/>
        <family val="0"/>
        <charset val="1"/>
      </rPr>
      <t xml:space="preserve">2027–28 </t>
    </r>
    <r>
      <rPr>
        <b val="true"/>
        <sz val="11"/>
        <rFont val="Noto Sans CJK SC"/>
        <family val="2"/>
      </rPr>
      <t xml:space="preserve">高檔持平；情境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見頂、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大幅回落）</t>
    </r>
  </si>
  <si>
    <t xml:space="preserve">cb27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</si>
  <si>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</si>
  <si>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）吃掉一般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增量</t>
    </r>
  </si>
  <si>
    <t xml:space="preserve">cb28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</si>
  <si>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</si>
  <si>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貢獻</t>
    </r>
  </si>
  <si>
    <t xml:space="preserve">cp27_A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</si>
  <si>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年均價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</si>
  <si>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季價路徑：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均值指數 </t>
    </r>
    <r>
      <rPr>
        <sz val="11"/>
        <color theme="1"/>
        <rFont val="Calibri"/>
        <family val="2"/>
        <charset val="1"/>
      </rPr>
      <t xml:space="preserve">5.08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6.45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2027 </t>
    </r>
    <r>
      <rPr>
        <sz val="11"/>
        <color theme="1"/>
        <rFont val="Noto Sans CJK SC"/>
        <family val="2"/>
      </rPr>
      <t xml:space="preserve">持平略降 →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均值約 </t>
    </r>
    <r>
      <rPr>
        <sz val="11"/>
        <color theme="1"/>
        <rFont val="Calibri"/>
        <family val="2"/>
        <charset val="1"/>
      </rPr>
      <t xml:space="preserve">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$/GB +43%</t>
    </r>
  </si>
  <si>
    <t xml:space="preserve">cp27_B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</si>
  <si>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年均價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</si>
  <si>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見頂後下滑 →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均值約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）</t>
    </r>
  </si>
  <si>
    <t xml:space="preserve">cp28_A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</si>
  <si>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年均價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</si>
  <si>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溫和修正、非硬著陸</t>
    </r>
  </si>
  <si>
    <t xml:space="preserve">cp28_B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</si>
  <si>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年均價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</si>
  <si>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DRAM $/GB 2028 −52.9%</t>
    </r>
  </si>
  <si>
    <t xml:space="preserve">nb27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</si>
  <si>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</si>
  <si>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：產業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</t>
    </r>
  </si>
  <si>
    <t xml:space="preserve">nb28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</si>
  <si>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</si>
  <si>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np27_A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</si>
  <si>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年均價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</si>
  <si>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季價路徑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均值約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 → 均值約 </t>
    </r>
    <r>
      <rPr>
        <sz val="11"/>
        <color theme="1"/>
        <rFont val="Calibri"/>
        <family val="2"/>
        <charset val="1"/>
      </rPr>
      <t xml:space="preserve">6.05</t>
    </r>
  </si>
  <si>
    <t xml:space="preserve">np27_B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</si>
  <si>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年均價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</si>
  <si>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</t>
    </r>
  </si>
  <si>
    <t xml:space="preserve">np28_A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</si>
  <si>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年均價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</si>
  <si>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下半年價格面臨下修壓力</t>
    </r>
  </si>
  <si>
    <t xml:space="preserve">np28_B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</si>
  <si>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年均價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</si>
  <si>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</si>
  <si>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other_y</t>
  </si>
  <si>
    <t xml:space="preserve">其他營收（每年）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</si>
  <si>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1.6% </t>
    </r>
    <r>
      <rPr>
        <sz val="11"/>
        <color theme="1"/>
        <rFont val="Noto Sans CJK SC"/>
        <family val="2"/>
      </rPr>
      <t xml:space="preserve">營收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</si>
  <si>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</si>
  <si>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</si>
  <si>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成本組成（未揭露）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</si>
  <si>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</si>
  <si>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</si>
  <si>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</si>
  <si>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</si>
  <si>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</si>
  <si>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</si>
  <si>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</si>
  <si>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</si>
  <si>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</si>
  <si>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</si>
  <si>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r>
      <rPr>
        <sz val="11"/>
        <color theme="1"/>
        <rFont val="Calibri"/>
        <family val="2"/>
        <charset val="1"/>
      </rPr>
      <t xml:space="preserve">D&amp;A_t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D&amp;A_t−1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(capex_t−1 − D&amp;A_t−1) ÷ </t>
    </r>
    <r>
      <rPr>
        <sz val="11"/>
        <color theme="1"/>
        <rFont val="Noto Sans CJK SC"/>
        <family val="2"/>
      </rPr>
      <t xml:space="preserve">年數</t>
    </r>
  </si>
  <si>
    <t xml:space="preserve">da_cogs</t>
  </si>
  <si>
    <t xml:space="preserve">折舊攤銷計入營業成本的比例</t>
  </si>
  <si>
    <t xml:space="preserve">opex_g</t>
  </si>
  <si>
    <t xml:space="preserve">營業費用固定部分年增</t>
  </si>
  <si>
    <t xml:space="preserve">cap26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</si>
  <si>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</si>
  <si>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</si>
  <si>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</si>
  <si>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</si>
  <si>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</si>
  <si>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BNK</t>
    </r>
    <r>
      <rPr>
        <sz val="11"/>
        <color theme="1"/>
        <rFont val="Noto Sans CJK SC"/>
        <family val="2"/>
      </rPr>
      <t xml:space="preserve">：需 </t>
    </r>
    <r>
      <rPr>
        <sz val="11"/>
        <color theme="1"/>
        <rFont val="Calibri"/>
        <family val="2"/>
        <charset val="1"/>
      </rPr>
      <t xml:space="preserve">+30–40%</t>
    </r>
    <r>
      <rPr>
        <sz val="11"/>
        <color theme="1"/>
        <rFont val="Noto Sans CJK SC"/>
        <family val="2"/>
      </rPr>
      <t xml:space="preserve">；未承諾資本支出 </t>
    </r>
    <r>
      <rPr>
        <sz val="11"/>
        <color theme="1"/>
        <rFont val="Calibri"/>
        <family val="2"/>
        <charset val="1"/>
      </rPr>
      <t xml:space="preserve">61.5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</si>
  <si>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cap28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</si>
  <si>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</si>
  <si>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</si>
  <si>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rf</t>
  </si>
  <si>
    <t xml:space="preserve">淨現金收益率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</si>
  <si>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資本與股東回饋</t>
    </r>
  </si>
  <si>
    <t xml:space="preserve">eq_h1</t>
  </si>
  <si>
    <r>
      <rPr>
        <sz val="11"/>
        <color theme="1"/>
        <rFont val="Noto Sans CJK SC"/>
        <family val="2"/>
      </rPr>
      <t xml:space="preserve">權益總額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</si>
  <si>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）</t>
    </r>
  </si>
  <si>
    <t xml:space="preserve">nc_h1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</si>
  <si>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</si>
  <si>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Noto Sans CJK SC"/>
        <family val="2"/>
      </rPr>
      <t xml:space="preserve">公司定義（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簡報）</t>
    </r>
  </si>
  <si>
    <t xml:space="preserve">sh_h1</t>
  </si>
  <si>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2026-06-30</t>
    </r>
  </si>
  <si>
    <t xml:space="preserve">百萬股</t>
  </si>
  <si>
    <t xml:space="preserve">6-K</t>
  </si>
  <si>
    <t xml:space="preserve">ads_kw</t>
  </si>
  <si>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募資（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</si>
  <si>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US$26.25B × 1,538.05</t>
  </si>
  <si>
    <t xml:space="preserve">ads_sh</t>
  </si>
  <si>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新股</t>
    </r>
  </si>
  <si>
    <t xml:space="preserve">424B4</t>
  </si>
  <si>
    <t xml:space="preserve">bb26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</si>
  <si>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庫藏股買回並註銷（</t>
    </r>
    <r>
      <rPr>
        <sz val="11"/>
        <color theme="1"/>
        <rFont val="Calibri"/>
        <family val="2"/>
        <charset val="1"/>
      </rPr>
      <t xml:space="preserve">8/20 </t>
    </r>
    <r>
      <rPr>
        <sz val="11"/>
        <color theme="1"/>
        <rFont val="Noto Sans CJK SC"/>
        <family val="2"/>
      </rPr>
      <t xml:space="preserve">起約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</si>
  <si>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2026-08-19 </t>
    </r>
    <r>
      <rPr>
        <sz val="11"/>
        <color theme="1"/>
        <rFont val="Noto Sans CJK SC"/>
        <family val="2"/>
      </rPr>
      <t xml:space="preserve">公告</t>
    </r>
  </si>
  <si>
    <t xml:space="preserve">bb26_sh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</si>
  <si>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買回股數</t>
    </r>
  </si>
  <si>
    <t xml:space="preserve">div26_h2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</si>
  <si>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下半年股利支付</t>
    </r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</si>
  <si>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375 </t>
    </r>
    <r>
      <rPr>
        <sz val="11"/>
        <color theme="1"/>
        <rFont val="Noto Sans CJK SC"/>
        <family val="2"/>
      </rPr>
      <t xml:space="preserve">韓元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720M </t>
    </r>
    <r>
      <rPr>
        <sz val="11"/>
        <color theme="1"/>
        <rFont val="Noto Sans CJK SC"/>
        <family val="2"/>
      </rPr>
      <t xml:space="preserve">股</t>
    </r>
  </si>
  <si>
    <t xml:space="preserve">dps27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</si>
  <si>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</si>
  <si>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</si>
  <si>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dps28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</si>
  <si>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</si>
  <si>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</si>
  <si>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自由現金流（股利＋買回）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</si>
  <si>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2026-08-19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以上；</t>
    </r>
    <r>
      <rPr>
        <sz val="11"/>
        <color theme="1"/>
        <rFont val="Calibri"/>
        <family val="2"/>
        <charset val="1"/>
      </rPr>
      <t xml:space="preserve">2028 Assumed </t>
    </r>
    <r>
      <rPr>
        <sz val="11"/>
        <color theme="1"/>
        <rFont val="Noto Sans CJK SC"/>
        <family val="2"/>
      </rPr>
      <t xml:space="preserve">延續</t>
    </r>
  </si>
  <si>
    <t xml:space="preserve">bb_px</t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</si>
  <si>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買回均價</t>
    </r>
  </si>
  <si>
    <t xml:space="preserve">＝目前股價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</si>
  <si>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估值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</si>
  <si>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</si>
  <si>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倍</t>
    </r>
  </si>
  <si>
    <t xml:space="preserve">研究者設定的循環谷底倍數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</si>
  <si>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</si>
  <si>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：歷史中位數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</si>
  <si>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 0.81–2.00</t>
    </r>
    <r>
      <rPr>
        <sz val="11"/>
        <color theme="1"/>
        <rFont val="Noto Sans CJK SC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</si>
  <si>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</si>
  <si>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：券商遠期</t>
    </r>
  </si>
  <si>
    <r>
      <rPr>
        <sz val="11"/>
        <color theme="1"/>
        <rFont val="Calibri"/>
        <family val="2"/>
        <charset val="1"/>
      </rPr>
      <t xml:space="preserve">Shinhan 2026-07 </t>
    </r>
    <r>
      <rPr>
        <sz val="11"/>
        <color theme="1"/>
        <rFont val="Noto Sans CJK SC"/>
        <family val="2"/>
      </rPr>
      <t xml:space="preserve">目標價依 </t>
    </r>
    <r>
      <rPr>
        <sz val="11"/>
        <color theme="1"/>
        <rFont val="Calibri"/>
        <family val="2"/>
        <charset val="1"/>
      </rPr>
      <t xml:space="preserve">3.3x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P/B</t>
    </r>
  </si>
  <si>
    <t xml:space="preserve">pe_1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</si>
  <si>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</si>
  <si>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高峰盈餘的低倍數；共識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</si>
  <si>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</si>
  <si>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倍</t>
    </r>
  </si>
  <si>
    <t xml:space="preserve">pe_3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</si>
  <si>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</si>
  <si>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市場：需求（顆數 </t>
    </r>
    <r>
      <rPr>
        <sz val="11"/>
        <color theme="1"/>
        <rFont val="Calibri"/>
        <family val="2"/>
        <charset val="1"/>
      </rPr>
      <t xml:space="preserve">× GB</t>
    </r>
    <r>
      <rPr>
        <sz val="11"/>
        <color theme="1"/>
        <rFont val="Noto Sans CJK SC"/>
        <family val="2"/>
      </rPr>
      <t xml:space="preserve">）、供給（位元成長）、價格 → 市場規模；並與由上而下、已發布數字對帳</t>
    </r>
  </si>
  <si>
    <t xml:space="preserve">2026</t>
  </si>
  <si>
    <t xml:space="preserve">2027</t>
  </si>
  <si>
    <t xml:space="preserve">2028</t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</si>
  <si>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</si>
  <si>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</si>
  <si>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</si>
  <si>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</si>
  <si>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</si>
  <si>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</si>
  <si>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</si>
  <si>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</si>
  <si>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</si>
  <si>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</si>
  <si>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</si>
  <si>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需求合計（加速器裝載）</t>
  </si>
  <si>
    <t xml:space="preserve">EB</t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</si>
  <si>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1,000 PB</t>
    </r>
  </si>
  <si>
    <r>
      <rPr>
        <sz val="11"/>
        <color theme="1"/>
        <rFont val="Noto Sans CJK SC"/>
        <family val="2"/>
      </rPr>
      <t xml:space="preserve">需求合計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出貨／裝載係數</t>
    </r>
  </si>
  <si>
    <t xml:space="preserve">需求年增</t>
  </si>
  <si>
    <t xml:space="preserve">加速器顆數合計</t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</si>
  <si>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</si>
  <si>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</si>
  <si>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</si>
  <si>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供給與出貨（位元）</t>
  </si>
  <si>
    <r>
      <rPr>
        <sz val="11"/>
        <color theme="1"/>
        <rFont val="Noto Sans CJK SC"/>
        <family val="2"/>
      </rPr>
      <t xml:space="preserve">供給（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＝需求出貨；之後依供給成長）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</si>
  <si>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</si>
  <si>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需求 − 供給（缺口＞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＝短缺，支撐價格）</t>
    </r>
  </si>
  <si>
    <t xml:space="preserve">價格與市場規模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</si>
  <si>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</si>
  <si>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</si>
  <si>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</si>
  <si>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EB × $/GB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$B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</si>
  <si>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</si>
  <si>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</si>
  <si>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</si>
  <si>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</si>
  <si>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</t>
    </r>
  </si>
  <si>
    <r>
      <rPr>
        <b val="true"/>
        <sz val="11"/>
        <rFont val="Noto Sans CJK SC"/>
        <family val="2"/>
      </rPr>
      <t xml:space="preserve">對帳（驗收標準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</si>
  <si>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</si>
  <si>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；未乘出貨係數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</si>
  <si>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</si>
  <si>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金額取自橋接表；與顆數預測獨立</t>
    </r>
  </si>
  <si>
    <r>
      <rPr>
        <sz val="11"/>
        <color theme="1"/>
        <rFont val="Noto Sans CJK SC"/>
        <family val="2"/>
      </rPr>
      <t xml:space="preserve">  差距（由下而上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由上而下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</si>
  <si>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由營收推得的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</si>
  <si>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  對照：顆數預測（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</si>
  <si>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市場（低／高）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</si>
  <si>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54.6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77.4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BofA 152.8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</si>
  <si>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已發布（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</si>
  <si>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已發布高值（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</si>
  <si>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2025Q1–2026Q2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與公司公告；</t>
    </r>
    <r>
      <rPr>
        <sz val="11"/>
        <color theme="1"/>
        <rFont val="Calibri"/>
        <family val="2"/>
        <charset val="1"/>
      </rPr>
      <t xml:space="preserve">2026Q3–Q4 </t>
    </r>
    <r>
      <rPr>
        <sz val="11"/>
        <color theme="1"/>
        <rFont val="Noto Sans CJK SC"/>
        <family val="2"/>
      </rPr>
      <t xml:space="preserve">由實績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價格推估）；兆韓元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</si>
  <si>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</si>
  <si>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</si>
  <si>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</si>
  <si>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</si>
  <si>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</si>
  <si>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</si>
  <si>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</si>
  <si>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</si>
  <si>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</si>
  <si>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營收</t>
  </si>
  <si>
    <t xml:space="preserve">  DRAM</t>
  </si>
  <si>
    <t xml:space="preserve">  NAND</t>
  </si>
  <si>
    <t xml:space="preserve">  其他</t>
  </si>
  <si>
    <t xml:space="preserve">營業成本</t>
  </si>
  <si>
    <t xml:space="preserve">營業費用</t>
  </si>
  <si>
    <t xml:space="preserve">營業利益</t>
  </si>
  <si>
    <t xml:space="preserve">營業利益率</t>
  </si>
  <si>
    <t xml:space="preserve">淨利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</si>
  <si>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</si>
  <si>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</si>
  <si>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</si>
  <si>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拆分、</t>
    </r>
    <r>
      <rPr>
        <sz val="11"/>
        <color theme="1"/>
        <rFont val="Calibri"/>
        <family val="2"/>
        <charset val="1"/>
      </rPr>
      <t xml:space="preserve">Q2–Q4 2025 </t>
    </r>
    <r>
      <rPr>
        <sz val="11"/>
        <color theme="1"/>
        <rFont val="Noto Sans CJK SC"/>
        <family val="2"/>
      </rPr>
      <t xml:space="preserve">資本支出未找到；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Noto Sans CJK SC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2026Q1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83% </t>
    </r>
    <r>
      <rPr>
        <sz val="11"/>
        <color theme="1"/>
        <rFont val="Noto Sans CJK SC"/>
        <family val="2"/>
      </rPr>
      <t xml:space="preserve">為公司簡報數；營業費用＝營收 − 營業成本 − 營業利益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</si>
  <si>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年度損益、資本支出、淨值與股數（兆韓元；股數百萬股）。情境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高檔持平（市場共識型）；情境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價格大幅回落</t>
    </r>
  </si>
  <si>
    <t xml:space="preserve">2025A</t>
  </si>
  <si>
    <t xml:space="preserve">2026E</t>
  </si>
  <si>
    <t xml:space="preserve">2027E A</t>
  </si>
  <si>
    <t xml:space="preserve">2028E A</t>
  </si>
  <si>
    <t xml:space="preserve">2027E B</t>
  </si>
  <si>
    <t xml:space="preserve">2028E B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</si>
  <si>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</si>
  <si>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DRAM 74.9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77.1%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HBM 28.1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</si>
  <si>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</si>
  <si>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BofA 2026E 45.7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CLSA 49.4</t>
    </r>
  </si>
  <si>
    <t xml:space="preserve">FY25 NAND 21.3%</t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</si>
  <si>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</si>
  <si>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D&amp;A_t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(capex_t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1 − D&amp;A_t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1) ÷ </t>
    </r>
    <r>
      <rPr>
        <sz val="11"/>
        <color theme="1"/>
        <rFont val="Noto Sans CJK SC"/>
        <family val="2"/>
      </rPr>
      <t xml:space="preserve">年數</t>
    </r>
  </si>
  <si>
    <t xml:space="preserve">成本量指數年增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</si>
  <si>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位元依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</si>
  <si>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</si>
  <si>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H1 Kioxia </t>
    </r>
    <r>
      <rPr>
        <sz val="11"/>
        <color theme="1"/>
        <rFont val="Noto Sans CJK SC"/>
        <family val="2"/>
      </rPr>
      <t xml:space="preserve">相關一次性收益約 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兆（業外）</t>
    </r>
  </si>
  <si>
    <t xml:space="preserve">資本支出</t>
  </si>
  <si>
    <t xml:space="preserve">自由現金流（淨利＋折舊 − 資本支出）</t>
  </si>
  <si>
    <t xml:space="preserve">未計營運資金變動</t>
  </si>
  <si>
    <t xml:space="preserve">股利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</si>
  <si>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只列下半年（上半年已在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月底權益中）</t>
    </r>
  </si>
  <si>
    <t xml:space="preserve">買回</t>
  </si>
  <si>
    <t xml:space="preserve">期末權益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</si>
  <si>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月底權益＋下半年淨利＋</t>
    </r>
    <r>
      <rPr>
        <sz val="11"/>
        <color theme="1"/>
        <rFont val="Calibri"/>
        <family val="2"/>
        <charset val="1"/>
      </rPr>
      <t xml:space="preserve">ADS − </t>
    </r>
    <r>
      <rPr>
        <sz val="11"/>
        <color theme="1"/>
        <rFont val="Noto Sans CJK SC"/>
        <family val="2"/>
      </rPr>
      <t xml:space="preserve">買回 − 股利</t>
    </r>
  </si>
  <si>
    <t xml:space="preserve">期末淨現金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</si>
  <si>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下半年資本支出取全年約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（上半年實付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</si>
  <si>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</si>
  <si>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</si>
  <si>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</si>
  <si>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</si>
  <si>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2025A </t>
    </r>
    <r>
      <rPr>
        <sz val="11"/>
        <color theme="1"/>
        <rFont val="Noto Sans CJK SC"/>
        <family val="2"/>
      </rPr>
      <t xml:space="preserve">營業成本與營業費用的拆分未取得一手數字；</t>
    </r>
    <r>
      <rPr>
        <sz val="11"/>
        <color theme="1"/>
        <rFont val="Calibri"/>
        <family val="2"/>
        <charset val="1"/>
      </rPr>
      <t xml:space="preserve">B12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37% </t>
    </r>
    <r>
      <rPr>
        <sz val="11"/>
        <color theme="1"/>
        <rFont val="Noto Sans CJK SC"/>
        <family val="2"/>
      </rPr>
      <t xml:space="preserve">營收示意（只影響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欄顯示，不影響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以後）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</si>
  <si>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為主、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</si>
  <si>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</si>
  <si>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</si>
  <si>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淨值／盈餘基準</t>
  </si>
  <si>
    <t xml:space="preserve">情境</t>
  </si>
  <si>
    <t xml:space="preserve">每股基準（韓元）</t>
  </si>
  <si>
    <t xml:space="preserve">隱含股價</t>
  </si>
  <si>
    <t xml:space="preserve">相對目前</t>
  </si>
  <si>
    <t xml:space="preserve">P/B 1.0x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</si>
  <si>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</si>
  <si>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</si>
  <si>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</si>
  <si>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</si>
  <si>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BVPS</t>
    </r>
  </si>
  <si>
    <t xml:space="preserve">A</t>
  </si>
  <si>
    <t xml:space="preserve">B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</si>
  <si>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BVPS</t>
    </r>
  </si>
  <si>
    <t xml:space="preserve">P/E 4x</t>
  </si>
  <si>
    <t xml:space="preserve">2027 EPS</t>
  </si>
  <si>
    <t xml:space="preserve">P/E 8x</t>
  </si>
  <si>
    <t xml:space="preserve">P/E 12x</t>
  </si>
  <si>
    <t xml:space="preserve">2028 EPS</t>
  </si>
  <si>
    <r>
      <rPr>
        <sz val="11"/>
        <color theme="1"/>
        <rFont val="Noto Sans CJK SC"/>
        <family val="2"/>
      </rPr>
      <t xml:space="preserve">讀法：循環股在盈餘高峰時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低、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高；若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盈餘回落（情境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），市場通常在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就以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的淨值與盈餘定價。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</si>
  <si>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一次只動一個輸入（其餘＝基準）。輸出：</t>
    </r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營業利益（情境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營業利益（情境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</si>
  <si>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輸入</t>
  </si>
  <si>
    <t xml:space="preserve">設定</t>
  </si>
  <si>
    <r>
      <rPr>
        <b val="true"/>
        <sz val="11"/>
        <rFont val="Cambria"/>
        <family val="0"/>
        <charset val="1"/>
      </rPr>
      <t xml:space="preserve">2027E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A</t>
    </r>
  </si>
  <si>
    <t xml:space="preserve">相對基準</t>
  </si>
  <si>
    <t xml:space="preserve">—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</si>
  <si>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2027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+15%</t>
    </r>
  </si>
  <si>
    <t xml:space="preserve">cp27_A→cp27_A_lo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</si>
  <si>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2027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+45%</t>
    </r>
  </si>
  <si>
    <t xml:space="preserve">cp27_A→cp27_A_hi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</si>
  <si>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+38%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</si>
  <si>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hbm_p27_A→hbm_p27_A_lo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</si>
  <si>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+121%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</si>
  <si>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hbm_p27_A→hbm_p27_A_hi</t>
  </si>
  <si>
    <r>
      <rPr>
        <sz val="11"/>
        <color theme="1"/>
        <rFont val="Calibri"/>
        <family val="2"/>
        <charset val="1"/>
      </rPr>
      <t xml:space="preserve">SK HBM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2027 38%</t>
    </r>
  </si>
  <si>
    <t xml:space="preserve">sh27→sh27_lo</t>
  </si>
  <si>
    <r>
      <rPr>
        <sz val="11"/>
        <color theme="1"/>
        <rFont val="Calibri"/>
        <family val="2"/>
        <charset val="1"/>
      </rPr>
      <t xml:space="preserve">SK HBM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2027 48%</t>
    </r>
  </si>
  <si>
    <t xml:space="preserve">sh27→sh27_hi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</si>
  <si>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+50%</t>
    </r>
  </si>
  <si>
    <t xml:space="preserve">hbm_sup27→hbm_sup27_lo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</si>
  <si>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+63%</t>
    </r>
  </si>
  <si>
    <t xml:space="preserve">hbm_sup27→hbm_sup27_hi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</si>
  <si>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+5%</t>
    </r>
  </si>
  <si>
    <t xml:space="preserve">cb27→cb27_lo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</si>
  <si>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+15%</t>
    </r>
  </si>
  <si>
    <t xml:space="preserve">cb27→cb27_hi</t>
  </si>
  <si>
    <r>
      <rPr>
        <sz val="11"/>
        <color theme="1"/>
        <rFont val="Calibri"/>
        <family val="2"/>
        <charset val="1"/>
      </rPr>
      <t xml:space="preserve">NAND 2027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+15%</t>
    </r>
  </si>
  <si>
    <t xml:space="preserve">np27_A→np27_A_lo</t>
  </si>
  <si>
    <r>
      <rPr>
        <sz val="11"/>
        <color theme="1"/>
        <rFont val="Calibri"/>
        <family val="2"/>
        <charset val="1"/>
      </rPr>
      <t xml:space="preserve">NAND 2027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+45%</t>
    </r>
  </si>
  <si>
    <t xml:space="preserve">np27_A→np27_A_hi</t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</si>
  <si>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1,350</t>
    </r>
  </si>
  <si>
    <t xml:space="preserve">fx→fx_lo</t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</si>
  <si>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（美元計價）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</si>
  <si>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1,500</t>
    </r>
  </si>
  <si>
    <t xml:space="preserve">fx→fx_hi</t>
  </si>
  <si>
    <r>
      <rPr>
        <sz val="11"/>
        <color theme="1"/>
        <rFont val="Noto Sans CJK SC"/>
        <family val="2"/>
      </rPr>
      <t xml:space="preserve">單位成本年降 </t>
    </r>
    <r>
      <rPr>
        <sz val="11"/>
        <color theme="1"/>
        <rFont val="Calibri"/>
        <family val="2"/>
        <charset val="1"/>
      </rPr>
      <t xml:space="preserve">5%</t>
    </r>
  </si>
  <si>
    <t xml:space="preserve">costdn_y→costdn_y_lo</t>
  </si>
  <si>
    <r>
      <rPr>
        <sz val="11"/>
        <color theme="1"/>
        <rFont val="Noto Sans CJK SC"/>
        <family val="2"/>
      </rPr>
      <t xml:space="preserve">單位成本年降 </t>
    </r>
    <r>
      <rPr>
        <sz val="11"/>
        <color theme="1"/>
        <rFont val="Calibri"/>
        <family val="2"/>
        <charset val="1"/>
      </rPr>
      <t xml:space="preserve">15%</t>
    </r>
  </si>
  <si>
    <t xml:space="preserve">costdn_y→costdn_y_hi</t>
  </si>
  <si>
    <r>
      <rPr>
        <sz val="11"/>
        <color theme="1"/>
        <rFont val="Noto Sans CJK SC"/>
        <family val="2"/>
      </rPr>
      <t xml:space="preserve">核對：基準列應等於 </t>
    </r>
    <r>
      <rPr>
        <sz val="11"/>
        <color theme="1"/>
        <rFont val="Calibri"/>
        <family val="2"/>
        <charset val="1"/>
      </rPr>
      <t xml:space="preserve">Y!D14</t>
    </r>
  </si>
  <si>
    <r>
      <rPr>
        <b val="true"/>
        <sz val="11"/>
        <rFont val="Cambria"/>
        <family val="0"/>
        <charset val="1"/>
      </rPr>
      <t xml:space="preserve">2028E </t>
    </r>
    <r>
      <rPr>
        <b val="true"/>
        <sz val="11"/>
        <rFont val="Noto Sans CJK SC"/>
        <family val="2"/>
      </rPr>
      <t xml:space="preserve">營業利益（情境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</si>
  <si>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價 −</t>
    </r>
    <r>
      <rPr>
        <sz val="11"/>
        <color theme="1"/>
        <rFont val="Calibri"/>
        <family val="2"/>
        <charset val="1"/>
      </rPr>
      <t xml:space="preserve">60%</t>
    </r>
  </si>
  <si>
    <t xml:space="preserve">cp28_B→cp28_B_lo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</si>
  <si>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價 −</t>
    </r>
    <r>
      <rPr>
        <sz val="11"/>
        <color theme="1"/>
        <rFont val="Calibri"/>
        <family val="2"/>
        <charset val="1"/>
      </rPr>
      <t xml:space="preserve">30%</t>
    </r>
  </si>
  <si>
    <t xml:space="preserve">cp28_B→cp28_B_hi</t>
  </si>
  <si>
    <r>
      <rPr>
        <sz val="11"/>
        <color theme="1"/>
        <rFont val="Calibri"/>
        <family val="2"/>
        <charset val="1"/>
      </rPr>
      <t xml:space="preserve">NAND 2028 </t>
    </r>
    <r>
      <rPr>
        <sz val="11"/>
        <color theme="1"/>
        <rFont val="Noto Sans CJK SC"/>
        <family val="2"/>
      </rPr>
      <t xml:space="preserve">價 −</t>
    </r>
    <r>
      <rPr>
        <sz val="11"/>
        <color theme="1"/>
        <rFont val="Calibri"/>
        <family val="2"/>
        <charset val="1"/>
      </rPr>
      <t xml:space="preserve">70%</t>
    </r>
  </si>
  <si>
    <t xml:space="preserve">np28_B→np28_B_lo</t>
  </si>
  <si>
    <r>
      <rPr>
        <sz val="11"/>
        <color theme="1"/>
        <rFont val="Calibri"/>
        <family val="2"/>
        <charset val="1"/>
      </rPr>
      <t xml:space="preserve">NAND 2028 </t>
    </r>
    <r>
      <rPr>
        <sz val="11"/>
        <color theme="1"/>
        <rFont val="Noto Sans CJK SC"/>
        <family val="2"/>
      </rPr>
      <t xml:space="preserve">價 −</t>
    </r>
    <r>
      <rPr>
        <sz val="11"/>
        <color theme="1"/>
        <rFont val="Calibri"/>
        <family val="2"/>
        <charset val="1"/>
      </rPr>
      <t xml:space="preserve">40%</t>
    </r>
  </si>
  <si>
    <t xml:space="preserve">np28_B→np28_B_hi</t>
  </si>
  <si>
    <r>
      <rPr>
        <sz val="11"/>
        <color theme="1"/>
        <rFont val="Calibri"/>
        <family val="2"/>
        <charset val="1"/>
      </rPr>
      <t xml:space="preserve">HBM 2028 </t>
    </r>
    <r>
      <rPr>
        <sz val="11"/>
        <color theme="1"/>
        <rFont val="Noto Sans CJK SC"/>
        <family val="2"/>
      </rPr>
      <t xml:space="preserve">價 −</t>
    </r>
    <r>
      <rPr>
        <sz val="11"/>
        <color theme="1"/>
        <rFont val="Calibri"/>
        <family val="2"/>
        <charset val="1"/>
      </rPr>
      <t xml:space="preserve">40%</t>
    </r>
  </si>
  <si>
    <t xml:space="preserve">hbm_p28_B→hbm_p28_B_lo</t>
  </si>
  <si>
    <r>
      <rPr>
        <sz val="11"/>
        <color theme="1"/>
        <rFont val="Calibri"/>
        <family val="2"/>
        <charset val="1"/>
      </rPr>
      <t xml:space="preserve">HBM 2028 </t>
    </r>
    <r>
      <rPr>
        <sz val="11"/>
        <color theme="1"/>
        <rFont val="Noto Sans CJK SC"/>
        <family val="2"/>
      </rPr>
      <t xml:space="preserve">價 −</t>
    </r>
    <r>
      <rPr>
        <sz val="11"/>
        <color theme="1"/>
        <rFont val="Calibri"/>
        <family val="2"/>
        <charset val="1"/>
      </rPr>
      <t xml:space="preserve">10%</t>
    </r>
  </si>
  <si>
    <t xml:space="preserve">hbm_p28_B→hbm_p28_B_hi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</si>
  <si>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−60%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−70%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−40%</t>
    </r>
    <r>
      <rPr>
        <sz val="11"/>
        <color theme="1"/>
        <rFont val="Noto Sans CJK SC"/>
        <family val="2"/>
      </rPr>
      <t xml:space="preserve">（同時）</t>
    </r>
  </si>
  <si>
    <t xml:space="preserve">cp28_B→cp28_B_lo, np28_B→np28_B_lo, hbm_p28_B→hbm_p28_B_lo</t>
  </si>
  <si>
    <r>
      <rPr>
        <sz val="11"/>
        <color theme="1"/>
        <rFont val="Noto Sans CJK SC"/>
        <family val="2"/>
      </rPr>
      <t xml:space="preserve">核對：基準列應等於 </t>
    </r>
    <r>
      <rPr>
        <sz val="11"/>
        <color theme="1"/>
        <rFont val="Calibri"/>
        <family val="2"/>
        <charset val="1"/>
      </rPr>
      <t xml:space="preserve">Y!G14</t>
    </r>
  </si>
  <si>
    <r>
      <rPr>
        <sz val="11"/>
        <color theme="1"/>
        <rFont val="Noto Sans CJK SC"/>
        <family val="2"/>
      </rPr>
      <t xml:space="preserve">讀法：情境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 </t>
    </r>
    <r>
      <rPr>
        <sz val="11"/>
        <color theme="1"/>
        <rFont val="Calibri"/>
        <family val="2"/>
        <charset val="1"/>
      </rPr>
      <t xml:space="preserve">× 0.5</t>
    </r>
    <r>
      <rPr>
        <sz val="11"/>
        <color theme="1"/>
        <rFont val="Noto Sans CJK SC"/>
        <family val="2"/>
      </rPr>
      <t xml:space="preserve">）仍約為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年均價的 </t>
    </r>
    <r>
      <rPr>
        <sz val="11"/>
        <color theme="1"/>
        <rFont val="Calibri"/>
        <family val="2"/>
        <charset val="1"/>
      </rPr>
      <t xml:space="preserve">2.7 </t>
    </r>
    <r>
      <rPr>
        <sz val="11"/>
        <color theme="1"/>
        <rFont val="Noto Sans CJK SC"/>
        <family val="2"/>
      </rPr>
      <t xml:space="preserve">倍；若回到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年水準（類似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年谷底），需要約 −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，不在本表範圍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</si>
  <si>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模型（由驅動因子正向推導）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市場共識（只作事後對照，不用來回推參數）；兆韓元</t>
    </r>
  </si>
  <si>
    <r>
      <rPr>
        <b val="true"/>
        <sz val="11"/>
        <rFont val="Noto Sans CJK SC"/>
        <family val="2"/>
      </rPr>
      <t xml:space="preserve">本模型 </t>
    </r>
    <r>
      <rPr>
        <b val="true"/>
        <sz val="11"/>
        <rFont val="Cambria"/>
        <family val="0"/>
        <charset val="1"/>
      </rPr>
      <t xml:space="preserve">2026E</t>
    </r>
  </si>
  <si>
    <r>
      <rPr>
        <b val="true"/>
        <sz val="11"/>
        <rFont val="Noto Sans CJK SC"/>
        <family val="2"/>
      </rPr>
      <t xml:space="preserve">共識 </t>
    </r>
    <r>
      <rPr>
        <b val="true"/>
        <sz val="11"/>
        <rFont val="Cambria"/>
        <family val="0"/>
        <charset val="1"/>
      </rPr>
      <t xml:space="preserve">2026E</t>
    </r>
  </si>
  <si>
    <r>
      <rPr>
        <b val="true"/>
        <sz val="11"/>
        <rFont val="Noto Sans CJK SC"/>
        <family val="2"/>
      </rPr>
      <t xml:space="preserve">本模型 </t>
    </r>
    <r>
      <rPr>
        <b val="true"/>
        <sz val="11"/>
        <rFont val="Cambria"/>
        <family val="0"/>
        <charset val="1"/>
      </rPr>
      <t xml:space="preserve">2027E A</t>
    </r>
  </si>
  <si>
    <r>
      <rPr>
        <b val="true"/>
        <sz val="11"/>
        <rFont val="Noto Sans CJK SC"/>
        <family val="2"/>
      </rPr>
      <t xml:space="preserve">本模型 </t>
    </r>
    <r>
      <rPr>
        <b val="true"/>
        <sz val="11"/>
        <rFont val="Cambria"/>
        <family val="0"/>
        <charset val="1"/>
      </rPr>
      <t xml:space="preserve">2027E B</t>
    </r>
  </si>
  <si>
    <r>
      <rPr>
        <b val="true"/>
        <sz val="11"/>
        <rFont val="Noto Sans CJK SC"/>
        <family val="2"/>
      </rPr>
      <t xml:space="preserve">共識 </t>
    </r>
    <r>
      <rPr>
        <b val="true"/>
        <sz val="11"/>
        <rFont val="Cambria"/>
        <family val="0"/>
        <charset val="1"/>
      </rPr>
      <t xml:space="preserve">2027E</t>
    </r>
  </si>
  <si>
    <t xml:space="preserve">共識來源</t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</si>
  <si>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</si>
  <si>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2027 391.8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</si>
  <si>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</si>
  <si>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</si>
  <si>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</si>
  <si>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營收：本模型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94.1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</si>
  <si>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營業利益：本模型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74.1–78.1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</si>
  <si>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回饋算力收支的摘要數字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</si>
  <si>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</si>
  <si>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t xml:space="preserve">markets/chip_bridge v0.1</t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</si>
  <si>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</si>
  <si>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t xml:space="preserve">Mkt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</si>
  <si>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</si>
  <si>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</si>
  <si>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</si>
  <si>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Noto Sans CJK SC"/>
        <family val="2"/>
      </rPr>
      <t xml:space="preserve">公司不揭露；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、三星、</t>
    </r>
    <r>
      <rPr>
        <sz val="11"/>
        <color theme="1"/>
        <rFont val="Calibri"/>
        <family val="2"/>
        <charset val="1"/>
      </rPr>
      <t xml:space="preserve">Micron </t>
    </r>
    <r>
      <rPr>
        <sz val="11"/>
        <color theme="1"/>
        <rFont val="Noto Sans CJK SC"/>
        <family val="2"/>
      </rPr>
      <t xml:space="preserve">皆指出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毛利高於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Bloter </t>
    </r>
    <r>
      <rPr>
        <sz val="11"/>
        <color theme="1"/>
        <rFont val="Noto Sans CJK SC"/>
        <family val="2"/>
      </rPr>
      <t xml:space="preserve">報導差距約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個百分點（單一來源）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</si>
  <si>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需求缺口（需求 − 供給）</t>
    </r>
  </si>
  <si>
    <t xml:space="preserve">加速器顆數預測隱含的位元需求高於供給成長；顆數預測可能偏高或價格會上漲</t>
  </si>
  <si>
    <t xml:space="preserve">來源</t>
  </si>
  <si>
    <r>
      <rPr>
        <sz val="11"/>
        <color theme="1"/>
        <rFont val="Calibri"/>
        <family val="2"/>
        <charset val="1"/>
      </rPr>
      <t xml:space="preserve">S1 SK hynix 424B4 </t>
    </r>
    <r>
      <rPr>
        <sz val="11"/>
        <color theme="1"/>
        <rFont val="Noto Sans CJK SC"/>
        <family val="2"/>
      </rPr>
      <t xml:space="preserve">招股書（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</si>
  <si>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</si>
  <si>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S2 SK hynix 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</si>
  <si>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</si>
  <si>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</si>
  <si>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https://www.investing.com/news/company-news/sk-hynix-q2-2026-slides-record-revenue-76-operating-margin-93CH-4818489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</si>
  <si>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）</t>
    </r>
  </si>
  <si>
    <t xml:space="preserve">https://ng.investing.com/news/transcripts/earnings-call-transcript-sk-hynix-posts-record-q2-2026-results-as-shares-fall-93CH-2622277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</si>
  <si>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 2026-08-19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</si>
  <si>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</si>
  <si>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</si>
  <si>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</si>
  <si>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 </t>
    </r>
    <r>
      <rPr>
        <sz val="11"/>
        <color theme="1"/>
        <rFont val="Noto Sans CJK SC"/>
        <family val="2"/>
      </rPr>
      <t xml:space="preserve">共識、目標價（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</si>
  <si>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</si>
  <si>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Economy Tribune 2026-09-13</t>
    </r>
    <r>
      <rPr>
        <sz val="11"/>
        <color theme="1"/>
        <rFont val="Noto Sans CJK SC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</si>
  <si>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</si>
  <si>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Bloter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CLSA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2026-09-15</t>
    </r>
    <r>
      <rPr>
        <sz val="11"/>
        <color theme="1"/>
        <rFont val="Noto Sans CJK SC"/>
        <family val="2"/>
      </rPr>
      <t xml:space="preserve">）</t>
    </r>
  </si>
  <si>
    <t xml:space="preserve">https://www.bloter.net/news/articleView.html?idxno=673654</t>
  </si>
  <si>
    <r>
      <rPr>
        <sz val="11"/>
        <color theme="1"/>
        <rFont val="Calibri"/>
        <family val="2"/>
        <charset val="1"/>
      </rPr>
      <t xml:space="preserve">Counterpoint HBM 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SamMobile</t>
    </r>
    <r>
      <rPr>
        <sz val="11"/>
        <color theme="1"/>
        <rFont val="Noto Sans CJK SC"/>
        <family val="2"/>
      </rPr>
      <t xml:space="preserve">）</t>
    </r>
  </si>
  <si>
    <t xml:space="preserve">https://www.sammobile.com/?p=16676368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</si>
  <si>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</si>
  <si>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https://www.koreaherald.com/article/10828143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</si>
  <si>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價格（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</si>
  <si>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</si>
  <si>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TrendForce 2027 HBM ASP +121%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</si>
  <si>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https://www.trendforce.com/presscenter/news/20260929-13255.html</t>
  </si>
  <si>
    <r>
      <rPr>
        <sz val="11"/>
        <color theme="1"/>
        <rFont val="Calibri"/>
        <family val="2"/>
        <charset val="1"/>
      </rPr>
      <t xml:space="preserve">TrendForce 2027 </t>
    </r>
    <r>
      <rPr>
        <sz val="11"/>
        <color theme="1"/>
        <rFont val="Noto Sans CJK SC"/>
        <family val="2"/>
      </rPr>
      <t xml:space="preserve">展望（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</si>
  <si>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https://www.trendforce.com/presscenter/news/20260730-13158.html</t>
  </si>
  <si>
    <r>
      <rPr>
        <sz val="11"/>
        <color theme="1"/>
        <rFont val="Calibri"/>
        <family val="2"/>
        <charset val="1"/>
      </rPr>
      <t xml:space="preserve">TrendForce 3Q26 </t>
    </r>
    <r>
      <rPr>
        <sz val="11"/>
        <color theme="1"/>
        <rFont val="Noto Sans CJK SC"/>
        <family val="2"/>
      </rPr>
      <t xml:space="preserve">價格（</t>
    </r>
    <r>
      <rPr>
        <sz val="11"/>
        <color theme="1"/>
        <rFont val="Calibri"/>
        <family val="2"/>
        <charset val="1"/>
      </rPr>
      <t xml:space="preserve">2026-07-03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</si>
  <si>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https://www.trendforce.com/presscenter/news/20260703-13134.html</t>
  </si>
  <si>
    <r>
      <rPr>
        <sz val="11"/>
        <color theme="1"/>
        <rFont val="Calibri"/>
        <family val="2"/>
        <charset val="1"/>
      </rPr>
      <t xml:space="preserve">Citi 2027 Q2 </t>
    </r>
    <r>
      <rPr>
        <sz val="11"/>
        <color theme="1"/>
        <rFont val="Noto Sans CJK SC"/>
        <family val="2"/>
      </rPr>
      <t xml:space="preserve">見頂（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）</t>
    </r>
  </si>
  <si>
    <t xml:space="preserve">https://www.tipranks.com/news/memory-prices-will-peak-next-year-warns-citi-as-it-cuts-micron-mu-price-target-by-18</t>
  </si>
  <si>
    <r>
      <rPr>
        <sz val="11"/>
        <color theme="1"/>
        <rFont val="Calibri"/>
        <family val="2"/>
        <charset val="1"/>
      </rPr>
      <t xml:space="preserve">Bernstein 2028 </t>
    </r>
    <r>
      <rPr>
        <sz val="11"/>
        <color theme="1"/>
        <rFont val="Noto Sans CJK SC"/>
        <family val="2"/>
      </rPr>
      <t xml:space="preserve">價格（</t>
    </r>
    <r>
      <rPr>
        <sz val="11"/>
        <color theme="1"/>
        <rFont val="Calibri"/>
        <family val="2"/>
        <charset val="1"/>
      </rPr>
      <t xml:space="preserve">Notebookcheck</t>
    </r>
    <r>
      <rPr>
        <sz val="11"/>
        <color theme="1"/>
        <rFont val="Noto Sans CJK SC"/>
        <family val="2"/>
      </rPr>
      <t xml:space="preserve">）</t>
    </r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</si>
  <si>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</si>
  <si>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記憶體預測（</t>
    </r>
    <r>
      <rPr>
        <sz val="11"/>
        <color theme="1"/>
        <rFont val="Calibri"/>
        <family val="2"/>
        <charset val="1"/>
      </rPr>
      <t xml:space="preserve">KuCoin</t>
    </r>
    <r>
      <rPr>
        <sz val="11"/>
        <color theme="1"/>
        <rFont val="Noto Sans CJK SC"/>
        <family val="2"/>
      </rPr>
      <t xml:space="preserve">）</t>
    </r>
  </si>
  <si>
    <t xml:space="preserve">https://www.kucoin.com/news/flash/morgan-stanley-report-memory-super-cycle-to-continue-until-2027-samsung-may-launch-massive-buyback-and-special-dividend</t>
  </si>
  <si>
    <r>
      <rPr>
        <sz val="11"/>
        <color theme="1"/>
        <rFont val="Calibri"/>
        <family val="2"/>
        <charset val="1"/>
      </rPr>
      <t xml:space="preserve">Micron FQ4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</si>
  <si>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https://www.webull.com/news/15672802111996928</t>
  </si>
  <si>
    <r>
      <rPr>
        <sz val="11"/>
        <color theme="1"/>
        <rFont val="Calibri"/>
        <family val="2"/>
        <charset val="1"/>
      </rPr>
      <t xml:space="preserve">Micron HBM 3:1 </t>
    </r>
    <r>
      <rPr>
        <sz val="11"/>
        <color theme="1"/>
        <rFont val="Noto Sans CJK SC"/>
        <family val="2"/>
      </rPr>
      <t xml:space="preserve">晶圓比（</t>
    </r>
    <r>
      <rPr>
        <sz val="11"/>
        <color theme="1"/>
        <rFont val="Calibri"/>
        <family val="2"/>
        <charset val="1"/>
      </rPr>
      <t xml:space="preserve">XenoSpectrum</t>
    </r>
    <r>
      <rPr>
        <sz val="11"/>
        <color theme="1"/>
        <rFont val="Noto Sans CJK SC"/>
        <family val="2"/>
      </rPr>
      <t xml:space="preserve">）</t>
    </r>
  </si>
  <si>
    <t xml:space="preserve">https://xenospectrum.com/en/micron-hbm-ddr-silicon-gap/</t>
  </si>
  <si>
    <r>
      <rPr>
        <sz val="11"/>
        <color theme="1"/>
        <rFont val="Calibri"/>
        <family val="2"/>
        <charset val="1"/>
      </rPr>
      <t xml:space="preserve">JPMorgan 2027 ASIC vs 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</t>
    </r>
    <r>
      <rPr>
        <sz val="11"/>
        <color theme="1"/>
        <rFont val="Noto Sans CJK SC"/>
        <family val="2"/>
      </rPr>
      <t xml:space="preserve">）</t>
    </r>
  </si>
  <si>
    <t xml:space="preserve">https://www.kucoin.com/news/flash/jpmorgan-ai-asic-shipments-to-surpass-gpus-by-2027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</si>
  <si>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TechNews 2026-07-13</t>
    </r>
    <r>
      <rPr>
        <sz val="11"/>
        <color theme="1"/>
        <rFont val="Noto Sans CJK SC"/>
        <family val="2"/>
      </rPr>
      <t xml:space="preserve">）</t>
    </r>
  </si>
  <si>
    <t xml:space="preserve">https://technews.tw/2026/07/13/the-significant-increase-in-chip-demand-in-2027-will-boost-the-size-of-the-wafer-foundry-and-advanced-packaging-markets/</t>
  </si>
  <si>
    <r>
      <rPr>
        <sz val="11"/>
        <color theme="1"/>
        <rFont val="Calibri"/>
        <family val="2"/>
        <charset val="1"/>
      </rPr>
      <t xml:space="preserve">Morgan Stanley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</t>
    </r>
    <r>
      <rPr>
        <sz val="11"/>
        <color theme="1"/>
        <rFont val="Noto Sans CJK SC"/>
        <family val="2"/>
      </rPr>
      <t xml:space="preserve">）</t>
    </r>
  </si>
  <si>
    <t xml:space="preserve">https://www.kucoin.com/news/flash/morgan-stanley-defends-broadcom-s-role-in-google-s-tpu-supply-chain-forecasts-5m-shipments-by-2027</t>
  </si>
  <si>
    <r>
      <rPr>
        <sz val="11"/>
        <color theme="1"/>
        <rFont val="Calibri"/>
        <family val="2"/>
        <charset val="1"/>
      </rPr>
      <t xml:space="preserve">GF Securities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24/7 Wall St</t>
    </r>
    <r>
      <rPr>
        <sz val="11"/>
        <color theme="1"/>
        <rFont val="Noto Sans CJK SC"/>
        <family val="2"/>
      </rPr>
      <t xml:space="preserve">）</t>
    </r>
  </si>
  <si>
    <t xml:space="preserve">https://247wallst.com/investing/2026/08/25/google-tpu-volume-could-triple-to-8-8-million-by-2027/</t>
  </si>
  <si>
    <r>
      <rPr>
        <sz val="11"/>
        <color theme="1"/>
        <rFont val="Calibri"/>
        <family val="2"/>
        <charset val="1"/>
      </rPr>
      <t xml:space="preserve">TrendForce NVIDIA </t>
    </r>
    <r>
      <rPr>
        <sz val="11"/>
        <color theme="1"/>
        <rFont val="Noto Sans CJK SC"/>
        <family val="2"/>
      </rPr>
      <t xml:space="preserve">組合（</t>
    </r>
    <r>
      <rPr>
        <sz val="11"/>
        <color theme="1"/>
        <rFont val="Calibri"/>
        <family val="2"/>
        <charset val="1"/>
      </rPr>
      <t xml:space="preserve">2026-04-08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</si>
  <si>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https://www.trendforce.com/presscenter/news/20260408-13003.html</t>
  </si>
  <si>
    <r>
      <rPr>
        <sz val="11"/>
        <color theme="1"/>
        <rFont val="Calibri"/>
        <family val="2"/>
        <charset val="1"/>
      </rPr>
      <t xml:space="preserve">AC Research Blackwell </t>
    </r>
    <r>
      <rPr>
        <sz val="11"/>
        <color theme="1"/>
        <rFont val="Noto Sans CJK SC"/>
        <family val="2"/>
      </rPr>
      <t xml:space="preserve">封裝數</t>
    </r>
  </si>
  <si>
    <t xml:space="preserve">https://www.amcompute.com/blog/blackwell-gpu-market-size-and-fragmentation</t>
  </si>
  <si>
    <r>
      <rPr>
        <sz val="11"/>
        <color theme="1"/>
        <rFont val="Calibri"/>
        <family val="2"/>
        <charset val="1"/>
      </rPr>
      <t xml:space="preserve">NVIDIA Q2 FY27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</si>
  <si>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https://nvidianews.nvidia.com/news/nvidia-announces-financial-results-for-second-quarter-fiscal-2027</t>
  </si>
  <si>
    <r>
      <rPr>
        <sz val="11"/>
        <color theme="1"/>
        <rFont val="Calibri"/>
        <family val="2"/>
        <charset val="1"/>
      </rPr>
      <t xml:space="preserve">companiesmarketcap P/B </t>
    </r>
    <r>
      <rPr>
        <sz val="11"/>
        <color theme="1"/>
        <rFont val="Noto Sans CJK SC"/>
        <family val="2"/>
      </rPr>
      <t xml:space="preserve">歷史</t>
    </r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</si>
  <si>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</si>
  <si>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Korea JoongAng Daily </t>
    </r>
    <r>
      <rPr>
        <sz val="11"/>
        <color theme="1"/>
        <rFont val="Noto Sans CJK SC"/>
        <family val="2"/>
      </rPr>
      <t xml:space="preserve">券商目標價（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</si>
  <si>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https://www.koreajoongangdaily.com/business/brokerages-split-on-targets-for-sk-hynix-shares-after-chipmaker-misses-q2-market-consensus/12799468</t>
  </si>
  <si>
    <r>
      <rPr>
        <sz val="11"/>
        <color theme="1"/>
        <rFont val="Calibri"/>
        <family val="2"/>
        <charset val="1"/>
      </rPr>
      <t xml:space="preserve">markets/chip_bridge v0.1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</si>
  <si>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markets/chip_bridge/dist/20261008_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_v0.1.xlsx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</si>
</sst>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%"/>
    <numFmt numFmtId="168" formatCode="0.0"/>
    <numFmt numFmtId="169" formatCode="0.0%"/>
    <numFmt numFmtId="170" formatCode="#,##0"/>
    <numFmt numFmtId="171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13</v>
      </c>
    </row>
    <row r="19" customFormat="false" ht="17.15" hidden="false" customHeight="false" outlineLevel="0" collapsed="false">
      <c r="A19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6" t="s">
        <v>26</v>
      </c>
      <c r="C5" s="0" t="s">
        <v>27</v>
      </c>
      <c r="D5" s="7" t="n">
        <v>1350</v>
      </c>
      <c r="E5" s="7" t="n">
        <v>1420</v>
      </c>
      <c r="F5" s="7" t="n">
        <v>1500</v>
      </c>
      <c r="G5" s="8" t="s">
        <v>28</v>
      </c>
      <c r="H5" s="8" t="s">
        <v>29</v>
      </c>
    </row>
    <row r="6" customFormat="false" ht="17.15" hidden="false" customHeight="false" outlineLevel="0" collapsed="false">
      <c r="A6" s="0" t="s">
        <v>30</v>
      </c>
      <c r="B6" s="6" t="s">
        <v>31</v>
      </c>
      <c r="C6" s="0" t="s">
        <v>32</v>
      </c>
      <c r="E6" s="7" t="n">
        <v>1723000</v>
      </c>
      <c r="G6" s="8" t="s">
        <v>33</v>
      </c>
      <c r="H6" s="8" t="s">
        <v>34</v>
      </c>
    </row>
    <row r="7" customFormat="false" ht="17.15" hidden="false" customHeight="false" outlineLevel="0" collapsed="false">
      <c r="A7" s="1" t="s">
        <v>35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6" t="s">
        <v>38</v>
      </c>
      <c r="E8" s="7" t="n">
        <v>5.4</v>
      </c>
      <c r="G8" s="8" t="s">
        <v>39</v>
      </c>
      <c r="H8" s="6" t="s">
        <v>40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6" t="s">
        <v>38</v>
      </c>
      <c r="E9" s="7" t="n">
        <v>2.4</v>
      </c>
      <c r="G9" s="8" t="s">
        <v>39</v>
      </c>
      <c r="H9" s="6" t="s">
        <v>43</v>
      </c>
    </row>
    <row r="10" customFormat="false" ht="17.15" hidden="false" customHeight="false" outlineLevel="0" collapsed="false">
      <c r="A10" s="0" t="s">
        <v>44</v>
      </c>
      <c r="B10" s="0" t="s">
        <v>45</v>
      </c>
      <c r="C10" s="6" t="s">
        <v>38</v>
      </c>
      <c r="E10" s="7" t="n">
        <v>0.5</v>
      </c>
      <c r="G10" s="8" t="s">
        <v>39</v>
      </c>
      <c r="H10" s="6" t="s">
        <v>43</v>
      </c>
    </row>
    <row r="11" customFormat="false" ht="17.15" hidden="false" customHeight="false" outlineLevel="0" collapsed="false">
      <c r="A11" s="0" t="s">
        <v>46</v>
      </c>
      <c r="B11" s="0" t="s">
        <v>47</v>
      </c>
      <c r="C11" s="0" t="s">
        <v>48</v>
      </c>
      <c r="E11" s="7" t="n">
        <v>260</v>
      </c>
      <c r="G11" s="8" t="s">
        <v>39</v>
      </c>
      <c r="H11" s="6" t="s">
        <v>43</v>
      </c>
    </row>
    <row r="12" customFormat="false" ht="17.15" hidden="false" customHeight="false" outlineLevel="0" collapsed="false">
      <c r="A12" s="0" t="s">
        <v>49</v>
      </c>
      <c r="B12" s="0" t="s">
        <v>50</v>
      </c>
      <c r="C12" s="0" t="s">
        <v>48</v>
      </c>
      <c r="E12" s="7" t="n">
        <v>280</v>
      </c>
      <c r="G12" s="8" t="s">
        <v>39</v>
      </c>
      <c r="H12" s="6" t="s">
        <v>43</v>
      </c>
    </row>
    <row r="13" customFormat="false" ht="17.15" hidden="false" customHeight="false" outlineLevel="0" collapsed="false">
      <c r="A13" s="0" t="s">
        <v>51</v>
      </c>
      <c r="B13" s="0" t="s">
        <v>52</v>
      </c>
      <c r="C13" s="0" t="s">
        <v>48</v>
      </c>
      <c r="E13" s="7" t="n">
        <v>288</v>
      </c>
      <c r="G13" s="8" t="s">
        <v>39</v>
      </c>
      <c r="H13" s="6" t="s">
        <v>43</v>
      </c>
    </row>
    <row r="14" customFormat="false" ht="17.15" hidden="false" customHeight="false" outlineLevel="0" collapsed="false">
      <c r="A14" s="0" t="s">
        <v>53</v>
      </c>
      <c r="B14" s="0" t="s">
        <v>54</v>
      </c>
      <c r="C14" s="6" t="s">
        <v>38</v>
      </c>
      <c r="E14" s="7" t="n">
        <v>1.7</v>
      </c>
      <c r="G14" s="8" t="s">
        <v>39</v>
      </c>
      <c r="H14" s="8" t="s">
        <v>55</v>
      </c>
    </row>
    <row r="15" customFormat="false" ht="17.15" hidden="false" customHeight="false" outlineLevel="0" collapsed="false">
      <c r="A15" s="0" t="s">
        <v>56</v>
      </c>
      <c r="B15" s="0" t="s">
        <v>57</v>
      </c>
      <c r="C15" s="6" t="s">
        <v>38</v>
      </c>
      <c r="E15" s="7" t="n">
        <v>7</v>
      </c>
      <c r="G15" s="8" t="s">
        <v>39</v>
      </c>
      <c r="H15" s="6" t="s">
        <v>43</v>
      </c>
    </row>
    <row r="16" customFormat="false" ht="17.15" hidden="false" customHeight="false" outlineLevel="0" collapsed="false">
      <c r="A16" s="0" t="s">
        <v>58</v>
      </c>
      <c r="B16" s="0" t="s">
        <v>59</v>
      </c>
      <c r="C16" s="6" t="s">
        <v>38</v>
      </c>
      <c r="E16" s="7" t="n">
        <v>7</v>
      </c>
      <c r="G16" s="8" t="s">
        <v>39</v>
      </c>
      <c r="H16" s="6" t="s">
        <v>43</v>
      </c>
    </row>
    <row r="17" customFormat="false" ht="17.15" hidden="false" customHeight="false" outlineLevel="0" collapsed="false">
      <c r="A17" s="0" t="s">
        <v>60</v>
      </c>
      <c r="B17" s="0" t="s">
        <v>61</v>
      </c>
      <c r="C17" s="0" t="s">
        <v>48</v>
      </c>
      <c r="E17" s="7" t="n">
        <v>288</v>
      </c>
      <c r="G17" s="8" t="s">
        <v>39</v>
      </c>
      <c r="H17" s="6" t="s">
        <v>43</v>
      </c>
    </row>
    <row r="18" customFormat="false" ht="17.15" hidden="false" customHeight="false" outlineLevel="0" collapsed="false">
      <c r="A18" s="0" t="s">
        <v>62</v>
      </c>
      <c r="B18" s="0" t="s">
        <v>63</v>
      </c>
      <c r="C18" s="0" t="s">
        <v>48</v>
      </c>
      <c r="E18" s="7" t="n">
        <v>288</v>
      </c>
      <c r="G18" s="8" t="s">
        <v>39</v>
      </c>
      <c r="H18" s="6" t="s">
        <v>43</v>
      </c>
    </row>
    <row r="19" customFormat="false" ht="17.15" hidden="false" customHeight="false" outlineLevel="0" collapsed="false">
      <c r="A19" s="0" t="s">
        <v>64</v>
      </c>
      <c r="B19" s="0" t="s">
        <v>65</v>
      </c>
      <c r="C19" s="0" t="s">
        <v>48</v>
      </c>
      <c r="E19" s="7" t="n">
        <v>288</v>
      </c>
      <c r="G19" s="8" t="s">
        <v>39</v>
      </c>
      <c r="H19" s="6" t="s">
        <v>43</v>
      </c>
    </row>
    <row r="20" customFormat="false" ht="17.15" hidden="false" customHeight="false" outlineLevel="0" collapsed="false">
      <c r="A20" s="0" t="s">
        <v>66</v>
      </c>
      <c r="B20" s="0" t="s">
        <v>67</v>
      </c>
      <c r="C20" s="6" t="s">
        <v>38</v>
      </c>
      <c r="E20" s="7" t="n">
        <v>0</v>
      </c>
      <c r="G20" s="8" t="s">
        <v>68</v>
      </c>
      <c r="H20" s="6" t="s">
        <v>69</v>
      </c>
    </row>
    <row r="21" customFormat="false" ht="17.15" hidden="false" customHeight="false" outlineLevel="0" collapsed="false">
      <c r="A21" s="0" t="s">
        <v>70</v>
      </c>
      <c r="B21" s="0" t="s">
        <v>71</v>
      </c>
      <c r="C21" s="6" t="s">
        <v>38</v>
      </c>
      <c r="E21" s="7" t="n">
        <v>0.3</v>
      </c>
      <c r="G21" s="8" t="s">
        <v>68</v>
      </c>
      <c r="H21" s="6" t="s">
        <v>43</v>
      </c>
    </row>
    <row r="22" customFormat="false" ht="17.15" hidden="false" customHeight="false" outlineLevel="0" collapsed="false">
      <c r="A22" s="0" t="s">
        <v>72</v>
      </c>
      <c r="B22" s="0" t="s">
        <v>73</v>
      </c>
      <c r="C22" s="6" t="s">
        <v>38</v>
      </c>
      <c r="E22" s="7" t="n">
        <v>2</v>
      </c>
      <c r="G22" s="8" t="s">
        <v>68</v>
      </c>
      <c r="H22" s="6" t="s">
        <v>43</v>
      </c>
    </row>
    <row r="23" customFormat="false" ht="17.15" hidden="false" customHeight="false" outlineLevel="0" collapsed="false">
      <c r="A23" s="0" t="s">
        <v>74</v>
      </c>
      <c r="B23" s="0" t="s">
        <v>75</v>
      </c>
      <c r="C23" s="0" t="s">
        <v>48</v>
      </c>
      <c r="E23" s="7" t="n">
        <v>1024</v>
      </c>
      <c r="G23" s="8" t="s">
        <v>68</v>
      </c>
      <c r="H23" s="6" t="s">
        <v>43</v>
      </c>
    </row>
    <row r="24" customFormat="false" ht="17.15" hidden="false" customHeight="false" outlineLevel="0" collapsed="false">
      <c r="A24" s="0" t="s">
        <v>76</v>
      </c>
      <c r="B24" s="0" t="s">
        <v>77</v>
      </c>
      <c r="C24" s="0" t="s">
        <v>48</v>
      </c>
      <c r="E24" s="7" t="n">
        <v>1024</v>
      </c>
      <c r="G24" s="8" t="s">
        <v>68</v>
      </c>
      <c r="H24" s="6" t="s">
        <v>43</v>
      </c>
    </row>
    <row r="25" customFormat="false" ht="17.15" hidden="false" customHeight="false" outlineLevel="0" collapsed="false">
      <c r="A25" s="0" t="s">
        <v>78</v>
      </c>
      <c r="B25" s="0" t="s">
        <v>79</v>
      </c>
      <c r="C25" s="0" t="s">
        <v>48</v>
      </c>
      <c r="E25" s="7" t="n">
        <v>1024</v>
      </c>
      <c r="G25" s="8" t="s">
        <v>68</v>
      </c>
      <c r="H25" s="6" t="s">
        <v>43</v>
      </c>
    </row>
    <row r="26" customFormat="false" ht="17.15" hidden="false" customHeight="false" outlineLevel="0" collapsed="false">
      <c r="A26" s="0" t="s">
        <v>80</v>
      </c>
      <c r="B26" s="0" t="s">
        <v>81</v>
      </c>
      <c r="C26" s="6" t="s">
        <v>38</v>
      </c>
      <c r="E26" s="7" t="n">
        <v>0.5</v>
      </c>
      <c r="G26" s="8" t="s">
        <v>39</v>
      </c>
      <c r="H26" s="8" t="s">
        <v>82</v>
      </c>
    </row>
    <row r="27" customFormat="false" ht="17.15" hidden="false" customHeight="false" outlineLevel="0" collapsed="false">
      <c r="A27" s="0" t="s">
        <v>83</v>
      </c>
      <c r="B27" s="0" t="s">
        <v>84</v>
      </c>
      <c r="C27" s="6" t="s">
        <v>38</v>
      </c>
      <c r="E27" s="7" t="n">
        <v>0</v>
      </c>
      <c r="G27" s="8" t="s">
        <v>39</v>
      </c>
      <c r="H27" s="6" t="s">
        <v>43</v>
      </c>
    </row>
    <row r="28" customFormat="false" ht="17.15" hidden="false" customHeight="false" outlineLevel="0" collapsed="false">
      <c r="A28" s="0" t="s">
        <v>85</v>
      </c>
      <c r="B28" s="0" t="s">
        <v>86</v>
      </c>
      <c r="C28" s="6" t="s">
        <v>38</v>
      </c>
      <c r="E28" s="7" t="n">
        <v>0</v>
      </c>
      <c r="G28" s="8" t="s">
        <v>39</v>
      </c>
      <c r="H28" s="6" t="s">
        <v>43</v>
      </c>
    </row>
    <row r="29" customFormat="false" ht="17.15" hidden="false" customHeight="false" outlineLevel="0" collapsed="false">
      <c r="A29" s="0" t="s">
        <v>87</v>
      </c>
      <c r="B29" s="0" t="s">
        <v>88</v>
      </c>
      <c r="C29" s="0" t="s">
        <v>48</v>
      </c>
      <c r="E29" s="7" t="n">
        <v>141</v>
      </c>
      <c r="G29" s="8" t="s">
        <v>39</v>
      </c>
      <c r="H29" s="6" t="s">
        <v>43</v>
      </c>
    </row>
    <row r="30" customFormat="false" ht="17.15" hidden="false" customHeight="false" outlineLevel="0" collapsed="false">
      <c r="A30" s="0" t="s">
        <v>89</v>
      </c>
      <c r="B30" s="0" t="s">
        <v>90</v>
      </c>
      <c r="C30" s="0" t="s">
        <v>48</v>
      </c>
      <c r="E30" s="7" t="n">
        <v>141</v>
      </c>
      <c r="G30" s="8" t="s">
        <v>39</v>
      </c>
      <c r="H30" s="6" t="s">
        <v>43</v>
      </c>
    </row>
    <row r="31" customFormat="false" ht="17.15" hidden="false" customHeight="false" outlineLevel="0" collapsed="false">
      <c r="A31" s="0" t="s">
        <v>91</v>
      </c>
      <c r="B31" s="0" t="s">
        <v>92</v>
      </c>
      <c r="C31" s="0" t="s">
        <v>48</v>
      </c>
      <c r="E31" s="7" t="n">
        <v>141</v>
      </c>
      <c r="G31" s="8" t="s">
        <v>39</v>
      </c>
      <c r="H31" s="6" t="s">
        <v>43</v>
      </c>
    </row>
    <row r="32" customFormat="false" ht="17.15" hidden="false" customHeight="false" outlineLevel="0" collapsed="false">
      <c r="A32" s="0" t="s">
        <v>93</v>
      </c>
      <c r="B32" s="0" t="s">
        <v>94</v>
      </c>
      <c r="C32" s="6" t="s">
        <v>38</v>
      </c>
      <c r="E32" s="7" t="n">
        <v>0.75</v>
      </c>
      <c r="G32" s="8" t="s">
        <v>95</v>
      </c>
      <c r="H32" s="8" t="s">
        <v>96</v>
      </c>
    </row>
    <row r="33" customFormat="false" ht="17.15" hidden="false" customHeight="false" outlineLevel="0" collapsed="false">
      <c r="A33" s="0" t="s">
        <v>97</v>
      </c>
      <c r="B33" s="0" t="s">
        <v>98</v>
      </c>
      <c r="C33" s="6" t="s">
        <v>38</v>
      </c>
      <c r="E33" s="7" t="n">
        <v>1.5</v>
      </c>
      <c r="G33" s="8" t="s">
        <v>95</v>
      </c>
      <c r="H33" s="6" t="s">
        <v>43</v>
      </c>
    </row>
    <row r="34" customFormat="false" ht="17.15" hidden="false" customHeight="false" outlineLevel="0" collapsed="false">
      <c r="A34" s="0" t="s">
        <v>99</v>
      </c>
      <c r="B34" s="0" t="s">
        <v>100</v>
      </c>
      <c r="C34" s="6" t="s">
        <v>38</v>
      </c>
      <c r="E34" s="7" t="n">
        <v>2</v>
      </c>
      <c r="G34" s="8" t="s">
        <v>95</v>
      </c>
      <c r="H34" s="6" t="s">
        <v>43</v>
      </c>
    </row>
    <row r="35" customFormat="false" ht="17.15" hidden="false" customHeight="false" outlineLevel="0" collapsed="false">
      <c r="A35" s="0" t="s">
        <v>101</v>
      </c>
      <c r="B35" s="0" t="s">
        <v>102</v>
      </c>
      <c r="C35" s="0" t="s">
        <v>48</v>
      </c>
      <c r="E35" s="7" t="n">
        <v>288</v>
      </c>
      <c r="G35" s="8" t="s">
        <v>95</v>
      </c>
      <c r="H35" s="6" t="s">
        <v>43</v>
      </c>
    </row>
    <row r="36" customFormat="false" ht="17.15" hidden="false" customHeight="false" outlineLevel="0" collapsed="false">
      <c r="A36" s="0" t="s">
        <v>103</v>
      </c>
      <c r="B36" s="0" t="s">
        <v>104</v>
      </c>
      <c r="C36" s="0" t="s">
        <v>48</v>
      </c>
      <c r="E36" s="7" t="n">
        <v>360</v>
      </c>
      <c r="G36" s="8" t="s">
        <v>95</v>
      </c>
      <c r="H36" s="6" t="s">
        <v>43</v>
      </c>
    </row>
    <row r="37" customFormat="false" ht="17.15" hidden="false" customHeight="false" outlineLevel="0" collapsed="false">
      <c r="A37" s="0" t="s">
        <v>105</v>
      </c>
      <c r="B37" s="0" t="s">
        <v>106</v>
      </c>
      <c r="C37" s="0" t="s">
        <v>48</v>
      </c>
      <c r="E37" s="7" t="n">
        <v>432</v>
      </c>
      <c r="G37" s="8" t="s">
        <v>95</v>
      </c>
      <c r="H37" s="6" t="s">
        <v>43</v>
      </c>
    </row>
    <row r="38" customFormat="false" ht="17.15" hidden="false" customHeight="false" outlineLevel="0" collapsed="false">
      <c r="A38" s="0" t="s">
        <v>107</v>
      </c>
      <c r="B38" s="0" t="s">
        <v>108</v>
      </c>
      <c r="C38" s="6" t="s">
        <v>38</v>
      </c>
      <c r="E38" s="7" t="n">
        <v>3.85</v>
      </c>
      <c r="G38" s="8" t="s">
        <v>39</v>
      </c>
      <c r="H38" s="8" t="s">
        <v>109</v>
      </c>
    </row>
    <row r="39" customFormat="false" ht="17.15" hidden="false" customHeight="false" outlineLevel="0" collapsed="false">
      <c r="A39" s="0" t="s">
        <v>110</v>
      </c>
      <c r="B39" s="0" t="s">
        <v>111</v>
      </c>
      <c r="C39" s="6" t="s">
        <v>38</v>
      </c>
      <c r="E39" s="7" t="n">
        <v>5.5</v>
      </c>
      <c r="G39" s="8" t="s">
        <v>39</v>
      </c>
      <c r="H39" s="6" t="s">
        <v>43</v>
      </c>
    </row>
    <row r="40" customFormat="false" ht="17.15" hidden="false" customHeight="false" outlineLevel="0" collapsed="false">
      <c r="A40" s="0" t="s">
        <v>112</v>
      </c>
      <c r="B40" s="0" t="s">
        <v>113</v>
      </c>
      <c r="C40" s="6" t="s">
        <v>38</v>
      </c>
      <c r="E40" s="7" t="n">
        <v>7</v>
      </c>
      <c r="G40" s="8" t="s">
        <v>39</v>
      </c>
      <c r="H40" s="6" t="s">
        <v>43</v>
      </c>
    </row>
    <row r="41" customFormat="false" ht="17.15" hidden="false" customHeight="false" outlineLevel="0" collapsed="false">
      <c r="A41" s="0" t="s">
        <v>114</v>
      </c>
      <c r="B41" s="0" t="s">
        <v>115</v>
      </c>
      <c r="C41" s="0" t="s">
        <v>48</v>
      </c>
      <c r="E41" s="7" t="n">
        <v>192</v>
      </c>
      <c r="G41" s="8" t="s">
        <v>39</v>
      </c>
      <c r="H41" s="6" t="s">
        <v>43</v>
      </c>
    </row>
    <row r="42" customFormat="false" ht="17.15" hidden="false" customHeight="false" outlineLevel="0" collapsed="false">
      <c r="A42" s="0" t="s">
        <v>116</v>
      </c>
      <c r="B42" s="0" t="s">
        <v>117</v>
      </c>
      <c r="C42" s="0" t="s">
        <v>48</v>
      </c>
      <c r="E42" s="7" t="n">
        <v>250</v>
      </c>
      <c r="G42" s="8" t="s">
        <v>39</v>
      </c>
      <c r="H42" s="6" t="s">
        <v>43</v>
      </c>
    </row>
    <row r="43" customFormat="false" ht="17.15" hidden="false" customHeight="false" outlineLevel="0" collapsed="false">
      <c r="A43" s="0" t="s">
        <v>118</v>
      </c>
      <c r="B43" s="0" t="s">
        <v>119</v>
      </c>
      <c r="C43" s="0" t="s">
        <v>48</v>
      </c>
      <c r="E43" s="7" t="n">
        <v>288</v>
      </c>
      <c r="G43" s="8" t="s">
        <v>39</v>
      </c>
      <c r="H43" s="6" t="s">
        <v>43</v>
      </c>
    </row>
    <row r="44" customFormat="false" ht="17.15" hidden="false" customHeight="false" outlineLevel="0" collapsed="false">
      <c r="A44" s="0" t="s">
        <v>120</v>
      </c>
      <c r="B44" s="0" t="s">
        <v>121</v>
      </c>
      <c r="C44" s="6" t="s">
        <v>38</v>
      </c>
      <c r="E44" s="7" t="n">
        <v>2</v>
      </c>
      <c r="G44" s="8" t="s">
        <v>68</v>
      </c>
      <c r="H44" s="6" t="s">
        <v>122</v>
      </c>
    </row>
    <row r="45" customFormat="false" ht="17.15" hidden="false" customHeight="false" outlineLevel="0" collapsed="false">
      <c r="A45" s="0" t="s">
        <v>123</v>
      </c>
      <c r="B45" s="0" t="s">
        <v>124</v>
      </c>
      <c r="C45" s="6" t="s">
        <v>38</v>
      </c>
      <c r="E45" s="7" t="n">
        <v>2.5</v>
      </c>
      <c r="G45" s="8" t="s">
        <v>68</v>
      </c>
      <c r="H45" s="6" t="s">
        <v>43</v>
      </c>
    </row>
    <row r="46" customFormat="false" ht="17.15" hidden="false" customHeight="false" outlineLevel="0" collapsed="false">
      <c r="A46" s="0" t="s">
        <v>125</v>
      </c>
      <c r="B46" s="0" t="s">
        <v>126</v>
      </c>
      <c r="C46" s="6" t="s">
        <v>38</v>
      </c>
      <c r="E46" s="7" t="n">
        <v>3</v>
      </c>
      <c r="G46" s="8" t="s">
        <v>68</v>
      </c>
      <c r="H46" s="6" t="s">
        <v>43</v>
      </c>
    </row>
    <row r="47" customFormat="false" ht="17.15" hidden="false" customHeight="false" outlineLevel="0" collapsed="false">
      <c r="A47" s="0" t="s">
        <v>127</v>
      </c>
      <c r="B47" s="0" t="s">
        <v>128</v>
      </c>
      <c r="C47" s="0" t="s">
        <v>48</v>
      </c>
      <c r="E47" s="7" t="n">
        <v>110</v>
      </c>
      <c r="G47" s="8" t="s">
        <v>68</v>
      </c>
      <c r="H47" s="6" t="s">
        <v>43</v>
      </c>
    </row>
    <row r="48" customFormat="false" ht="17.15" hidden="false" customHeight="false" outlineLevel="0" collapsed="false">
      <c r="A48" s="0" t="s">
        <v>129</v>
      </c>
      <c r="B48" s="0" t="s">
        <v>130</v>
      </c>
      <c r="C48" s="0" t="s">
        <v>48</v>
      </c>
      <c r="E48" s="7" t="n">
        <v>144</v>
      </c>
      <c r="G48" s="8" t="s">
        <v>68</v>
      </c>
      <c r="H48" s="6" t="s">
        <v>43</v>
      </c>
    </row>
    <row r="49" customFormat="false" ht="17.15" hidden="false" customHeight="false" outlineLevel="0" collapsed="false">
      <c r="A49" s="0" t="s">
        <v>131</v>
      </c>
      <c r="B49" s="0" t="s">
        <v>132</v>
      </c>
      <c r="C49" s="0" t="s">
        <v>48</v>
      </c>
      <c r="E49" s="7" t="n">
        <v>200</v>
      </c>
      <c r="G49" s="8" t="s">
        <v>68</v>
      </c>
      <c r="H49" s="6" t="s">
        <v>43</v>
      </c>
    </row>
    <row r="50" customFormat="false" ht="17.15" hidden="false" customHeight="false" outlineLevel="0" collapsed="false">
      <c r="A50" s="0" t="s">
        <v>133</v>
      </c>
      <c r="B50" s="6" t="s">
        <v>134</v>
      </c>
      <c r="C50" s="6" t="s">
        <v>38</v>
      </c>
      <c r="E50" s="7" t="n">
        <v>1</v>
      </c>
      <c r="G50" s="8" t="s">
        <v>135</v>
      </c>
      <c r="H50" s="8" t="s">
        <v>136</v>
      </c>
    </row>
    <row r="51" customFormat="false" ht="17.15" hidden="false" customHeight="false" outlineLevel="0" collapsed="false">
      <c r="A51" s="0" t="s">
        <v>137</v>
      </c>
      <c r="B51" s="6" t="s">
        <v>138</v>
      </c>
      <c r="C51" s="6" t="s">
        <v>38</v>
      </c>
      <c r="E51" s="7" t="n">
        <v>4.5</v>
      </c>
      <c r="G51" s="8" t="s">
        <v>135</v>
      </c>
      <c r="H51" s="6" t="s">
        <v>43</v>
      </c>
    </row>
    <row r="52" customFormat="false" ht="17.15" hidden="false" customHeight="false" outlineLevel="0" collapsed="false">
      <c r="A52" s="0" t="s">
        <v>139</v>
      </c>
      <c r="B52" s="6" t="s">
        <v>140</v>
      </c>
      <c r="C52" s="6" t="s">
        <v>38</v>
      </c>
      <c r="E52" s="7" t="n">
        <v>5</v>
      </c>
      <c r="G52" s="8" t="s">
        <v>135</v>
      </c>
      <c r="H52" s="6" t="s">
        <v>43</v>
      </c>
    </row>
    <row r="53" customFormat="false" ht="17.15" hidden="false" customHeight="false" outlineLevel="0" collapsed="false">
      <c r="A53" s="0" t="s">
        <v>141</v>
      </c>
      <c r="B53" s="6" t="s">
        <v>142</v>
      </c>
      <c r="C53" s="0" t="s">
        <v>48</v>
      </c>
      <c r="E53" s="7" t="n">
        <v>150</v>
      </c>
      <c r="G53" s="8" t="s">
        <v>135</v>
      </c>
      <c r="H53" s="6" t="s">
        <v>43</v>
      </c>
    </row>
    <row r="54" customFormat="false" ht="17.15" hidden="false" customHeight="false" outlineLevel="0" collapsed="false">
      <c r="A54" s="0" t="s">
        <v>143</v>
      </c>
      <c r="B54" s="6" t="s">
        <v>144</v>
      </c>
      <c r="C54" s="0" t="s">
        <v>48</v>
      </c>
      <c r="E54" s="7" t="n">
        <v>200</v>
      </c>
      <c r="G54" s="8" t="s">
        <v>135</v>
      </c>
      <c r="H54" s="6" t="s">
        <v>43</v>
      </c>
    </row>
    <row r="55" customFormat="false" ht="17.15" hidden="false" customHeight="false" outlineLevel="0" collapsed="false">
      <c r="A55" s="0" t="s">
        <v>145</v>
      </c>
      <c r="B55" s="6" t="s">
        <v>146</v>
      </c>
      <c r="C55" s="0" t="s">
        <v>48</v>
      </c>
      <c r="E55" s="7" t="n">
        <v>250</v>
      </c>
      <c r="G55" s="8" t="s">
        <v>135</v>
      </c>
      <c r="H55" s="6" t="s">
        <v>43</v>
      </c>
    </row>
    <row r="56" customFormat="false" ht="17.15" hidden="false" customHeight="false" outlineLevel="0" collapsed="false">
      <c r="A56" s="1" t="s">
        <v>147</v>
      </c>
    </row>
    <row r="57" customFormat="false" ht="17.15" hidden="false" customHeight="false" outlineLevel="0" collapsed="false">
      <c r="A57" s="0" t="s">
        <v>148</v>
      </c>
      <c r="B57" s="6" t="s">
        <v>149</v>
      </c>
      <c r="C57" s="0" t="s">
        <v>150</v>
      </c>
      <c r="D57" s="7" t="n">
        <v>1</v>
      </c>
      <c r="E57" s="7" t="n">
        <v>1.15</v>
      </c>
      <c r="F57" s="7" t="n">
        <v>1.3</v>
      </c>
      <c r="G57" s="8" t="s">
        <v>68</v>
      </c>
      <c r="H57" s="8" t="s">
        <v>151</v>
      </c>
    </row>
    <row r="58" customFormat="false" ht="17.15" hidden="false" customHeight="false" outlineLevel="0" collapsed="false">
      <c r="A58" s="0" t="s">
        <v>152</v>
      </c>
      <c r="B58" s="0" t="s">
        <v>153</v>
      </c>
      <c r="C58" s="0" t="s">
        <v>154</v>
      </c>
      <c r="D58" s="7" t="n">
        <v>0.5</v>
      </c>
      <c r="E58" s="7" t="n">
        <v>0.55</v>
      </c>
      <c r="F58" s="7" t="n">
        <v>0.63</v>
      </c>
      <c r="G58" s="8" t="s">
        <v>39</v>
      </c>
      <c r="H58" s="8" t="s">
        <v>155</v>
      </c>
    </row>
    <row r="59" customFormat="false" ht="17.15" hidden="false" customHeight="false" outlineLevel="0" collapsed="false">
      <c r="A59" s="0" t="s">
        <v>156</v>
      </c>
      <c r="B59" s="0" t="s">
        <v>157</v>
      </c>
      <c r="C59" s="0" t="s">
        <v>154</v>
      </c>
      <c r="D59" s="7" t="n">
        <v>0.3</v>
      </c>
      <c r="E59" s="7" t="n">
        <v>0.45</v>
      </c>
      <c r="F59" s="7" t="n">
        <v>0.63</v>
      </c>
      <c r="G59" s="8" t="s">
        <v>68</v>
      </c>
      <c r="H59" s="8" t="s">
        <v>158</v>
      </c>
    </row>
    <row r="60" customFormat="false" ht="17.15" hidden="false" customHeight="false" outlineLevel="0" collapsed="false">
      <c r="A60" s="0" t="s">
        <v>159</v>
      </c>
      <c r="B60" s="0" t="s">
        <v>160</v>
      </c>
      <c r="C60" s="0" t="s">
        <v>161</v>
      </c>
      <c r="D60" s="7" t="n">
        <v>12.5</v>
      </c>
      <c r="E60" s="7" t="n">
        <v>14.6</v>
      </c>
      <c r="F60" s="7" t="n">
        <v>16</v>
      </c>
      <c r="G60" s="8" t="s">
        <v>39</v>
      </c>
      <c r="H60" s="8" t="s">
        <v>162</v>
      </c>
    </row>
    <row r="61" customFormat="false" ht="17.15" hidden="false" customHeight="false" outlineLevel="0" collapsed="false">
      <c r="A61" s="0" t="s">
        <v>163</v>
      </c>
      <c r="B61" s="0" t="s">
        <v>164</v>
      </c>
      <c r="C61" s="0" t="s">
        <v>154</v>
      </c>
      <c r="D61" s="7" t="n">
        <v>0.38</v>
      </c>
      <c r="E61" s="7" t="n">
        <v>0.8</v>
      </c>
      <c r="F61" s="7" t="n">
        <v>1.21</v>
      </c>
      <c r="G61" s="8" t="s">
        <v>39</v>
      </c>
      <c r="H61" s="8" t="s">
        <v>165</v>
      </c>
    </row>
    <row r="62" customFormat="false" ht="17.15" hidden="false" customHeight="false" outlineLevel="0" collapsed="false">
      <c r="A62" s="0" t="s">
        <v>166</v>
      </c>
      <c r="B62" s="0" t="s">
        <v>167</v>
      </c>
      <c r="C62" s="0" t="s">
        <v>154</v>
      </c>
      <c r="D62" s="7" t="n">
        <v>0.38</v>
      </c>
      <c r="E62" s="7" t="n">
        <v>0.8</v>
      </c>
      <c r="F62" s="7" t="n">
        <v>1.21</v>
      </c>
      <c r="G62" s="8" t="s">
        <v>39</v>
      </c>
      <c r="H62" s="8" t="s">
        <v>168</v>
      </c>
    </row>
    <row r="63" customFormat="false" ht="17.15" hidden="false" customHeight="false" outlineLevel="0" collapsed="false">
      <c r="A63" s="0" t="s">
        <v>169</v>
      </c>
      <c r="B63" s="0" t="s">
        <v>170</v>
      </c>
      <c r="C63" s="0" t="s">
        <v>154</v>
      </c>
      <c r="D63" s="7" t="n">
        <v>0</v>
      </c>
      <c r="E63" s="7" t="n">
        <v>0.1</v>
      </c>
      <c r="F63" s="7" t="n">
        <v>0.25</v>
      </c>
      <c r="G63" s="8" t="s">
        <v>39</v>
      </c>
      <c r="H63" s="8" t="s">
        <v>171</v>
      </c>
    </row>
    <row r="64" customFormat="false" ht="17.15" hidden="false" customHeight="false" outlineLevel="0" collapsed="false">
      <c r="A64" s="0" t="s">
        <v>172</v>
      </c>
      <c r="B64" s="0" t="s">
        <v>173</v>
      </c>
      <c r="C64" s="0" t="s">
        <v>154</v>
      </c>
      <c r="D64" s="7" t="n">
        <v>-0.4</v>
      </c>
      <c r="E64" s="7" t="n">
        <v>-0.25</v>
      </c>
      <c r="F64" s="7" t="n">
        <v>-0.1</v>
      </c>
      <c r="G64" s="8" t="s">
        <v>68</v>
      </c>
      <c r="H64" s="8" t="s">
        <v>174</v>
      </c>
    </row>
    <row r="65" customFormat="false" ht="17.15" hidden="false" customHeight="false" outlineLevel="0" collapsed="false">
      <c r="A65" s="0" t="s">
        <v>175</v>
      </c>
      <c r="B65" s="0" t="s">
        <v>176</v>
      </c>
      <c r="C65" s="0" t="s">
        <v>154</v>
      </c>
      <c r="D65" s="7" t="n">
        <v>0.48</v>
      </c>
      <c r="E65" s="7" t="n">
        <v>0.52</v>
      </c>
      <c r="F65" s="7" t="n">
        <v>0.56</v>
      </c>
      <c r="G65" s="8" t="s">
        <v>39</v>
      </c>
      <c r="H65" s="8" t="s">
        <v>177</v>
      </c>
    </row>
    <row r="66" customFormat="false" ht="17.15" hidden="false" customHeight="false" outlineLevel="0" collapsed="false">
      <c r="A66" s="0" t="s">
        <v>178</v>
      </c>
      <c r="B66" s="0" t="s">
        <v>179</v>
      </c>
      <c r="C66" s="0" t="s">
        <v>154</v>
      </c>
      <c r="D66" s="7" t="n">
        <v>0.38</v>
      </c>
      <c r="E66" s="7" t="n">
        <v>0.42</v>
      </c>
      <c r="F66" s="7" t="n">
        <v>0.48</v>
      </c>
      <c r="G66" s="8" t="s">
        <v>39</v>
      </c>
      <c r="H66" s="8" t="s">
        <v>180</v>
      </c>
    </row>
    <row r="67" customFormat="false" ht="17.15" hidden="false" customHeight="false" outlineLevel="0" collapsed="false">
      <c r="A67" s="0" t="s">
        <v>181</v>
      </c>
      <c r="B67" s="0" t="s">
        <v>182</v>
      </c>
      <c r="C67" s="0" t="s">
        <v>154</v>
      </c>
      <c r="D67" s="7" t="n">
        <v>0.35</v>
      </c>
      <c r="E67" s="7" t="n">
        <v>0.4</v>
      </c>
      <c r="F67" s="7" t="n">
        <v>0.45</v>
      </c>
      <c r="G67" s="8" t="s">
        <v>68</v>
      </c>
      <c r="H67" s="6" t="s">
        <v>183</v>
      </c>
    </row>
    <row r="68" customFormat="false" ht="17.15" hidden="false" customHeight="false" outlineLevel="0" collapsed="false">
      <c r="A68" s="0" t="s">
        <v>184</v>
      </c>
      <c r="B68" s="0" t="s">
        <v>185</v>
      </c>
      <c r="C68" s="0" t="s">
        <v>186</v>
      </c>
      <c r="D68" s="7" t="n">
        <v>340</v>
      </c>
      <c r="E68" s="7" t="n">
        <v>374</v>
      </c>
      <c r="F68" s="7" t="n">
        <v>400</v>
      </c>
      <c r="G68" s="8" t="s">
        <v>187</v>
      </c>
      <c r="H68" s="8" t="s">
        <v>188</v>
      </c>
    </row>
    <row r="69" customFormat="false" ht="17.15" hidden="false" customHeight="false" outlineLevel="0" collapsed="false">
      <c r="A69" s="0" t="s">
        <v>189</v>
      </c>
      <c r="B69" s="6" t="s">
        <v>190</v>
      </c>
      <c r="C69" s="0" t="s">
        <v>191</v>
      </c>
      <c r="D69" s="7" t="n">
        <v>45</v>
      </c>
      <c r="E69" s="7" t="n">
        <v>51.6</v>
      </c>
      <c r="F69" s="7" t="n">
        <v>58</v>
      </c>
      <c r="G69" s="8" t="s">
        <v>28</v>
      </c>
      <c r="H69" s="8" t="s">
        <v>192</v>
      </c>
    </row>
    <row r="70" customFormat="false" ht="17.15" hidden="false" customHeight="false" outlineLevel="0" collapsed="false">
      <c r="A70" s="0" t="s">
        <v>193</v>
      </c>
      <c r="B70" s="6" t="s">
        <v>194</v>
      </c>
      <c r="C70" s="0" t="s">
        <v>191</v>
      </c>
      <c r="D70" s="7" t="n">
        <v>3.5</v>
      </c>
      <c r="E70" s="7" t="n">
        <v>4.46</v>
      </c>
      <c r="F70" s="7" t="n">
        <v>4.9</v>
      </c>
      <c r="G70" s="8" t="s">
        <v>28</v>
      </c>
      <c r="H70" s="8" t="s">
        <v>195</v>
      </c>
    </row>
    <row r="71" customFormat="false" ht="17.15" hidden="false" customHeight="false" outlineLevel="0" collapsed="false">
      <c r="A71" s="0" t="s">
        <v>196</v>
      </c>
      <c r="B71" s="6" t="s">
        <v>197</v>
      </c>
      <c r="C71" s="0" t="s">
        <v>186</v>
      </c>
      <c r="E71" s="7" t="n">
        <v>54.6</v>
      </c>
      <c r="G71" s="8" t="s">
        <v>39</v>
      </c>
      <c r="H71" s="8" t="s">
        <v>198</v>
      </c>
    </row>
    <row r="72" customFormat="false" ht="17.15" hidden="false" customHeight="false" outlineLevel="0" collapsed="false">
      <c r="A72" s="0" t="s">
        <v>199</v>
      </c>
      <c r="B72" s="6" t="s">
        <v>200</v>
      </c>
      <c r="C72" s="0" t="s">
        <v>186</v>
      </c>
      <c r="E72" s="7" t="n">
        <v>77.4</v>
      </c>
      <c r="G72" s="8" t="s">
        <v>39</v>
      </c>
      <c r="H72" s="8" t="s">
        <v>201</v>
      </c>
    </row>
    <row r="73" customFormat="false" ht="17.15" hidden="false" customHeight="false" outlineLevel="0" collapsed="false">
      <c r="A73" s="0" t="s">
        <v>202</v>
      </c>
      <c r="B73" s="6" t="s">
        <v>203</v>
      </c>
      <c r="C73" s="0" t="s">
        <v>186</v>
      </c>
      <c r="E73" s="7" t="n">
        <v>152.8</v>
      </c>
      <c r="G73" s="8" t="s">
        <v>39</v>
      </c>
      <c r="H73" s="8" t="s">
        <v>204</v>
      </c>
    </row>
    <row r="74" customFormat="false" ht="17.15" hidden="false" customHeight="false" outlineLevel="0" collapsed="false">
      <c r="A74" s="1" t="s">
        <v>205</v>
      </c>
    </row>
    <row r="75" customFormat="false" ht="17.15" hidden="false" customHeight="false" outlineLevel="0" collapsed="false">
      <c r="A75" s="0" t="s">
        <v>206</v>
      </c>
      <c r="B75" s="0" t="s">
        <v>207</v>
      </c>
      <c r="C75" s="0" t="s">
        <v>154</v>
      </c>
      <c r="D75" s="7" t="n">
        <v>0.08</v>
      </c>
      <c r="E75" s="7" t="n">
        <v>0.1</v>
      </c>
      <c r="F75" s="7" t="n">
        <v>0.12</v>
      </c>
      <c r="G75" s="8" t="s">
        <v>33</v>
      </c>
      <c r="H75" s="6" t="s">
        <v>208</v>
      </c>
    </row>
    <row r="76" customFormat="false" ht="17.15" hidden="false" customHeight="false" outlineLevel="0" collapsed="false">
      <c r="A76" s="0" t="s">
        <v>209</v>
      </c>
      <c r="B76" s="0" t="s">
        <v>210</v>
      </c>
      <c r="C76" s="0" t="s">
        <v>154</v>
      </c>
      <c r="D76" s="7" t="n">
        <v>0.08</v>
      </c>
      <c r="E76" s="7" t="n">
        <v>0.12</v>
      </c>
      <c r="F76" s="7" t="n">
        <v>0.16</v>
      </c>
      <c r="G76" s="8" t="s">
        <v>28</v>
      </c>
      <c r="H76" s="8" t="s">
        <v>211</v>
      </c>
    </row>
    <row r="77" customFormat="false" ht="17.15" hidden="false" customHeight="false" outlineLevel="0" collapsed="false">
      <c r="A77" s="0" t="s">
        <v>212</v>
      </c>
      <c r="B77" s="0" t="s">
        <v>213</v>
      </c>
      <c r="C77" s="0" t="s">
        <v>154</v>
      </c>
      <c r="D77" s="7" t="n">
        <v>0</v>
      </c>
      <c r="E77" s="7" t="n">
        <v>0.02</v>
      </c>
      <c r="F77" s="7" t="n">
        <v>0.04</v>
      </c>
      <c r="G77" s="8" t="s">
        <v>33</v>
      </c>
      <c r="H77" s="6" t="s">
        <v>214</v>
      </c>
    </row>
    <row r="78" customFormat="false" ht="17.15" hidden="false" customHeight="false" outlineLevel="0" collapsed="false">
      <c r="A78" s="0" t="s">
        <v>215</v>
      </c>
      <c r="B78" s="0" t="s">
        <v>216</v>
      </c>
      <c r="C78" s="0" t="s">
        <v>154</v>
      </c>
      <c r="D78" s="7" t="n">
        <v>0.1</v>
      </c>
      <c r="E78" s="7" t="n">
        <v>0.125</v>
      </c>
      <c r="F78" s="7" t="n">
        <v>0.2</v>
      </c>
      <c r="G78" s="8" t="s">
        <v>39</v>
      </c>
      <c r="H78" s="8" t="s">
        <v>217</v>
      </c>
    </row>
    <row r="79" customFormat="false" ht="17.15" hidden="false" customHeight="false" outlineLevel="0" collapsed="false">
      <c r="A79" s="0" t="s">
        <v>218</v>
      </c>
      <c r="B79" s="0" t="s">
        <v>219</v>
      </c>
      <c r="C79" s="0" t="s">
        <v>154</v>
      </c>
      <c r="D79" s="7" t="n">
        <v>0</v>
      </c>
      <c r="E79" s="7" t="n">
        <v>0.05</v>
      </c>
      <c r="F79" s="7" t="n">
        <v>0.08</v>
      </c>
      <c r="G79" s="8" t="s">
        <v>68</v>
      </c>
      <c r="H79" s="6" t="s">
        <v>220</v>
      </c>
    </row>
    <row r="80" customFormat="false" ht="17.15" hidden="false" customHeight="false" outlineLevel="0" collapsed="false">
      <c r="A80" s="0" t="s">
        <v>221</v>
      </c>
      <c r="B80" s="0" t="s">
        <v>222</v>
      </c>
      <c r="C80" s="0" t="s">
        <v>154</v>
      </c>
      <c r="D80" s="7" t="n">
        <v>0.05</v>
      </c>
      <c r="E80" s="7" t="n">
        <v>0.1</v>
      </c>
      <c r="F80" s="7" t="n">
        <v>0.15</v>
      </c>
      <c r="G80" s="8" t="s">
        <v>28</v>
      </c>
      <c r="H80" s="8" t="s">
        <v>223</v>
      </c>
    </row>
    <row r="81" customFormat="false" ht="17.15" hidden="false" customHeight="false" outlineLevel="0" collapsed="false">
      <c r="A81" s="0" t="s">
        <v>224</v>
      </c>
      <c r="B81" s="0" t="s">
        <v>225</v>
      </c>
      <c r="C81" s="0" t="s">
        <v>154</v>
      </c>
      <c r="D81" s="7" t="n">
        <v>0</v>
      </c>
      <c r="E81" s="7" t="n">
        <v>0.05</v>
      </c>
      <c r="F81" s="7" t="n">
        <v>0.08</v>
      </c>
      <c r="G81" s="8" t="s">
        <v>68</v>
      </c>
    </row>
    <row r="82" customFormat="false" ht="17.15" hidden="false" customHeight="false" outlineLevel="0" collapsed="false">
      <c r="A82" s="0" t="s">
        <v>226</v>
      </c>
      <c r="B82" s="0" t="s">
        <v>227</v>
      </c>
      <c r="C82" s="0" t="s">
        <v>154</v>
      </c>
      <c r="D82" s="7" t="n">
        <v>0.1</v>
      </c>
      <c r="E82" s="7" t="n">
        <v>0.175</v>
      </c>
      <c r="F82" s="7" t="n">
        <v>0.2</v>
      </c>
      <c r="G82" s="8" t="s">
        <v>39</v>
      </c>
      <c r="H82" s="8" t="s">
        <v>228</v>
      </c>
    </row>
    <row r="83" customFormat="false" ht="17.15" hidden="false" customHeight="false" outlineLevel="0" collapsed="false">
      <c r="A83" s="0" t="s">
        <v>229</v>
      </c>
      <c r="B83" s="6" t="s">
        <v>230</v>
      </c>
      <c r="C83" s="0" t="s">
        <v>154</v>
      </c>
      <c r="D83" s="7" t="n">
        <v>0.01</v>
      </c>
      <c r="E83" s="7" t="n">
        <v>0.03</v>
      </c>
      <c r="F83" s="7" t="n">
        <v>0.05</v>
      </c>
      <c r="G83" s="8" t="s">
        <v>68</v>
      </c>
      <c r="H83" s="6" t="s">
        <v>231</v>
      </c>
    </row>
    <row r="84" customFormat="false" ht="17.15" hidden="false" customHeight="false" outlineLevel="0" collapsed="false">
      <c r="A84" s="0" t="s">
        <v>232</v>
      </c>
      <c r="B84" s="0" t="s">
        <v>233</v>
      </c>
      <c r="C84" s="6" t="s">
        <v>234</v>
      </c>
      <c r="E84" s="7" t="n">
        <v>4.3</v>
      </c>
      <c r="G84" s="8" t="s">
        <v>68</v>
      </c>
      <c r="H84" s="8" t="s">
        <v>235</v>
      </c>
    </row>
    <row r="85" customFormat="false" ht="17.15" hidden="false" customHeight="false" outlineLevel="0" collapsed="false">
      <c r="A85" s="0" t="s">
        <v>236</v>
      </c>
      <c r="B85" s="0" t="s">
        <v>237</v>
      </c>
      <c r="C85" s="6" t="s">
        <v>234</v>
      </c>
      <c r="E85" s="7" t="n">
        <v>4.6</v>
      </c>
      <c r="G85" s="8" t="s">
        <v>68</v>
      </c>
      <c r="H85" s="6" t="s">
        <v>43</v>
      </c>
    </row>
    <row r="86" customFormat="false" ht="17.15" hidden="false" customHeight="false" outlineLevel="0" collapsed="false">
      <c r="A86" s="0" t="s">
        <v>238</v>
      </c>
      <c r="B86" s="6" t="s">
        <v>239</v>
      </c>
      <c r="C86" s="6" t="s">
        <v>234</v>
      </c>
      <c r="E86" s="7" t="n">
        <v>1.5</v>
      </c>
      <c r="G86" s="8" t="s">
        <v>28</v>
      </c>
      <c r="H86" s="8" t="s">
        <v>240</v>
      </c>
    </row>
    <row r="87" customFormat="false" ht="17.15" hidden="false" customHeight="false" outlineLevel="0" collapsed="false">
      <c r="A87" s="0" t="s">
        <v>241</v>
      </c>
      <c r="B87" s="6" t="s">
        <v>242</v>
      </c>
      <c r="C87" s="0" t="s">
        <v>243</v>
      </c>
      <c r="D87" s="7" t="n">
        <v>0.04</v>
      </c>
      <c r="E87" s="7" t="n">
        <v>0.047</v>
      </c>
      <c r="F87" s="7" t="n">
        <v>0.06</v>
      </c>
      <c r="G87" s="8" t="s">
        <v>28</v>
      </c>
      <c r="H87" s="6" t="s">
        <v>244</v>
      </c>
    </row>
    <row r="88" customFormat="false" ht="17.15" hidden="false" customHeight="false" outlineLevel="0" collapsed="false">
      <c r="A88" s="0" t="s">
        <v>245</v>
      </c>
      <c r="B88" s="6" t="s">
        <v>246</v>
      </c>
      <c r="C88" s="6" t="s">
        <v>234</v>
      </c>
      <c r="D88" s="7" t="n">
        <v>0.5</v>
      </c>
      <c r="E88" s="7" t="n">
        <v>1</v>
      </c>
      <c r="F88" s="7" t="n">
        <v>2</v>
      </c>
      <c r="G88" s="8" t="s">
        <v>68</v>
      </c>
      <c r="H88" s="6" t="s">
        <v>247</v>
      </c>
    </row>
    <row r="89" customFormat="false" ht="17.15" hidden="false" customHeight="false" outlineLevel="0" collapsed="false">
      <c r="A89" s="0" t="s">
        <v>248</v>
      </c>
      <c r="B89" s="6" t="s">
        <v>249</v>
      </c>
      <c r="C89" s="0" t="s">
        <v>154</v>
      </c>
      <c r="D89" s="7" t="n">
        <v>0.2</v>
      </c>
      <c r="E89" s="7" t="n">
        <v>0.23</v>
      </c>
      <c r="F89" s="7" t="n">
        <v>0.25</v>
      </c>
      <c r="G89" s="8" t="s">
        <v>33</v>
      </c>
      <c r="H89" s="8" t="s">
        <v>250</v>
      </c>
    </row>
    <row r="90" customFormat="false" ht="17.15" hidden="false" customHeight="false" outlineLevel="0" collapsed="false">
      <c r="A90" s="1" t="s">
        <v>251</v>
      </c>
    </row>
    <row r="91" customFormat="false" ht="17.15" hidden="false" customHeight="false" outlineLevel="0" collapsed="false">
      <c r="A91" s="0" t="s">
        <v>252</v>
      </c>
      <c r="B91" s="6" t="s">
        <v>253</v>
      </c>
      <c r="C91" s="0" t="s">
        <v>154</v>
      </c>
      <c r="D91" s="7" t="n">
        <v>0.05</v>
      </c>
      <c r="E91" s="7" t="n">
        <v>0.1</v>
      </c>
      <c r="F91" s="7" t="n">
        <v>0.15</v>
      </c>
      <c r="G91" s="8" t="s">
        <v>28</v>
      </c>
      <c r="H91" s="8" t="s">
        <v>254</v>
      </c>
    </row>
    <row r="92" customFormat="false" ht="17.15" hidden="false" customHeight="false" outlineLevel="0" collapsed="false">
      <c r="A92" s="0" t="s">
        <v>255</v>
      </c>
      <c r="B92" s="6" t="s">
        <v>256</v>
      </c>
      <c r="C92" s="0" t="s">
        <v>154</v>
      </c>
      <c r="D92" s="7" t="n">
        <v>0.1</v>
      </c>
      <c r="E92" s="7" t="n">
        <v>0.15</v>
      </c>
      <c r="F92" s="7" t="n">
        <v>0.19</v>
      </c>
      <c r="G92" s="8" t="s">
        <v>39</v>
      </c>
      <c r="H92" s="8" t="s">
        <v>257</v>
      </c>
    </row>
    <row r="93" customFormat="false" ht="17.15" hidden="false" customHeight="false" outlineLevel="0" collapsed="false">
      <c r="A93" s="0" t="s">
        <v>258</v>
      </c>
      <c r="B93" s="6" t="s">
        <v>259</v>
      </c>
      <c r="C93" s="0" t="s">
        <v>154</v>
      </c>
      <c r="D93" s="7" t="n">
        <v>0.15</v>
      </c>
      <c r="E93" s="7" t="n">
        <v>0.3</v>
      </c>
      <c r="F93" s="7" t="n">
        <v>0.45</v>
      </c>
      <c r="G93" s="8" t="s">
        <v>28</v>
      </c>
      <c r="H93" s="8" t="s">
        <v>260</v>
      </c>
    </row>
    <row r="94" customFormat="false" ht="17.15" hidden="false" customHeight="false" outlineLevel="0" collapsed="false">
      <c r="A94" s="0" t="s">
        <v>261</v>
      </c>
      <c r="B94" s="6" t="s">
        <v>262</v>
      </c>
      <c r="C94" s="0" t="s">
        <v>154</v>
      </c>
      <c r="D94" s="7" t="n">
        <v>0.1</v>
      </c>
      <c r="E94" s="7" t="n">
        <v>0.25</v>
      </c>
      <c r="F94" s="7" t="n">
        <v>0.4</v>
      </c>
      <c r="G94" s="8" t="s">
        <v>28</v>
      </c>
      <c r="H94" s="8" t="s">
        <v>263</v>
      </c>
    </row>
    <row r="95" customFormat="false" ht="17.15" hidden="false" customHeight="false" outlineLevel="0" collapsed="false">
      <c r="A95" s="0" t="s">
        <v>264</v>
      </c>
      <c r="B95" s="6" t="s">
        <v>265</v>
      </c>
      <c r="C95" s="0" t="s">
        <v>154</v>
      </c>
      <c r="D95" s="7" t="n">
        <v>-0.2</v>
      </c>
      <c r="E95" s="7" t="n">
        <v>-0.1</v>
      </c>
      <c r="F95" s="7" t="n">
        <v>0</v>
      </c>
      <c r="G95" s="8" t="s">
        <v>39</v>
      </c>
      <c r="H95" s="8" t="s">
        <v>266</v>
      </c>
    </row>
    <row r="96" customFormat="false" ht="17.15" hidden="false" customHeight="false" outlineLevel="0" collapsed="false">
      <c r="A96" s="0" t="s">
        <v>267</v>
      </c>
      <c r="B96" s="6" t="s">
        <v>268</v>
      </c>
      <c r="C96" s="0" t="s">
        <v>154</v>
      </c>
      <c r="D96" s="7" t="n">
        <v>-0.6</v>
      </c>
      <c r="E96" s="7" t="n">
        <v>-0.5</v>
      </c>
      <c r="F96" s="7" t="n">
        <v>-0.3</v>
      </c>
      <c r="G96" s="8" t="s">
        <v>39</v>
      </c>
      <c r="H96" s="8" t="s">
        <v>269</v>
      </c>
    </row>
    <row r="97" customFormat="false" ht="17.15" hidden="false" customHeight="false" outlineLevel="0" collapsed="false">
      <c r="A97" s="0" t="s">
        <v>270</v>
      </c>
      <c r="B97" s="0" t="s">
        <v>271</v>
      </c>
      <c r="C97" s="0" t="s">
        <v>154</v>
      </c>
      <c r="D97" s="7" t="n">
        <v>0.15</v>
      </c>
      <c r="E97" s="7" t="n">
        <v>0.2</v>
      </c>
      <c r="F97" s="7" t="n">
        <v>0.25</v>
      </c>
      <c r="G97" s="8" t="s">
        <v>33</v>
      </c>
      <c r="H97" s="8" t="s">
        <v>272</v>
      </c>
    </row>
    <row r="98" customFormat="false" ht="17.15" hidden="false" customHeight="false" outlineLevel="0" collapsed="false">
      <c r="A98" s="0" t="s">
        <v>273</v>
      </c>
      <c r="B98" s="0" t="s">
        <v>274</v>
      </c>
      <c r="C98" s="0" t="s">
        <v>154</v>
      </c>
      <c r="D98" s="7" t="n">
        <v>0.15</v>
      </c>
      <c r="E98" s="7" t="n">
        <v>0.2</v>
      </c>
      <c r="F98" s="7" t="n">
        <v>0.25</v>
      </c>
      <c r="G98" s="8" t="s">
        <v>33</v>
      </c>
      <c r="H98" s="6" t="s">
        <v>43</v>
      </c>
    </row>
    <row r="99" customFormat="false" ht="17.15" hidden="false" customHeight="false" outlineLevel="0" collapsed="false">
      <c r="A99" s="0" t="s">
        <v>275</v>
      </c>
      <c r="B99" s="0" t="s">
        <v>276</v>
      </c>
      <c r="C99" s="0" t="s">
        <v>154</v>
      </c>
      <c r="D99" s="7" t="n">
        <v>0.15</v>
      </c>
      <c r="E99" s="7" t="n">
        <v>0.32</v>
      </c>
      <c r="F99" s="7" t="n">
        <v>0.45</v>
      </c>
      <c r="G99" s="8" t="s">
        <v>28</v>
      </c>
      <c r="H99" s="8" t="s">
        <v>277</v>
      </c>
    </row>
    <row r="100" customFormat="false" ht="17.15" hidden="false" customHeight="false" outlineLevel="0" collapsed="false">
      <c r="A100" s="0" t="s">
        <v>278</v>
      </c>
      <c r="B100" s="0" t="s">
        <v>279</v>
      </c>
      <c r="C100" s="0" t="s">
        <v>154</v>
      </c>
      <c r="D100" s="7" t="n">
        <v>0.1</v>
      </c>
      <c r="E100" s="7" t="n">
        <v>0.25</v>
      </c>
      <c r="F100" s="7" t="n">
        <v>0.4</v>
      </c>
      <c r="G100" s="8" t="s">
        <v>28</v>
      </c>
      <c r="H100" s="8" t="s">
        <v>280</v>
      </c>
    </row>
    <row r="101" customFormat="false" ht="17.15" hidden="false" customHeight="false" outlineLevel="0" collapsed="false">
      <c r="A101" s="0" t="s">
        <v>281</v>
      </c>
      <c r="B101" s="0" t="s">
        <v>282</v>
      </c>
      <c r="C101" s="0" t="s">
        <v>154</v>
      </c>
      <c r="D101" s="7" t="n">
        <v>-0.3</v>
      </c>
      <c r="E101" s="7" t="n">
        <v>-0.2</v>
      </c>
      <c r="F101" s="7" t="n">
        <v>-0.1</v>
      </c>
      <c r="G101" s="8" t="s">
        <v>39</v>
      </c>
      <c r="H101" s="8" t="s">
        <v>283</v>
      </c>
    </row>
    <row r="102" customFormat="false" ht="17.15" hidden="false" customHeight="false" outlineLevel="0" collapsed="false">
      <c r="A102" s="0" t="s">
        <v>284</v>
      </c>
      <c r="B102" s="0" t="s">
        <v>285</v>
      </c>
      <c r="C102" s="0" t="s">
        <v>154</v>
      </c>
      <c r="D102" s="7" t="n">
        <v>-0.7</v>
      </c>
      <c r="E102" s="7" t="n">
        <v>-0.65</v>
      </c>
      <c r="F102" s="7" t="n">
        <v>-0.4</v>
      </c>
      <c r="G102" s="8" t="s">
        <v>39</v>
      </c>
      <c r="H102" s="8" t="s">
        <v>286</v>
      </c>
    </row>
    <row r="103" customFormat="false" ht="17.15" hidden="false" customHeight="false" outlineLevel="0" collapsed="false">
      <c r="A103" s="0" t="s">
        <v>287</v>
      </c>
      <c r="B103" s="6" t="s">
        <v>288</v>
      </c>
      <c r="C103" s="6" t="s">
        <v>234</v>
      </c>
      <c r="E103" s="7" t="n">
        <v>1.6</v>
      </c>
      <c r="G103" s="8" t="s">
        <v>33</v>
      </c>
      <c r="H103" s="8" t="s">
        <v>289</v>
      </c>
    </row>
    <row r="104" customFormat="false" ht="17.15" hidden="false" customHeight="false" outlineLevel="0" collapsed="false">
      <c r="A104" s="0" t="s">
        <v>290</v>
      </c>
      <c r="B104" s="6" t="s">
        <v>291</v>
      </c>
      <c r="C104" s="0" t="s">
        <v>154</v>
      </c>
      <c r="E104" s="7" t="n">
        <v>0.45</v>
      </c>
      <c r="G104" s="8" t="s">
        <v>68</v>
      </c>
      <c r="H104" s="8" t="s">
        <v>292</v>
      </c>
    </row>
    <row r="105" customFormat="false" ht="17.15" hidden="false" customHeight="false" outlineLevel="0" collapsed="false">
      <c r="A105" s="0" t="s">
        <v>293</v>
      </c>
      <c r="B105" s="6" t="s">
        <v>294</v>
      </c>
      <c r="C105" s="0" t="s">
        <v>154</v>
      </c>
      <c r="E105" s="7" t="n">
        <v>0.3</v>
      </c>
      <c r="G105" s="8" t="s">
        <v>68</v>
      </c>
      <c r="H105" s="8" t="s">
        <v>295</v>
      </c>
    </row>
    <row r="106" customFormat="false" ht="17.15" hidden="false" customHeight="false" outlineLevel="0" collapsed="false">
      <c r="A106" s="0" t="s">
        <v>296</v>
      </c>
      <c r="B106" s="6" t="s">
        <v>297</v>
      </c>
      <c r="C106" s="0" t="s">
        <v>154</v>
      </c>
      <c r="E106" s="7" t="n">
        <v>0.25</v>
      </c>
      <c r="G106" s="8" t="s">
        <v>68</v>
      </c>
    </row>
    <row r="107" customFormat="false" ht="15" hidden="false" customHeight="false" outlineLevel="0" collapsed="false">
      <c r="A107" s="0" t="s">
        <v>298</v>
      </c>
      <c r="B107" s="6" t="s">
        <v>299</v>
      </c>
      <c r="C107" s="0" t="s">
        <v>154</v>
      </c>
      <c r="D107" s="7" t="n">
        <v>0.05</v>
      </c>
      <c r="E107" s="7" t="n">
        <v>0.1</v>
      </c>
      <c r="F107" s="7" t="n">
        <v>0.15</v>
      </c>
      <c r="G107" s="8" t="s">
        <v>68</v>
      </c>
    </row>
    <row r="108" customFormat="false" ht="17.15" hidden="false" customHeight="false" outlineLevel="0" collapsed="false">
      <c r="A108" s="0" t="s">
        <v>300</v>
      </c>
      <c r="B108" s="6" t="s">
        <v>301</v>
      </c>
      <c r="C108" s="6" t="s">
        <v>302</v>
      </c>
      <c r="D108" s="7" t="n">
        <v>4</v>
      </c>
      <c r="E108" s="7" t="n">
        <v>5</v>
      </c>
      <c r="F108" s="7" t="n">
        <v>6</v>
      </c>
      <c r="G108" s="8" t="s">
        <v>68</v>
      </c>
      <c r="H108" s="8" t="s">
        <v>303</v>
      </c>
    </row>
    <row r="109" customFormat="false" ht="15" hidden="false" customHeight="false" outlineLevel="0" collapsed="false">
      <c r="A109" s="0" t="s">
        <v>304</v>
      </c>
      <c r="B109" s="6" t="s">
        <v>305</v>
      </c>
      <c r="C109" s="0" t="s">
        <v>154</v>
      </c>
      <c r="E109" s="7" t="n">
        <v>0.9</v>
      </c>
      <c r="G109" s="8" t="s">
        <v>68</v>
      </c>
    </row>
    <row r="110" customFormat="false" ht="15" hidden="false" customHeight="false" outlineLevel="0" collapsed="false">
      <c r="A110" s="0" t="s">
        <v>306</v>
      </c>
      <c r="B110" s="6" t="s">
        <v>307</v>
      </c>
      <c r="C110" s="0" t="s">
        <v>154</v>
      </c>
      <c r="E110" s="7" t="n">
        <v>0.1</v>
      </c>
      <c r="G110" s="8" t="s">
        <v>68</v>
      </c>
    </row>
    <row r="111" customFormat="false" ht="17.15" hidden="false" customHeight="false" outlineLevel="0" collapsed="false">
      <c r="A111" s="0" t="s">
        <v>308</v>
      </c>
      <c r="B111" s="6" t="s">
        <v>309</v>
      </c>
      <c r="C111" s="6" t="s">
        <v>234</v>
      </c>
      <c r="D111" s="7" t="n">
        <v>45</v>
      </c>
      <c r="E111" s="7" t="n">
        <v>48.7</v>
      </c>
      <c r="F111" s="7" t="n">
        <v>50</v>
      </c>
      <c r="G111" s="8" t="s">
        <v>310</v>
      </c>
      <c r="H111" s="6" t="s">
        <v>311</v>
      </c>
    </row>
    <row r="112" customFormat="false" ht="17.15" hidden="false" customHeight="false" outlineLevel="0" collapsed="false">
      <c r="A112" s="0" t="s">
        <v>312</v>
      </c>
      <c r="B112" s="6" t="s">
        <v>313</v>
      </c>
      <c r="C112" s="6" t="s">
        <v>234</v>
      </c>
      <c r="D112" s="7" t="n">
        <v>55</v>
      </c>
      <c r="E112" s="7" t="n">
        <v>62.3</v>
      </c>
      <c r="F112" s="7" t="n">
        <v>75</v>
      </c>
      <c r="G112" s="8" t="s">
        <v>39</v>
      </c>
      <c r="H112" s="8" t="s">
        <v>314</v>
      </c>
    </row>
    <row r="113" customFormat="false" ht="17.15" hidden="false" customHeight="false" outlineLevel="0" collapsed="false">
      <c r="A113" s="0" t="s">
        <v>315</v>
      </c>
      <c r="B113" s="6" t="s">
        <v>316</v>
      </c>
      <c r="C113" s="6" t="s">
        <v>234</v>
      </c>
      <c r="D113" s="7" t="n">
        <v>60</v>
      </c>
      <c r="E113" s="7" t="n">
        <v>71.2</v>
      </c>
      <c r="F113" s="7" t="n">
        <v>85</v>
      </c>
      <c r="G113" s="8" t="s">
        <v>39</v>
      </c>
      <c r="H113" s="8" t="s">
        <v>317</v>
      </c>
    </row>
    <row r="114" customFormat="false" ht="15" hidden="false" customHeight="false" outlineLevel="0" collapsed="false">
      <c r="A114" s="0" t="s">
        <v>318</v>
      </c>
      <c r="B114" s="6" t="s">
        <v>319</v>
      </c>
      <c r="C114" s="0" t="s">
        <v>154</v>
      </c>
      <c r="E114" s="7" t="n">
        <v>0.02</v>
      </c>
      <c r="G114" s="8" t="s">
        <v>68</v>
      </c>
    </row>
    <row r="115" customFormat="false" ht="17.15" hidden="false" customHeight="false" outlineLevel="0" collapsed="false">
      <c r="A115" s="1" t="s">
        <v>320</v>
      </c>
    </row>
    <row r="116" customFormat="false" ht="17.15" hidden="false" customHeight="false" outlineLevel="0" collapsed="false">
      <c r="A116" s="0" t="s">
        <v>321</v>
      </c>
      <c r="B116" s="6" t="s">
        <v>322</v>
      </c>
      <c r="C116" s="6" t="s">
        <v>234</v>
      </c>
      <c r="E116" s="7" t="n">
        <v>262.693</v>
      </c>
      <c r="G116" s="8" t="s">
        <v>33</v>
      </c>
      <c r="H116" s="8" t="s">
        <v>323</v>
      </c>
    </row>
    <row r="117" customFormat="false" ht="17.15" hidden="false" customHeight="false" outlineLevel="0" collapsed="false">
      <c r="A117" s="0" t="s">
        <v>324</v>
      </c>
      <c r="B117" s="6" t="s">
        <v>325</v>
      </c>
      <c r="C117" s="6" t="s">
        <v>234</v>
      </c>
      <c r="E117" s="7" t="n">
        <v>69.4</v>
      </c>
      <c r="G117" s="8" t="s">
        <v>33</v>
      </c>
      <c r="H117" s="6" t="s">
        <v>326</v>
      </c>
    </row>
    <row r="118" customFormat="false" ht="17.15" hidden="false" customHeight="false" outlineLevel="0" collapsed="false">
      <c r="A118" s="0" t="s">
        <v>327</v>
      </c>
      <c r="B118" s="6" t="s">
        <v>328</v>
      </c>
      <c r="C118" s="6" t="s">
        <v>329</v>
      </c>
      <c r="E118" s="7" t="n">
        <v>711.0755</v>
      </c>
      <c r="G118" s="8" t="s">
        <v>33</v>
      </c>
      <c r="H118" s="8" t="s">
        <v>330</v>
      </c>
    </row>
    <row r="119" customFormat="false" ht="17.15" hidden="false" customHeight="false" outlineLevel="0" collapsed="false">
      <c r="A119" s="0" t="s">
        <v>331</v>
      </c>
      <c r="B119" s="0" t="s">
        <v>332</v>
      </c>
      <c r="C119" s="6" t="s">
        <v>234</v>
      </c>
      <c r="E119" s="7" t="n">
        <v>40.4</v>
      </c>
      <c r="G119" s="8" t="s">
        <v>28</v>
      </c>
      <c r="H119" s="8" t="s">
        <v>333</v>
      </c>
    </row>
    <row r="120" customFormat="false" ht="17.15" hidden="false" customHeight="false" outlineLevel="0" collapsed="false">
      <c r="A120" s="0" t="s">
        <v>334</v>
      </c>
      <c r="B120" s="0" t="s">
        <v>335</v>
      </c>
      <c r="C120" s="6" t="s">
        <v>329</v>
      </c>
      <c r="E120" s="7" t="n">
        <v>17.79</v>
      </c>
      <c r="G120" s="8" t="s">
        <v>33</v>
      </c>
      <c r="H120" s="8" t="s">
        <v>336</v>
      </c>
    </row>
    <row r="121" customFormat="false" ht="17.15" hidden="false" customHeight="false" outlineLevel="0" collapsed="false">
      <c r="A121" s="0" t="s">
        <v>337</v>
      </c>
      <c r="B121" s="0" t="s">
        <v>338</v>
      </c>
      <c r="C121" s="6" t="s">
        <v>234</v>
      </c>
      <c r="E121" s="7" t="n">
        <v>40</v>
      </c>
      <c r="G121" s="8" t="s">
        <v>33</v>
      </c>
      <c r="H121" s="6" t="s">
        <v>339</v>
      </c>
    </row>
    <row r="122" customFormat="false" ht="17.15" hidden="false" customHeight="false" outlineLevel="0" collapsed="false">
      <c r="A122" s="0" t="s">
        <v>340</v>
      </c>
      <c r="B122" s="0" t="s">
        <v>341</v>
      </c>
      <c r="C122" s="6" t="s">
        <v>329</v>
      </c>
      <c r="E122" s="7" t="n">
        <v>24.07</v>
      </c>
      <c r="G122" s="8" t="s">
        <v>33</v>
      </c>
      <c r="H122" s="6" t="s">
        <v>43</v>
      </c>
    </row>
    <row r="123" customFormat="false" ht="17.15" hidden="false" customHeight="false" outlineLevel="0" collapsed="false">
      <c r="A123" s="0" t="s">
        <v>342</v>
      </c>
      <c r="B123" s="0" t="s">
        <v>343</v>
      </c>
      <c r="C123" s="6" t="s">
        <v>234</v>
      </c>
      <c r="E123" s="7" t="n">
        <v>0.54</v>
      </c>
      <c r="G123" s="8" t="s">
        <v>28</v>
      </c>
      <c r="H123" s="6" t="s">
        <v>344</v>
      </c>
    </row>
    <row r="124" customFormat="false" ht="17.15" hidden="false" customHeight="false" outlineLevel="0" collapsed="false">
      <c r="A124" s="0" t="s">
        <v>345</v>
      </c>
      <c r="B124" s="6" t="s">
        <v>346</v>
      </c>
      <c r="C124" s="0" t="s">
        <v>32</v>
      </c>
      <c r="E124" s="7" t="n">
        <v>4541</v>
      </c>
      <c r="G124" s="8" t="s">
        <v>39</v>
      </c>
      <c r="H124" s="8" t="s">
        <v>347</v>
      </c>
    </row>
    <row r="125" customFormat="false" ht="17.15" hidden="false" customHeight="false" outlineLevel="0" collapsed="false">
      <c r="A125" s="0" t="s">
        <v>348</v>
      </c>
      <c r="B125" s="6" t="s">
        <v>349</v>
      </c>
      <c r="C125" s="0" t="s">
        <v>32</v>
      </c>
      <c r="E125" s="7" t="n">
        <v>5249</v>
      </c>
      <c r="G125" s="8" t="s">
        <v>39</v>
      </c>
      <c r="H125" s="6" t="s">
        <v>43</v>
      </c>
    </row>
    <row r="126" customFormat="false" ht="17.15" hidden="false" customHeight="false" outlineLevel="0" collapsed="false">
      <c r="A126" s="0" t="s">
        <v>350</v>
      </c>
      <c r="B126" s="6" t="s">
        <v>351</v>
      </c>
      <c r="C126" s="0" t="s">
        <v>154</v>
      </c>
      <c r="D126" s="7" t="n">
        <v>0.3</v>
      </c>
      <c r="E126" s="7" t="n">
        <v>0.5</v>
      </c>
      <c r="F126" s="7" t="n">
        <v>0.7</v>
      </c>
      <c r="G126" s="8" t="s">
        <v>33</v>
      </c>
      <c r="H126" s="6" t="s">
        <v>352</v>
      </c>
    </row>
    <row r="127" customFormat="false" ht="17.15" hidden="false" customHeight="false" outlineLevel="0" collapsed="false">
      <c r="A127" s="0" t="s">
        <v>353</v>
      </c>
      <c r="B127" s="0" t="s">
        <v>354</v>
      </c>
      <c r="C127" s="0" t="s">
        <v>32</v>
      </c>
      <c r="E127" s="7" t="n">
        <v>1723000</v>
      </c>
      <c r="G127" s="8" t="s">
        <v>68</v>
      </c>
      <c r="H127" s="6" t="s">
        <v>355</v>
      </c>
    </row>
    <row r="128" customFormat="false" ht="17.15" hidden="false" customHeight="false" outlineLevel="0" collapsed="false">
      <c r="A128" s="1" t="s">
        <v>356</v>
      </c>
    </row>
    <row r="129" customFormat="false" ht="17.15" hidden="false" customHeight="false" outlineLevel="0" collapsed="false">
      <c r="A129" s="0" t="s">
        <v>357</v>
      </c>
      <c r="B129" s="0" t="s">
        <v>358</v>
      </c>
      <c r="C129" s="0" t="s">
        <v>150</v>
      </c>
      <c r="E129" s="7" t="n">
        <v>1</v>
      </c>
      <c r="G129" s="8" t="s">
        <v>68</v>
      </c>
      <c r="H129" s="6" t="s">
        <v>359</v>
      </c>
    </row>
    <row r="130" customFormat="false" ht="17.15" hidden="false" customHeight="false" outlineLevel="0" collapsed="false">
      <c r="A130" s="0" t="s">
        <v>360</v>
      </c>
      <c r="B130" s="0" t="s">
        <v>361</v>
      </c>
      <c r="C130" s="0" t="s">
        <v>150</v>
      </c>
      <c r="E130" s="7" t="n">
        <v>1.6</v>
      </c>
      <c r="G130" s="8" t="s">
        <v>39</v>
      </c>
      <c r="H130" s="8" t="s">
        <v>362</v>
      </c>
    </row>
    <row r="131" customFormat="false" ht="17.15" hidden="false" customHeight="false" outlineLevel="0" collapsed="false">
      <c r="A131" s="0" t="s">
        <v>363</v>
      </c>
      <c r="B131" s="0" t="s">
        <v>364</v>
      </c>
      <c r="C131" s="0" t="s">
        <v>150</v>
      </c>
      <c r="E131" s="7" t="n">
        <v>3.3</v>
      </c>
      <c r="G131" s="8" t="s">
        <v>39</v>
      </c>
      <c r="H131" s="8" t="s">
        <v>365</v>
      </c>
    </row>
    <row r="132" customFormat="false" ht="17.15" hidden="false" customHeight="false" outlineLevel="0" collapsed="false">
      <c r="A132" s="0" t="s">
        <v>366</v>
      </c>
      <c r="B132" s="0" t="s">
        <v>367</v>
      </c>
      <c r="C132" s="0" t="s">
        <v>150</v>
      </c>
      <c r="E132" s="7" t="n">
        <v>4</v>
      </c>
      <c r="G132" s="8" t="s">
        <v>68</v>
      </c>
      <c r="H132" s="6" t="s">
        <v>368</v>
      </c>
    </row>
    <row r="133" customFormat="false" ht="17.15" hidden="false" customHeight="false" outlineLevel="0" collapsed="false">
      <c r="A133" s="0" t="s">
        <v>369</v>
      </c>
      <c r="B133" s="0" t="s">
        <v>370</v>
      </c>
      <c r="C133" s="0" t="s">
        <v>150</v>
      </c>
      <c r="E133" s="7" t="n">
        <v>8</v>
      </c>
      <c r="G133" s="8" t="s">
        <v>68</v>
      </c>
    </row>
    <row r="134" customFormat="false" ht="17.15" hidden="false" customHeight="false" outlineLevel="0" collapsed="false">
      <c r="A134" s="0" t="s">
        <v>371</v>
      </c>
      <c r="B134" s="0" t="s">
        <v>372</v>
      </c>
      <c r="C134" s="0" t="s">
        <v>150</v>
      </c>
      <c r="E134" s="7" t="n">
        <v>12</v>
      </c>
      <c r="G134" s="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9"/>
    <col collapsed="false" customWidth="true" hidden="false" outlineLevel="0" max="5" min="3" style="0" width="10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373</v>
      </c>
    </row>
    <row r="3" customFormat="false" ht="15" hidden="false" customHeight="false" outlineLevel="0" collapsed="false">
      <c r="A3" s="5" t="s">
        <v>17</v>
      </c>
      <c r="B3" s="5" t="s">
        <v>18</v>
      </c>
      <c r="C3" s="9" t="s">
        <v>374</v>
      </c>
      <c r="D3" s="9" t="s">
        <v>375</v>
      </c>
      <c r="E3" s="9" t="s">
        <v>376</v>
      </c>
      <c r="F3" s="5" t="s">
        <v>377</v>
      </c>
    </row>
    <row r="4" customFormat="false" ht="17.15" hidden="false" customHeight="false" outlineLevel="0" collapsed="false">
      <c r="A4" s="3" t="s">
        <v>378</v>
      </c>
    </row>
    <row r="5" customFormat="false" ht="17.15" hidden="false" customHeight="false" outlineLevel="0" collapsed="false">
      <c r="A5" s="0" t="s">
        <v>379</v>
      </c>
      <c r="B5" s="0" t="s">
        <v>380</v>
      </c>
      <c r="C5" s="10" t="n">
        <f aca="false">u_bw_26*g_bw_26</f>
        <v>1404</v>
      </c>
      <c r="D5" s="10" t="n">
        <f aca="false">u_bw_27*g_bw_27</f>
        <v>672</v>
      </c>
      <c r="E5" s="10" t="n">
        <f aca="false">u_bw_28*g_bw_28</f>
        <v>144</v>
      </c>
    </row>
    <row r="6" customFormat="false" ht="15" hidden="false" customHeight="false" outlineLevel="0" collapsed="false">
      <c r="A6" s="0" t="s">
        <v>381</v>
      </c>
      <c r="B6" s="0" t="s">
        <v>380</v>
      </c>
      <c r="C6" s="10" t="n">
        <f aca="false">u_rb_26*g_rb_26</f>
        <v>489.6</v>
      </c>
      <c r="D6" s="10" t="n">
        <f aca="false">u_rb_27*g_rb_27</f>
        <v>2016</v>
      </c>
      <c r="E6" s="10" t="n">
        <f aca="false">u_rb_28*g_rb_28</f>
        <v>2016</v>
      </c>
    </row>
    <row r="7" customFormat="false" ht="15" hidden="false" customHeight="false" outlineLevel="0" collapsed="false">
      <c r="A7" s="0" t="s">
        <v>382</v>
      </c>
      <c r="B7" s="0" t="s">
        <v>380</v>
      </c>
      <c r="C7" s="10" t="n">
        <f aca="false">u_ru_26*g_ru_26</f>
        <v>0</v>
      </c>
      <c r="D7" s="10" t="n">
        <f aca="false">u_ru_27*g_ru_27</f>
        <v>307.2</v>
      </c>
      <c r="E7" s="10" t="n">
        <f aca="false">u_ru_28*g_ru_28</f>
        <v>2048</v>
      </c>
    </row>
    <row r="8" customFormat="false" ht="17.15" hidden="false" customHeight="false" outlineLevel="0" collapsed="false">
      <c r="A8" s="0" t="s">
        <v>383</v>
      </c>
      <c r="B8" s="0" t="s">
        <v>380</v>
      </c>
      <c r="C8" s="10" t="n">
        <f aca="false">u_hp_26*g_hp_26</f>
        <v>70.5</v>
      </c>
      <c r="D8" s="10" t="n">
        <f aca="false">u_hp_27*g_hp_27</f>
        <v>0</v>
      </c>
      <c r="E8" s="10" t="n">
        <f aca="false">u_hp_28*g_hp_28</f>
        <v>0</v>
      </c>
    </row>
    <row r="9" customFormat="false" ht="15" hidden="false" customHeight="false" outlineLevel="0" collapsed="false">
      <c r="A9" s="0" t="s">
        <v>384</v>
      </c>
      <c r="B9" s="0" t="s">
        <v>380</v>
      </c>
      <c r="C9" s="10" t="n">
        <f aca="false">u_amd_26*g_amd_26</f>
        <v>216</v>
      </c>
      <c r="D9" s="10" t="n">
        <f aca="false">u_amd_27*g_amd_27</f>
        <v>540</v>
      </c>
      <c r="E9" s="10" t="n">
        <f aca="false">u_amd_28*g_amd_28</f>
        <v>864</v>
      </c>
    </row>
    <row r="10" customFormat="false" ht="15" hidden="false" customHeight="false" outlineLevel="0" collapsed="false">
      <c r="A10" s="0" t="s">
        <v>385</v>
      </c>
      <c r="B10" s="0" t="s">
        <v>380</v>
      </c>
      <c r="C10" s="10" t="n">
        <f aca="false">u_tpu_26*g_tpu_26</f>
        <v>739.2</v>
      </c>
      <c r="D10" s="10" t="n">
        <f aca="false">u_tpu_27*g_tpu_27</f>
        <v>1375</v>
      </c>
      <c r="E10" s="10" t="n">
        <f aca="false">u_tpu_28*g_tpu_28</f>
        <v>2016</v>
      </c>
    </row>
    <row r="11" customFormat="false" ht="15" hidden="false" customHeight="false" outlineLevel="0" collapsed="false">
      <c r="A11" s="0" t="s">
        <v>386</v>
      </c>
      <c r="B11" s="0" t="s">
        <v>380</v>
      </c>
      <c r="C11" s="10" t="n">
        <f aca="false">u_trn_26*g_trn_26</f>
        <v>220</v>
      </c>
      <c r="D11" s="10" t="n">
        <f aca="false">u_trn_27*g_trn_27</f>
        <v>360</v>
      </c>
      <c r="E11" s="10" t="n">
        <f aca="false">u_trn_28*g_trn_28</f>
        <v>600</v>
      </c>
    </row>
    <row r="12" customFormat="false" ht="17.15" hidden="false" customHeight="false" outlineLevel="0" collapsed="false">
      <c r="A12" s="6" t="s">
        <v>387</v>
      </c>
      <c r="B12" s="0" t="s">
        <v>380</v>
      </c>
      <c r="C12" s="10" t="n">
        <f aca="false">u_oth_26*g_oth_26</f>
        <v>150</v>
      </c>
      <c r="D12" s="10" t="n">
        <f aca="false">u_oth_27*g_oth_27</f>
        <v>900</v>
      </c>
      <c r="E12" s="10" t="n">
        <f aca="false">u_oth_28*g_oth_28</f>
        <v>1250</v>
      </c>
    </row>
    <row r="13" customFormat="false" ht="17.15" hidden="false" customHeight="false" outlineLevel="0" collapsed="false">
      <c r="A13" s="6" t="s">
        <v>388</v>
      </c>
      <c r="B13" s="0" t="s">
        <v>389</v>
      </c>
      <c r="C13" s="11" t="n">
        <f aca="false">SUM(C5:C12)/1000</f>
        <v>3.2893</v>
      </c>
      <c r="D13" s="11" t="n">
        <f aca="false">SUM(D5:D12)/1000</f>
        <v>6.1702</v>
      </c>
      <c r="E13" s="11" t="n">
        <f aca="false">SUM(E5:E12)/1000</f>
        <v>8.938</v>
      </c>
      <c r="F13" s="8" t="s">
        <v>390</v>
      </c>
    </row>
    <row r="14" customFormat="false" ht="17.15" hidden="false" customHeight="false" outlineLevel="0" collapsed="false">
      <c r="A14" s="6" t="s">
        <v>391</v>
      </c>
      <c r="B14" s="0" t="s">
        <v>389</v>
      </c>
      <c r="C14" s="11" t="n">
        <f aca="false">C13*hbm_gross</f>
        <v>3.782695</v>
      </c>
      <c r="D14" s="11" t="n">
        <f aca="false">D13*hbm_gross</f>
        <v>7.09573</v>
      </c>
      <c r="E14" s="11" t="n">
        <f aca="false">E13*hbm_gross</f>
        <v>10.2787</v>
      </c>
    </row>
    <row r="15" customFormat="false" ht="15" hidden="false" customHeight="false" outlineLevel="0" collapsed="false">
      <c r="A15" s="6" t="s">
        <v>392</v>
      </c>
      <c r="B15" s="0" t="s">
        <v>154</v>
      </c>
      <c r="C15" s="12"/>
      <c r="D15" s="12" t="n">
        <f aca="false">D14/C14-1</f>
        <v>0.875839844343781</v>
      </c>
      <c r="E15" s="12" t="n">
        <f aca="false">E14/D14-1</f>
        <v>0.448575410845678</v>
      </c>
    </row>
    <row r="16" customFormat="false" ht="15" hidden="false" customHeight="false" outlineLevel="0" collapsed="false">
      <c r="A16" s="6" t="s">
        <v>393</v>
      </c>
      <c r="B16" s="6" t="s">
        <v>38</v>
      </c>
      <c r="C16" s="13" t="n">
        <f aca="false">u_bw_26+u_rb_26+u_ru_26+u_hp_26+u_amd_26+u_tpu_26+u_trn_26+u_oth_26</f>
        <v>15.2</v>
      </c>
      <c r="D16" s="13" t="n">
        <f aca="false">u_bw_27+u_rb_27+u_ru_27+u_hp_27+u_amd_27+u_tpu_27+u_trn_27+u_oth_27</f>
        <v>23.7</v>
      </c>
      <c r="E16" s="13" t="n">
        <f aca="false">u_bw_28+u_rb_28+u_ru_28+u_hp_28+u_amd_28+u_tpu_28+u_trn_28+u_oth_28</f>
        <v>26.5</v>
      </c>
    </row>
    <row r="17" customFormat="false" ht="17.15" hidden="false" customHeight="false" outlineLevel="0" collapsed="false">
      <c r="A17" s="6" t="s">
        <v>394</v>
      </c>
      <c r="B17" s="6" t="s">
        <v>38</v>
      </c>
      <c r="C17" s="13" t="n">
        <f aca="false">u_bw_26+u_rb_26+u_ru_26+u_hp_26+u_amd_26</f>
        <v>8.35</v>
      </c>
      <c r="D17" s="13" t="n">
        <f aca="false">u_bw_27+u_rb_27+u_ru_27+u_hp_27+u_amd_27</f>
        <v>11.2</v>
      </c>
      <c r="E17" s="13" t="n">
        <f aca="false">u_bw_28+u_rb_28+u_ru_28+u_hp_28+u_amd_28</f>
        <v>11.5</v>
      </c>
      <c r="F17" s="8" t="s">
        <v>395</v>
      </c>
    </row>
    <row r="18" customFormat="false" ht="17.15" hidden="false" customHeight="false" outlineLevel="0" collapsed="false">
      <c r="A18" s="6" t="s">
        <v>396</v>
      </c>
      <c r="B18" s="0" t="s">
        <v>48</v>
      </c>
      <c r="C18" s="10" t="n">
        <f aca="false">C13*1000/C16</f>
        <v>216.401315789474</v>
      </c>
      <c r="D18" s="10" t="n">
        <f aca="false">D13*1000/D16</f>
        <v>260.345991561181</v>
      </c>
      <c r="E18" s="10" t="n">
        <f aca="false">E13*1000/E16</f>
        <v>337.283018867925</v>
      </c>
    </row>
    <row r="20" customFormat="false" ht="15" hidden="false" customHeight="false" outlineLevel="0" collapsed="false">
      <c r="A20" s="3" t="s">
        <v>397</v>
      </c>
    </row>
    <row r="21" customFormat="false" ht="17.15" hidden="false" customHeight="false" outlineLevel="0" collapsed="false">
      <c r="A21" s="6" t="s">
        <v>398</v>
      </c>
      <c r="B21" s="0" t="s">
        <v>389</v>
      </c>
      <c r="C21" s="11" t="n">
        <f aca="false">C14</f>
        <v>3.782695</v>
      </c>
      <c r="D21" s="11" t="n">
        <f aca="false">C14*(1+hbm_sup27)</f>
        <v>5.86317725</v>
      </c>
      <c r="E21" s="11" t="n">
        <f aca="false">D21*(1+hbm_sup28)</f>
        <v>8.5016070125</v>
      </c>
    </row>
    <row r="22" customFormat="false" ht="17.15" hidden="false" customHeight="false" outlineLevel="0" collapsed="false">
      <c r="A22" s="6" t="s">
        <v>399</v>
      </c>
      <c r="B22" s="0" t="s">
        <v>389</v>
      </c>
      <c r="C22" s="11" t="n">
        <f aca="false">MIN(C14,C21)</f>
        <v>3.782695</v>
      </c>
      <c r="D22" s="11" t="n">
        <f aca="false">MIN(D14,D21)</f>
        <v>5.86317725</v>
      </c>
      <c r="E22" s="11" t="n">
        <f aca="false">MIN(E14,E21)</f>
        <v>8.5016070125</v>
      </c>
    </row>
    <row r="23" customFormat="false" ht="17.15" hidden="false" customHeight="false" outlineLevel="0" collapsed="false">
      <c r="A23" s="6" t="s">
        <v>400</v>
      </c>
      <c r="B23" s="0" t="s">
        <v>389</v>
      </c>
      <c r="C23" s="11" t="n">
        <f aca="false">C14-C21</f>
        <v>0</v>
      </c>
      <c r="D23" s="11" t="n">
        <f aca="false">D14-D21</f>
        <v>1.23255275</v>
      </c>
      <c r="E23" s="11" t="n">
        <f aca="false">E14-E21</f>
        <v>1.7770929875</v>
      </c>
    </row>
    <row r="25" customFormat="false" ht="15" hidden="false" customHeight="false" outlineLevel="0" collapsed="false">
      <c r="A25" s="3" t="s">
        <v>401</v>
      </c>
    </row>
    <row r="26" customFormat="false" ht="17.15" hidden="false" customHeight="false" outlineLevel="0" collapsed="false">
      <c r="A26" s="0" t="s">
        <v>402</v>
      </c>
      <c r="B26" s="0" t="s">
        <v>161</v>
      </c>
      <c r="C26" s="11" t="n">
        <f aca="false">hbm_p26</f>
        <v>14.6</v>
      </c>
      <c r="D26" s="11" t="n">
        <f aca="false">C26*(1+hbm_p27_A)</f>
        <v>26.28</v>
      </c>
      <c r="E26" s="11" t="n">
        <f aca="false">D26*(1+hbm_p28_A)</f>
        <v>28.908</v>
      </c>
    </row>
    <row r="27" customFormat="false" ht="17.15" hidden="false" customHeight="false" outlineLevel="0" collapsed="false">
      <c r="A27" s="0" t="s">
        <v>403</v>
      </c>
      <c r="B27" s="0" t="s">
        <v>161</v>
      </c>
      <c r="C27" s="11" t="n">
        <f aca="false">hbm_p26</f>
        <v>14.6</v>
      </c>
      <c r="D27" s="11" t="n">
        <f aca="false">C27*(1+hbm_p27_B)</f>
        <v>26.28</v>
      </c>
      <c r="E27" s="11" t="n">
        <f aca="false">D27*(1+hbm_p28_B)</f>
        <v>19.71</v>
      </c>
    </row>
    <row r="28" customFormat="false" ht="17.15" hidden="false" customHeight="false" outlineLevel="0" collapsed="false">
      <c r="A28" s="0" t="s">
        <v>404</v>
      </c>
      <c r="B28" s="0" t="s">
        <v>186</v>
      </c>
      <c r="C28" s="13" t="n">
        <f aca="false">C22*C26</f>
        <v>55.227347</v>
      </c>
      <c r="D28" s="13" t="n">
        <f aca="false">D22*D26</f>
        <v>154.08429813</v>
      </c>
      <c r="E28" s="13" t="n">
        <f aca="false">E22*E26</f>
        <v>245.76445551735</v>
      </c>
      <c r="F28" s="8" t="s">
        <v>405</v>
      </c>
    </row>
    <row r="29" customFormat="false" ht="17.15" hidden="false" customHeight="false" outlineLevel="0" collapsed="false">
      <c r="A29" s="0" t="s">
        <v>406</v>
      </c>
      <c r="B29" s="0" t="s">
        <v>186</v>
      </c>
      <c r="C29" s="13" t="n">
        <f aca="false">C22*C27</f>
        <v>55.227347</v>
      </c>
      <c r="D29" s="13" t="n">
        <f aca="false">D22*D27</f>
        <v>154.08429813</v>
      </c>
      <c r="E29" s="13" t="n">
        <f aca="false">E22*E27</f>
        <v>167.566674216375</v>
      </c>
    </row>
    <row r="30" customFormat="false" ht="17.15" hidden="false" customHeight="false" outlineLevel="0" collapsed="false">
      <c r="A30" s="0" t="s">
        <v>407</v>
      </c>
      <c r="B30" s="0" t="s">
        <v>154</v>
      </c>
      <c r="C30" s="12" t="n">
        <f aca="false">sh26</f>
        <v>0.52</v>
      </c>
      <c r="D30" s="12" t="n">
        <f aca="false">sh27</f>
        <v>0.42</v>
      </c>
      <c r="E30" s="12" t="n">
        <f aca="false">sh28</f>
        <v>0.4</v>
      </c>
    </row>
    <row r="31" customFormat="false" ht="17.15" hidden="false" customHeight="false" outlineLevel="0" collapsed="false">
      <c r="A31" s="0" t="s">
        <v>408</v>
      </c>
      <c r="B31" s="6" t="s">
        <v>234</v>
      </c>
      <c r="C31" s="13" t="n">
        <f aca="false">C28*C30*fx/1000</f>
        <v>40.7798730248</v>
      </c>
      <c r="D31" s="13" t="n">
        <f aca="false">D28*D30*fx/1000</f>
        <v>91.895875404732</v>
      </c>
      <c r="E31" s="13" t="n">
        <f aca="false">E28*E30*fx/1000</f>
        <v>139.594210733855</v>
      </c>
    </row>
    <row r="32" customFormat="false" ht="17.15" hidden="false" customHeight="false" outlineLevel="0" collapsed="false">
      <c r="A32" s="0" t="s">
        <v>409</v>
      </c>
      <c r="B32" s="6" t="s">
        <v>234</v>
      </c>
      <c r="C32" s="13" t="n">
        <f aca="false">C29*C30*fx/1000</f>
        <v>40.7798730248</v>
      </c>
      <c r="D32" s="13" t="n">
        <f aca="false">D29*D30*fx/1000</f>
        <v>91.895875404732</v>
      </c>
      <c r="E32" s="13" t="n">
        <f aca="false">E29*E30*fx/1000</f>
        <v>95.177870954901</v>
      </c>
    </row>
    <row r="33" customFormat="false" ht="17.15" hidden="false" customHeight="false" outlineLevel="0" collapsed="false">
      <c r="A33" s="0" t="s">
        <v>410</v>
      </c>
      <c r="B33" s="0" t="s">
        <v>154</v>
      </c>
      <c r="C33" s="12"/>
      <c r="D33" s="12" t="n">
        <f aca="false">D22*D30/(C22*C30)-1</f>
        <v>0.251923076923077</v>
      </c>
      <c r="E33" s="12" t="n">
        <f aca="false">E22*E30/(D22*D30)-1</f>
        <v>0.380952380952381</v>
      </c>
    </row>
    <row r="35" customFormat="false" ht="17.15" hidden="false" customHeight="false" outlineLevel="0" collapsed="false">
      <c r="A35" s="3" t="s">
        <v>411</v>
      </c>
    </row>
    <row r="36" customFormat="false" ht="17.15" hidden="false" customHeight="false" outlineLevel="0" collapsed="false">
      <c r="A36" s="6" t="s">
        <v>412</v>
      </c>
      <c r="B36" s="0" t="s">
        <v>186</v>
      </c>
      <c r="C36" s="13" t="n">
        <f aca="false">(C5+C6+C7+C8)/1000*hbm_p26</f>
        <v>28.67586</v>
      </c>
      <c r="D36" s="13"/>
      <c r="E36" s="13"/>
      <c r="F36" s="8" t="s">
        <v>413</v>
      </c>
    </row>
    <row r="37" customFormat="false" ht="17.15" hidden="false" customHeight="false" outlineLevel="0" collapsed="false">
      <c r="A37" s="6" t="s">
        <v>414</v>
      </c>
      <c r="B37" s="0" t="s">
        <v>186</v>
      </c>
      <c r="C37" s="13" t="n">
        <f aca="false">nv_dc26*nv_hbm/nv_content</f>
        <v>32.3263565891473</v>
      </c>
      <c r="D37" s="13"/>
      <c r="E37" s="13"/>
      <c r="F37" s="6" t="s">
        <v>415</v>
      </c>
    </row>
    <row r="38" customFormat="false" ht="17.15" hidden="false" customHeight="false" outlineLevel="0" collapsed="false">
      <c r="A38" s="6" t="s">
        <v>416</v>
      </c>
      <c r="B38" s="0" t="s">
        <v>154</v>
      </c>
      <c r="C38" s="12" t="n">
        <f aca="false">C36/C37-1</f>
        <v>-0.112926323109758</v>
      </c>
      <c r="D38" s="12"/>
      <c r="E38" s="12"/>
    </row>
    <row r="39" customFormat="false" ht="17.15" hidden="false" customHeight="false" outlineLevel="0" collapsed="false">
      <c r="A39" s="6" t="s">
        <v>417</v>
      </c>
      <c r="B39" s="6" t="s">
        <v>38</v>
      </c>
      <c r="C39" s="13" t="n">
        <f aca="false">nv_dc26/nv_content</f>
        <v>7.24806201550388</v>
      </c>
      <c r="D39" s="13"/>
      <c r="E39" s="13"/>
    </row>
    <row r="40" customFormat="false" ht="17.15" hidden="false" customHeight="false" outlineLevel="0" collapsed="false">
      <c r="A40" s="6" t="s">
        <v>418</v>
      </c>
      <c r="B40" s="6" t="s">
        <v>38</v>
      </c>
      <c r="C40" s="13" t="n">
        <f aca="false">u_bw_26+u_rb_26+u_hp_26</f>
        <v>7.6</v>
      </c>
      <c r="D40" s="13"/>
      <c r="E40" s="13"/>
    </row>
    <row r="41" customFormat="false" ht="17.15" hidden="false" customHeight="false" outlineLevel="0" collapsed="false">
      <c r="A41" s="6" t="s">
        <v>419</v>
      </c>
      <c r="B41" s="0" t="s">
        <v>186</v>
      </c>
      <c r="C41" s="13" t="n">
        <f aca="false">pub26_lo</f>
        <v>54.6</v>
      </c>
      <c r="D41" s="13" t="n">
        <f aca="false">pub27</f>
        <v>152.8</v>
      </c>
      <c r="E41" s="13"/>
      <c r="F41" s="8" t="s">
        <v>420</v>
      </c>
    </row>
    <row r="42" customFormat="false" ht="17.15" hidden="false" customHeight="false" outlineLevel="0" collapsed="false">
      <c r="A42" s="6" t="s">
        <v>421</v>
      </c>
      <c r="B42" s="0" t="s">
        <v>154</v>
      </c>
      <c r="C42" s="12" t="n">
        <f aca="false">C28/C41-1</f>
        <v>0.0114898717948717</v>
      </c>
      <c r="D42" s="12" t="n">
        <f aca="false">D28/D41-1</f>
        <v>0.00840509247382193</v>
      </c>
      <c r="E42" s="12"/>
    </row>
    <row r="43" customFormat="false" ht="17.15" hidden="false" customHeight="false" outlineLevel="0" collapsed="false">
      <c r="A43" s="6" t="s">
        <v>422</v>
      </c>
      <c r="B43" s="0" t="s">
        <v>154</v>
      </c>
      <c r="C43" s="12" t="n">
        <f aca="false">C28/pub26_hi-1</f>
        <v>-0.28646838501292</v>
      </c>
      <c r="D43" s="12"/>
      <c r="E4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423</v>
      </c>
    </row>
    <row r="3" customFormat="false" ht="17.15" hidden="false" customHeight="false" outlineLevel="0" collapsed="false">
      <c r="A3" s="5" t="s">
        <v>17</v>
      </c>
      <c r="B3" s="9" t="s">
        <v>424</v>
      </c>
      <c r="C3" s="9" t="s">
        <v>425</v>
      </c>
      <c r="D3" s="9" t="s">
        <v>426</v>
      </c>
      <c r="E3" s="9" t="s">
        <v>427</v>
      </c>
      <c r="F3" s="9" t="s">
        <v>428</v>
      </c>
      <c r="G3" s="9" t="s">
        <v>429</v>
      </c>
      <c r="H3" s="9" t="s">
        <v>430</v>
      </c>
      <c r="I3" s="9" t="s">
        <v>431</v>
      </c>
      <c r="J3" s="9" t="s">
        <v>432</v>
      </c>
    </row>
    <row r="4" customFormat="false" ht="15" hidden="false" customHeight="false" outlineLevel="0" collapsed="false">
      <c r="A4" s="6" t="s">
        <v>433</v>
      </c>
      <c r="B4" s="14" t="n">
        <v>17.639</v>
      </c>
      <c r="C4" s="14" t="n">
        <v>22.232</v>
      </c>
      <c r="D4" s="14" t="n">
        <v>24.449</v>
      </c>
      <c r="E4" s="14" t="n">
        <v>32.827</v>
      </c>
      <c r="F4" s="14" t="n">
        <v>52.576</v>
      </c>
      <c r="G4" s="14" t="n">
        <v>79.319</v>
      </c>
      <c r="H4" s="8" t="n">
        <f aca="false">H5+H6+H7</f>
        <v>96.311345015</v>
      </c>
      <c r="I4" s="8" t="n">
        <f aca="false">I5+I6+I7</f>
        <v>113.112885464856</v>
      </c>
      <c r="J4" s="11" t="n">
        <f aca="false">SUM(F4:I4)</f>
        <v>341.319230479856</v>
      </c>
    </row>
    <row r="5" customFormat="false" ht="15" hidden="false" customHeight="false" outlineLevel="0" collapsed="false">
      <c r="A5" s="0" t="s">
        <v>434</v>
      </c>
      <c r="F5" s="11" t="n">
        <f aca="false">F4*0.773</f>
        <v>40.641248</v>
      </c>
      <c r="G5" s="11" t="n">
        <f aca="false">G4*0.73</f>
        <v>57.90287</v>
      </c>
      <c r="H5" s="8" t="n">
        <f aca="false">G5*(1+q3_db)*(1+q3_dp)</f>
        <v>71.33633584</v>
      </c>
      <c r="I5" s="8" t="n">
        <f aca="false">H5*(1+q4_db)*(1+q4_dp)</f>
        <v>82.3934678952</v>
      </c>
      <c r="J5" s="11" t="n">
        <f aca="false">SUM(F5:I5)</f>
        <v>252.2739217352</v>
      </c>
    </row>
    <row r="6" customFormat="false" ht="15" hidden="false" customHeight="false" outlineLevel="0" collapsed="false">
      <c r="A6" s="0" t="s">
        <v>435</v>
      </c>
      <c r="F6" s="11" t="n">
        <f aca="false">F4*0.22</f>
        <v>11.56672</v>
      </c>
      <c r="G6" s="11" t="n">
        <f aca="false">G4*0.27</f>
        <v>21.41613</v>
      </c>
      <c r="H6" s="8" t="n">
        <f aca="false">G6*(1+q3_nb)*(1+q3_np)</f>
        <v>24.575009175</v>
      </c>
      <c r="I6" s="8" t="n">
        <f aca="false">H6*(1+q4_nb)*(1+q4_np)</f>
        <v>30.3194175696563</v>
      </c>
      <c r="J6" s="11" t="n">
        <f aca="false">SUM(F6:I6)</f>
        <v>87.8772767446563</v>
      </c>
    </row>
    <row r="7" customFormat="false" ht="15" hidden="false" customHeight="false" outlineLevel="0" collapsed="false">
      <c r="A7" s="6" t="s">
        <v>436</v>
      </c>
      <c r="F7" s="11" t="n">
        <f aca="false">F4-F5-F6</f>
        <v>0.368031999999996</v>
      </c>
      <c r="G7" s="11" t="n">
        <f aca="false">G4-G5-G6</f>
        <v>0</v>
      </c>
      <c r="H7" s="8" t="n">
        <f aca="false">other_y/4</f>
        <v>0.4</v>
      </c>
      <c r="I7" s="8" t="n">
        <f aca="false">other_y/4</f>
        <v>0.4</v>
      </c>
      <c r="J7" s="11" t="n">
        <f aca="false">SUM(F7:I7)</f>
        <v>1.168032</v>
      </c>
    </row>
    <row r="8" customFormat="false" ht="15" hidden="false" customHeight="false" outlineLevel="0" collapsed="false">
      <c r="A8" s="6" t="s">
        <v>437</v>
      </c>
      <c r="F8" s="11" t="n">
        <f aca="false">F4*(1-0.79)</f>
        <v>11.04096</v>
      </c>
      <c r="G8" s="11" t="n">
        <f aca="false">G4*(1-0.83)</f>
        <v>13.48423</v>
      </c>
      <c r="H8" s="8" t="n">
        <f aca="false">(G8-da_cogs*G13)*((w_c+w_h)*H14/G14+w_n*H15/G15)*(1-costdn_q)+da_cogs*da_q3</f>
        <v>14.198319828</v>
      </c>
      <c r="I8" s="8" t="n">
        <f aca="false">(H8-da_cogs*H13)*((w_c+w_h)*I14/H14+w_n*I15/H15)*(1-costdn_q)+da_cogs*da_q4</f>
        <v>14.659393744818</v>
      </c>
      <c r="J8" s="11" t="n">
        <f aca="false">SUM(F8:I8)</f>
        <v>53.382903572818</v>
      </c>
    </row>
    <row r="9" customFormat="false" ht="15" hidden="false" customHeight="false" outlineLevel="0" collapsed="false">
      <c r="A9" s="6" t="s">
        <v>438</v>
      </c>
      <c r="F9" s="11" t="n">
        <f aca="false">F4-F8-F10</f>
        <v>3.92504</v>
      </c>
      <c r="G9" s="11" t="n">
        <f aca="false">G4-G8-G10</f>
        <v>5.29176999999999</v>
      </c>
      <c r="H9" s="8" t="n">
        <f aca="false">opex_fix+opex_var*H4</f>
        <v>6.026633215705</v>
      </c>
      <c r="I9" s="8" t="n">
        <f aca="false">opex_fix+opex_var*I4</f>
        <v>6.81630561684825</v>
      </c>
      <c r="J9" s="11" t="n">
        <f aca="false">SUM(F9:I9)</f>
        <v>22.0597488325532</v>
      </c>
    </row>
    <row r="10" customFormat="false" ht="15" hidden="false" customHeight="false" outlineLevel="0" collapsed="false">
      <c r="A10" s="6" t="s">
        <v>439</v>
      </c>
      <c r="B10" s="14" t="n">
        <v>7.441</v>
      </c>
      <c r="C10" s="14" t="n">
        <v>9.213</v>
      </c>
      <c r="D10" s="14" t="n">
        <v>11.383</v>
      </c>
      <c r="E10" s="14" t="n">
        <v>19.17</v>
      </c>
      <c r="F10" s="14" t="n">
        <v>37.61</v>
      </c>
      <c r="G10" s="14" t="n">
        <v>60.543</v>
      </c>
      <c r="H10" s="8" t="n">
        <f aca="false">H4-H8-H9</f>
        <v>76.086391971295</v>
      </c>
      <c r="I10" s="8" t="n">
        <f aca="false">I4-I8-I9</f>
        <v>91.63718610319</v>
      </c>
      <c r="J10" s="11" t="n">
        <f aca="false">SUM(F10:I10)</f>
        <v>265.876578074485</v>
      </c>
    </row>
    <row r="11" customFormat="false" ht="15" hidden="false" customHeight="false" outlineLevel="0" collapsed="false">
      <c r="A11" s="6" t="s">
        <v>440</v>
      </c>
      <c r="B11" s="15" t="n">
        <f aca="false">B10/B4</f>
        <v>0.421849311185441</v>
      </c>
      <c r="C11" s="15" t="n">
        <f aca="false">C10/C4</f>
        <v>0.414402662828356</v>
      </c>
      <c r="D11" s="15" t="n">
        <f aca="false">D10/D4</f>
        <v>0.465581414372776</v>
      </c>
      <c r="E11" s="15" t="n">
        <f aca="false">E10/E4</f>
        <v>0.583970512078472</v>
      </c>
      <c r="F11" s="15" t="n">
        <f aca="false">F10/F4</f>
        <v>0.715345404747413</v>
      </c>
      <c r="G11" s="15" t="n">
        <f aca="false">G10/G4</f>
        <v>0.763284963249663</v>
      </c>
      <c r="H11" s="15" t="n">
        <f aca="false">H10/H4</f>
        <v>0.790004458555167</v>
      </c>
      <c r="I11" s="15" t="n">
        <f aca="false">I10/I4</f>
        <v>0.810139231499504</v>
      </c>
      <c r="J11" s="15" t="n">
        <f aca="false">J10/J4</f>
        <v>0.778967471890443</v>
      </c>
    </row>
    <row r="12" customFormat="false" ht="15" hidden="false" customHeight="false" outlineLevel="0" collapsed="false">
      <c r="A12" s="6" t="s">
        <v>441</v>
      </c>
      <c r="B12" s="14" t="n">
        <v>8.108</v>
      </c>
      <c r="C12" s="14" t="n">
        <v>6.996</v>
      </c>
      <c r="D12" s="14" t="n">
        <v>12.598</v>
      </c>
      <c r="E12" s="14" t="n">
        <v>15.246</v>
      </c>
      <c r="F12" s="14" t="n">
        <v>40.346</v>
      </c>
      <c r="G12" s="14" t="n">
        <v>93.923</v>
      </c>
      <c r="H12" s="8" t="n">
        <f aca="false">(H10+nonop_q)*(1-tax)</f>
        <v>59.3565218178972</v>
      </c>
      <c r="I12" s="8" t="n">
        <f aca="false">(I10+nonop_q)*(1-tax)</f>
        <v>71.3306332994563</v>
      </c>
      <c r="J12" s="11" t="n">
        <f aca="false">SUM(F12:I12)</f>
        <v>264.956155117354</v>
      </c>
    </row>
    <row r="13" customFormat="false" ht="15" hidden="false" customHeight="false" outlineLevel="0" collapsed="false">
      <c r="A13" s="6" t="s">
        <v>442</v>
      </c>
      <c r="B13" s="14" t="n">
        <v>3.334</v>
      </c>
      <c r="C13" s="14" t="n">
        <v>3.443</v>
      </c>
      <c r="D13" s="14" t="n">
        <v>3.556</v>
      </c>
      <c r="E13" s="14" t="n">
        <v>3.557</v>
      </c>
      <c r="F13" s="14" t="n">
        <v>3.726</v>
      </c>
      <c r="G13" s="14" t="n">
        <v>4.028</v>
      </c>
      <c r="H13" s="8" t="n">
        <f aca="false">da_q3</f>
        <v>4.3</v>
      </c>
      <c r="I13" s="8" t="n">
        <f aca="false">da_q4</f>
        <v>4.6</v>
      </c>
      <c r="J13" s="11" t="n">
        <f aca="false">SUM(F13:I13)</f>
        <v>16.654</v>
      </c>
    </row>
    <row r="14" customFormat="false" ht="17.15" hidden="false" customHeight="false" outlineLevel="0" collapsed="false">
      <c r="A14" s="0" t="s">
        <v>443</v>
      </c>
      <c r="G14" s="0" t="n">
        <v>1</v>
      </c>
      <c r="H14" s="0" t="n">
        <f aca="false">G14*(1+q3_db)</f>
        <v>1.1</v>
      </c>
      <c r="I14" s="0" t="n">
        <f aca="false">H14*(1+q4_db)</f>
        <v>1.155</v>
      </c>
    </row>
    <row r="15" customFormat="false" ht="17.15" hidden="false" customHeight="false" outlineLevel="0" collapsed="false">
      <c r="A15" s="0" t="s">
        <v>444</v>
      </c>
      <c r="G15" s="0" t="n">
        <v>1</v>
      </c>
      <c r="H15" s="0" t="n">
        <f aca="false">G15*(1+q3_nb)</f>
        <v>1.02</v>
      </c>
      <c r="I15" s="0" t="n">
        <f aca="false">H15*(1+q4_nb)</f>
        <v>1.071</v>
      </c>
    </row>
    <row r="18" customFormat="false" ht="17.15" hidden="false" customHeight="false" outlineLevel="0" collapsed="false">
      <c r="A18" s="6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1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446</v>
      </c>
    </row>
    <row r="3" customFormat="false" ht="15" hidden="false" customHeight="false" outlineLevel="0" collapsed="false">
      <c r="A3" s="5" t="s">
        <v>17</v>
      </c>
      <c r="B3" s="9" t="s">
        <v>447</v>
      </c>
      <c r="C3" s="9" t="s">
        <v>448</v>
      </c>
      <c r="D3" s="9" t="s">
        <v>449</v>
      </c>
      <c r="E3" s="9" t="s">
        <v>450</v>
      </c>
      <c r="F3" s="9" t="s">
        <v>451</v>
      </c>
      <c r="G3" s="9" t="s">
        <v>452</v>
      </c>
      <c r="H3" s="5" t="s">
        <v>377</v>
      </c>
    </row>
    <row r="4" customFormat="false" ht="15" hidden="false" customHeight="false" outlineLevel="0" collapsed="false">
      <c r="A4" s="6" t="s">
        <v>433</v>
      </c>
      <c r="B4" s="13" t="n">
        <f aca="false">SUM(Q!B4:E4)</f>
        <v>97.147</v>
      </c>
      <c r="C4" s="13" t="n">
        <f aca="false">Q!J4</f>
        <v>341.319230479856</v>
      </c>
      <c r="D4" s="13" t="n">
        <f aca="false">D5+D6+D7+D8</f>
        <v>535.12997142414</v>
      </c>
      <c r="E4" s="13" t="n">
        <f aca="false">E5+E6+E7+E8</f>
        <v>587.845679636677</v>
      </c>
      <c r="F4" s="13" t="n">
        <f aca="false">F5+F6+F7+F8</f>
        <v>516.116107498517</v>
      </c>
      <c r="G4" s="13" t="n">
        <f aca="false">G5+G6+G7+G8</f>
        <v>319.353037565695</v>
      </c>
    </row>
    <row r="5" customFormat="false" ht="17.15" hidden="false" customHeight="false" outlineLevel="0" collapsed="false">
      <c r="A5" s="6" t="s">
        <v>453</v>
      </c>
      <c r="B5" s="13" t="n">
        <f aca="false">74.9-28.1</f>
        <v>46.8</v>
      </c>
      <c r="C5" s="13" t="n">
        <f aca="false">Q!J5-C6</f>
        <v>211.4940487104</v>
      </c>
      <c r="D5" s="13" t="n">
        <f aca="false">C5*(1+cb27)*(1+cp27_A)</f>
        <v>302.436489655872</v>
      </c>
      <c r="E5" s="13" t="n">
        <f aca="false">D5*(1+cb28)*(1+cp28_A)</f>
        <v>313.021766793828</v>
      </c>
      <c r="F5" s="13" t="n">
        <f aca="false">C5*(1+cb27)*(1+cp27_B)</f>
        <v>290.8043169768</v>
      </c>
      <c r="G5" s="13" t="n">
        <f aca="false">F5*(1+cb28)*(1+cp28_B)</f>
        <v>167.21248226166</v>
      </c>
      <c r="H5" s="8" t="s">
        <v>454</v>
      </c>
    </row>
    <row r="6" customFormat="false" ht="17.15" hidden="false" customHeight="false" outlineLevel="0" collapsed="false">
      <c r="A6" s="0" t="s">
        <v>455</v>
      </c>
      <c r="B6" s="13" t="n">
        <f aca="false">28.1</f>
        <v>28.1</v>
      </c>
      <c r="C6" s="13" t="n">
        <f aca="false">Mkt!C31</f>
        <v>40.7798730248</v>
      </c>
      <c r="D6" s="13" t="n">
        <f aca="false">Mkt!D31</f>
        <v>91.895875404732</v>
      </c>
      <c r="E6" s="13" t="n">
        <f aca="false">Mkt!E31</f>
        <v>139.594210733855</v>
      </c>
      <c r="F6" s="13" t="n">
        <f aca="false">Mkt!D32</f>
        <v>91.895875404732</v>
      </c>
      <c r="G6" s="13" t="n">
        <f aca="false">Mkt!E32</f>
        <v>95.177870954901</v>
      </c>
      <c r="H6" s="8" t="s">
        <v>456</v>
      </c>
    </row>
    <row r="7" customFormat="false" ht="15" hidden="false" customHeight="false" outlineLevel="0" collapsed="false">
      <c r="A7" s="0" t="s">
        <v>435</v>
      </c>
      <c r="B7" s="13" t="n">
        <f aca="false">20.69</f>
        <v>20.69</v>
      </c>
      <c r="C7" s="13" t="n">
        <f aca="false">Q!J6</f>
        <v>87.8772767446563</v>
      </c>
      <c r="D7" s="13" t="n">
        <f aca="false">C7*(1+nb27)*(1+np27_A)</f>
        <v>139.197606363536</v>
      </c>
      <c r="E7" s="13" t="n">
        <f aca="false">D7*(1+nb28)*(1+np28_A)</f>
        <v>133.629702108994</v>
      </c>
      <c r="F7" s="13" t="n">
        <f aca="false">C7*(1+nb27)*(1+np27_B)</f>
        <v>131.815915116984</v>
      </c>
      <c r="G7" s="13" t="n">
        <f aca="false">F7*(1+nb28)*(1+np28_B)</f>
        <v>55.3626843491334</v>
      </c>
      <c r="H7" s="8" t="s">
        <v>457</v>
      </c>
    </row>
    <row r="8" customFormat="false" ht="15" hidden="false" customHeight="false" outlineLevel="0" collapsed="false">
      <c r="A8" s="6" t="s">
        <v>436</v>
      </c>
      <c r="B8" s="13" t="n">
        <f aca="false">B4-74.9-20.69</f>
        <v>1.55699999999998</v>
      </c>
      <c r="C8" s="13" t="n">
        <f aca="false">Q!J7</f>
        <v>1.168032</v>
      </c>
      <c r="D8" s="13" t="n">
        <f aca="false">other_y</f>
        <v>1.6</v>
      </c>
      <c r="E8" s="13" t="n">
        <f aca="false">other_y</f>
        <v>1.6</v>
      </c>
      <c r="F8" s="13" t="n">
        <f aca="false">other_y</f>
        <v>1.6</v>
      </c>
      <c r="G8" s="13" t="n">
        <f aca="false">other_y</f>
        <v>1.6</v>
      </c>
    </row>
    <row r="9" customFormat="false" ht="17.15" hidden="false" customHeight="false" outlineLevel="0" collapsed="false">
      <c r="A9" s="0" t="s">
        <v>458</v>
      </c>
      <c r="B9" s="15" t="n">
        <f aca="false">B6/B4</f>
        <v>0.28925237011951</v>
      </c>
      <c r="C9" s="15" t="n">
        <f aca="false">C6/C4</f>
        <v>0.119477220687121</v>
      </c>
      <c r="D9" s="15" t="n">
        <f aca="false">D6/D4</f>
        <v>0.17172627270375</v>
      </c>
      <c r="E9" s="15" t="n">
        <f aca="false">E6/E4</f>
        <v>0.237467443530643</v>
      </c>
      <c r="F9" s="15" t="n">
        <f aca="false">F6/F4</f>
        <v>0.17805271734325</v>
      </c>
      <c r="G9" s="15" t="n">
        <f aca="false">G6/G4</f>
        <v>0.298033398023721</v>
      </c>
    </row>
    <row r="10" customFormat="false" ht="17.15" hidden="false" customHeight="false" outlineLevel="0" collapsed="false">
      <c r="A10" s="6" t="s">
        <v>442</v>
      </c>
      <c r="B10" s="13" t="n">
        <f aca="false">SUM(Q!B13:E13)</f>
        <v>13.89</v>
      </c>
      <c r="C10" s="13" t="n">
        <f aca="false">Q!J13</f>
        <v>16.654</v>
      </c>
      <c r="D10" s="13" t="n">
        <f aca="false">C10+(C17-C10)/da_life</f>
        <v>23.0632</v>
      </c>
      <c r="E10" s="13" t="n">
        <f aca="false">D10+(D17-D10)/da_life</f>
        <v>30.91056</v>
      </c>
      <c r="F10" s="13" t="n">
        <f aca="false">C10+(C17-C10)/da_life</f>
        <v>23.0632</v>
      </c>
      <c r="G10" s="13" t="n">
        <f aca="false">F10+(F17-F10)/da_life</f>
        <v>30.91056</v>
      </c>
      <c r="H10" s="8" t="s">
        <v>459</v>
      </c>
    </row>
    <row r="11" customFormat="false" ht="17.15" hidden="false" customHeight="false" outlineLevel="0" collapsed="false">
      <c r="A11" s="6" t="s">
        <v>460</v>
      </c>
      <c r="D11" s="11" t="n">
        <f aca="false">w_c*(1+cb27)+w_h*(1+Mkt!D33)+w_n*(1+nb27)</f>
        <v>1.17057692307692</v>
      </c>
      <c r="E11" s="11" t="n">
        <f aca="false">w_c*(1+cb28)+w_h*(1+Mkt!E33)+w_n*(1+nb28)</f>
        <v>1.23178571428571</v>
      </c>
      <c r="F11" s="11" t="n">
        <f aca="false">w_c*(1+cb27)+w_h*(1+Mkt!D33)+w_n*(1+nb27)</f>
        <v>1.17057692307692</v>
      </c>
      <c r="G11" s="11" t="n">
        <f aca="false">w_c*(1+cb28)+w_h*(1+Mkt!E33)+w_n*(1+nb28)</f>
        <v>1.23178571428571</v>
      </c>
      <c r="H11" s="8" t="s">
        <v>461</v>
      </c>
    </row>
    <row r="12" customFormat="false" ht="17.15" hidden="false" customHeight="false" outlineLevel="0" collapsed="false">
      <c r="A12" s="6" t="s">
        <v>437</v>
      </c>
      <c r="B12" s="13" t="n">
        <f aca="false">B4*0.37</f>
        <v>35.94439</v>
      </c>
      <c r="C12" s="13" t="n">
        <f aca="false">Q!J8</f>
        <v>53.382903572818</v>
      </c>
      <c r="D12" s="13" t="n">
        <f aca="false">(C12-da_cogs*C10)*D11*(1-costdn_y)+da_cogs*D10</f>
        <v>61.2060171659556</v>
      </c>
      <c r="E12" s="13" t="n">
        <f aca="false">(D12-da_cogs*D10)*E11*(1-costdn_y)+da_cogs*E10</f>
        <v>72.6617063845867</v>
      </c>
      <c r="F12" s="13" t="n">
        <f aca="false">(C12-da_cogs*C10)*F11*(1-costdn_y)+da_cogs*F10</f>
        <v>61.2060171659556</v>
      </c>
      <c r="G12" s="13" t="n">
        <f aca="false">(F12-da_cogs*F10)*G11*(1-costdn_y)+da_cogs*G10</f>
        <v>72.6617063845867</v>
      </c>
      <c r="H12" s="6" t="s">
        <v>462</v>
      </c>
    </row>
    <row r="13" customFormat="false" ht="15" hidden="false" customHeight="false" outlineLevel="0" collapsed="false">
      <c r="A13" s="6" t="s">
        <v>438</v>
      </c>
      <c r="B13" s="13" t="n">
        <f aca="false">B4-B12-B14</f>
        <v>13.99561</v>
      </c>
      <c r="C13" s="13" t="n">
        <f aca="false">Q!J9</f>
        <v>22.0597488325532</v>
      </c>
      <c r="D13" s="13" t="n">
        <f aca="false">opex_fix*4*(1+opex_g)+opex_var*D4</f>
        <v>31.7511086569346</v>
      </c>
      <c r="E13" s="13" t="n">
        <f aca="false">opex_fix*4*(1+opex_g)^2+opex_var*E4</f>
        <v>34.8887469429238</v>
      </c>
      <c r="F13" s="13" t="n">
        <f aca="false">opex_fix*4*(1+opex_g)+opex_var*F4</f>
        <v>30.8574570524303</v>
      </c>
      <c r="G13" s="13" t="n">
        <f aca="false">opex_fix*4*(1+opex_g)^2+opex_var*G4</f>
        <v>22.2695927655876</v>
      </c>
    </row>
    <row r="14" customFormat="false" ht="15" hidden="false" customHeight="false" outlineLevel="0" collapsed="false">
      <c r="A14" s="6" t="s">
        <v>439</v>
      </c>
      <c r="B14" s="13" t="n">
        <f aca="false">SUM(Q!B10:E10)</f>
        <v>47.207</v>
      </c>
      <c r="C14" s="13" t="n">
        <f aca="false">Q!J10</f>
        <v>265.876578074485</v>
      </c>
      <c r="D14" s="13" t="n">
        <f aca="false">D4-D12-D13</f>
        <v>442.17284560125</v>
      </c>
      <c r="E14" s="13" t="n">
        <f aca="false">E4-E12-E13</f>
        <v>480.295226309166</v>
      </c>
      <c r="F14" s="13" t="n">
        <f aca="false">F4-F12-F13</f>
        <v>424.052633280131</v>
      </c>
      <c r="G14" s="13" t="n">
        <f aca="false">G4-G12-G13</f>
        <v>224.42173841552</v>
      </c>
    </row>
    <row r="15" customFormat="false" ht="15" hidden="false" customHeight="false" outlineLevel="0" collapsed="false">
      <c r="A15" s="6" t="s">
        <v>440</v>
      </c>
      <c r="B15" s="15" t="n">
        <f aca="false">B14/B4</f>
        <v>0.485933688122124</v>
      </c>
      <c r="C15" s="15" t="n">
        <f aca="false">C14/C4</f>
        <v>0.778967471890443</v>
      </c>
      <c r="D15" s="15" t="n">
        <f aca="false">D14/D4</f>
        <v>0.826290563439189</v>
      </c>
      <c r="E15" s="15" t="n">
        <f aca="false">E14/E4</f>
        <v>0.817043048791338</v>
      </c>
      <c r="F15" s="15" t="n">
        <f aca="false">F14/F4</f>
        <v>0.821622551823476</v>
      </c>
      <c r="G15" s="15" t="n">
        <f aca="false">G14/G4</f>
        <v>0.702738699860821</v>
      </c>
    </row>
    <row r="16" customFormat="false" ht="17.15" hidden="false" customHeight="false" outlineLevel="0" collapsed="false">
      <c r="A16" s="6" t="s">
        <v>441</v>
      </c>
      <c r="B16" s="13" t="n">
        <f aca="false">SUM(Q!B12:E12)</f>
        <v>42.948</v>
      </c>
      <c r="C16" s="13" t="n">
        <f aca="false">Q!J12</f>
        <v>264.956155117354</v>
      </c>
      <c r="D16" s="13" t="n">
        <f aca="false">(D14+rf*C22)*(1-tax)</f>
        <v>343.239349301769</v>
      </c>
      <c r="E16" s="13" t="n">
        <f aca="false">(E14+rf*D22)*(1-tax)</f>
        <v>374.934402076489</v>
      </c>
      <c r="F16" s="13" t="n">
        <f aca="false">(F14+rf*C22)*(1-tax)</f>
        <v>329.286785814508</v>
      </c>
      <c r="G16" s="13" t="n">
        <f aca="false">(G14+rf*F22)*(1-tax)</f>
        <v>177.80438165953</v>
      </c>
      <c r="H16" s="8" t="s">
        <v>463</v>
      </c>
    </row>
    <row r="17" customFormat="false" ht="15" hidden="false" customHeight="false" outlineLevel="0" collapsed="false">
      <c r="A17" s="6" t="s">
        <v>464</v>
      </c>
      <c r="B17" s="13" t="n">
        <f aca="false">27.519</f>
        <v>27.519</v>
      </c>
      <c r="C17" s="13" t="n">
        <f aca="false">cap26</f>
        <v>48.7</v>
      </c>
      <c r="D17" s="13" t="n">
        <f aca="false">cap27</f>
        <v>62.3</v>
      </c>
      <c r="E17" s="13" t="n">
        <f aca="false">cap28</f>
        <v>71.2</v>
      </c>
      <c r="F17" s="13" t="n">
        <f aca="false">cap27</f>
        <v>62.3</v>
      </c>
      <c r="G17" s="13" t="n">
        <f aca="false">cap28</f>
        <v>71.2</v>
      </c>
    </row>
    <row r="18" customFormat="false" ht="15" hidden="false" customHeight="false" outlineLevel="0" collapsed="false">
      <c r="A18" s="6" t="s">
        <v>465</v>
      </c>
      <c r="B18" s="13" t="n">
        <f aca="false">B16+B10-B17</f>
        <v>29.319</v>
      </c>
      <c r="C18" s="13" t="n">
        <f aca="false">C16+C10-C17</f>
        <v>232.910155117354</v>
      </c>
      <c r="D18" s="13" t="n">
        <f aca="false">D16+D10-D17</f>
        <v>304.002549301769</v>
      </c>
      <c r="E18" s="13" t="n">
        <f aca="false">E16+E10-E17</f>
        <v>334.644962076489</v>
      </c>
      <c r="F18" s="13" t="n">
        <f aca="false">F16+F10-F17</f>
        <v>290.049985814508</v>
      </c>
      <c r="G18" s="13" t="n">
        <f aca="false">G16+G10-G17</f>
        <v>137.514941659529</v>
      </c>
      <c r="H18" s="6" t="s">
        <v>466</v>
      </c>
    </row>
    <row r="19" customFormat="false" ht="17.15" hidden="false" customHeight="false" outlineLevel="0" collapsed="false">
      <c r="A19" s="6" t="s">
        <v>467</v>
      </c>
      <c r="C19" s="13" t="n">
        <f aca="false">div26_h2</f>
        <v>0.54</v>
      </c>
      <c r="D19" s="13" t="n">
        <f aca="false">dps27*C23/1000000</f>
        <v>3.2004763655</v>
      </c>
      <c r="E19" s="13" t="n">
        <f aca="false">dps28*D23/1000000</f>
        <v>3.24616026771823</v>
      </c>
      <c r="F19" s="13" t="n">
        <f aca="false">dps27*C23/1000000</f>
        <v>3.2004763655</v>
      </c>
      <c r="G19" s="13" t="n">
        <f aca="false">dps28*F23/1000000</f>
        <v>3.26741302620478</v>
      </c>
      <c r="H19" s="8" t="s">
        <v>468</v>
      </c>
    </row>
    <row r="20" customFormat="false" ht="15" hidden="false" customHeight="false" outlineLevel="0" collapsed="false">
      <c r="A20" s="6" t="s">
        <v>469</v>
      </c>
      <c r="C20" s="13" t="n">
        <f aca="false">bb26</f>
        <v>40</v>
      </c>
      <c r="D20" s="13" t="n">
        <f aca="false">MAX(0,payout*D18-D19)</f>
        <v>148.800798285385</v>
      </c>
      <c r="E20" s="13" t="n">
        <f aca="false">MAX(0,payout*E18-E19)</f>
        <v>164.076320770526</v>
      </c>
      <c r="F20" s="13" t="n">
        <f aca="false">MAX(0,payout*F18-F19)</f>
        <v>141.824516541754</v>
      </c>
      <c r="G20" s="13" t="n">
        <f aca="false">MAX(0,payout*G18-G19)</f>
        <v>65.49005780356</v>
      </c>
    </row>
    <row r="21" customFormat="false" ht="17.15" hidden="false" customHeight="false" outlineLevel="0" collapsed="false">
      <c r="A21" s="6" t="s">
        <v>470</v>
      </c>
      <c r="C21" s="13" t="n">
        <f aca="false">eq_h1+(Q!H12+Q!I12)+ads_kw-C20-C19</f>
        <v>393.240155117353</v>
      </c>
      <c r="D21" s="13" t="n">
        <f aca="false">C21+D16-D19-D20</f>
        <v>584.478229768238</v>
      </c>
      <c r="E21" s="13" t="n">
        <f aca="false">D21+E16-E19-E20</f>
        <v>792.090150806483</v>
      </c>
      <c r="F21" s="13" t="n">
        <f aca="false">C21+F16-F19-F20</f>
        <v>577.501948024607</v>
      </c>
      <c r="G21" s="13" t="n">
        <f aca="false">F21+G16-G19-G20</f>
        <v>686.548858854372</v>
      </c>
      <c r="H21" s="8" t="s">
        <v>471</v>
      </c>
    </row>
    <row r="22" customFormat="false" ht="17.15" hidden="false" customHeight="false" outlineLevel="0" collapsed="false">
      <c r="A22" s="6" t="s">
        <v>472</v>
      </c>
      <c r="C22" s="13" t="n">
        <f aca="false">nc_h1+(Q!H12+Q!I12)+(Q!H13+Q!I13)-C17*0.6+ads_kw-C20-C19</f>
        <v>179.627155117354</v>
      </c>
      <c r="D22" s="13" t="n">
        <f aca="false">C22+D18-D19-D20</f>
        <v>331.628429768238</v>
      </c>
      <c r="E22" s="13" t="n">
        <f aca="false">D22+E18-E19-E20</f>
        <v>498.950910806483</v>
      </c>
      <c r="F22" s="13" t="n">
        <f aca="false">C22+F18-F19-F20</f>
        <v>324.652148024607</v>
      </c>
      <c r="G22" s="13" t="n">
        <f aca="false">F22+G18-G19-G20</f>
        <v>393.409618854372</v>
      </c>
      <c r="H22" s="8" t="s">
        <v>473</v>
      </c>
    </row>
    <row r="23" customFormat="false" ht="15" hidden="false" customHeight="false" outlineLevel="0" collapsed="false">
      <c r="A23" s="6" t="s">
        <v>474</v>
      </c>
      <c r="C23" s="13" t="n">
        <f aca="false">sh_h1+ads_sh-bb26_sh</f>
        <v>704.7955</v>
      </c>
      <c r="D23" s="13" t="n">
        <f aca="false">C23-D20/bb_px*1000000</f>
        <v>618.434038429841</v>
      </c>
      <c r="E23" s="13" t="n">
        <f aca="false">D23-E20/bb_px*1000000</f>
        <v>523.206922486413</v>
      </c>
      <c r="F23" s="13" t="n">
        <f aca="false">C23-F20/bb_px*1000000</f>
        <v>622.482954125506</v>
      </c>
      <c r="G23" s="13" t="n">
        <f aca="false">F23-G20/bb_px*1000000</f>
        <v>584.473634448454</v>
      </c>
    </row>
    <row r="24" customFormat="false" ht="17.15" hidden="false" customHeight="false" outlineLevel="0" collapsed="false">
      <c r="A24" s="6" t="s">
        <v>475</v>
      </c>
      <c r="C24" s="16" t="n">
        <f aca="false">C21/C23*1000000</f>
        <v>557949.298934731</v>
      </c>
      <c r="D24" s="16" t="n">
        <f aca="false">D21/D23*1000000</f>
        <v>945093.887865853</v>
      </c>
      <c r="E24" s="16" t="n">
        <f aca="false">E21/E23*1000000</f>
        <v>1513913.74380574</v>
      </c>
      <c r="F24" s="16" t="n">
        <f aca="false">F21/F23*1000000</f>
        <v>927739.376953559</v>
      </c>
      <c r="G24" s="16" t="n">
        <f aca="false">G21/G23*1000000</f>
        <v>1174644.70318194</v>
      </c>
    </row>
    <row r="25" customFormat="false" ht="17.15" hidden="false" customHeight="false" outlineLevel="0" collapsed="false">
      <c r="A25" s="6" t="s">
        <v>476</v>
      </c>
      <c r="C25" s="16" t="n">
        <f aca="false">C16/C23*1000000</f>
        <v>375933.380842178</v>
      </c>
      <c r="D25" s="16" t="n">
        <f aca="false">D16/D23*1000000</f>
        <v>555013.676435452</v>
      </c>
      <c r="E25" s="16" t="n">
        <f aca="false">E16/E23*1000000</f>
        <v>716608.259490729</v>
      </c>
      <c r="F25" s="16" t="n">
        <f aca="false">F16/F23*1000000</f>
        <v>528989.241604384</v>
      </c>
      <c r="G25" s="16" t="n">
        <f aca="false">G16/G23*1000000</f>
        <v>304212.835583793</v>
      </c>
    </row>
    <row r="26" customFormat="false" ht="17.15" hidden="false" customHeight="false" outlineLevel="0" collapsed="false">
      <c r="A26" s="0" t="s">
        <v>477</v>
      </c>
      <c r="C26" s="12" t="n">
        <f aca="false">C16/C21</f>
        <v>0.673776957081821</v>
      </c>
      <c r="D26" s="12" t="n">
        <f aca="false">D16/D21</f>
        <v>0.587257714351266</v>
      </c>
      <c r="E26" s="12" t="n">
        <f aca="false">E16/E21</f>
        <v>0.473348143130857</v>
      </c>
      <c r="F26" s="12" t="n">
        <f aca="false">F16/F21</f>
        <v>0.570191645137926</v>
      </c>
      <c r="G26" s="12" t="n">
        <f aca="false">G16/G21</f>
        <v>0.258982852227338</v>
      </c>
    </row>
    <row r="30" customFormat="false" ht="17.15" hidden="false" customHeight="false" outlineLevel="0" collapsed="false">
      <c r="A30" s="0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479</v>
      </c>
    </row>
    <row r="3" customFormat="false" ht="15" hidden="false" customHeight="false" outlineLevel="0" collapsed="false">
      <c r="A3" s="5" t="s">
        <v>480</v>
      </c>
      <c r="B3" s="5" t="s">
        <v>481</v>
      </c>
      <c r="C3" s="5" t="s">
        <v>482</v>
      </c>
      <c r="D3" s="5" t="s">
        <v>483</v>
      </c>
      <c r="E3" s="5" t="s">
        <v>484</v>
      </c>
      <c r="F3" s="5" t="s">
        <v>485</v>
      </c>
      <c r="G3" s="5" t="s">
        <v>486</v>
      </c>
    </row>
    <row r="4" customFormat="false" ht="17.15" hidden="false" customHeight="false" outlineLevel="0" collapsed="false">
      <c r="A4" s="0" t="s">
        <v>487</v>
      </c>
      <c r="B4" s="0" t="n">
        <f aca="false">pb_1</f>
        <v>1</v>
      </c>
      <c r="C4" s="0" t="s">
        <v>488</v>
      </c>
      <c r="D4" s="6" t="s">
        <v>489</v>
      </c>
      <c r="E4" s="16" t="n">
        <f aca="false">Y!C24</f>
        <v>557949.298934731</v>
      </c>
      <c r="F4" s="16" t="n">
        <f aca="false">B4*E4</f>
        <v>557949.298934731</v>
      </c>
      <c r="G4" s="12" t="n">
        <f aca="false">F4/px-1</f>
        <v>-0.676175682568351</v>
      </c>
    </row>
    <row r="5" customFormat="false" ht="17.15" hidden="false" customHeight="false" outlineLevel="0" collapsed="false">
      <c r="A5" s="0" t="s">
        <v>490</v>
      </c>
      <c r="B5" s="0" t="n">
        <f aca="false">pb_2</f>
        <v>1.6</v>
      </c>
      <c r="C5" s="0" t="s">
        <v>488</v>
      </c>
      <c r="D5" s="6" t="s">
        <v>489</v>
      </c>
      <c r="E5" s="16" t="n">
        <f aca="false">Y!C24</f>
        <v>557949.298934731</v>
      </c>
      <c r="F5" s="16" t="n">
        <f aca="false">B5*E5</f>
        <v>892718.87829557</v>
      </c>
      <c r="G5" s="12" t="n">
        <f aca="false">F5/px-1</f>
        <v>-0.481881092109362</v>
      </c>
    </row>
    <row r="6" customFormat="false" ht="17.15" hidden="false" customHeight="false" outlineLevel="0" collapsed="false">
      <c r="A6" s="0" t="s">
        <v>491</v>
      </c>
      <c r="B6" s="0" t="n">
        <f aca="false">pb_3</f>
        <v>3.3</v>
      </c>
      <c r="C6" s="0" t="s">
        <v>488</v>
      </c>
      <c r="D6" s="6" t="s">
        <v>489</v>
      </c>
      <c r="E6" s="16" t="n">
        <f aca="false">Y!C24</f>
        <v>557949.298934731</v>
      </c>
      <c r="F6" s="16" t="n">
        <f aca="false">B6*E6</f>
        <v>1841232.68648461</v>
      </c>
      <c r="G6" s="12" t="n">
        <f aca="false">F6/px-1</f>
        <v>0.0686202475244417</v>
      </c>
    </row>
    <row r="7" customFormat="false" ht="17.15" hidden="false" customHeight="false" outlineLevel="0" collapsed="false">
      <c r="A7" s="0" t="s">
        <v>487</v>
      </c>
      <c r="B7" s="0" t="n">
        <f aca="false">pb_1</f>
        <v>1</v>
      </c>
      <c r="C7" s="0" t="s">
        <v>492</v>
      </c>
      <c r="D7" s="0" t="s">
        <v>493</v>
      </c>
      <c r="E7" s="16" t="n">
        <f aca="false">Y!D24</f>
        <v>945093.887865853</v>
      </c>
      <c r="F7" s="16" t="n">
        <f aca="false">B7*E7</f>
        <v>945093.887865853</v>
      </c>
      <c r="G7" s="12" t="n">
        <f aca="false">F7/px-1</f>
        <v>-0.451483524163754</v>
      </c>
    </row>
    <row r="8" customFormat="false" ht="17.15" hidden="false" customHeight="false" outlineLevel="0" collapsed="false">
      <c r="A8" s="0" t="s">
        <v>490</v>
      </c>
      <c r="B8" s="0" t="n">
        <f aca="false">pb_2</f>
        <v>1.6</v>
      </c>
      <c r="C8" s="0" t="s">
        <v>492</v>
      </c>
      <c r="D8" s="0" t="s">
        <v>493</v>
      </c>
      <c r="E8" s="16" t="n">
        <f aca="false">Y!D24</f>
        <v>945093.887865853</v>
      </c>
      <c r="F8" s="16" t="n">
        <f aca="false">B8*E8</f>
        <v>1512150.22058536</v>
      </c>
      <c r="G8" s="12" t="n">
        <f aca="false">F8/px-1</f>
        <v>-0.122373638662005</v>
      </c>
    </row>
    <row r="9" customFormat="false" ht="17.15" hidden="false" customHeight="false" outlineLevel="0" collapsed="false">
      <c r="A9" s="0" t="s">
        <v>491</v>
      </c>
      <c r="B9" s="0" t="n">
        <f aca="false">pb_3</f>
        <v>3.3</v>
      </c>
      <c r="C9" s="0" t="s">
        <v>492</v>
      </c>
      <c r="D9" s="0" t="s">
        <v>493</v>
      </c>
      <c r="E9" s="16" t="n">
        <f aca="false">Y!D24</f>
        <v>945093.887865853</v>
      </c>
      <c r="F9" s="16" t="n">
        <f aca="false">B9*E9</f>
        <v>3118809.82995731</v>
      </c>
      <c r="G9" s="12" t="n">
        <f aca="false">F9/px-1</f>
        <v>0.810104370259613</v>
      </c>
    </row>
    <row r="10" customFormat="false" ht="17.15" hidden="false" customHeight="false" outlineLevel="0" collapsed="false">
      <c r="A10" s="0" t="s">
        <v>487</v>
      </c>
      <c r="B10" s="0" t="n">
        <f aca="false">pb_1</f>
        <v>1</v>
      </c>
      <c r="C10" s="0" t="s">
        <v>492</v>
      </c>
      <c r="D10" s="0" t="s">
        <v>494</v>
      </c>
      <c r="E10" s="16" t="n">
        <f aca="false">Y!F24</f>
        <v>927739.376953559</v>
      </c>
      <c r="F10" s="16" t="n">
        <f aca="false">B10*E10</f>
        <v>927739.376953559</v>
      </c>
      <c r="G10" s="12" t="n">
        <f aca="false">F10/px-1</f>
        <v>-0.461555788187139</v>
      </c>
    </row>
    <row r="11" customFormat="false" ht="17.15" hidden="false" customHeight="false" outlineLevel="0" collapsed="false">
      <c r="A11" s="0" t="s">
        <v>490</v>
      </c>
      <c r="B11" s="0" t="n">
        <f aca="false">pb_2</f>
        <v>1.6</v>
      </c>
      <c r="C11" s="0" t="s">
        <v>492</v>
      </c>
      <c r="D11" s="0" t="s">
        <v>494</v>
      </c>
      <c r="E11" s="16" t="n">
        <f aca="false">Y!F24</f>
        <v>927739.376953559</v>
      </c>
      <c r="F11" s="16" t="n">
        <f aca="false">B11*E11</f>
        <v>1484383.00312569</v>
      </c>
      <c r="G11" s="12" t="n">
        <f aca="false">F11/px-1</f>
        <v>-0.138489261099423</v>
      </c>
    </row>
    <row r="12" customFormat="false" ht="17.15" hidden="false" customHeight="false" outlineLevel="0" collapsed="false">
      <c r="A12" s="0" t="s">
        <v>491</v>
      </c>
      <c r="B12" s="0" t="n">
        <f aca="false">pb_3</f>
        <v>3.3</v>
      </c>
      <c r="C12" s="0" t="s">
        <v>492</v>
      </c>
      <c r="D12" s="0" t="s">
        <v>494</v>
      </c>
      <c r="E12" s="16" t="n">
        <f aca="false">Y!F24</f>
        <v>927739.376953559</v>
      </c>
      <c r="F12" s="16" t="n">
        <f aca="false">B12*E12</f>
        <v>3061539.94394674</v>
      </c>
      <c r="G12" s="12" t="n">
        <f aca="false">F12/px-1</f>
        <v>0.77686589898244</v>
      </c>
    </row>
    <row r="13" customFormat="false" ht="17.15" hidden="false" customHeight="false" outlineLevel="0" collapsed="false">
      <c r="A13" s="0" t="s">
        <v>487</v>
      </c>
      <c r="B13" s="0" t="n">
        <f aca="false">pb_1</f>
        <v>1</v>
      </c>
      <c r="C13" s="0" t="s">
        <v>495</v>
      </c>
      <c r="D13" s="0" t="s">
        <v>493</v>
      </c>
      <c r="E13" s="16" t="n">
        <f aca="false">Y!E24</f>
        <v>1513913.74380574</v>
      </c>
      <c r="F13" s="16" t="n">
        <f aca="false">B13*E13</f>
        <v>1513913.74380574</v>
      </c>
      <c r="G13" s="12" t="n">
        <f aca="false">F13/px-1</f>
        <v>-0.121350119671656</v>
      </c>
    </row>
    <row r="14" customFormat="false" ht="17.15" hidden="false" customHeight="false" outlineLevel="0" collapsed="false">
      <c r="A14" s="0" t="s">
        <v>490</v>
      </c>
      <c r="B14" s="0" t="n">
        <f aca="false">pb_2</f>
        <v>1.6</v>
      </c>
      <c r="C14" s="0" t="s">
        <v>495</v>
      </c>
      <c r="D14" s="0" t="s">
        <v>493</v>
      </c>
      <c r="E14" s="16" t="n">
        <f aca="false">Y!E24</f>
        <v>1513913.74380574</v>
      </c>
      <c r="F14" s="16" t="n">
        <f aca="false">B14*E14</f>
        <v>2422261.99008918</v>
      </c>
      <c r="G14" s="12" t="n">
        <f aca="false">F14/px-1</f>
        <v>0.40583980852535</v>
      </c>
    </row>
    <row r="15" customFormat="false" ht="17.15" hidden="false" customHeight="false" outlineLevel="0" collapsed="false">
      <c r="A15" s="0" t="s">
        <v>491</v>
      </c>
      <c r="B15" s="0" t="n">
        <f aca="false">pb_3</f>
        <v>3.3</v>
      </c>
      <c r="C15" s="0" t="s">
        <v>495</v>
      </c>
      <c r="D15" s="0" t="s">
        <v>493</v>
      </c>
      <c r="E15" s="16" t="n">
        <f aca="false">Y!E24</f>
        <v>1513913.74380574</v>
      </c>
      <c r="F15" s="16" t="n">
        <f aca="false">B15*E15</f>
        <v>4995915.35455893</v>
      </c>
      <c r="G15" s="12" t="n">
        <f aca="false">F15/px-1</f>
        <v>1.89954460508353</v>
      </c>
    </row>
    <row r="16" customFormat="false" ht="17.15" hidden="false" customHeight="false" outlineLevel="0" collapsed="false">
      <c r="A16" s="0" t="s">
        <v>487</v>
      </c>
      <c r="B16" s="0" t="n">
        <f aca="false">pb_1</f>
        <v>1</v>
      </c>
      <c r="C16" s="0" t="s">
        <v>495</v>
      </c>
      <c r="D16" s="0" t="s">
        <v>494</v>
      </c>
      <c r="E16" s="16" t="n">
        <f aca="false">Y!G24</f>
        <v>1174644.70318194</v>
      </c>
      <c r="F16" s="16" t="n">
        <f aca="false">B16*E16</f>
        <v>1174644.70318194</v>
      </c>
      <c r="G16" s="12" t="n">
        <f aca="false">F16/px-1</f>
        <v>-0.318256121194465</v>
      </c>
    </row>
    <row r="17" customFormat="false" ht="17.15" hidden="false" customHeight="false" outlineLevel="0" collapsed="false">
      <c r="A17" s="0" t="s">
        <v>490</v>
      </c>
      <c r="B17" s="0" t="n">
        <f aca="false">pb_2</f>
        <v>1.6</v>
      </c>
      <c r="C17" s="0" t="s">
        <v>495</v>
      </c>
      <c r="D17" s="0" t="s">
        <v>494</v>
      </c>
      <c r="E17" s="16" t="n">
        <f aca="false">Y!G24</f>
        <v>1174644.70318194</v>
      </c>
      <c r="F17" s="16" t="n">
        <f aca="false">B17*E17</f>
        <v>1879431.5250911</v>
      </c>
      <c r="G17" s="12" t="n">
        <f aca="false">F17/px-1</f>
        <v>0.0907902060888564</v>
      </c>
    </row>
    <row r="18" customFormat="false" ht="17.15" hidden="false" customHeight="false" outlineLevel="0" collapsed="false">
      <c r="A18" s="0" t="s">
        <v>491</v>
      </c>
      <c r="B18" s="0" t="n">
        <f aca="false">pb_3</f>
        <v>3.3</v>
      </c>
      <c r="C18" s="0" t="s">
        <v>495</v>
      </c>
      <c r="D18" s="0" t="s">
        <v>494</v>
      </c>
      <c r="E18" s="16" t="n">
        <f aca="false">Y!G24</f>
        <v>1174644.70318194</v>
      </c>
      <c r="F18" s="16" t="n">
        <f aca="false">B18*E18</f>
        <v>3876327.52050039</v>
      </c>
      <c r="G18" s="12" t="n">
        <f aca="false">F18/px-1</f>
        <v>1.24975480005827</v>
      </c>
    </row>
    <row r="19" customFormat="false" ht="15" hidden="false" customHeight="false" outlineLevel="0" collapsed="false">
      <c r="A19" s="0" t="s">
        <v>496</v>
      </c>
      <c r="B19" s="0" t="n">
        <f aca="false">pe_1</f>
        <v>4</v>
      </c>
      <c r="C19" s="0" t="s">
        <v>497</v>
      </c>
      <c r="D19" s="0" t="s">
        <v>493</v>
      </c>
      <c r="E19" s="16" t="n">
        <f aca="false">Y!D25</f>
        <v>555013.676435452</v>
      </c>
      <c r="F19" s="16" t="n">
        <f aca="false">B19*E19</f>
        <v>2220054.70574181</v>
      </c>
      <c r="G19" s="12" t="n">
        <f aca="false">F19/px-1</f>
        <v>0.288482127534421</v>
      </c>
    </row>
    <row r="20" customFormat="false" ht="15" hidden="false" customHeight="false" outlineLevel="0" collapsed="false">
      <c r="A20" s="0" t="s">
        <v>498</v>
      </c>
      <c r="B20" s="0" t="n">
        <f aca="false">pe_2</f>
        <v>8</v>
      </c>
      <c r="C20" s="0" t="s">
        <v>497</v>
      </c>
      <c r="D20" s="0" t="s">
        <v>493</v>
      </c>
      <c r="E20" s="16" t="n">
        <f aca="false">Y!D25</f>
        <v>555013.676435452</v>
      </c>
      <c r="F20" s="16" t="n">
        <f aca="false">B20*E20</f>
        <v>4440109.41148362</v>
      </c>
      <c r="G20" s="12" t="n">
        <f aca="false">F20/px-1</f>
        <v>1.57696425506884</v>
      </c>
    </row>
    <row r="21" customFormat="false" ht="15" hidden="false" customHeight="false" outlineLevel="0" collapsed="false">
      <c r="A21" s="0" t="s">
        <v>499</v>
      </c>
      <c r="B21" s="0" t="n">
        <f aca="false">pe_3</f>
        <v>12</v>
      </c>
      <c r="C21" s="0" t="s">
        <v>497</v>
      </c>
      <c r="D21" s="0" t="s">
        <v>493</v>
      </c>
      <c r="E21" s="16" t="n">
        <f aca="false">Y!D25</f>
        <v>555013.676435452</v>
      </c>
      <c r="F21" s="16" t="n">
        <f aca="false">B21*E21</f>
        <v>6660164.11722542</v>
      </c>
      <c r="G21" s="12" t="n">
        <f aca="false">F21/px-1</f>
        <v>2.86544638260326</v>
      </c>
    </row>
    <row r="22" customFormat="false" ht="15" hidden="false" customHeight="false" outlineLevel="0" collapsed="false">
      <c r="A22" s="0" t="s">
        <v>496</v>
      </c>
      <c r="B22" s="0" t="n">
        <f aca="false">pe_1</f>
        <v>4</v>
      </c>
      <c r="C22" s="0" t="s">
        <v>497</v>
      </c>
      <c r="D22" s="0" t="s">
        <v>494</v>
      </c>
      <c r="E22" s="16" t="n">
        <f aca="false">Y!F25</f>
        <v>528989.241604384</v>
      </c>
      <c r="F22" s="16" t="n">
        <f aca="false">B22*E22</f>
        <v>2115956.96641754</v>
      </c>
      <c r="G22" s="12" t="n">
        <f aca="false">F22/px-1</f>
        <v>0.228065563794275</v>
      </c>
    </row>
    <row r="23" customFormat="false" ht="15" hidden="false" customHeight="false" outlineLevel="0" collapsed="false">
      <c r="A23" s="0" t="s">
        <v>498</v>
      </c>
      <c r="B23" s="0" t="n">
        <f aca="false">pe_2</f>
        <v>8</v>
      </c>
      <c r="C23" s="0" t="s">
        <v>497</v>
      </c>
      <c r="D23" s="0" t="s">
        <v>494</v>
      </c>
      <c r="E23" s="16" t="n">
        <f aca="false">Y!F25</f>
        <v>528989.241604384</v>
      </c>
      <c r="F23" s="16" t="n">
        <f aca="false">B23*E23</f>
        <v>4231913.93283507</v>
      </c>
      <c r="G23" s="12" t="n">
        <f aca="false">F23/px-1</f>
        <v>1.45613112758855</v>
      </c>
    </row>
    <row r="24" customFormat="false" ht="15" hidden="false" customHeight="false" outlineLevel="0" collapsed="false">
      <c r="A24" s="0" t="s">
        <v>499</v>
      </c>
      <c r="B24" s="0" t="n">
        <f aca="false">pe_3</f>
        <v>12</v>
      </c>
      <c r="C24" s="0" t="s">
        <v>497</v>
      </c>
      <c r="D24" s="0" t="s">
        <v>494</v>
      </c>
      <c r="E24" s="16" t="n">
        <f aca="false">Y!F25</f>
        <v>528989.241604384</v>
      </c>
      <c r="F24" s="16" t="n">
        <f aca="false">B24*E24</f>
        <v>6347870.89925261</v>
      </c>
      <c r="G24" s="12" t="n">
        <f aca="false">F24/px-1</f>
        <v>2.68419669138283</v>
      </c>
    </row>
    <row r="25" customFormat="false" ht="15" hidden="false" customHeight="false" outlineLevel="0" collapsed="false">
      <c r="A25" s="0" t="s">
        <v>496</v>
      </c>
      <c r="B25" s="0" t="n">
        <f aca="false">pe_1</f>
        <v>4</v>
      </c>
      <c r="C25" s="0" t="s">
        <v>500</v>
      </c>
      <c r="D25" s="0" t="s">
        <v>493</v>
      </c>
      <c r="E25" s="16" t="n">
        <f aca="false">Y!E25</f>
        <v>716608.259490729</v>
      </c>
      <c r="F25" s="16" t="n">
        <f aca="false">B25*E25</f>
        <v>2866433.03796292</v>
      </c>
      <c r="G25" s="12" t="n">
        <f aca="false">F25/px-1</f>
        <v>0.663629157262284</v>
      </c>
    </row>
    <row r="26" customFormat="false" ht="15" hidden="false" customHeight="false" outlineLevel="0" collapsed="false">
      <c r="A26" s="0" t="s">
        <v>498</v>
      </c>
      <c r="B26" s="0" t="n">
        <f aca="false">pe_2</f>
        <v>8</v>
      </c>
      <c r="C26" s="0" t="s">
        <v>500</v>
      </c>
      <c r="D26" s="0" t="s">
        <v>493</v>
      </c>
      <c r="E26" s="16" t="n">
        <f aca="false">Y!E25</f>
        <v>716608.259490729</v>
      </c>
      <c r="F26" s="16" t="n">
        <f aca="false">B26*E26</f>
        <v>5732866.07592583</v>
      </c>
      <c r="G26" s="12" t="n">
        <f aca="false">F26/px-1</f>
        <v>2.32725831452457</v>
      </c>
    </row>
    <row r="27" customFormat="false" ht="15" hidden="false" customHeight="false" outlineLevel="0" collapsed="false">
      <c r="A27" s="0" t="s">
        <v>499</v>
      </c>
      <c r="B27" s="0" t="n">
        <f aca="false">pe_3</f>
        <v>12</v>
      </c>
      <c r="C27" s="0" t="s">
        <v>500</v>
      </c>
      <c r="D27" s="0" t="s">
        <v>493</v>
      </c>
      <c r="E27" s="16" t="n">
        <f aca="false">Y!E25</f>
        <v>716608.259490729</v>
      </c>
      <c r="F27" s="16" t="n">
        <f aca="false">B27*E27</f>
        <v>8599299.11388874</v>
      </c>
      <c r="G27" s="12" t="n">
        <f aca="false">F27/px-1</f>
        <v>3.99088747178685</v>
      </c>
    </row>
    <row r="28" customFormat="false" ht="15" hidden="false" customHeight="false" outlineLevel="0" collapsed="false">
      <c r="A28" s="0" t="s">
        <v>496</v>
      </c>
      <c r="B28" s="0" t="n">
        <f aca="false">pe_1</f>
        <v>4</v>
      </c>
      <c r="C28" s="0" t="s">
        <v>500</v>
      </c>
      <c r="D28" s="0" t="s">
        <v>494</v>
      </c>
      <c r="E28" s="16" t="n">
        <f aca="false">Y!G25</f>
        <v>304212.835583793</v>
      </c>
      <c r="F28" s="16" t="n">
        <f aca="false">B28*E28</f>
        <v>1216851.34233517</v>
      </c>
      <c r="G28" s="12" t="n">
        <f aca="false">F28/px-1</f>
        <v>-0.293760103113655</v>
      </c>
    </row>
    <row r="29" customFormat="false" ht="15" hidden="false" customHeight="false" outlineLevel="0" collapsed="false">
      <c r="A29" s="0" t="s">
        <v>498</v>
      </c>
      <c r="B29" s="0" t="n">
        <f aca="false">pe_2</f>
        <v>8</v>
      </c>
      <c r="C29" s="0" t="s">
        <v>500</v>
      </c>
      <c r="D29" s="0" t="s">
        <v>494</v>
      </c>
      <c r="E29" s="16" t="n">
        <f aca="false">Y!G25</f>
        <v>304212.835583793</v>
      </c>
      <c r="F29" s="16" t="n">
        <f aca="false">B29*E29</f>
        <v>2433702.68467034</v>
      </c>
      <c r="G29" s="12" t="n">
        <f aca="false">F29/px-1</f>
        <v>0.41247979377269</v>
      </c>
    </row>
    <row r="30" customFormat="false" ht="15" hidden="false" customHeight="false" outlineLevel="0" collapsed="false">
      <c r="A30" s="0" t="s">
        <v>499</v>
      </c>
      <c r="B30" s="0" t="n">
        <f aca="false">pe_3</f>
        <v>12</v>
      </c>
      <c r="C30" s="0" t="s">
        <v>500</v>
      </c>
      <c r="D30" s="0" t="s">
        <v>494</v>
      </c>
      <c r="E30" s="16" t="n">
        <f aca="false">Y!G25</f>
        <v>304212.835583793</v>
      </c>
      <c r="F30" s="16" t="n">
        <f aca="false">B30*E30</f>
        <v>3650554.02700552</v>
      </c>
      <c r="G30" s="12" t="n">
        <f aca="false">F30/px-1</f>
        <v>1.11871969065903</v>
      </c>
    </row>
    <row r="32" customFormat="false" ht="17.15" hidden="false" customHeight="false" outlineLevel="0" collapsed="false">
      <c r="A32" s="6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5" style="0" width="30"/>
  </cols>
  <sheetData>
    <row r="1" customFormat="false" ht="17.15" hidden="false" customHeight="false" outlineLevel="0" collapsed="false">
      <c r="A1" s="0" t="s">
        <v>502</v>
      </c>
    </row>
    <row r="3" customFormat="false" ht="17.15" hidden="false" customHeight="false" outlineLevel="0" collapsed="false">
      <c r="A3" s="5" t="s">
        <v>503</v>
      </c>
      <c r="B3" s="5" t="s">
        <v>504</v>
      </c>
      <c r="C3" s="9" t="s">
        <v>505</v>
      </c>
      <c r="D3" s="5" t="s">
        <v>506</v>
      </c>
      <c r="E3" s="5" t="s">
        <v>377</v>
      </c>
    </row>
    <row r="4" customFormat="false" ht="15" hidden="false" customHeight="false" outlineLevel="0" collapsed="false">
      <c r="A4" s="6" t="s">
        <v>20</v>
      </c>
      <c r="B4" s="0" t="s">
        <v>507</v>
      </c>
      <c r="C4" s="13" t="n">
        <f aca="false">((Y!C5*(1+cb27)*(1+cp27_A))+(MIN(Mkt!D14,Mkt!C14*(1+hbm_sup27))*hbm_p26*(1+hbm_p27_A)*sh27*fx/1000)+(Y!C7*(1+nb27)*(1+np27_A))+other_y)-((Y!C12-da_cogs*Y!C10)*Y!D11*(1-costdn_y)+da_cogs*Y!D10)-(opex_fix*4*(1+opex_g)+opex_var*((Y!C5*(1+cb27)*(1+cp27_A))+(MIN(Mkt!D14,Mkt!C14*(1+hbm_sup27))*hbm_p26*(1+hbm_p27_A)*sh27*fx/1000)+(Y!C7*(1+nb27)*(1+np27_A))+other_y))</f>
        <v>442.17284560125</v>
      </c>
      <c r="D4" s="12" t="n">
        <f aca="false">C4/C$4-1</f>
        <v>0</v>
      </c>
    </row>
    <row r="5" customFormat="false" ht="17.15" hidden="false" customHeight="false" outlineLevel="0" collapsed="false">
      <c r="A5" s="6" t="s">
        <v>508</v>
      </c>
      <c r="B5" s="0" t="s">
        <v>509</v>
      </c>
      <c r="C5" s="13" t="n">
        <f aca="false">((Y!C5*(1+cb27)*(1+cp27_A_lo))+(MIN(Mkt!D14,Mkt!C14*(1+hbm_sup27))*hbm_p26*(1+hbm_p27_A)*sh27*fx/1000)+(Y!C7*(1+nb27)*(1+np27_A))+other_y)-((Y!C12-da_cogs*Y!C10)*Y!D11*(1-costdn_y)+da_cogs*Y!D10)-(opex_fix*4*(1+opex_g)+opex_var*((Y!C5*(1+cb27)*(1+cp27_A_lo))+(MIN(Mkt!D14,Mkt!C14*(1+hbm_sup27))*hbm_p26*(1+hbm_p27_A)*sh27*fx/1000)+(Y!C7*(1+nb27)*(1+np27_A))+other_y))</f>
        <v>408.916463911783</v>
      </c>
      <c r="D5" s="12" t="n">
        <f aca="false">C5/C$4-1</f>
        <v>-0.0752112709324022</v>
      </c>
    </row>
    <row r="6" customFormat="false" ht="17.15" hidden="false" customHeight="false" outlineLevel="0" collapsed="false">
      <c r="A6" s="6" t="s">
        <v>510</v>
      </c>
      <c r="B6" s="0" t="s">
        <v>511</v>
      </c>
      <c r="C6" s="13" t="n">
        <f aca="false">((Y!C5*(1+cb27)*(1+cp27_A_hi))+(MIN(Mkt!D14,Mkt!C14*(1+hbm_sup27))*hbm_p26*(1+hbm_p27_A)*sh27*fx/1000)+(Y!C7*(1+nb27)*(1+np27_A))+other_y)-((Y!C12-da_cogs*Y!C10)*Y!D11*(1-costdn_y)+da_cogs*Y!D10)-(opex_fix*4*(1+opex_g)+opex_var*((Y!C5*(1+cb27)*(1+cp27_A_hi))+(MIN(Mkt!D14,Mkt!C14*(1+hbm_sup27))*hbm_p26*(1+hbm_p27_A)*sh27*fx/1000)+(Y!C7*(1+nb27)*(1+np27_A))+other_y))</f>
        <v>475.429227290716</v>
      </c>
      <c r="D6" s="12" t="n">
        <f aca="false">C6/C$4-1</f>
        <v>0.0752112709324022</v>
      </c>
    </row>
    <row r="7" customFormat="false" ht="17.15" hidden="false" customHeight="false" outlineLevel="0" collapsed="false">
      <c r="A7" s="0" t="s">
        <v>512</v>
      </c>
      <c r="B7" s="0" t="s">
        <v>513</v>
      </c>
      <c r="C7" s="13" t="n">
        <f aca="false">((Y!C5*(1+cb27)*(1+cp27_A))+(MIN(Mkt!D14,Mkt!C14*(1+hbm_sup27))*hbm_p26*(1+hbm_p27_A_lo)*sh27*fx/1000)+(Y!C7*(1+nb27)*(1+np27_A))+other_y)-((Y!C12-da_cogs*Y!C10)*Y!D11*(1-costdn_y)+da_cogs*Y!D10)-(opex_fix*4*(1+opex_g)+opex_var*((Y!C5*(1+cb27)*(1+cp27_A))+(MIN(Mkt!D14,Mkt!C14*(1+hbm_sup27))*hbm_p26*(1+hbm_p27_A_lo)*sh27*fx/1000)+(Y!C7*(1+nb27)*(1+np27_A))+other_y))</f>
        <v>421.738266107084</v>
      </c>
      <c r="D7" s="12" t="n">
        <f aca="false">C7/C$4-1</f>
        <v>-0.0462140081586859</v>
      </c>
    </row>
    <row r="8" customFormat="false" ht="17.15" hidden="false" customHeight="false" outlineLevel="0" collapsed="false">
      <c r="A8" s="0" t="s">
        <v>514</v>
      </c>
      <c r="B8" s="0" t="s">
        <v>515</v>
      </c>
      <c r="C8" s="13" t="n">
        <f aca="false">((Y!C5*(1+cb27)*(1+cp27_A))+(MIN(Mkt!D14,Mkt!C14*(1+hbm_sup27))*hbm_p26*(1+hbm_p27_A_hi)*sh27*fx/1000)+(Y!C7*(1+nb27)*(1+np27_A))+other_y)-((Y!C12-da_cogs*Y!C10)*Y!D11*(1-costdn_y)+da_cogs*Y!D10)-(opex_fix*4*(1+opex_g)+opex_var*((Y!C5*(1+cb27)*(1+cp27_A))+(MIN(Mkt!D14,Mkt!C14*(1+hbm_sup27))*hbm_p26*(1+hbm_p27_A_hi)*sh27*fx/1000)+(Y!C7*(1+nb27)*(1+np27_A))+other_y))</f>
        <v>462.120887488411</v>
      </c>
      <c r="D8" s="12" t="n">
        <f aca="false">C8/C$4-1</f>
        <v>0.0451136746310983</v>
      </c>
    </row>
    <row r="9" customFormat="false" ht="17.15" hidden="false" customHeight="false" outlineLevel="0" collapsed="false">
      <c r="A9" s="0" t="s">
        <v>516</v>
      </c>
      <c r="B9" s="0" t="s">
        <v>517</v>
      </c>
      <c r="C9" s="13" t="n">
        <f aca="false">((Y!C5*(1+cb27)*(1+cp27_A))+(MIN(Mkt!D14,Mkt!C14*(1+hbm_sup27))*hbm_p26*(1+hbm_p27_A)*sh27_lo*fx/1000)+(Y!C7*(1+nb27)*(1+np27_A))+other_y)-((Y!C12-da_cogs*Y!C10)*Y!D11*(1-costdn_y)+da_cogs*Y!D10)-(opex_fix*4*(1+opex_g)+opex_var*((Y!C5*(1+cb27)*(1+cp27_A))+(MIN(Mkt!D14,Mkt!C14*(1+hbm_sup27))*hbm_p26*(1+hbm_p27_A)*sh27_lo*fx/1000)+(Y!C7*(1+nb27)*(1+np27_A))+other_y))</f>
        <v>433.832200909753</v>
      </c>
      <c r="D9" s="12" t="n">
        <f aca="false">C9/C$4-1</f>
        <v>-0.018862860472933</v>
      </c>
    </row>
    <row r="10" customFormat="false" ht="17.15" hidden="false" customHeight="false" outlineLevel="0" collapsed="false">
      <c r="A10" s="0" t="s">
        <v>518</v>
      </c>
      <c r="B10" s="0" t="s">
        <v>519</v>
      </c>
      <c r="C10" s="13" t="n">
        <f aca="false">((Y!C5*(1+cb27)*(1+cp27_A))+(MIN(Mkt!D14,Mkt!C14*(1+hbm_sup27))*hbm_p26*(1+hbm_p27_A)*sh27_hi*fx/1000)+(Y!C7*(1+nb27)*(1+np27_A))+other_y)-((Y!C12-da_cogs*Y!C10)*Y!D11*(1-costdn_y)+da_cogs*Y!D10)-(opex_fix*4*(1+opex_g)+opex_var*((Y!C5*(1+cb27)*(1+cp27_A))+(MIN(Mkt!D14,Mkt!C14*(1+hbm_sup27))*hbm_p26*(1+hbm_p27_A)*sh27_hi*fx/1000)+(Y!C7*(1+nb27)*(1+np27_A))+other_y))</f>
        <v>454.683812638494</v>
      </c>
      <c r="D10" s="12" t="n">
        <f aca="false">C10/C$4-1</f>
        <v>0.0282942907093995</v>
      </c>
    </row>
    <row r="11" customFormat="false" ht="17.15" hidden="false" customHeight="false" outlineLevel="0" collapsed="false">
      <c r="A11" s="0" t="s">
        <v>520</v>
      </c>
      <c r="B11" s="0" t="s">
        <v>521</v>
      </c>
      <c r="C11" s="13" t="n">
        <f aca="false">((Y!C5*(1+cb27)*(1+cp27_A))+(MIN(Mkt!D14,Mkt!C14*(1+hbm_sup27_lo))*hbm_p26*(1+hbm_p27_A)*sh27*fx/1000)+(Y!C7*(1+nb27)*(1+np27_A))+other_y)-((Y!C12-da_cogs*Y!C10)*Y!D11*(1-costdn_y)+da_cogs*Y!D10)-(opex_fix*4*(1+opex_g)+opex_var*((Y!C5*(1+cb27)*(1+cp27_A))+(MIN(Mkt!D14,Mkt!C14*(1+hbm_sup27_lo))*hbm_p26*(1+hbm_p27_A)*sh27*fx/1000)+(Y!C7*(1+nb27)*(1+np27_A))+other_y))</f>
        <v>439.347788528323</v>
      </c>
      <c r="D11" s="12" t="n">
        <f aca="false">C11/C$4-1</f>
        <v>-0.00638903338599339</v>
      </c>
    </row>
    <row r="12" customFormat="false" ht="17.15" hidden="false" customHeight="false" outlineLevel="0" collapsed="false">
      <c r="A12" s="0" t="s">
        <v>522</v>
      </c>
      <c r="B12" s="0" t="s">
        <v>523</v>
      </c>
      <c r="C12" s="13" t="n">
        <f aca="false">((Y!C5*(1+cb27)*(1+cp27_A))+(MIN(Mkt!D14,Mkt!C14*(1+hbm_sup27_hi))*hbm_p26*(1+hbm_p27_A)*sh27*fx/1000)+(Y!C7*(1+nb27)*(1+np27_A))+other_y)-((Y!C12-da_cogs*Y!C10)*Y!D11*(1-costdn_y)+da_cogs*Y!D10)-(opex_fix*4*(1+opex_g)+opex_var*((Y!C5*(1+cb27)*(1+cp27_A))+(MIN(Mkt!D14,Mkt!C14*(1+hbm_sup27_hi))*hbm_p26*(1+hbm_p27_A)*sh27*fx/1000)+(Y!C7*(1+nb27)*(1+np27_A))+other_y))</f>
        <v>446.692936917931</v>
      </c>
      <c r="D12" s="12" t="n">
        <f aca="false">C12/C$4-1</f>
        <v>0.0102224534175894</v>
      </c>
    </row>
    <row r="13" customFormat="false" ht="17.15" hidden="false" customHeight="false" outlineLevel="0" collapsed="false">
      <c r="A13" s="6" t="s">
        <v>524</v>
      </c>
      <c r="B13" s="0" t="s">
        <v>525</v>
      </c>
      <c r="C13" s="13" t="n">
        <f aca="false">((Y!C5*(1+cb27_lo)*(1+cp27_A))+(MIN(Mkt!D14,Mkt!C14*(1+hbm_sup27))*hbm_p26*(1+hbm_p27_A)*sh27*fx/1000)+(Y!C7*(1+nb27)*(1+np27_A))+other_y)-((Y!C12-da_cogs*Y!C10)*Y!D11*(1-costdn_y)+da_cogs*Y!D10)-(opex_fix*4*(1+opex_g)+opex_var*((Y!C5*(1+cb27_lo)*(1+cp27_A))+(MIN(Mkt!D14,Mkt!C14*(1+hbm_sup27))*hbm_p26*(1+hbm_p27_A)*sh27*fx/1000)+(Y!C7*(1+nb27)*(1+np27_A))+other_y))</f>
        <v>429.071846753884</v>
      </c>
      <c r="D13" s="12" t="n">
        <f aca="false">C13/C$4-1</f>
        <v>-0.029628682488522</v>
      </c>
    </row>
    <row r="14" customFormat="false" ht="17.15" hidden="false" customHeight="false" outlineLevel="0" collapsed="false">
      <c r="A14" s="6" t="s">
        <v>526</v>
      </c>
      <c r="B14" s="0" t="s">
        <v>527</v>
      </c>
      <c r="C14" s="13" t="n">
        <f aca="false">((Y!C5*(1+cb27_hi)*(1+cp27_A))+(MIN(Mkt!D14,Mkt!C14*(1+hbm_sup27))*hbm_p26*(1+hbm_p27_A)*sh27*fx/1000)+(Y!C7*(1+nb27)*(1+np27_A))+other_y)-((Y!C12-da_cogs*Y!C10)*Y!D11*(1-costdn_y)+da_cogs*Y!D10)-(opex_fix*4*(1+opex_g)+opex_var*((Y!C5*(1+cb27_hi)*(1+cp27_A))+(MIN(Mkt!D14,Mkt!C14*(1+hbm_sup27))*hbm_p26*(1+hbm_p27_A)*sh27*fx/1000)+(Y!C7*(1+nb27)*(1+np27_A))+other_y))</f>
        <v>455.273844448615</v>
      </c>
      <c r="D14" s="12" t="n">
        <f aca="false">C14/C$4-1</f>
        <v>0.0296286824885219</v>
      </c>
    </row>
    <row r="15" customFormat="false" ht="17.15" hidden="false" customHeight="false" outlineLevel="0" collapsed="false">
      <c r="A15" s="0" t="s">
        <v>528</v>
      </c>
      <c r="B15" s="0" t="s">
        <v>529</v>
      </c>
      <c r="C15" s="13" t="n">
        <f aca="false">((Y!C5*(1+cb27)*(1+cp27_A))+(MIN(Mkt!D14,Mkt!C14*(1+hbm_sup27))*hbm_p26*(1+hbm_p27_A)*sh27*fx/1000)+(Y!C7*(1+nb27)*(1+np27_A_lo))+other_y)-((Y!C12-da_cogs*Y!C10)*Y!D11*(1-costdn_y)+da_cogs*Y!D10)-(opex_fix*4*(1+opex_g)+opex_var*((Y!C5*(1+cb27)*(1+cp27_A))+(MIN(Mkt!D14,Mkt!C14*(1+hbm_sup27))*hbm_p26*(1+hbm_p27_A)*sh27*fx/1000)+(Y!C7*(1+nb27)*(1+np27_A_lo))+other_y))</f>
        <v>425.088448474767</v>
      </c>
      <c r="D15" s="12" t="n">
        <f aca="false">C15/C$4-1</f>
        <v>-0.0386373729107029</v>
      </c>
    </row>
    <row r="16" customFormat="false" ht="17.15" hidden="false" customHeight="false" outlineLevel="0" collapsed="false">
      <c r="A16" s="0" t="s">
        <v>530</v>
      </c>
      <c r="B16" s="0" t="s">
        <v>531</v>
      </c>
      <c r="C16" s="13" t="n">
        <f aca="false">((Y!C5*(1+cb27)*(1+cp27_A))+(MIN(Mkt!D14,Mkt!C14*(1+hbm_sup27))*hbm_p26*(1+hbm_p27_A)*sh27*fx/1000)+(Y!C7*(1+nb27)*(1+np27_A_hi))+other_y)-((Y!C12-da_cogs*Y!C10)*Y!D11*(1-costdn_y)+da_cogs*Y!D10)-(opex_fix*4*(1+opex_g)+opex_var*((Y!C5*(1+cb27)*(1+cp27_A))+(MIN(Mkt!D14,Mkt!C14*(1+hbm_sup27))*hbm_p26*(1+hbm_p27_A)*sh27*fx/1000)+(Y!C7*(1+nb27)*(1+np27_A_hi))+other_y))</f>
        <v>455.237384580324</v>
      </c>
      <c r="D16" s="12" t="n">
        <f aca="false">C16/C$4-1</f>
        <v>0.0295462263434787</v>
      </c>
    </row>
    <row r="17" customFormat="false" ht="17.15" hidden="false" customHeight="false" outlineLevel="0" collapsed="false">
      <c r="A17" s="6" t="s">
        <v>532</v>
      </c>
      <c r="B17" s="0" t="s">
        <v>533</v>
      </c>
      <c r="C17" s="13" t="n">
        <f aca="false">((Y!C5*(1+cb27)*(1+cp27_A))+(MIN(Mkt!D14,Mkt!C14*(1+hbm_sup27))*hbm_p26*(1+hbm_p27_A)*sh27*fx_lo/1000)+(Y!C7*(1+nb27)*(1+np27_A))+other_y)-((Y!C12-da_cogs*Y!C10)*Y!D11*(1-costdn_y)+da_cogs*Y!D10)-(opex_fix*4*(1+opex_g)+opex_var*((Y!C5*(1+cb27)*(1+cp27_A))+(MIN(Mkt!D14,Mkt!C14*(1+hbm_sup27))*hbm_p26*(1+hbm_p27_A)*sh27*fx_lo/1000)+(Y!C7*(1+nb27)*(1+np27_A))+other_y))</f>
        <v>437.855680919384</v>
      </c>
      <c r="D17" s="12" t="n">
        <f aca="false">C17/C$4-1</f>
        <v>-0.0097635228504267</v>
      </c>
      <c r="E17" s="6" t="s">
        <v>534</v>
      </c>
    </row>
    <row r="18" customFormat="false" ht="17.15" hidden="false" customHeight="false" outlineLevel="0" collapsed="false">
      <c r="A18" s="6" t="s">
        <v>535</v>
      </c>
      <c r="B18" s="0" t="s">
        <v>536</v>
      </c>
      <c r="C18" s="13" t="n">
        <f aca="false">((Y!C5*(1+cb27)*(1+cp27_A))+(MIN(Mkt!D14,Mkt!C14*(1+hbm_sup27))*hbm_p26*(1+hbm_p27_A)*sh27*fx_hi/1000)+(Y!C7*(1+nb27)*(1+np27_A))+other_y)-((Y!C12-da_cogs*Y!C10)*Y!D11*(1-costdn_y)+da_cogs*Y!D10)-(opex_fix*4*(1+opex_g)+opex_var*((Y!C5*(1+cb27)*(1+cp27_A))+(MIN(Mkt!D14,Mkt!C14*(1+hbm_sup27))*hbm_p26*(1+hbm_p27_A)*sh27*fx_hi/1000)+(Y!C7*(1+nb27)*(1+np27_A))+other_y))</f>
        <v>447.106748094811</v>
      </c>
      <c r="D18" s="12" t="n">
        <f aca="false">C18/C$4-1</f>
        <v>0.0111583118290588</v>
      </c>
    </row>
    <row r="19" customFormat="false" ht="17.15" hidden="false" customHeight="false" outlineLevel="0" collapsed="false">
      <c r="A19" s="6" t="s">
        <v>537</v>
      </c>
      <c r="B19" s="0" t="s">
        <v>538</v>
      </c>
      <c r="C19" s="13" t="n">
        <f aca="false">((Y!C5*(1+cb27)*(1+cp27_A))+(MIN(Mkt!D14,Mkt!C14*(1+hbm_sup27))*hbm_p26*(1+hbm_p27_A)*sh27*fx/1000)+(Y!C7*(1+nb27)*(1+np27_A))+other_y)-((Y!C12-da_cogs*Y!C10)*Y!D11*(1-costdn_y_lo)+da_cogs*Y!D10)-(opex_fix*4*(1+opex_g)+opex_var*((Y!C5*(1+cb27)*(1+cp27_A))+(MIN(Mkt!D14,Mkt!C14*(1+hbm_sup27))*hbm_p26*(1+hbm_p27_A)*sh27*fx/1000)+(Y!C7*(1+nb27)*(1+np27_A))+other_y))</f>
        <v>439.925671314252</v>
      </c>
      <c r="D19" s="12" t="n">
        <f aca="false">C19/C$4-1</f>
        <v>-0.00508211734246566</v>
      </c>
    </row>
    <row r="20" customFormat="false" ht="17.15" hidden="false" customHeight="false" outlineLevel="0" collapsed="false">
      <c r="A20" s="6" t="s">
        <v>539</v>
      </c>
      <c r="B20" s="0" t="s">
        <v>540</v>
      </c>
      <c r="C20" s="13" t="n">
        <f aca="false">((Y!C5*(1+cb27)*(1+cp27_A))+(MIN(Mkt!D14,Mkt!C14*(1+hbm_sup27))*hbm_p26*(1+hbm_p27_A)*sh27*fx/1000)+(Y!C7*(1+nb27)*(1+np27_A))+other_y)-((Y!C12-da_cogs*Y!C10)*Y!D11*(1-costdn_y_hi)+da_cogs*Y!D10)-(opex_fix*4*(1+opex_g)+opex_var*((Y!C5*(1+cb27)*(1+cp27_A))+(MIN(Mkt!D14,Mkt!C14*(1+hbm_sup27))*hbm_p26*(1+hbm_p27_A)*sh27*fx/1000)+(Y!C7*(1+nb27)*(1+np27_A))+other_y))</f>
        <v>444.420019888247</v>
      </c>
      <c r="D20" s="12" t="n">
        <f aca="false">C20/C$4-1</f>
        <v>0.00508211734246578</v>
      </c>
    </row>
    <row r="22" customFormat="false" ht="17.15" hidden="false" customHeight="false" outlineLevel="0" collapsed="false">
      <c r="A22" s="6" t="s">
        <v>541</v>
      </c>
      <c r="C22" s="17" t="n">
        <f aca="false">C4-Y!D14</f>
        <v>0</v>
      </c>
    </row>
    <row r="24" customFormat="false" ht="17.15" hidden="false" customHeight="false" outlineLevel="0" collapsed="false">
      <c r="A24" s="1" t="s">
        <v>542</v>
      </c>
    </row>
    <row r="25" customFormat="false" ht="15" hidden="false" customHeight="false" outlineLevel="0" collapsed="false">
      <c r="A25" s="6" t="s">
        <v>20</v>
      </c>
      <c r="B25" s="0" t="s">
        <v>507</v>
      </c>
      <c r="C25" s="13" t="n">
        <f aca="false">((Y!F5*(1+cb28)*(1+cp28_B))+(Mkt!E22*Mkt!D27*(1+hbm_p28_B)*sh28*fx/1000)+(Y!F7*(1+nb28)*(1+np28_B))+other_y)-Y!G12-(opex_fix*4*(1+opex_g)^2+opex_var*((Y!F5*(1+cb28)*(1+cp28_B))+(Mkt!E22*Mkt!D27*(1+hbm_p28_B)*sh28*fx/1000)+(Y!F7*(1+nb28)*(1+np28_B))+other_y))</f>
        <v>224.42173841552</v>
      </c>
      <c r="D25" s="12" t="n">
        <f aca="false">C25/C$25-1</f>
        <v>0</v>
      </c>
    </row>
    <row r="26" customFormat="false" ht="17.15" hidden="false" customHeight="false" outlineLevel="0" collapsed="false">
      <c r="A26" s="6" t="s">
        <v>543</v>
      </c>
      <c r="B26" s="0" t="s">
        <v>544</v>
      </c>
      <c r="C26" s="13" t="n">
        <f aca="false">((Y!F5*(1+cb28)*(1+cp28_B_lo))+(Mkt!E22*Mkt!D27*(1+hbm_p28_B)*sh28*fx/1000)+(Y!F7*(1+nb28)*(1+np28_B))+other_y)-Y!G12-(opex_fix*4*(1+opex_g)^2+opex_var*((Y!F5*(1+cb28)*(1+cp28_B_lo))+(Mkt!E22*Mkt!D27*(1+hbm_p28_B)*sh28*fx/1000)+(Y!F7*(1+nb28)*(1+np28_B))+other_y))</f>
        <v>192.551039296448</v>
      </c>
      <c r="D26" s="12" t="n">
        <f aca="false">C26/C$25-1</f>
        <v>-0.142012531157135</v>
      </c>
    </row>
    <row r="27" customFormat="false" ht="17.15" hidden="false" customHeight="false" outlineLevel="0" collapsed="false">
      <c r="A27" s="6" t="s">
        <v>545</v>
      </c>
      <c r="B27" s="0" t="s">
        <v>546</v>
      </c>
      <c r="C27" s="13" t="n">
        <f aca="false">((Y!F5*(1+cb28)*(1+cp28_B_hi))+(Mkt!E22*Mkt!D27*(1+hbm_p28_B)*sh28*fx/1000)+(Y!F7*(1+nb28)*(1+np28_B))+other_y)-Y!G12-(opex_fix*4*(1+opex_g)^2+opex_var*((Y!F5*(1+cb28)*(1+cp28_B_hi))+(Mkt!E22*Mkt!D27*(1+hbm_p28_B)*sh28*fx/1000)+(Y!F7*(1+nb28)*(1+np28_B))+other_y))</f>
        <v>288.163136653665</v>
      </c>
      <c r="D27" s="12" t="n">
        <f aca="false">C27/C$25-1</f>
        <v>0.28402506231427</v>
      </c>
    </row>
    <row r="28" customFormat="false" ht="17.15" hidden="false" customHeight="false" outlineLevel="0" collapsed="false">
      <c r="A28" s="0" t="s">
        <v>547</v>
      </c>
      <c r="B28" s="0" t="s">
        <v>548</v>
      </c>
      <c r="C28" s="13" t="n">
        <f aca="false">((Y!F5*(1+cb28)*(1+cp28_B))+(Mkt!E22*Mkt!D27*(1+hbm_p28_B)*sh28*fx/1000)+(Y!F7*(1+nb28)*(1+np28_B_lo))+other_y)-Y!G12-(opex_fix*4*(1+opex_g)^2+opex_var*((Y!F5*(1+cb28)*(1+cp28_B))+(Mkt!E22*Mkt!D27*(1+hbm_p28_B)*sh28*fx/1000)+(Y!F7*(1+nb28)*(1+np28_B_lo))+other_y))</f>
        <v>216.884504389131</v>
      </c>
      <c r="D28" s="12" t="n">
        <f aca="false">C28/C$25-1</f>
        <v>-0.0335851334171284</v>
      </c>
    </row>
    <row r="29" customFormat="false" ht="17.15" hidden="false" customHeight="false" outlineLevel="0" collapsed="false">
      <c r="A29" s="0" t="s">
        <v>549</v>
      </c>
      <c r="B29" s="0" t="s">
        <v>550</v>
      </c>
      <c r="C29" s="13" t="n">
        <f aca="false">((Y!F5*(1+cb28)*(1+cp28_B))+(Mkt!E22*Mkt!D27*(1+hbm_p28_B)*sh28*fx/1000)+(Y!F7*(1+nb28)*(1+np28_B_hi))+other_y)-Y!G12-(opex_fix*4*(1+opex_g)^2+opex_var*((Y!F5*(1+cb28)*(1+cp28_B))+(Mkt!E22*Mkt!D27*(1+hbm_p28_B)*sh28*fx/1000)+(Y!F7*(1+nb28)*(1+np28_B_hi))+other_y))</f>
        <v>262.107908547466</v>
      </c>
      <c r="D29" s="12" t="n">
        <f aca="false">C29/C$25-1</f>
        <v>0.167925667085643</v>
      </c>
    </row>
    <row r="30" customFormat="false" ht="17.15" hidden="false" customHeight="false" outlineLevel="0" collapsed="false">
      <c r="A30" s="0" t="s">
        <v>551</v>
      </c>
      <c r="B30" s="0" t="s">
        <v>552</v>
      </c>
      <c r="C30" s="13" t="n">
        <f aca="false">((Y!F5*(1+cb28)*(1+cp28_B))+(Mkt!E22*Mkt!D27*(1+hbm_p28_B_lo)*sh28*fx/1000)+(Y!F7*(1+nb28)*(1+np28_B))+other_y)-Y!G12-(opex_fix*4*(1+opex_g)^2+opex_var*((Y!F5*(1+cb28)*(1+cp28_B))+(Mkt!E22*Mkt!D27*(1+hbm_p28_B_lo)*sh28*fx/1000)+(Y!F7*(1+nb28)*(1+np28_B))+other_y))</f>
        <v>206.280836211516</v>
      </c>
      <c r="D30" s="12" t="n">
        <f aca="false">C30/C$25-1</f>
        <v>-0.0808339795069939</v>
      </c>
    </row>
    <row r="31" customFormat="false" ht="17.15" hidden="false" customHeight="false" outlineLevel="0" collapsed="false">
      <c r="A31" s="0" t="s">
        <v>553</v>
      </c>
      <c r="B31" s="0" t="s">
        <v>554</v>
      </c>
      <c r="C31" s="13" t="n">
        <f aca="false">((Y!F5*(1+cb28)*(1+cp28_B))+(Mkt!E22*Mkt!D27*(1+hbm_p28_B_hi)*sh28*fx/1000)+(Y!F7*(1+nb28)*(1+np28_B))+other_y)-Y!G12-(opex_fix*4*(1+opex_g)^2+opex_var*((Y!F5*(1+cb28)*(1+cp28_B))+(Mkt!E22*Mkt!D27*(1+hbm_p28_B_hi)*sh28*fx/1000)+(Y!F7*(1+nb28)*(1+np28_B))+other_y))</f>
        <v>242.562640619524</v>
      </c>
      <c r="D31" s="12" t="n">
        <f aca="false">C31/C$25-1</f>
        <v>0.0808339795069941</v>
      </c>
    </row>
    <row r="32" customFormat="false" ht="17.15" hidden="false" customHeight="false" outlineLevel="0" collapsed="false">
      <c r="A32" s="6" t="s">
        <v>555</v>
      </c>
      <c r="B32" s="0" t="s">
        <v>556</v>
      </c>
      <c r="C32" s="13" t="n">
        <f aca="false">((Y!F5*(1+cb28)*(1+cp28_B_lo))+(Mkt!E22*Mkt!D27*(1+hbm_p28_B_lo)*sh28*fx/1000)+(Y!F7*(1+nb28)*(1+np28_B_lo))+other_y)-Y!G12-(opex_fix*4*(1+opex_g)^2+opex_var*((Y!F5*(1+cb28)*(1+cp28_B_lo))+(Mkt!E22*Mkt!D27*(1+hbm_p28_B_lo)*sh28*fx/1000)+(Y!F7*(1+nb28)*(1+np28_B_lo))+other_y))</f>
        <v>166.872903066054</v>
      </c>
      <c r="D32" s="12" t="n">
        <f aca="false">C32/C$25-1</f>
        <v>-0.256431644081257</v>
      </c>
    </row>
    <row r="34" customFormat="false" ht="17.15" hidden="false" customHeight="false" outlineLevel="0" collapsed="false">
      <c r="A34" s="6" t="s">
        <v>557</v>
      </c>
      <c r="C34" s="17" t="n">
        <f aca="false">C25-Y!G14</f>
        <v>0</v>
      </c>
    </row>
    <row r="35" customFormat="false" ht="17.15" hidden="false" customHeight="false" outlineLevel="0" collapsed="false">
      <c r="A35" s="6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559</v>
      </c>
    </row>
    <row r="3" customFormat="false" ht="17.15" hidden="false" customHeight="false" outlineLevel="0" collapsed="false">
      <c r="A3" s="5" t="s">
        <v>17</v>
      </c>
      <c r="B3" s="5" t="s">
        <v>560</v>
      </c>
      <c r="C3" s="5" t="s">
        <v>561</v>
      </c>
      <c r="D3" s="5" t="s">
        <v>562</v>
      </c>
      <c r="E3" s="5" t="s">
        <v>563</v>
      </c>
      <c r="F3" s="5" t="s">
        <v>564</v>
      </c>
      <c r="G3" s="5" t="s">
        <v>565</v>
      </c>
    </row>
    <row r="4" customFormat="false" ht="15" hidden="false" customHeight="false" outlineLevel="0" collapsed="false">
      <c r="A4" s="6" t="s">
        <v>433</v>
      </c>
      <c r="B4" s="13" t="n">
        <f aca="false">Y!C4</f>
        <v>341.319230479856</v>
      </c>
      <c r="C4" s="7" t="n">
        <v>344.2</v>
      </c>
      <c r="D4" s="13" t="n">
        <f aca="false">Y!D4</f>
        <v>535.12997142414</v>
      </c>
      <c r="E4" s="13" t="n">
        <f aca="false">Y!F4</f>
        <v>516.116107498517</v>
      </c>
      <c r="F4" s="7" t="n">
        <v>531.3</v>
      </c>
      <c r="G4" s="8" t="s">
        <v>566</v>
      </c>
    </row>
    <row r="5" customFormat="false" ht="17.15" hidden="false" customHeight="false" outlineLevel="0" collapsed="false">
      <c r="A5" s="6" t="s">
        <v>439</v>
      </c>
      <c r="B5" s="13" t="n">
        <f aca="false">Y!C14</f>
        <v>265.876578074485</v>
      </c>
      <c r="C5" s="7" t="n">
        <v>266.1</v>
      </c>
      <c r="D5" s="13" t="n">
        <f aca="false">Y!D14</f>
        <v>442.17284560125</v>
      </c>
      <c r="E5" s="13" t="n">
        <f aca="false">Y!F14</f>
        <v>424.052633280131</v>
      </c>
      <c r="F5" s="7" t="n">
        <v>417.2</v>
      </c>
      <c r="G5" s="8" t="s">
        <v>567</v>
      </c>
    </row>
    <row r="6" customFormat="false" ht="15" hidden="false" customHeight="false" outlineLevel="0" collapsed="false">
      <c r="A6" s="6" t="s">
        <v>441</v>
      </c>
      <c r="B6" s="13" t="n">
        <f aca="false">Y!C16</f>
        <v>264.956155117354</v>
      </c>
      <c r="C6" s="7" t="n">
        <v>256.3</v>
      </c>
      <c r="D6" s="13" t="n">
        <f aca="false">Y!D16</f>
        <v>343.239349301769</v>
      </c>
      <c r="E6" s="13" t="n">
        <f aca="false">Y!F16</f>
        <v>329.286785814508</v>
      </c>
      <c r="F6" s="7" t="n">
        <v>336.2</v>
      </c>
      <c r="G6" s="8" t="s">
        <v>568</v>
      </c>
    </row>
    <row r="7" customFormat="false" ht="17.15" hidden="false" customHeight="false" outlineLevel="0" collapsed="false">
      <c r="A7" s="0" t="s">
        <v>569</v>
      </c>
      <c r="B7" s="13" t="n">
        <f aca="false">Y!C6</f>
        <v>40.7798730248</v>
      </c>
      <c r="C7" s="7" t="n">
        <v>45.7</v>
      </c>
      <c r="D7" s="13" t="n">
        <f aca="false">Y!D6</f>
        <v>91.895875404732</v>
      </c>
      <c r="E7" s="13" t="n">
        <f aca="false">Y!F6</f>
        <v>91.895875404732</v>
      </c>
      <c r="G7" s="8" t="s">
        <v>570</v>
      </c>
    </row>
    <row r="9" customFormat="false" ht="17.15" hidden="false" customHeight="false" outlineLevel="0" collapsed="false">
      <c r="A9" s="0" t="s">
        <v>571</v>
      </c>
      <c r="B9" s="13" t="n">
        <f aca="false">Q!H4</f>
        <v>96.311345015</v>
      </c>
      <c r="C9" s="7" t="n">
        <v>94.1</v>
      </c>
    </row>
    <row r="10" customFormat="false" ht="17.15" hidden="false" customHeight="false" outlineLevel="0" collapsed="false">
      <c r="A10" s="0" t="s">
        <v>572</v>
      </c>
      <c r="B10" s="13" t="n">
        <f aca="false">Q!H10</f>
        <v>76.086391971295</v>
      </c>
      <c r="C10" s="7" t="n">
        <v>76.1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4" min="4" style="0" width="100"/>
  </cols>
  <sheetData>
    <row r="1" customFormat="false" ht="17.15" hidden="false" customHeight="false" outlineLevel="0" collapsed="false">
      <c r="A1" s="1" t="s">
        <v>573</v>
      </c>
    </row>
    <row r="3" customFormat="false" ht="17.15" hidden="false" customHeight="false" outlineLevel="0" collapsed="false">
      <c r="A3" s="6" t="s">
        <v>574</v>
      </c>
      <c r="B3" s="0" t="n">
        <f aca="false">nv_hbm</f>
        <v>4.46</v>
      </c>
      <c r="C3" s="0" t="s">
        <v>191</v>
      </c>
      <c r="D3" s="0" t="s">
        <v>575</v>
      </c>
    </row>
    <row r="4" customFormat="false" ht="17.15" hidden="false" customHeight="false" outlineLevel="0" collapsed="false">
      <c r="A4" s="6" t="s">
        <v>576</v>
      </c>
      <c r="B4" s="0" t="str">
        <f aca="false">TEXT(Mkt!C18,"0")&amp;" ／ "&amp;TEXT(Mkt!D18,"0")</f>
        <v>216 ／ 260</v>
      </c>
      <c r="C4" s="0" t="s">
        <v>48</v>
      </c>
      <c r="D4" s="0" t="s">
        <v>577</v>
      </c>
    </row>
    <row r="5" customFormat="false" ht="17.15" hidden="false" customHeight="false" outlineLevel="0" collapsed="false">
      <c r="A5" s="0" t="s">
        <v>578</v>
      </c>
      <c r="B5" s="0" t="str">
        <f aca="false">TEXT(Mkt!C28,"0")&amp;" ／ "&amp;TEXT(Mkt!D28,"0")</f>
        <v>55 ／ 154</v>
      </c>
      <c r="C5" s="0" t="s">
        <v>186</v>
      </c>
      <c r="D5" s="0" t="s">
        <v>577</v>
      </c>
    </row>
    <row r="6" customFormat="false" ht="17.15" hidden="false" customHeight="false" outlineLevel="0" collapsed="false">
      <c r="A6" s="0" t="s">
        <v>579</v>
      </c>
      <c r="B6" s="6" t="s">
        <v>580</v>
      </c>
      <c r="C6" s="0" t="s">
        <v>507</v>
      </c>
      <c r="D6" s="6" t="s">
        <v>581</v>
      </c>
    </row>
    <row r="7" customFormat="false" ht="17.15" hidden="false" customHeight="false" outlineLevel="0" collapsed="false">
      <c r="A7" s="0" t="s">
        <v>582</v>
      </c>
      <c r="B7" s="11" t="n">
        <f aca="false">Mkt!D23</f>
        <v>1.23255275</v>
      </c>
      <c r="C7" s="8" t="s">
        <v>389</v>
      </c>
      <c r="D7" s="6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584</v>
      </c>
    </row>
    <row r="2" customFormat="false" ht="17.15" hidden="false" customHeight="false" outlineLevel="0" collapsed="false">
      <c r="A2" s="0" t="s">
        <v>585</v>
      </c>
      <c r="B2" s="0" t="s">
        <v>586</v>
      </c>
    </row>
    <row r="3" customFormat="false" ht="17.15" hidden="false" customHeight="false" outlineLevel="0" collapsed="false">
      <c r="A3" s="0" t="s">
        <v>587</v>
      </c>
      <c r="B3" s="0" t="s">
        <v>588</v>
      </c>
    </row>
    <row r="4" customFormat="false" ht="17.15" hidden="false" customHeight="false" outlineLevel="0" collapsed="false">
      <c r="A4" s="0" t="s">
        <v>589</v>
      </c>
      <c r="B4" s="0" t="s">
        <v>590</v>
      </c>
    </row>
    <row r="5" customFormat="false" ht="17.15" hidden="false" customHeight="false" outlineLevel="0" collapsed="false">
      <c r="A5" s="0" t="s">
        <v>591</v>
      </c>
      <c r="B5" s="0" t="s">
        <v>592</v>
      </c>
    </row>
    <row r="6" customFormat="false" ht="17.15" hidden="false" customHeight="false" outlineLevel="0" collapsed="false">
      <c r="A6" s="0" t="s">
        <v>593</v>
      </c>
      <c r="B6" s="0" t="s">
        <v>594</v>
      </c>
    </row>
    <row r="7" customFormat="false" ht="17.15" hidden="false" customHeight="false" outlineLevel="0" collapsed="false">
      <c r="A7" s="0" t="s">
        <v>595</v>
      </c>
      <c r="B7" s="0" t="s">
        <v>596</v>
      </c>
    </row>
    <row r="8" customFormat="false" ht="17.15" hidden="false" customHeight="false" outlineLevel="0" collapsed="false">
      <c r="A8" s="0" t="s">
        <v>597</v>
      </c>
      <c r="B8" s="0" t="s">
        <v>598</v>
      </c>
    </row>
    <row r="9" customFormat="false" ht="17.15" hidden="false" customHeight="false" outlineLevel="0" collapsed="false">
      <c r="A9" s="0" t="s">
        <v>599</v>
      </c>
      <c r="B9" s="0" t="s">
        <v>600</v>
      </c>
    </row>
    <row r="10" customFormat="false" ht="17.15" hidden="false" customHeight="false" outlineLevel="0" collapsed="false">
      <c r="A10" s="0" t="s">
        <v>601</v>
      </c>
      <c r="B10" s="0" t="s">
        <v>602</v>
      </c>
    </row>
    <row r="11" customFormat="false" ht="17.15" hidden="false" customHeight="false" outlineLevel="0" collapsed="false">
      <c r="A11" s="0" t="s">
        <v>603</v>
      </c>
      <c r="B11" s="0" t="s">
        <v>604</v>
      </c>
    </row>
    <row r="12" customFormat="false" ht="17.15" hidden="false" customHeight="false" outlineLevel="0" collapsed="false">
      <c r="A12" s="0" t="s">
        <v>605</v>
      </c>
      <c r="B12" s="0" t="s">
        <v>606</v>
      </c>
    </row>
    <row r="13" customFormat="false" ht="17.15" hidden="false" customHeight="false" outlineLevel="0" collapsed="false">
      <c r="A13" s="0" t="s">
        <v>607</v>
      </c>
      <c r="B13" s="0" t="s">
        <v>608</v>
      </c>
    </row>
    <row r="14" customFormat="false" ht="17.15" hidden="false" customHeight="false" outlineLevel="0" collapsed="false">
      <c r="A14" s="0" t="s">
        <v>609</v>
      </c>
      <c r="B14" s="0" t="s">
        <v>610</v>
      </c>
    </row>
    <row r="15" customFormat="false" ht="17.15" hidden="false" customHeight="false" outlineLevel="0" collapsed="false">
      <c r="A15" s="0" t="s">
        <v>611</v>
      </c>
      <c r="B15" s="0" t="s">
        <v>612</v>
      </c>
    </row>
    <row r="16" customFormat="false" ht="17.15" hidden="false" customHeight="false" outlineLevel="0" collapsed="false">
      <c r="A16" s="0" t="s">
        <v>613</v>
      </c>
      <c r="B16" s="0" t="s">
        <v>614</v>
      </c>
    </row>
    <row r="17" customFormat="false" ht="17.15" hidden="false" customHeight="false" outlineLevel="0" collapsed="false">
      <c r="A17" s="0" t="s">
        <v>615</v>
      </c>
      <c r="B17" s="0" t="s">
        <v>616</v>
      </c>
    </row>
    <row r="18" customFormat="false" ht="17.15" hidden="false" customHeight="false" outlineLevel="0" collapsed="false">
      <c r="A18" s="0" t="s">
        <v>617</v>
      </c>
      <c r="B18" s="0" t="s">
        <v>618</v>
      </c>
    </row>
    <row r="19" customFormat="false" ht="17.15" hidden="false" customHeight="false" outlineLevel="0" collapsed="false">
      <c r="A19" s="0" t="s">
        <v>619</v>
      </c>
      <c r="B19" s="0" t="s">
        <v>620</v>
      </c>
    </row>
    <row r="20" customFormat="false" ht="17.15" hidden="false" customHeight="false" outlineLevel="0" collapsed="false">
      <c r="A20" s="0" t="s">
        <v>621</v>
      </c>
      <c r="B20" s="0" t="s">
        <v>622</v>
      </c>
    </row>
    <row r="21" customFormat="false" ht="17.15" hidden="false" customHeight="false" outlineLevel="0" collapsed="false">
      <c r="A21" s="0" t="s">
        <v>623</v>
      </c>
      <c r="B21" s="0" t="s">
        <v>624</v>
      </c>
    </row>
    <row r="22" customFormat="false" ht="17.15" hidden="false" customHeight="false" outlineLevel="0" collapsed="false">
      <c r="A22" s="0" t="s">
        <v>625</v>
      </c>
      <c r="B22" s="0" t="s">
        <v>626</v>
      </c>
    </row>
    <row r="23" customFormat="false" ht="17.15" hidden="false" customHeight="false" outlineLevel="0" collapsed="false">
      <c r="A23" s="0" t="s">
        <v>627</v>
      </c>
      <c r="B23" s="0" t="s">
        <v>628</v>
      </c>
    </row>
    <row r="24" customFormat="false" ht="17.15" hidden="false" customHeight="false" outlineLevel="0" collapsed="false">
      <c r="A24" s="0" t="s">
        <v>629</v>
      </c>
      <c r="B24" s="0" t="s">
        <v>630</v>
      </c>
    </row>
    <row r="25" customFormat="false" ht="17.15" hidden="false" customHeight="false" outlineLevel="0" collapsed="false">
      <c r="A25" s="0" t="s">
        <v>631</v>
      </c>
      <c r="B25" s="0" t="s">
        <v>632</v>
      </c>
    </row>
    <row r="26" customFormat="false" ht="17.15" hidden="false" customHeight="false" outlineLevel="0" collapsed="false">
      <c r="A26" s="0" t="s">
        <v>633</v>
      </c>
      <c r="B26" s="0" t="s">
        <v>634</v>
      </c>
    </row>
    <row r="27" customFormat="false" ht="17.15" hidden="false" customHeight="false" outlineLevel="0" collapsed="false">
      <c r="A27" s="0" t="s">
        <v>635</v>
      </c>
      <c r="B27" s="0" t="s">
        <v>636</v>
      </c>
    </row>
    <row r="28" customFormat="false" ht="17.15" hidden="false" customHeight="false" outlineLevel="0" collapsed="false">
      <c r="A28" s="0" t="s">
        <v>637</v>
      </c>
      <c r="B28" s="0" t="s">
        <v>638</v>
      </c>
    </row>
    <row r="29" customFormat="false" ht="17.15" hidden="false" customHeight="false" outlineLevel="0" collapsed="false">
      <c r="A29" s="0" t="s">
        <v>639</v>
      </c>
      <c r="B29" s="0" t="s">
        <v>640</v>
      </c>
    </row>
    <row r="30" customFormat="false" ht="17.15" hidden="false" customHeight="false" outlineLevel="0" collapsed="false">
      <c r="A30" s="0" t="s">
        <v>641</v>
      </c>
      <c r="B30" s="0" t="s">
        <v>642</v>
      </c>
    </row>
    <row r="31" customFormat="false" ht="17.15" hidden="false" customHeight="false" outlineLevel="0" collapsed="false">
      <c r="A31" s="0" t="s">
        <v>643</v>
      </c>
      <c r="B31" s="0" t="s">
        <v>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2026-10-08T12:33:40Z</dcterms:created>
  <dc:creator>openpyxl</dc:creator>
  <dc:description/>
  <dc:language>en-US</dc:language>
  <cp:lastModifiedBy/>
  <dcterms:modified xsi:type="dcterms:W3CDTF">2026-10-08T12:33:40Z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