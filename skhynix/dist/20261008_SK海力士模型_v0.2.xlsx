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Path" sheetId="3" state="visible" r:id="rId5"/>
    <sheet name="Mkt" sheetId="4" state="visible" r:id="rId6"/>
    <sheet name="Q" sheetId="5" state="visible" r:id="rId7"/>
    <sheet name="Y" sheetId="6" state="visible" r:id="rId8"/>
    <sheet name="Val" sheetId="7" state="visible" r:id="rId9"/>
    <sheet name="Sens" sheetId="8" state="visible" r:id="rId10"/>
    <sheet name="Recon" sheetId="9" state="visible" r:id="rId11"/>
    <sheet name="Feedback" sheetId="10" state="visible" r:id="rId12"/>
    <sheet name="Sources" sheetId="11" state="visible" r:id="rId13"/>
  </sheets>
  <definedNames>
    <definedName function="false" hidden="false" name="bb_0" vbProcedure="false">In!$E$51</definedName>
    <definedName function="false" hidden="false" name="bb_px" vbProcedure="false">In!$E$58</definedName>
    <definedName function="false" hidden="false" name="bb_sh_0" vbProcedure="false">In!$E$52</definedName>
    <definedName function="false" hidden="false" name="capex_rem" vbProcedure="false">In!$E$54</definedName>
    <definedName function="false" hidden="false" name="cap_0" vbProcedure="false">In!$E$42</definedName>
    <definedName function="false" hidden="false" name="cap_0_hi" vbProcedure="false">In!$F$42</definedName>
    <definedName function="false" hidden="false" name="cap_0_lo" vbProcedure="false">In!$D$42</definedName>
    <definedName function="false" hidden="false" name="cap_1" vbProcedure="false">In!$E$43</definedName>
    <definedName function="false" hidden="false" name="cap_1_hi" vbProcedure="false">In!$F$43</definedName>
    <definedName function="false" hidden="false" name="cap_1_lo" vbProcedure="false">In!$D$43</definedName>
    <definedName function="false" hidden="false" name="cap_2" vbProcedure="false">In!$E$44</definedName>
    <definedName function="false" hidden="false" name="cap_2_hi" vbProcedure="false">In!$F$44</definedName>
    <definedName function="false" hidden="false" name="cap_2_lo" vbProcedure="false">In!$D$44</definedName>
    <definedName function="false" hidden="false" name="cb_1" vbProcedure="false">In!$E$22</definedName>
    <definedName function="false" hidden="false" name="cb_1_hi" vbProcedure="false">In!$F$22</definedName>
    <definedName function="false" hidden="false" name="cb_1_lo" vbProcedure="false">In!$D$22</definedName>
    <definedName function="false" hidden="false" name="cb_2" vbProcedure="false">In!$E$23</definedName>
    <definedName function="false" hidden="false" name="cb_2_hi" vbProcedure="false">In!$F$23</definedName>
    <definedName function="false" hidden="false" name="cb_2_lo" vbProcedure="false">In!$D$23</definedName>
    <definedName function="false" hidden="false" name="costdn_q" vbProcedure="false">In!$E$18</definedName>
    <definedName function="false" hidden="false" name="costdn_q_hi" vbProcedure="false">In!$F$18</definedName>
    <definedName function="false" hidden="false" name="costdn_q_lo" vbProcedure="false">In!$D$18</definedName>
    <definedName function="false" hidden="false" name="costdn_y" vbProcedure="false">In!$E$34</definedName>
    <definedName function="false" hidden="false" name="costdn_y_hi" vbProcedure="false">In!$F$34</definedName>
    <definedName function="false" hidden="false" name="costdn_y_lo" vbProcedure="false">In!$D$34</definedName>
    <definedName function="false" hidden="false" name="cqA_10" vbProcedure="false">In!$E$76</definedName>
    <definedName function="false" hidden="false" name="cqA_11" vbProcedure="false">In!$E$77</definedName>
    <definedName function="false" hidden="false" name="cqA_12" vbProcedure="false">In!$E$78</definedName>
    <definedName function="false" hidden="false" name="cqA_13" vbProcedure="false">In!$E$79</definedName>
    <definedName function="false" hidden="false" name="cqA_14" vbProcedure="false">In!$E$80</definedName>
    <definedName function="false" hidden="false" name="cqA_15" vbProcedure="false">In!$E$81</definedName>
    <definedName function="false" hidden="false" name="cqA_8" vbProcedure="false">In!$E$74</definedName>
    <definedName function="false" hidden="false" name="cqA_9" vbProcedure="false">In!$E$75</definedName>
    <definedName function="false" hidden="false" name="cqB_10" vbProcedure="false">In!$E$84</definedName>
    <definedName function="false" hidden="false" name="cqB_11" vbProcedure="false">In!$E$85</definedName>
    <definedName function="false" hidden="false" name="cqB_12" vbProcedure="false">In!$E$86</definedName>
    <definedName function="false" hidden="false" name="cqB_13" vbProcedure="false">In!$E$87</definedName>
    <definedName function="false" hidden="false" name="cqB_14" vbProcedure="false">In!$E$88</definedName>
    <definedName function="false" hidden="false" name="cqB_15" vbProcedure="false">In!$E$89</definedName>
    <definedName function="false" hidden="false" name="cqB_8" vbProcedure="false">In!$E$82</definedName>
    <definedName function="false" hidden="false" name="cqB_9" vbProcedure="false">In!$E$83</definedName>
    <definedName function="false" hidden="false" name="cqC_10" vbProcedure="false">In!$E$92</definedName>
    <definedName function="false" hidden="false" name="cqC_11" vbProcedure="false">In!$E$93</definedName>
    <definedName function="false" hidden="false" name="cqC_12" vbProcedure="false">In!$E$94</definedName>
    <definedName function="false" hidden="false" name="cqC_13" vbProcedure="false">In!$E$95</definedName>
    <definedName function="false" hidden="false" name="cqC_14" vbProcedure="false">In!$E$96</definedName>
    <definedName function="false" hidden="false" name="cqC_15" vbProcedure="false">In!$E$97</definedName>
    <definedName function="false" hidden="false" name="cqC_8" vbProcedure="false">In!$E$90</definedName>
    <definedName function="false" hidden="false" name="cqC_9" vbProcedure="false">In!$E$91</definedName>
    <definedName function="false" hidden="false" name="cq_1" vbProcedure="false">In!$E$67</definedName>
    <definedName function="false" hidden="false" name="cq_2" vbProcedure="false">In!$E$68</definedName>
    <definedName function="false" hidden="false" name="cq_3" vbProcedure="false">In!$E$69</definedName>
    <definedName function="false" hidden="false" name="cq_4" vbProcedure="false">In!$E$70</definedName>
    <definedName function="false" hidden="false" name="cq_5" vbProcedure="false">In!$E$71</definedName>
    <definedName function="false" hidden="false" name="cq_6" vbProcedure="false">In!$E$72</definedName>
    <definedName function="false" hidden="false" name="cq_7" vbProcedure="false">In!$E$73</definedName>
    <definedName function="false" hidden="false" name="da_cogs" vbProcedure="false">In!$E$36</definedName>
    <definedName function="false" hidden="false" name="da_life" vbProcedure="false">In!$E$35</definedName>
    <definedName function="false" hidden="false" name="da_life_hi" vbProcedure="false">In!$F$35</definedName>
    <definedName function="false" hidden="false" name="da_life_lo" vbProcedure="false">In!$D$35</definedName>
    <definedName function="false" hidden="false" name="da_q3" vbProcedure="false">In!$E$16</definedName>
    <definedName function="false" hidden="false" name="da_q4" vbProcedure="false">In!$E$17</definedName>
    <definedName function="false" hidden="false" name="div_0" vbProcedure="false">In!$E$53</definedName>
    <definedName function="false" hidden="false" name="dps_1" vbProcedure="false">In!$E$55</definedName>
    <definedName function="false" hidden="false" name="dps_2" vbProcedure="false">In!$E$56</definedName>
    <definedName function="false" hidden="false" name="eq_last" vbProcedure="false">In!$E$46</definedName>
    <definedName function="false" hidden="false" name="extra_eq" vbProcedure="false">In!$E$49</definedName>
    <definedName function="false" hidden="false" name="extra_sh" vbProcedure="false">In!$E$50</definedName>
    <definedName function="false" hidden="false" name="fx" vbProcedure="false">In!$E$5</definedName>
    <definedName function="false" hidden="false" name="fx_hi" vbProcedure="false">In!$F$5</definedName>
    <definedName function="false" hidden="false" name="fx_lo" vbProcedure="false">In!$D$5</definedName>
    <definedName function="false" hidden="false" name="g_amd_26" vbProcedure="false">In!$E$157</definedName>
    <definedName function="false" hidden="false" name="g_amd_27" vbProcedure="false">In!$E$158</definedName>
    <definedName function="false" hidden="false" name="g_amd_28" vbProcedure="false">In!$E$159</definedName>
    <definedName function="false" hidden="false" name="g_bw_26" vbProcedure="false">In!$E$133</definedName>
    <definedName function="false" hidden="false" name="g_bw_27" vbProcedure="false">In!$E$134</definedName>
    <definedName function="false" hidden="false" name="g_bw_28" vbProcedure="false">In!$E$135</definedName>
    <definedName function="false" hidden="false" name="g_hp_26" vbProcedure="false">In!$E$151</definedName>
    <definedName function="false" hidden="false" name="g_hp_27" vbProcedure="false">In!$E$152</definedName>
    <definedName function="false" hidden="false" name="g_hp_28" vbProcedure="false">In!$E$153</definedName>
    <definedName function="false" hidden="false" name="g_oth_26" vbProcedure="false">In!$E$175</definedName>
    <definedName function="false" hidden="false" name="g_oth_27" vbProcedure="false">In!$E$176</definedName>
    <definedName function="false" hidden="false" name="g_oth_28" vbProcedure="false">In!$E$177</definedName>
    <definedName function="false" hidden="false" name="g_rb_26" vbProcedure="false">In!$E$139</definedName>
    <definedName function="false" hidden="false" name="g_rb_27" vbProcedure="false">In!$E$140</definedName>
    <definedName function="false" hidden="false" name="g_rb_28" vbProcedure="false">In!$E$141</definedName>
    <definedName function="false" hidden="false" name="g_ru_26" vbProcedure="false">In!$E$145</definedName>
    <definedName function="false" hidden="false" name="g_ru_27" vbProcedure="false">In!$E$146</definedName>
    <definedName function="false" hidden="false" name="g_ru_28" vbProcedure="false">In!$E$147</definedName>
    <definedName function="false" hidden="false" name="g_tpu_26" vbProcedure="false">In!$E$163</definedName>
    <definedName function="false" hidden="false" name="g_tpu_27" vbProcedure="false">In!$E$164</definedName>
    <definedName function="false" hidden="false" name="g_tpu_28" vbProcedure="false">In!$E$165</definedName>
    <definedName function="false" hidden="false" name="g_trn_26" vbProcedure="false">In!$E$169</definedName>
    <definedName function="false" hidden="false" name="g_trn_27" vbProcedure="false">In!$E$170</definedName>
    <definedName function="false" hidden="false" name="g_trn_28" vbProcedure="false">In!$E$171</definedName>
    <definedName function="false" hidden="false" name="hbm_g26" vbProcedure="false">In!$E$180</definedName>
    <definedName function="false" hidden="false" name="hbm_g26_hi" vbProcedure="false">In!$F$180</definedName>
    <definedName function="false" hidden="false" name="hbm_g26_lo" vbProcedure="false">In!$D$180</definedName>
    <definedName function="false" hidden="false" name="hbm_gross" vbProcedure="false">In!$E$181</definedName>
    <definedName function="false" hidden="false" name="hbm_gross_hi" vbProcedure="false">In!$F$181</definedName>
    <definedName function="false" hidden="false" name="hbm_gross_lo" vbProcedure="false">In!$D$181</definedName>
    <definedName function="false" hidden="false" name="hbm_mkt25" vbProcedure="false">In!$E$179</definedName>
    <definedName function="false" hidden="false" name="hbm_mkt25_hi" vbProcedure="false">In!$F$179</definedName>
    <definedName function="false" hidden="false" name="hbm_mkt25_lo" vbProcedure="false">In!$D$179</definedName>
    <definedName function="false" hidden="false" name="hbm_p26" vbProcedure="false">In!$E$184</definedName>
    <definedName function="false" hidden="false" name="hbm_p26_hi" vbProcedure="false">In!$F$184</definedName>
    <definedName function="false" hidden="false" name="hbm_p26_lo" vbProcedure="false">In!$D$184</definedName>
    <definedName function="false" hidden="false" name="hbm_p27" vbProcedure="false">In!$E$185</definedName>
    <definedName function="false" hidden="false" name="hbm_p27_hi" vbProcedure="false">In!$F$185</definedName>
    <definedName function="false" hidden="false" name="hbm_p27_lo" vbProcedure="false">In!$D$185</definedName>
    <definedName function="false" hidden="false" name="hbm_p28_A" vbProcedure="false">In!$E$186</definedName>
    <definedName function="false" hidden="false" name="hbm_p28_A_hi" vbProcedure="false">In!$F$186</definedName>
    <definedName function="false" hidden="false" name="hbm_p28_A_lo" vbProcedure="false">In!$D$186</definedName>
    <definedName function="false" hidden="false" name="hbm_p28_B" vbProcedure="false">In!$E$187</definedName>
    <definedName function="false" hidden="false" name="hbm_p28_B_hi" vbProcedure="false">In!$F$187</definedName>
    <definedName function="false" hidden="false" name="hbm_p28_B_lo" vbProcedure="false">In!$D$187</definedName>
    <definedName function="false" hidden="false" name="hbm_p28_C" vbProcedure="false">In!$E$188</definedName>
    <definedName function="false" hidden="false" name="hbm_p28_C_hi" vbProcedure="false">In!$F$188</definedName>
    <definedName function="false" hidden="false" name="hbm_p28_C_lo" vbProcedure="false">In!$D$188</definedName>
    <definedName function="false" hidden="false" name="hbm_sup27" vbProcedure="false">In!$E$182</definedName>
    <definedName function="false" hidden="false" name="hbm_sup27_hi" vbProcedure="false">In!$F$182</definedName>
    <definedName function="false" hidden="false" name="hbm_sup27_lo" vbProcedure="false">In!$D$182</definedName>
    <definedName function="false" hidden="false" name="hbm_sup28" vbProcedure="false">In!$E$183</definedName>
    <definedName function="false" hidden="false" name="hbm_sup28_hi" vbProcedure="false">In!$F$183</definedName>
    <definedName function="false" hidden="false" name="hbm_sup28_lo" vbProcedure="false">In!$D$183</definedName>
    <definedName function="false" hidden="false" name="nb_1" vbProcedure="false">In!$E$24</definedName>
    <definedName function="false" hidden="false" name="nb_1_hi" vbProcedure="false">In!$F$24</definedName>
    <definedName function="false" hidden="false" name="nb_1_lo" vbProcedure="false">In!$D$24</definedName>
    <definedName function="false" hidden="false" name="nb_2" vbProcedure="false">In!$E$25</definedName>
    <definedName function="false" hidden="false" name="nb_2_hi" vbProcedure="false">In!$F$25</definedName>
    <definedName function="false" hidden="false" name="nb_2_lo" vbProcedure="false">In!$D$25</definedName>
    <definedName function="false" hidden="false" name="nc_last" vbProcedure="false">In!$E$47</definedName>
    <definedName function="false" hidden="false" name="nonop_q" vbProcedure="false">In!$E$20</definedName>
    <definedName function="false" hidden="false" name="nonop_q_hi" vbProcedure="false">In!$F$20</definedName>
    <definedName function="false" hidden="false" name="nonop_q_lo" vbProcedure="false">In!$D$20</definedName>
    <definedName function="false" hidden="false" name="nqA_10" vbProcedure="false">In!$E$107</definedName>
    <definedName function="false" hidden="false" name="nqA_11" vbProcedure="false">In!$E$108</definedName>
    <definedName function="false" hidden="false" name="nqA_12" vbProcedure="false">In!$E$109</definedName>
    <definedName function="false" hidden="false" name="nqA_13" vbProcedure="false">In!$E$110</definedName>
    <definedName function="false" hidden="false" name="nqA_14" vbProcedure="false">In!$E$111</definedName>
    <definedName function="false" hidden="false" name="nqA_15" vbProcedure="false">In!$E$112</definedName>
    <definedName function="false" hidden="false" name="nqA_8" vbProcedure="false">In!$E$105</definedName>
    <definedName function="false" hidden="false" name="nqA_9" vbProcedure="false">In!$E$106</definedName>
    <definedName function="false" hidden="false" name="nqB_10" vbProcedure="false">In!$E$115</definedName>
    <definedName function="false" hidden="false" name="nqB_11" vbProcedure="false">In!$E$116</definedName>
    <definedName function="false" hidden="false" name="nqB_12" vbProcedure="false">In!$E$117</definedName>
    <definedName function="false" hidden="false" name="nqB_13" vbProcedure="false">In!$E$118</definedName>
    <definedName function="false" hidden="false" name="nqB_14" vbProcedure="false">In!$E$119</definedName>
    <definedName function="false" hidden="false" name="nqB_15" vbProcedure="false">In!$E$120</definedName>
    <definedName function="false" hidden="false" name="nqB_8" vbProcedure="false">In!$E$113</definedName>
    <definedName function="false" hidden="false" name="nqB_9" vbProcedure="false">In!$E$114</definedName>
    <definedName function="false" hidden="false" name="nqC_10" vbProcedure="false">In!$E$123</definedName>
    <definedName function="false" hidden="false" name="nqC_11" vbProcedure="false">In!$E$124</definedName>
    <definedName function="false" hidden="false" name="nqC_12" vbProcedure="false">In!$E$125</definedName>
    <definedName function="false" hidden="false" name="nqC_13" vbProcedure="false">In!$E$126</definedName>
    <definedName function="false" hidden="false" name="nqC_14" vbProcedure="false">In!$E$127</definedName>
    <definedName function="false" hidden="false" name="nqC_15" vbProcedure="false">In!$E$128</definedName>
    <definedName function="false" hidden="false" name="nqC_8" vbProcedure="false">In!$E$121</definedName>
    <definedName function="false" hidden="false" name="nqC_9" vbProcedure="false">In!$E$122</definedName>
    <definedName function="false" hidden="false" name="nq_1" vbProcedure="false">In!$E$98</definedName>
    <definedName function="false" hidden="false" name="nq_2" vbProcedure="false">In!$E$99</definedName>
    <definedName function="false" hidden="false" name="nq_3" vbProcedure="false">In!$E$100</definedName>
    <definedName function="false" hidden="false" name="nq_4" vbProcedure="false">In!$E$101</definedName>
    <definedName function="false" hidden="false" name="nq_5" vbProcedure="false">In!$E$102</definedName>
    <definedName function="false" hidden="false" name="nq_6" vbProcedure="false">In!$E$103</definedName>
    <definedName function="false" hidden="false" name="nq_7" vbProcedure="false">In!$E$104</definedName>
    <definedName function="false" hidden="false" name="nv_content" vbProcedure="false">In!$E$191</definedName>
    <definedName function="false" hidden="false" name="nv_content_hi" vbProcedure="false">In!$F$191</definedName>
    <definedName function="false" hidden="false" name="nv_content_lo" vbProcedure="false">In!$D$191</definedName>
    <definedName function="false" hidden="false" name="nv_dc26" vbProcedure="false">In!$E$190</definedName>
    <definedName function="false" hidden="false" name="nv_dc26_hi" vbProcedure="false">In!$F$190</definedName>
    <definedName function="false" hidden="false" name="nv_dc26_lo" vbProcedure="false">In!$D$190</definedName>
    <definedName function="false" hidden="false" name="nv_hbm" vbProcedure="false">In!$E$192</definedName>
    <definedName function="false" hidden="false" name="nv_hbm_hi" vbProcedure="false">In!$F$192</definedName>
    <definedName function="false" hidden="false" name="nv_hbm_lo" vbProcedure="false">In!$D$192</definedName>
    <definedName function="false" hidden="false" name="opex_fix_q" vbProcedure="false">In!$E$19</definedName>
    <definedName function="false" hidden="false" name="opex_fix_y" vbProcedure="false">In!$E$37</definedName>
    <definedName function="false" hidden="false" name="opex_g" vbProcedure="false">In!$E$39</definedName>
    <definedName function="false" hidden="false" name="opex_var" vbProcedure="false">In!$E$38</definedName>
    <definedName function="false" hidden="false" name="opex_var_hi" vbProcedure="false">In!$F$38</definedName>
    <definedName function="false" hidden="false" name="opex_var_lo" vbProcedure="false">In!$D$38</definedName>
    <definedName function="false" hidden="false" name="other_y" vbProcedure="false">In!$E$30</definedName>
    <definedName function="false" hidden="false" name="payout" vbProcedure="false">In!$E$57</definedName>
    <definedName function="false" hidden="false" name="payout_hi" vbProcedure="false">In!$F$57</definedName>
    <definedName function="false" hidden="false" name="payout_lo" vbProcedure="false">In!$D$57</definedName>
    <definedName function="false" hidden="false" name="pb_1" vbProcedure="false">In!$E$60</definedName>
    <definedName function="false" hidden="false" name="pb_2" vbProcedure="false">In!$E$61</definedName>
    <definedName function="false" hidden="false" name="pb_3" vbProcedure="false">In!$E$62</definedName>
    <definedName function="false" hidden="false" name="pe_1" vbProcedure="false">In!$E$63</definedName>
    <definedName function="false" hidden="false" name="pe_2" vbProcedure="false">In!$E$64</definedName>
    <definedName function="false" hidden="false" name="pe_3" vbProcedure="false">In!$E$65</definedName>
    <definedName function="false" hidden="false" name="pub26_hi" vbProcedure="false">In!$E$194</definedName>
    <definedName function="false" hidden="false" name="pub26_lo" vbProcedure="false">In!$E$193</definedName>
    <definedName function="false" hidden="false" name="pub27" vbProcedure="false">In!$E$195</definedName>
    <definedName function="false" hidden="false" name="px" vbProcedure="false">In!$E$6</definedName>
    <definedName function="false" hidden="false" name="q3_db" vbProcedure="false">In!$E$8</definedName>
    <definedName function="false" hidden="false" name="q3_db_hi" vbProcedure="false">In!$F$8</definedName>
    <definedName function="false" hidden="false" name="q3_db_lo" vbProcedure="false">In!$D$8</definedName>
    <definedName function="false" hidden="false" name="q3_dp" vbProcedure="false">In!$E$9</definedName>
    <definedName function="false" hidden="false" name="q3_dp_hi" vbProcedure="false">In!$F$9</definedName>
    <definedName function="false" hidden="false" name="q3_dp_lo" vbProcedure="false">In!$D$9</definedName>
    <definedName function="false" hidden="false" name="q3_nb" vbProcedure="false">In!$E$10</definedName>
    <definedName function="false" hidden="false" name="q3_nb_hi" vbProcedure="false">In!$F$10</definedName>
    <definedName function="false" hidden="false" name="q3_nb_lo" vbProcedure="false">In!$D$10</definedName>
    <definedName function="false" hidden="false" name="q3_np" vbProcedure="false">In!$E$11</definedName>
    <definedName function="false" hidden="false" name="q3_np_hi" vbProcedure="false">In!$F$11</definedName>
    <definedName function="false" hidden="false" name="q3_np_lo" vbProcedure="false">In!$D$11</definedName>
    <definedName function="false" hidden="false" name="q4_db" vbProcedure="false">In!$E$12</definedName>
    <definedName function="false" hidden="false" name="q4_db_hi" vbProcedure="false">In!$F$12</definedName>
    <definedName function="false" hidden="false" name="q4_db_lo" vbProcedure="false">In!$D$12</definedName>
    <definedName function="false" hidden="false" name="q4_dp" vbProcedure="false">In!$E$13</definedName>
    <definedName function="false" hidden="false" name="q4_dp_hi" vbProcedure="false">In!$F$13</definedName>
    <definedName function="false" hidden="false" name="q4_dp_lo" vbProcedure="false">In!$D$13</definedName>
    <definedName function="false" hidden="false" name="q4_nb" vbProcedure="false">In!$E$14</definedName>
    <definedName function="false" hidden="false" name="q4_nb_hi" vbProcedure="false">In!$F$14</definedName>
    <definedName function="false" hidden="false" name="q4_nb_lo" vbProcedure="false">In!$D$14</definedName>
    <definedName function="false" hidden="false" name="q4_np" vbProcedure="false">In!$E$15</definedName>
    <definedName function="false" hidden="false" name="q4_np_hi" vbProcedure="false">In!$F$15</definedName>
    <definedName function="false" hidden="false" name="q4_np_lo" vbProcedure="false">In!$D$15</definedName>
    <definedName function="false" hidden="false" name="rf" vbProcedure="false">In!$E$41</definedName>
    <definedName function="false" hidden="false" name="sh25" vbProcedure="false">In!$E$26</definedName>
    <definedName function="false" hidden="false" name="sh25_hi" vbProcedure="false">In!$F$26</definedName>
    <definedName function="false" hidden="false" name="sh25_lo" vbProcedure="false">In!$D$26</definedName>
    <definedName function="false" hidden="false" name="sh26" vbProcedure="false">In!$E$27</definedName>
    <definedName function="false" hidden="false" name="sh26_hi" vbProcedure="false">In!$F$27</definedName>
    <definedName function="false" hidden="false" name="sh26_lo" vbProcedure="false">In!$D$27</definedName>
    <definedName function="false" hidden="false" name="sh27" vbProcedure="false">In!$E$28</definedName>
    <definedName function="false" hidden="false" name="sh27_hi" vbProcedure="false">In!$F$28</definedName>
    <definedName function="false" hidden="false" name="sh27_lo" vbProcedure="false">In!$D$28</definedName>
    <definedName function="false" hidden="false" name="sh28" vbProcedure="false">In!$E$29</definedName>
    <definedName function="false" hidden="false" name="sh28_hi" vbProcedure="false">In!$F$29</definedName>
    <definedName function="false" hidden="false" name="sh28_lo" vbProcedure="false">In!$D$29</definedName>
    <definedName function="false" hidden="false" name="sh_last" vbProcedure="false">In!$E$48</definedName>
    <definedName function="false" hidden="false" name="tax" vbProcedure="false">In!$E$40</definedName>
    <definedName function="false" hidden="false" name="tax_hi" vbProcedure="false">In!$F$40</definedName>
    <definedName function="false" hidden="false" name="tax_lo" vbProcedure="false">In!$D$40</definedName>
    <definedName function="false" hidden="false" name="u_amd_26" vbProcedure="false">In!$E$154</definedName>
    <definedName function="false" hidden="false" name="u_amd_27" vbProcedure="false">In!$E$155</definedName>
    <definedName function="false" hidden="false" name="u_amd_28" vbProcedure="false">In!$E$156</definedName>
    <definedName function="false" hidden="false" name="u_bw_26" vbProcedure="false">In!$E$130</definedName>
    <definedName function="false" hidden="false" name="u_bw_27" vbProcedure="false">In!$E$131</definedName>
    <definedName function="false" hidden="false" name="u_bw_28" vbProcedure="false">In!$E$132</definedName>
    <definedName function="false" hidden="false" name="u_hp_26" vbProcedure="false">In!$E$148</definedName>
    <definedName function="false" hidden="false" name="u_hp_27" vbProcedure="false">In!$E$149</definedName>
    <definedName function="false" hidden="false" name="u_hp_28" vbProcedure="false">In!$E$150</definedName>
    <definedName function="false" hidden="false" name="u_oth_26" vbProcedure="false">In!$E$172</definedName>
    <definedName function="false" hidden="false" name="u_oth_27" vbProcedure="false">In!$E$173</definedName>
    <definedName function="false" hidden="false" name="u_oth_28" vbProcedure="false">In!$E$174</definedName>
    <definedName function="false" hidden="false" name="u_rb_26" vbProcedure="false">In!$E$136</definedName>
    <definedName function="false" hidden="false" name="u_rb_27" vbProcedure="false">In!$E$137</definedName>
    <definedName function="false" hidden="false" name="u_rb_28" vbProcedure="false">In!$E$138</definedName>
    <definedName function="false" hidden="false" name="u_ru_26" vbProcedure="false">In!$E$142</definedName>
    <definedName function="false" hidden="false" name="u_ru_27" vbProcedure="false">In!$E$143</definedName>
    <definedName function="false" hidden="false" name="u_ru_28" vbProcedure="false">In!$E$144</definedName>
    <definedName function="false" hidden="false" name="u_tpu_26" vbProcedure="false">In!$E$160</definedName>
    <definedName function="false" hidden="false" name="u_tpu_27" vbProcedure="false">In!$E$161</definedName>
    <definedName function="false" hidden="false" name="u_tpu_28" vbProcedure="false">In!$E$162</definedName>
    <definedName function="false" hidden="false" name="u_trn_26" vbProcedure="false">In!$E$166</definedName>
    <definedName function="false" hidden="false" name="u_trn_27" vbProcedure="false">In!$E$167</definedName>
    <definedName function="false" hidden="false" name="u_trn_28" vbProcedure="false">In!$E$168</definedName>
    <definedName function="false" hidden="false" name="w_c" vbProcedure="false">In!$E$31</definedName>
    <definedName function="false" hidden="false" name="w_h" vbProcedure="false">In!$E$32</definedName>
    <definedName function="false" hidden="false" name="w_n" vbProcedure="false">In!$E$33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<sst xmlns="http://schemas.openxmlformats.org/spreadsheetml/2006/main" count="1359" uniqueCount="689">
  <si>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 收支與估值模型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（記憶體樣板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2026-10-08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</si>
  <si>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海力士的盈餘由兩條價格線決定——每季議價的一般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與年約鎖價的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；股價取決於這個循環在哪一年見頂，以及見頂時累積了多少淨值。</t>
    </r>
  </si>
  <si>
    <t xml:space="preserve">驅動因子 → 推導量</t>
  </si>
  <si>
    <r>
      <rPr>
        <sz val="11"/>
        <rFont val="Cambria"/>
        <family val="0"/>
        <charset val="1"/>
      </rPr>
      <t xml:space="preserve">Path</t>
    </r>
    <r>
      <rPr>
        <sz val="11"/>
        <rFont val="Noto Sans CJK SC"/>
        <family val="2"/>
      </rPr>
      <t xml:space="preserve">（共用市場層）：一般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合約價季增 → 季度指數（情境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）；各公司依會計年度取平均，算年均價變動</t>
    </r>
  </si>
  <si>
    <r>
      <rPr>
        <sz val="11"/>
        <rFont val="Cambria"/>
        <family val="0"/>
        <charset val="1"/>
      </rPr>
      <t xml:space="preserve">Mkt</t>
    </r>
    <r>
      <rPr>
        <sz val="11"/>
        <rFont val="Noto Sans CJK SC"/>
        <family val="2"/>
      </rPr>
      <t xml:space="preserve">（共用市場層）：加速器顆數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GB → </t>
    </r>
    <r>
      <rPr>
        <sz val="11"/>
        <rFont val="Noto Sans CJK SC"/>
        <family val="2"/>
      </rPr>
      <t xml:space="preserve">需求位元；</t>
    </r>
    <r>
      <rPr>
        <sz val="11"/>
        <rFont val="Cambria"/>
        <family val="0"/>
        <charset val="1"/>
      </rPr>
      <t xml:space="preserve">MIN(</t>
    </r>
    <r>
      <rPr>
        <sz val="11"/>
        <rFont val="Noto Sans CJK SC"/>
        <family val="2"/>
      </rPr>
      <t xml:space="preserve">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供給</t>
    </r>
    <r>
      <rPr>
        <sz val="11"/>
        <rFont val="Cambria"/>
        <family val="0"/>
        <charset val="1"/>
      </rPr>
      <t xml:space="preserve">) → </t>
    </r>
    <r>
      <rPr>
        <sz val="11"/>
        <rFont val="Noto Sans CJK SC"/>
        <family val="2"/>
      </rPr>
      <t xml:space="preserve">出貨；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 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市場（日曆年）</t>
    </r>
  </si>
  <si>
    <r>
      <rPr>
        <sz val="11"/>
        <rFont val="Cambria"/>
        <family val="0"/>
        <charset val="1"/>
      </rPr>
      <t xml:space="preserve">Q</t>
    </r>
    <r>
      <rPr>
        <sz val="11"/>
        <rFont val="Noto Sans CJK SC"/>
        <family val="2"/>
      </rPr>
      <t xml:space="preserve">：最後實績季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公司指引 </t>
    </r>
    <r>
      <rPr>
        <sz val="11"/>
        <rFont val="Cambria"/>
        <family val="0"/>
        <charset val="1"/>
      </rPr>
      <t xml:space="preserve">× TrendForce </t>
    </r>
    <r>
      <rPr>
        <sz val="11"/>
        <rFont val="Noto Sans CJK SC"/>
        <family val="2"/>
      </rPr>
      <t xml:space="preserve">季價 → 基準年剩餘季度</t>
    </r>
  </si>
  <si>
    <r>
      <rPr>
        <sz val="11"/>
        <rFont val="Cambria"/>
        <family val="0"/>
        <charset val="1"/>
      </rPr>
      <t xml:space="preserve">Y</t>
    </r>
    <r>
      <rPr>
        <sz val="11"/>
        <rFont val="Noto Sans CJK SC"/>
        <family val="2"/>
      </rPr>
      <t xml:space="preserve">：前一年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＋位元</t>
    </r>
    <r>
      <rPr>
        <sz val="11"/>
        <rFont val="Cambria"/>
        <family val="0"/>
        <charset val="1"/>
      </rPr>
      <t xml:space="preserve">) × </t>
    </r>
    <r>
      <rPr>
        <sz val="11"/>
        <rFont val="Noto Sans CJK SC"/>
        <family val="2"/>
      </rPr>
      <t xml:space="preserve">價格指數比 → 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Σ </t>
    </r>
    <r>
      <rPr>
        <sz val="11"/>
        <rFont val="Noto Sans CJK SC"/>
        <family val="2"/>
      </rPr>
      <t xml:space="preserve">各季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市占 →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；成本量 </t>
    </r>
    <r>
      <rPr>
        <sz val="11"/>
        <rFont val="Cambria"/>
        <family val="0"/>
        <charset val="1"/>
      </rPr>
      <t xml:space="preserve">× (1 − </t>
    </r>
    <r>
      <rPr>
        <sz val="11"/>
        <rFont val="Noto Sans CJK SC"/>
        <family val="2"/>
      </rPr>
      <t xml:space="preserve">年降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＋折舊 → 營業利益 → 淨利 → 權益 → 每股淨值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</si>
  <si>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：每股淨值 </t>
    </r>
    <r>
      <rPr>
        <sz val="11"/>
        <rFont val="Cambria"/>
        <family val="0"/>
        <charset val="1"/>
      </rPr>
      <t xml:space="preserve">× P/B</t>
    </r>
    <r>
      <rPr>
        <sz val="11"/>
        <rFont val="Noto Sans CJK SC"/>
        <family val="2"/>
      </rPr>
      <t xml:space="preserve">（主）、</t>
    </r>
    <r>
      <rPr>
        <sz val="11"/>
        <rFont val="Cambria"/>
        <family val="0"/>
        <charset val="1"/>
      </rPr>
      <t xml:space="preserve">EPS × P/E</t>
    </r>
    <r>
      <rPr>
        <sz val="11"/>
        <rFont val="Noto Sans CJK SC"/>
        <family val="2"/>
      </rPr>
      <t xml:space="preserve">（對照）</t>
    </r>
  </si>
  <si>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：各收入線同幅變動對營業利益的影響</t>
    </r>
  </si>
  <si>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：與共識、公司指引事後對照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</si>
  <si>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高檔持平（</t>
    </r>
    <r>
      <rPr>
        <sz val="11"/>
        <rFont val="Cambria"/>
        <family val="0"/>
        <charset val="1"/>
      </rPr>
      <t xml:space="preserve">BofA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TrendForce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 Q2 </t>
    </r>
    <r>
      <rPr>
        <sz val="11"/>
        <rFont val="Noto Sans CJK SC"/>
        <family val="2"/>
      </rPr>
      <t xml:space="preserve">見頂、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回落約一半（</t>
    </r>
    <r>
      <rPr>
        <sz val="11"/>
        <rFont val="Cambria"/>
        <family val="0"/>
        <charset val="1"/>
      </rPr>
      <t xml:space="preserve">Citi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Bernstein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回到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年價格水準（完整谷底；歷史循環型）</t>
    </r>
  </si>
  <si>
    <r>
      <rPr>
        <sz val="11"/>
        <rFont val="Noto Sans CJK SC"/>
        <family val="2"/>
      </rPr>
      <t xml:space="preserve">幣別單位：兆韓元；會計年度：日曆年（</t>
    </r>
    <r>
      <rPr>
        <sz val="11"/>
        <rFont val="Cambria"/>
        <family val="0"/>
        <charset val="1"/>
      </rPr>
      <t xml:space="preserve">K-IFRS </t>
    </r>
    <r>
      <rPr>
        <sz val="11"/>
        <rFont val="Noto Sans CJK SC"/>
        <family val="2"/>
      </rPr>
      <t xml:space="preserve">合併）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</si>
  <si>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</si>
  <si>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Cambria"/>
        <family val="0"/>
        <charset val="1"/>
      </rPr>
      <t xml:space="preserve">v0.2 </t>
    </r>
    <r>
      <rPr>
        <sz val="11"/>
        <rFont val="Noto Sans CJK SC"/>
        <family val="2"/>
      </rPr>
      <t xml:space="preserve">相對 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年均價變動改由共用季價路徑（</t>
    </r>
    <r>
      <rPr>
        <sz val="11"/>
        <rFont val="Cambria"/>
        <family val="0"/>
        <charset val="1"/>
      </rPr>
      <t xml:space="preserve">Path</t>
    </r>
    <r>
      <rPr>
        <sz val="11"/>
        <rFont val="Noto Sans CJK SC"/>
        <family val="2"/>
      </rPr>
      <t xml:space="preserve">）依會計年度平均算出，不再逐年手填；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新增情境 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HBM </t>
    </r>
    <r>
      <rPr>
        <sz val="11"/>
        <rFont val="Noto Sans CJK SC"/>
        <family val="2"/>
      </rPr>
      <t xml:space="preserve">市場移到共用市場層 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</si>
  <si>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已知簡化：營運資金未計；股數用期末；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毛利率無法由公開資料分離。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</si>
  <si>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輸入（藍字＝基準值；低／高供敏感度）。每列具名範圍＝鍵（指向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欄）。單位：兆韓元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</si>
  <si>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</si>
  <si>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</si>
  <si>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</si>
  <si>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</si>
  <si>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</si>
  <si>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</si>
  <si>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</si>
  <si>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</si>
  <si>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匯率、股價</t>
    </r>
  </si>
  <si>
    <t xml:space="preserve">fx</t>
  </si>
  <si>
    <r>
      <rPr>
        <sz val="11"/>
        <color theme="1"/>
        <rFont val="Noto Sans CJK SC"/>
        <family val="2"/>
      </rPr>
      <t xml:space="preserve">美元兌韓元（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平均）</t>
    </r>
  </si>
  <si>
    <t xml:space="preserve">KRW/USD</t>
  </si>
  <si>
    <t xml:space="preserve">Derived</t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</si>
  <si>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79.32 </t>
    </r>
    <r>
      <rPr>
        <sz val="11"/>
        <color theme="1"/>
        <rFont val="Noto Sans CJK SC"/>
        <family val="2"/>
      </rPr>
      <t xml:space="preserve">兆 ≈ </t>
    </r>
    <r>
      <rPr>
        <sz val="11"/>
        <color theme="1"/>
        <rFont val="Calibri"/>
        <family val="2"/>
        <charset val="1"/>
      </rPr>
      <t xml:space="preserve">US$55.2B →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1,437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</si>
  <si>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</si>
  <si>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收盤）</t>
    </r>
  </si>
  <si>
    <t xml:space="preserve">KRW</t>
  </si>
  <si>
    <t xml:space="preserve">Verified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</si>
  <si>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10-02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1,841,000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</si>
  <si>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基準年剩餘季度（公司指引＋</t>
    </r>
    <r>
      <rPr>
        <b val="true"/>
        <sz val="11"/>
        <rFont val="Cambria"/>
        <family val="0"/>
        <charset val="1"/>
      </rPr>
      <t xml:space="preserve">TrendForce</t>
    </r>
    <r>
      <rPr>
        <b val="true"/>
        <sz val="11"/>
        <rFont val="Noto Sans CJK SC"/>
        <family val="2"/>
      </rPr>
      <t xml:space="preserve">）</t>
    </r>
  </si>
  <si>
    <t xml:space="preserve">q3_db</t>
  </si>
  <si>
    <r>
      <rPr>
        <sz val="11"/>
        <color theme="1"/>
        <rFont val="Calibri"/>
        <family val="2"/>
        <charset val="1"/>
      </rPr>
      <t xml:space="preserve">Q3 DRAM </t>
    </r>
    <r>
      <rPr>
        <sz val="11"/>
        <color theme="1"/>
        <rFont val="Noto Sans CJK SC"/>
        <family val="2"/>
      </rPr>
      <t xml:space="preserve">位元季增</t>
    </r>
  </si>
  <si>
    <t xml:space="preserve">%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</si>
  <si>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法說：約 </t>
    </r>
    <r>
      <rPr>
        <sz val="11"/>
        <color theme="1"/>
        <rFont val="Calibri"/>
        <family val="2"/>
        <charset val="1"/>
      </rPr>
      <t xml:space="preserve">+10%</t>
    </r>
  </si>
  <si>
    <t xml:space="preserve">q3_dp</t>
  </si>
  <si>
    <r>
      <rPr>
        <sz val="11"/>
        <color theme="1"/>
        <rFont val="Calibri"/>
        <family val="2"/>
        <charset val="1"/>
      </rPr>
      <t xml:space="preserve">Q3 DRAM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季增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</si>
  <si>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+13–18%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年約鎖價拉低混合值</t>
    </r>
  </si>
  <si>
    <t xml:space="preserve">q3_nb</t>
  </si>
  <si>
    <r>
      <rPr>
        <sz val="11"/>
        <color theme="1"/>
        <rFont val="Calibri"/>
        <family val="2"/>
        <charset val="1"/>
      </rPr>
      <t xml:space="preserve">Q3 NAND </t>
    </r>
    <r>
      <rPr>
        <sz val="11"/>
        <color theme="1"/>
        <rFont val="Noto Sans CJK SC"/>
        <family val="2"/>
      </rPr>
      <t xml:space="preserve">位元季增</t>
    </r>
  </si>
  <si>
    <t xml:space="preserve">公司：低個位數</t>
  </si>
  <si>
    <t xml:space="preserve">q3_np</t>
  </si>
  <si>
    <r>
      <rPr>
        <sz val="11"/>
        <color theme="1"/>
        <rFont val="Calibri"/>
        <family val="2"/>
        <charset val="1"/>
      </rPr>
      <t xml:space="preserve">Q3 NAND ASP </t>
    </r>
    <r>
      <rPr>
        <sz val="11"/>
        <color theme="1"/>
        <rFont val="Noto Sans CJK SC"/>
        <family val="2"/>
      </rPr>
      <t xml:space="preserve">季增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</si>
  <si>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</si>
  <si>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+10–15%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</si>
  <si>
    <t xml:space="preserve">q4_db</t>
  </si>
  <si>
    <r>
      <rPr>
        <sz val="11"/>
        <color theme="1"/>
        <rFont val="Calibri"/>
        <family val="2"/>
        <charset val="1"/>
      </rPr>
      <t xml:space="preserve">Q4 DRAM </t>
    </r>
    <r>
      <rPr>
        <sz val="11"/>
        <color theme="1"/>
        <rFont val="Noto Sans CJK SC"/>
        <family val="2"/>
      </rPr>
      <t xml:space="preserve">位元季增</t>
    </r>
  </si>
  <si>
    <t xml:space="preserve">Assumed</t>
  </si>
  <si>
    <t xml:space="preserve">公司：下半年位元成長優於上半年</t>
  </si>
  <si>
    <t xml:space="preserve">q4_dp</t>
  </si>
  <si>
    <r>
      <rPr>
        <sz val="11"/>
        <color theme="1"/>
        <rFont val="Calibri"/>
        <family val="2"/>
        <charset val="1"/>
      </rPr>
      <t xml:space="preserve">Q4 DRAM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季增</t>
    </r>
  </si>
  <si>
    <r>
      <rPr>
        <sz val="11"/>
        <color theme="1"/>
        <rFont val="Calibri"/>
        <family val="2"/>
        <charset val="1"/>
      </rPr>
      <t xml:space="preserve">TrendForce +10–15%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+8%</t>
    </r>
  </si>
  <si>
    <t xml:space="preserve">q4_nb</t>
  </si>
  <si>
    <r>
      <rPr>
        <sz val="11"/>
        <color theme="1"/>
        <rFont val="Calibri"/>
        <family val="2"/>
        <charset val="1"/>
      </rPr>
      <t xml:space="preserve">Q4 NAND </t>
    </r>
    <r>
      <rPr>
        <sz val="11"/>
        <color theme="1"/>
        <rFont val="Noto Sans CJK SC"/>
        <family val="2"/>
      </rPr>
      <t xml:space="preserve">位元季增</t>
    </r>
  </si>
  <si>
    <t xml:space="preserve">q4_np</t>
  </si>
  <si>
    <r>
      <rPr>
        <sz val="11"/>
        <color theme="1"/>
        <rFont val="Calibri"/>
        <family val="2"/>
        <charset val="1"/>
      </rPr>
      <t xml:space="preserve">Q4 NAND ASP </t>
    </r>
    <r>
      <rPr>
        <sz val="11"/>
        <color theme="1"/>
        <rFont val="Noto Sans CJK SC"/>
        <family val="2"/>
      </rPr>
      <t xml:space="preserve">季增</t>
    </r>
  </si>
  <si>
    <t xml:space="preserve">TrendForce +15–20%</t>
  </si>
  <si>
    <t xml:space="preserve">da_q3</t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</si>
  <si>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折舊攤銷</t>
    </r>
  </si>
  <si>
    <t xml:space="preserve">兆韓元</t>
  </si>
  <si>
    <r>
      <rPr>
        <sz val="11"/>
        <color theme="1"/>
        <rFont val="Calibri"/>
        <family val="2"/>
        <charset val="1"/>
      </rPr>
      <t xml:space="preserve">Q1 3.726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4.028 </t>
    </r>
    <r>
      <rPr>
        <sz val="11"/>
        <color theme="1"/>
        <rFont val="Noto Sans CJK SC"/>
        <family val="2"/>
      </rPr>
      <t xml:space="preserve">延伸</t>
    </r>
  </si>
  <si>
    <t xml:space="preserve">da_q4</t>
  </si>
  <si>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折舊攤銷</t>
    </r>
  </si>
  <si>
    <t xml:space="preserve">costdn_q</t>
  </si>
  <si>
    <t xml:space="preserve">單位成本季降</t>
  </si>
  <si>
    <t xml:space="preserve">opex_fix_q</t>
  </si>
  <si>
    <t xml:space="preserve">營業費用固定部分（每季）</t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</si>
  <si>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3.97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5.24 </t>
    </r>
    <r>
      <rPr>
        <sz val="11"/>
        <color theme="1"/>
        <rFont val="Noto Sans CJK SC"/>
        <family val="2"/>
      </rPr>
      <t xml:space="preserve">對營收迴歸</t>
    </r>
  </si>
  <si>
    <t xml:space="preserve">nonop_q</t>
  </si>
  <si>
    <t xml:space="preserve">下半年每季業外淨收益</t>
  </si>
  <si>
    <r>
      <rPr>
        <sz val="11"/>
        <color theme="1"/>
        <rFont val="Noto Sans CJK SC"/>
        <family val="2"/>
      </rPr>
      <t xml:space="preserve">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2%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</si>
  <si>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年度驅動（公司別）</t>
    </r>
  </si>
  <si>
    <t xml:space="preserve">cb_1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</si>
  <si>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</si>
  <si>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BofA DRAM </t>
    </r>
    <r>
      <rPr>
        <sz val="11"/>
        <color theme="1"/>
        <rFont val="Noto Sans CJK SC"/>
        <family val="2"/>
      </rPr>
      <t xml:space="preserve">供給 </t>
    </r>
    <r>
      <rPr>
        <sz val="11"/>
        <color theme="1"/>
        <rFont val="Calibri"/>
        <family val="2"/>
        <charset val="1"/>
      </rPr>
      <t xml:space="preserve">+19%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晶圓占比 </t>
    </r>
    <r>
      <rPr>
        <sz val="11"/>
        <color theme="1"/>
        <rFont val="Calibri"/>
        <family val="2"/>
        <charset val="1"/>
      </rPr>
      <t xml:space="preserve">22%→30% </t>
    </r>
    <r>
      <rPr>
        <sz val="11"/>
        <color theme="1"/>
        <rFont val="Noto Sans CJK SC"/>
        <family val="2"/>
      </rPr>
      <t xml:space="preserve">吃掉增量</t>
    </r>
  </si>
  <si>
    <t xml:space="preserve">cb_2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</si>
  <si>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</si>
  <si>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BofA 2028 </t>
    </r>
    <r>
      <rPr>
        <sz val="11"/>
        <color theme="1"/>
        <rFont val="Noto Sans CJK SC"/>
        <family val="2"/>
      </rPr>
      <t xml:space="preserve">供給 </t>
    </r>
    <r>
      <rPr>
        <sz val="11"/>
        <color theme="1"/>
        <rFont val="Calibri"/>
        <family val="2"/>
        <charset val="1"/>
      </rPr>
      <t xml:space="preserve">+19%</t>
    </r>
  </si>
  <si>
    <t xml:space="preserve">nb_1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</si>
  <si>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</si>
  <si>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：產業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</t>
    </r>
  </si>
  <si>
    <t xml:space="preserve">nb_2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</si>
  <si>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</si>
  <si>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t xml:space="preserve">同上</t>
  </si>
  <si>
    <t xml:space="preserve">sh25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</si>
  <si>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</si>
  <si>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3Q25 57%</t>
    </r>
    <r>
      <rPr>
        <sz val="11"/>
        <color theme="1"/>
        <rFont val="Noto Sans CJK SC"/>
        <family val="2"/>
      </rPr>
      <t xml:space="preserve">；出貨 </t>
    </r>
    <r>
      <rPr>
        <sz val="11"/>
        <color theme="1"/>
        <rFont val="Calibri"/>
        <family val="2"/>
        <charset val="1"/>
      </rPr>
      <t xml:space="preserve">62%</t>
    </r>
  </si>
  <si>
    <t xml:space="preserve">sh26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</si>
  <si>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</si>
  <si>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Q1 58%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IDC Q1 56.4%</t>
    </r>
  </si>
  <si>
    <t xml:space="preserve">sh27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</si>
  <si>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</si>
  <si>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位元：</t>
    </r>
    <r>
      <rPr>
        <sz val="11"/>
        <color theme="1"/>
        <rFont val="Calibri"/>
        <family val="2"/>
        <charset val="1"/>
      </rPr>
      <t xml:space="preserve">SK 39%</t>
    </r>
    <r>
      <rPr>
        <sz val="11"/>
        <color theme="1"/>
        <rFont val="Noto Sans CJK SC"/>
        <family val="2"/>
      </rPr>
      <t xml:space="preserve">、三星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</t>
    </r>
  </si>
  <si>
    <t xml:space="preserve">sh28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</si>
  <si>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</si>
  <si>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t xml:space="preserve">other_y</t>
  </si>
  <si>
    <t xml:space="preserve">其他營收（每年）</t>
  </si>
  <si>
    <t xml:space="preserve">w_c</t>
  </si>
  <si>
    <r>
      <rPr>
        <sz val="11"/>
        <color theme="1"/>
        <rFont val="Noto Sans CJK SC"/>
        <family val="2"/>
      </rPr>
      <t xml:space="preserve">成本權重：一般 </t>
    </r>
    <r>
      <rPr>
        <sz val="11"/>
        <color theme="1"/>
        <rFont val="Calibri"/>
        <family val="2"/>
        <charset val="1"/>
      </rPr>
      <t xml:space="preserve">DRAM</t>
    </r>
  </si>
  <si>
    <t xml:space="preserve">w_h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</si>
  <si>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</si>
  <si>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每位元耗晶圓約 </t>
    </r>
    <r>
      <rPr>
        <sz val="11"/>
        <color theme="1"/>
        <rFont val="Calibri"/>
        <family val="2"/>
        <charset val="1"/>
      </rPr>
      <t xml:space="preserve">DDR5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）</t>
    </r>
  </si>
  <si>
    <t xml:space="preserve">w_n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</si>
  <si>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NAND</t>
    </r>
  </si>
  <si>
    <t xml:space="preserve">costdn_y</t>
  </si>
  <si>
    <t xml:space="preserve">單位成本年降</t>
  </si>
  <si>
    <t xml:space="preserve">da_life</t>
  </si>
  <si>
    <t xml:space="preserve">新增資本支出轉為折舊的年數</t>
  </si>
  <si>
    <t xml:space="preserve">年</t>
  </si>
  <si>
    <t xml:space="preserve">da_cogs</t>
  </si>
  <si>
    <t xml:space="preserve">折舊計入營業成本比例</t>
  </si>
  <si>
    <t xml:space="preserve">opex_fix_y</t>
  </si>
  <si>
    <t xml:space="preserve">營業費用固定部分（年，基準年）</t>
  </si>
  <si>
    <r>
      <rPr>
        <sz val="11"/>
        <color theme="1"/>
        <rFont val="Noto Sans CJK SC"/>
        <family val="2"/>
      </rPr>
      <t xml:space="preserve">＝每季 </t>
    </r>
    <r>
      <rPr>
        <sz val="11"/>
        <color theme="1"/>
        <rFont val="Calibri"/>
        <family val="2"/>
        <charset val="1"/>
      </rPr>
      <t xml:space="preserve">1.5 × 4</t>
    </r>
  </si>
  <si>
    <t xml:space="preserve">opex_var</t>
  </si>
  <si>
    <t xml:space="preserve">營業費用變動率</t>
  </si>
  <si>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Noto Sans CJK SC"/>
        <family val="2"/>
      </rPr>
      <t xml:space="preserve">營收</t>
    </r>
  </si>
  <si>
    <t xml:space="preserve">同上迴歸</t>
  </si>
  <si>
    <t xml:space="preserve">opex_g</t>
  </si>
  <si>
    <t xml:space="preserve">營業費用固定部分年增</t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</si>
  <si>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</si>
  <si>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</si>
  <si>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Q1 21.8%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23.5%</t>
    </r>
  </si>
  <si>
    <t xml:space="preserve">rf</t>
  </si>
  <si>
    <t xml:space="preserve">淨現金收益率</t>
  </si>
  <si>
    <t xml:space="preserve">cap_0</t>
  </si>
  <si>
    <r>
      <rPr>
        <sz val="11"/>
        <color theme="1"/>
        <rFont val="Noto Sans CJK SC"/>
        <family val="2"/>
      </rPr>
      <t xml:space="preserve">資本支出 基準年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</si>
  <si>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</si>
  <si>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指引「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兆後段」；共識 </t>
    </r>
    <r>
      <rPr>
        <sz val="11"/>
        <color theme="1"/>
        <rFont val="Calibri"/>
        <family val="2"/>
        <charset val="1"/>
      </rPr>
      <t xml:space="preserve">48.7</t>
    </r>
  </si>
  <si>
    <t xml:space="preserve">cap_1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</si>
  <si>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</si>
  <si>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62.3</t>
    </r>
  </si>
  <si>
    <t xml:space="preserve">cap_2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</si>
  <si>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</si>
  <si>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71.2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</si>
  <si>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資本與股東回饋</t>
    </r>
  </si>
  <si>
    <t xml:space="preserve">eq_last</t>
  </si>
  <si>
    <r>
      <rPr>
        <sz val="11"/>
        <color theme="1"/>
        <rFont val="Noto Sans CJK SC"/>
        <family val="2"/>
      </rPr>
      <t xml:space="preserve">最後實績季末權益（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</si>
  <si>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t xml:space="preserve">6-K</t>
  </si>
  <si>
    <t xml:space="preserve">nc_last</t>
  </si>
  <si>
    <t xml:space="preserve">最後實績季末淨現金</t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</si>
  <si>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簡報</t>
    </r>
  </si>
  <si>
    <t xml:space="preserve">sh_last</t>
  </si>
  <si>
    <t xml:space="preserve">最後實績季末流通股數</t>
  </si>
  <si>
    <t xml:space="preserve">百萬股</t>
  </si>
  <si>
    <t xml:space="preserve">extra_eq</t>
  </si>
  <si>
    <r>
      <rPr>
        <sz val="11"/>
        <color theme="1"/>
        <rFont val="Noto Sans CJK SC"/>
        <family val="2"/>
      </rPr>
      <t xml:space="preserve">基準年其餘增資（</t>
    </r>
    <r>
      <rPr>
        <sz val="11"/>
        <color theme="1"/>
        <rFont val="Calibri"/>
        <family val="2"/>
        <charset val="1"/>
      </rPr>
      <t xml:space="preserve">ADS 2026-07</t>
    </r>
    <r>
      <rPr>
        <sz val="11"/>
        <color theme="1"/>
        <rFont val="Noto Sans CJK SC"/>
        <family val="2"/>
      </rPr>
      <t xml:space="preserve">）</t>
    </r>
  </si>
  <si>
    <t xml:space="preserve">US$26.25B × 1,538.05</t>
  </si>
  <si>
    <t xml:space="preserve">extra_sh</t>
  </si>
  <si>
    <r>
      <rPr>
        <sz val="11"/>
        <color theme="1"/>
        <rFont val="Noto Sans CJK SC"/>
        <family val="2"/>
      </rPr>
      <t xml:space="preserve">基準年其餘新股（</t>
    </r>
    <r>
      <rPr>
        <sz val="11"/>
        <color theme="1"/>
        <rFont val="Calibri"/>
        <family val="2"/>
        <charset val="1"/>
      </rPr>
      <t xml:space="preserve">ADS</t>
    </r>
    <r>
      <rPr>
        <sz val="11"/>
        <color theme="1"/>
        <rFont val="Noto Sans CJK SC"/>
        <family val="2"/>
      </rPr>
      <t xml:space="preserve">）</t>
    </r>
  </si>
  <si>
    <t xml:space="preserve">424B4</t>
  </si>
  <si>
    <t xml:space="preserve">bb_0</t>
  </si>
  <si>
    <t xml:space="preserve">基準年其餘買回</t>
  </si>
  <si>
    <r>
      <rPr>
        <sz val="11"/>
        <color theme="1"/>
        <rFont val="Calibri"/>
        <family val="2"/>
        <charset val="1"/>
      </rPr>
      <t xml:space="preserve">2026-08-19 </t>
    </r>
    <r>
      <rPr>
        <sz val="11"/>
        <color theme="1"/>
        <rFont val="Noto Sans CJK SC"/>
        <family val="2"/>
      </rPr>
      <t xml:space="preserve">公告，註銷</t>
    </r>
  </si>
  <si>
    <t xml:space="preserve">bb_sh_0</t>
  </si>
  <si>
    <t xml:space="preserve">基準年其餘買回股數</t>
  </si>
  <si>
    <t xml:space="preserve">div_0</t>
  </si>
  <si>
    <t xml:space="preserve">基準年其餘股利</t>
  </si>
  <si>
    <r>
      <rPr>
        <sz val="11"/>
        <color theme="1"/>
        <rFont val="Noto Sans CJK SC"/>
        <family val="2"/>
      </rPr>
      <t xml:space="preserve">每季 </t>
    </r>
    <r>
      <rPr>
        <sz val="11"/>
        <color theme="1"/>
        <rFont val="Calibri"/>
        <family val="2"/>
        <charset val="1"/>
      </rPr>
      <t xml:space="preserve">375 </t>
    </r>
    <r>
      <rPr>
        <sz val="11"/>
        <color theme="1"/>
        <rFont val="Noto Sans CJK SC"/>
        <family val="2"/>
      </rPr>
      <t xml:space="preserve">韓元 </t>
    </r>
    <r>
      <rPr>
        <sz val="11"/>
        <color theme="1"/>
        <rFont val="Calibri"/>
        <family val="2"/>
        <charset val="1"/>
      </rPr>
      <t xml:space="preserve">× 2 </t>
    </r>
    <r>
      <rPr>
        <sz val="11"/>
        <color theme="1"/>
        <rFont val="Noto Sans CJK SC"/>
        <family val="2"/>
      </rPr>
      <t xml:space="preserve">季</t>
    </r>
  </si>
  <si>
    <t xml:space="preserve">capex_rem</t>
  </si>
  <si>
    <t xml:space="preserve">基準年其餘資本支出（現金）</t>
  </si>
  <si>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48.7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（上半年實付 </t>
    </r>
    <r>
      <rPr>
        <sz val="11"/>
        <color theme="1"/>
        <rFont val="Calibri"/>
        <family val="2"/>
        <charset val="1"/>
      </rPr>
      <t xml:space="preserve">18.3</t>
    </r>
    <r>
      <rPr>
        <sz val="11"/>
        <color theme="1"/>
        <rFont val="Noto Sans CJK SC"/>
        <family val="2"/>
      </rPr>
      <t xml:space="preserve">）</t>
    </r>
  </si>
  <si>
    <t xml:space="preserve">dps_1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</si>
  <si>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</si>
  <si>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</t>
    </r>
  </si>
  <si>
    <t xml:space="preserve">dps_2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</si>
  <si>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2028</t>
    </r>
  </si>
  <si>
    <t xml:space="preserve">payout</t>
  </si>
  <si>
    <r>
      <rPr>
        <sz val="11"/>
        <color theme="1"/>
        <rFont val="Noto Sans CJK SC"/>
        <family val="2"/>
      </rPr>
      <t xml:space="preserve">股東回饋 </t>
    </r>
    <r>
      <rPr>
        <sz val="11"/>
        <color theme="1"/>
        <rFont val="Calibri"/>
        <family val="2"/>
        <charset val="1"/>
      </rPr>
      <t xml:space="preserve">÷ FCF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</si>
  <si>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2025–27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FCF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以上</t>
    </r>
  </si>
  <si>
    <t xml:space="preserve">bb_px</t>
  </si>
  <si>
    <t xml:space="preserve">未來買回均價</t>
  </si>
  <si>
    <t xml:space="preserve">＝目前股價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</si>
  <si>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估值倍數</t>
    </r>
  </si>
  <si>
    <t xml:space="preserve">pb_1</t>
  </si>
  <si>
    <t xml:space="preserve">P/B 1.0x</t>
  </si>
  <si>
    <t xml:space="preserve">x</t>
  </si>
  <si>
    <t xml:space="preserve">循環谷底倍數</t>
  </si>
  <si>
    <t xml:space="preserve">pb_2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</si>
  <si>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</t>
    </r>
  </si>
  <si>
    <r>
      <rPr>
        <sz val="11"/>
        <color theme="1"/>
        <rFont val="Calibri"/>
        <family val="2"/>
        <charset val="1"/>
      </rPr>
      <t xml:space="preserve">2010–2025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0.81–2.00</t>
    </r>
    <r>
      <rPr>
        <sz val="11"/>
        <color theme="1"/>
        <rFont val="Noto Sans CJK SC"/>
        <family val="2"/>
      </rPr>
      <t xml:space="preserve">，中位約 </t>
    </r>
    <r>
      <rPr>
        <sz val="11"/>
        <color theme="1"/>
        <rFont val="Calibri"/>
        <family val="2"/>
        <charset val="1"/>
      </rPr>
      <t xml:space="preserve">1.6</t>
    </r>
  </si>
  <si>
    <t xml:space="preserve">pb_3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</si>
  <si>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券商遠期</t>
    </r>
  </si>
  <si>
    <t xml:space="preserve">Shinhan 2026-07</t>
  </si>
  <si>
    <t xml:space="preserve">pe_1</t>
  </si>
  <si>
    <t xml:space="preserve">P/E 4x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</si>
  <si>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2027E 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3.7x</t>
    </r>
  </si>
  <si>
    <t xml:space="preserve">pe_2</t>
  </si>
  <si>
    <t xml:space="preserve">P/E 8x</t>
  </si>
  <si>
    <t xml:space="preserve">pe_3</t>
  </si>
  <si>
    <t xml:space="preserve">P/E 12x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</si>
  <si>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</si>
  <si>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</si>
  <si>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</si>
  <si>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</si>
  <si>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</si>
  <si>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</si>
  <si>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</si>
  <si>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</si>
  <si>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</si>
  <si>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</si>
  <si>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</si>
  <si>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</si>
  <si>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</si>
  <si>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</si>
  <si>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</si>
  <si>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</si>
  <si>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</si>
  <si>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</si>
  <si>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</si>
  <si>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</si>
  <si>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</si>
  <si>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</si>
  <si>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</si>
  <si>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</si>
  <si>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</si>
  <si>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</si>
  <si>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</si>
  <si>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</si>
  <si>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</si>
  <si>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</si>
  <si>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</si>
  <si>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</si>
  <si>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</si>
  <si>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</si>
  <si>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</si>
  <si>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</t>
    </r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</si>
  <si>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</si>
  <si>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</si>
  <si>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</si>
  <si>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</si>
  <si>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</si>
  <si>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</si>
  <si>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</si>
  <si>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</si>
  <si>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</si>
  <si>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</si>
  <si>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</si>
  <si>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</si>
  <si>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</si>
  <si>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</si>
  <si>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</si>
  <si>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</si>
  <si>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</t>
    </r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</si>
  <si>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</si>
  <si>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</si>
  <si>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</si>
  <si>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</si>
  <si>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</si>
  <si>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</si>
  <si>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</si>
  <si>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</si>
  <si>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</si>
  <si>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</si>
  <si>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</si>
  <si>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</si>
  <si>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</si>
  <si>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</si>
  <si>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</si>
  <si>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</si>
  <si>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</si>
  <si>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</si>
  <si>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</si>
  <si>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</si>
  <si>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</si>
  <si>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</si>
  <si>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</si>
  <si>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</si>
  <si>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</si>
  <si>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</si>
  <si>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</si>
  <si>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</si>
  <si>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</si>
  <si>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</si>
  <si>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</si>
  <si>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</t>
    </r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</si>
  <si>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</si>
  <si>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</si>
  <si>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</si>
  <si>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</si>
  <si>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</si>
  <si>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</si>
  <si>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</si>
  <si>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</si>
  <si>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</si>
  <si>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</si>
  <si>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</si>
  <si>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</si>
  <si>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</si>
  <si>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</si>
  <si>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</si>
  <si>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</si>
  <si>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</si>
  <si>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</si>
  <si>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</si>
  <si>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</si>
  <si>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</si>
  <si>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</si>
  <si>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</si>
  <si>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</si>
  <si>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</si>
  <si>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</si>
  <si>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</si>
  <si>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</si>
  <si>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</si>
  <si>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</si>
  <si>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</si>
  <si>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</si>
  <si>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</si>
  <si>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</t>
    </r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</si>
  <si>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</si>
  <si>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</si>
  <si>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</si>
  <si>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</si>
  <si>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</si>
  <si>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</si>
  <si>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</si>
  <si>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</si>
  <si>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</si>
  <si>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</si>
  <si>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</si>
  <si>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</si>
  <si>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</si>
  <si>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</si>
  <si>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</si>
  <si>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</si>
  <si>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</si>
  <si>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</si>
  <si>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</si>
  <si>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</si>
  <si>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</si>
  <si>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</si>
  <si>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</si>
  <si>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</si>
  <si>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</si>
  <si>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</si>
  <si>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</si>
  <si>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</si>
  <si>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</si>
  <si>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</si>
  <si>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</si>
  <si>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</si>
  <si>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</si>
  <si>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</si>
  <si>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</si>
  <si>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</si>
  <si>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</si>
  <si>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</si>
  <si>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</si>
  <si>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</si>
  <si>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</si>
  <si>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</si>
  <si>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</si>
  <si>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</si>
  <si>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</si>
  <si>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</si>
  <si>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</si>
  <si>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</si>
  <si>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</si>
  <si>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</si>
  <si>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</si>
  <si>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</si>
  <si>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</si>
  <si>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</si>
  <si>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</si>
  <si>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</si>
  <si>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</si>
  <si>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</si>
  <si>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</si>
  <si>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</si>
  <si>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</si>
  <si>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</si>
  <si>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</si>
  <si>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</si>
  <si>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</si>
  <si>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</si>
  <si>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</si>
  <si>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</si>
  <si>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</si>
  <si>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</si>
  <si>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</si>
  <si>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</si>
  <si>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</si>
  <si>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</si>
  <si>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</si>
  <si>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</si>
  <si>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</si>
  <si>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</si>
  <si>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</si>
  <si>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</si>
  <si>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</si>
  <si>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</si>
  <si>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</si>
  <si>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</si>
  <si>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</si>
  <si>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</si>
  <si>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</si>
  <si>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</si>
  <si>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</si>
  <si>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</si>
  <si>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</si>
  <si>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</si>
  <si>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</si>
  <si>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</si>
  <si>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</si>
  <si>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</si>
  <si>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</si>
  <si>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</si>
  <si>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</si>
  <si>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</si>
  <si>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</si>
  <si>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</si>
  <si>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</si>
  <si>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</si>
  <si>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</si>
  <si>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</si>
  <si>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</si>
  <si>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</si>
  <si>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</si>
  <si>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</si>
  <si>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</si>
  <si>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</si>
  <si>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</si>
  <si>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</si>
  <si>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</si>
  <si>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</si>
  <si>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</si>
  <si>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</si>
  <si>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</si>
  <si>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</si>
  <si>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</si>
  <si>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</si>
  <si>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</si>
  <si>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</si>
  <si>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</si>
  <si>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</si>
  <si>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</si>
  <si>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</si>
  <si>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</si>
  <si>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</si>
  <si>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</si>
  <si>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</si>
  <si>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</si>
  <si>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</si>
  <si>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</si>
  <si>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</si>
  <si>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</si>
  <si>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</si>
  <si>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</si>
  <si>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</si>
  <si>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</si>
  <si>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</si>
  <si>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</si>
  <si>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</si>
  <si>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</si>
  <si>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</si>
  <si>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</si>
  <si>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</si>
  <si>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</si>
  <si>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</si>
  <si>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</si>
  <si>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</si>
  <si>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</si>
  <si>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</si>
  <si>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</si>
  <si>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</si>
  <si>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</si>
  <si>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</si>
  <si>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</si>
  <si>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</si>
  <si>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</si>
  <si>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</si>
  <si>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</si>
  <si>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</si>
  <si>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t xml:space="preserve">markets/chip_bridge v0.1</t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</si>
  <si>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</si>
  <si>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</si>
  <si>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</si>
  <si>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</si>
  <si>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</si>
  <si>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</si>
  <si>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</si>
  <si>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</si>
  <si>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</si>
  <si>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</si>
  <si>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</si>
  <si>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</si>
  <si>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</si>
  <si>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情境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</si>
  <si>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</si>
  <si>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</si>
  <si>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</si>
  <si>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</si>
  <si>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</si>
  <si>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</si>
  <si>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</si>
  <si>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</si>
  <si>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</si>
  <si>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</si>
  <si>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</si>
  <si>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</si>
  <si>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</si>
  <si>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</si>
  <si>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</si>
  <si>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</si>
  <si>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</si>
  <si>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A</t>
  </si>
  <si>
    <t xml:space="preserve">B</t>
  </si>
  <si>
    <t xml:space="preserve">C</t>
  </si>
  <si>
    <t xml:space="preserve">NAND</t>
  </si>
  <si>
    <t xml:space="preserve">年均指數</t>
  </si>
  <si>
    <t xml:space="preserve">2025</t>
  </si>
  <si>
    <t xml:space="preserve">2026</t>
  </si>
  <si>
    <t xml:space="preserve">2027</t>
  </si>
  <si>
    <t xml:space="preserve">2028</t>
  </si>
  <si>
    <t xml:space="preserve">2026÷2025</t>
  </si>
  <si>
    <t xml:space="preserve">2027÷2026</t>
  </si>
  <si>
    <t xml:space="preserve">2028÷2027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</si>
  <si>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</t>
    </r>
    <r>
      <rPr>
        <sz val="11"/>
        <color theme="1"/>
        <rFont val="Noto Sans CJK SC"/>
        <family val="2"/>
      </rPr>
      <t xml:space="preserve">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</t>
    </r>
  </si>
  <si>
    <t xml:space="preserve">說明</t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</si>
  <si>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</si>
  <si>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</si>
  <si>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</si>
  <si>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</si>
  <si>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</si>
  <si>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</si>
  <si>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</si>
  <si>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</si>
  <si>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</si>
  <si>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</si>
  <si>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</si>
  <si>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t xml:space="preserve">EB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</si>
  <si>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</si>
  <si>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</si>
  <si>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</si>
  <si>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</si>
  <si>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</si>
  <si>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</si>
  <si>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</si>
  <si>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</si>
  <si>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</si>
  <si>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</si>
  <si>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</si>
  <si>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</si>
  <si>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</si>
  <si>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</si>
  <si>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</si>
  <si>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</si>
  <si>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</si>
  <si>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v0.1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</si>
  <si>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</si>
  <si>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</si>
  <si>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</si>
  <si>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</si>
  <si>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</si>
  <si>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季度損益（兆韓元）。實績：</t>
    </r>
    <r>
      <rPr>
        <sz val="11"/>
        <color theme="1"/>
        <rFont val="Calibri"/>
        <family val="2"/>
        <charset val="1"/>
      </rPr>
      <t xml:space="preserve">SEC 424B4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6-K </t>
    </r>
    <r>
      <rPr>
        <sz val="11"/>
        <color theme="1"/>
        <rFont val="Noto Sans CJK SC"/>
        <family val="2"/>
      </rPr>
      <t xml:space="preserve">半年報（</t>
    </r>
    <r>
      <rPr>
        <sz val="11"/>
        <color theme="1"/>
        <rFont val="Calibri"/>
        <family val="2"/>
        <charset val="1"/>
      </rPr>
      <t xml:space="preserve">2026-08-18</t>
    </r>
    <r>
      <rPr>
        <sz val="11"/>
        <color theme="1"/>
        <rFont val="Noto Sans CJK SC"/>
        <family val="2"/>
      </rPr>
      <t xml:space="preserve">）、公司公告；推估季：實績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× TrendForce </t>
    </r>
    <r>
      <rPr>
        <sz val="11"/>
        <color theme="1"/>
        <rFont val="Noto Sans CJK SC"/>
        <family val="2"/>
      </rPr>
      <t xml:space="preserve">價格</t>
    </r>
  </si>
  <si>
    <t xml:space="preserve">2026Q3E</t>
  </si>
  <si>
    <t xml:space="preserve">2026Q4E</t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</si>
  <si>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合計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</si>
  <si>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</si>
  <si>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  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</si>
  <si>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  NAND</t>
  </si>
  <si>
    <t xml:space="preserve">  其他</t>
  </si>
  <si>
    <t xml:space="preserve">營業成本</t>
  </si>
  <si>
    <t xml:space="preserve">營業費用</t>
  </si>
  <si>
    <t xml:space="preserve">營業利益</t>
  </si>
  <si>
    <t xml:space="preserve">營業利益率</t>
  </si>
  <si>
    <t xml:space="preserve">淨利</t>
  </si>
  <si>
    <t xml:space="preserve">折舊攤銷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</si>
  <si>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位元指數（最後實績季＝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</si>
  <si>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位元指數</t>
    </r>
  </si>
  <si>
    <r>
      <rPr>
        <sz val="11"/>
        <color theme="1"/>
        <rFont val="Calibri"/>
        <family val="2"/>
        <charset val="1"/>
      </rPr>
      <t xml:space="preserve">2026Q1 DRAM 77.3%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NAND 22%</t>
    </r>
    <r>
      <rPr>
        <sz val="11"/>
        <color theme="1"/>
        <rFont val="Noto Sans CJK SC"/>
        <family val="2"/>
      </rPr>
      <t xml:space="preserve">、毛利率約 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DRAM 73%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NAND 27%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83%</t>
    </r>
    <r>
      <rPr>
        <sz val="11"/>
        <color theme="1"/>
        <rFont val="Noto Sans CJK SC"/>
        <family val="2"/>
      </rPr>
      <t xml:space="preserve">（公司簡報）。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季度拆分未取得。</t>
    </r>
    <r>
      <rPr>
        <sz val="11"/>
        <color theme="1"/>
        <rFont val="Calibri"/>
        <family val="2"/>
        <charset val="1"/>
      </rPr>
      <t xml:space="preserve">2025Q3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折舊為合計 </t>
    </r>
    <r>
      <rPr>
        <sz val="11"/>
        <color theme="1"/>
        <rFont val="Calibri"/>
        <family val="2"/>
        <charset val="1"/>
      </rPr>
      <t xml:space="preserve">7.113 </t>
    </r>
    <r>
      <rPr>
        <sz val="11"/>
        <color theme="1"/>
        <rFont val="Noto Sans CJK SC"/>
        <family val="2"/>
      </rPr>
      <t xml:space="preserve">平均分配 </t>
    </r>
    <r>
      <rPr>
        <sz val="11"/>
        <color theme="1"/>
        <rFont val="Calibri"/>
        <family val="2"/>
        <charset val="1"/>
      </rPr>
      <t xml:space="preserve">[Derived]</t>
    </r>
  </si>
  <si>
    <r>
      <rPr>
        <sz val="11"/>
        <color theme="1"/>
        <rFont val="Calibri"/>
        <family val="2"/>
        <charset val="1"/>
      </rPr>
      <t xml:space="preserve">Y — </t>
    </r>
    <r>
      <rPr>
        <sz val="11"/>
        <color theme="1"/>
        <rFont val="Noto Sans CJK SC"/>
        <family val="2"/>
      </rPr>
      <t xml:space="preserve">年度（兆韓元；股數百萬股）。情境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年價格水準（完整谷底；歷史循環型）</t>
    </r>
  </si>
  <si>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</si>
  <si>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（基準）</t>
    </r>
  </si>
  <si>
    <t xml:space="preserve">2027 A</t>
  </si>
  <si>
    <t xml:space="preserve">2028 A</t>
  </si>
  <si>
    <t xml:space="preserve">2027 B</t>
  </si>
  <si>
    <t xml:space="preserve">2028 B</t>
  </si>
  <si>
    <t xml:space="preserve">2027 C</t>
  </si>
  <si>
    <t xml:space="preserve">2028 C</t>
  </si>
  <si>
    <r>
      <rPr>
        <sz val="11"/>
        <color theme="1"/>
        <rFont val="Noto Sans CJK SC"/>
        <family val="2"/>
      </rPr>
      <t xml:space="preserve">  一般 </t>
    </r>
    <r>
      <rPr>
        <sz val="11"/>
        <color theme="1"/>
        <rFont val="Calibri"/>
        <family val="2"/>
        <charset val="1"/>
      </rPr>
      <t xml:space="preserve">DRAM</t>
    </r>
  </si>
  <si>
    <r>
      <rPr>
        <sz val="11"/>
        <color theme="1"/>
        <rFont val="Noto Sans CJK SC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＋位元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Noto Sans CJK SC"/>
        <family val="2"/>
      </rPr>
      <t xml:space="preserve">會計年度價格指數平均比（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）</t>
    </r>
  </si>
  <si>
    <t xml:space="preserve">  HBM</t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</si>
  <si>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會計年度各季：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÷ 4 ×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</si>
  <si>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HBM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</si>
  <si>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成本量指數（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前一年）</t>
    </r>
  </si>
  <si>
    <r>
      <rPr>
        <sz val="11"/>
        <color theme="1"/>
        <rFont val="Noto Sans CJK SC"/>
        <family val="2"/>
      </rPr>
      <t xml:space="preserve">現金成本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量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年降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＋折舊</t>
    </r>
  </si>
  <si>
    <r>
      <rPr>
        <sz val="11"/>
        <color theme="1"/>
        <rFont val="Noto Sans CJK SC"/>
        <family val="2"/>
      </rPr>
      <t xml:space="preserve">（營業利益＋淨現金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收益率）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</si>
  <si>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t xml:space="preserve">資本支出</t>
  </si>
  <si>
    <t xml:space="preserve">自由現金流（淨利＋折舊 − 資本支出）</t>
  </si>
  <si>
    <t xml:space="preserve">股利</t>
  </si>
  <si>
    <t xml:space="preserve">買回</t>
  </si>
  <si>
    <r>
      <rPr>
        <sz val="11"/>
        <color theme="1"/>
        <rFont val="Noto Sans CJK SC"/>
        <family val="2"/>
      </rPr>
      <t xml:space="preserve">回饋比例 </t>
    </r>
    <r>
      <rPr>
        <sz val="11"/>
        <color theme="1"/>
        <rFont val="Calibri"/>
        <family val="2"/>
        <charset val="1"/>
      </rPr>
      <t xml:space="preserve">× FCF − </t>
    </r>
    <r>
      <rPr>
        <sz val="11"/>
        <color theme="1"/>
        <rFont val="Noto Sans CJK SC"/>
        <family val="2"/>
      </rPr>
      <t xml:space="preserve">股利</t>
    </r>
  </si>
  <si>
    <t xml:space="preserve">期末權益</t>
  </si>
  <si>
    <t xml:space="preserve">期末淨現金</t>
  </si>
  <si>
    <t xml:space="preserve">期末流通股數</t>
  </si>
  <si>
    <r>
      <rPr>
        <sz val="11"/>
        <color theme="1"/>
        <rFont val="Noto Sans CJK SC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</si>
  <si>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Noto Sans CJK SC"/>
        <family val="2"/>
      </rPr>
      <t xml:space="preserve">每股盈餘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（期末股數）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</si>
  <si>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（期末權益）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</si>
  <si>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，公司）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</si>
  <si>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估值（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主、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對照）。隱含股價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目前股價 − </t>
    </r>
    <r>
      <rPr>
        <sz val="11"/>
        <color theme="1"/>
        <rFont val="Calibri"/>
        <family val="2"/>
        <charset val="1"/>
      </rPr>
      <t xml:space="preserve">1</t>
    </r>
  </si>
  <si>
    <t xml:space="preserve">方法</t>
  </si>
  <si>
    <t xml:space="preserve">倍數</t>
  </si>
  <si>
    <t xml:space="preserve">每股基準</t>
  </si>
  <si>
    <t xml:space="preserve">隱含股價</t>
  </si>
  <si>
    <t xml:space="preserve">相對目前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</si>
  <si>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</si>
  <si>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共用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</si>
  <si>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 </t>
    </r>
    <r>
      <rPr>
        <sz val="11"/>
        <color theme="1"/>
        <rFont val="Calibri"/>
        <family val="2"/>
        <charset val="1"/>
      </rPr>
      <t xml:space="preserve">1.6x</t>
    </r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</si>
  <si>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券商遠期 </t>
    </r>
    <r>
      <rPr>
        <sz val="11"/>
        <color theme="1"/>
        <rFont val="Calibri"/>
        <family val="2"/>
        <charset val="1"/>
      </rPr>
      <t xml:space="preserve">3.3x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</si>
  <si>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</si>
  <si>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</si>
  <si>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2027 EPS</t>
  </si>
  <si>
    <t xml:space="preserve">2028 EPS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</si>
  <si>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一次只動一個價格或份額輸入；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營業費用變動率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（成本只隨量變動，所以這是精確值，不是近似）</t>
    </r>
  </si>
  <si>
    <t xml:space="preserve">欄</t>
  </si>
  <si>
    <t xml:space="preserve">輸入變動</t>
  </si>
  <si>
    <r>
      <rPr>
        <b val="true"/>
        <sz val="11"/>
        <rFont val="Cambria"/>
        <family val="0"/>
        <charset val="1"/>
      </rPr>
      <t xml:space="preserve">Δ</t>
    </r>
    <r>
      <rPr>
        <b val="true"/>
        <sz val="11"/>
        <rFont val="Noto Sans CJK SC"/>
        <family val="2"/>
      </rPr>
      <t xml:space="preserve">營收</t>
    </r>
  </si>
  <si>
    <t xml:space="preserve">相對基準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</si>
  <si>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</si>
  <si>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</si>
  <si>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（價格或份額）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</si>
  <si>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</si>
  <si>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</si>
  <si>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</si>
  <si>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Noto Sans CJK SC"/>
        <family val="2"/>
      </rPr>
      <t xml:space="preserve">讀法：哪一條收入線的同幅變動對營業利益影響最大，就是該年度的主要驅動。價格路徑本身的情境差異見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</si>
  <si>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本模型（正向推導）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共識或公司指引（只作事後對照，不用來回推參數）；兆韓元</t>
    </r>
  </si>
  <si>
    <t xml:space="preserve">本模型</t>
  </si>
  <si>
    <t xml:space="preserve">對照值</t>
  </si>
  <si>
    <t xml:space="preserve">差距</t>
  </si>
  <si>
    <t xml:space="preserve">對照來源</t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</si>
  <si>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</si>
  <si>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MarketScreener 2026-10-02</t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</si>
  <si>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</si>
  <si>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265.2</t>
    </r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</si>
  <si>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</si>
  <si>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MarketScreener</t>
  </si>
  <si>
    <r>
      <rPr>
        <sz val="11"/>
        <color theme="1"/>
        <rFont val="Calibri"/>
        <family val="2"/>
        <charset val="1"/>
      </rPr>
      <t xml:space="preserve">2026E HBM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BofA</t>
    </r>
  </si>
  <si>
    <r>
      <rPr>
        <sz val="11"/>
        <color theme="1"/>
        <rFont val="Calibri"/>
        <family val="2"/>
        <charset val="1"/>
      </rPr>
      <t xml:space="preserve">BofA 2026-09-13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CLSA 49.4</t>
    </r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</si>
  <si>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</si>
  <si>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</si>
  <si>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391.8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08-14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</si>
  <si>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</si>
  <si>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2028E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</si>
  <si>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399.1</t>
    </r>
  </si>
  <si>
    <r>
      <rPr>
        <sz val="11"/>
        <color theme="1"/>
        <rFont val="Calibri"/>
        <family val="2"/>
        <charset val="1"/>
      </rPr>
      <t xml:space="preserve">2026Q3E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</si>
  <si>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FnGuide 2026-09-25</t>
  </si>
  <si>
    <r>
      <rPr>
        <sz val="11"/>
        <color theme="1"/>
        <rFont val="Calibri"/>
        <family val="2"/>
        <charset val="1"/>
      </rPr>
      <t xml:space="preserve">2026Q3E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</si>
  <si>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FnGuide 74.1–78.1</t>
  </si>
  <si>
    <r>
      <rPr>
        <b val="true"/>
        <sz val="11"/>
        <rFont val="Cambria"/>
        <family val="0"/>
        <charset val="1"/>
      </rPr>
      <t xml:space="preserve">Feedback — </t>
    </r>
    <r>
      <rPr>
        <b val="true"/>
        <sz val="11"/>
        <rFont val="Noto Sans CJK SC"/>
        <family val="2"/>
      </rPr>
      <t xml:space="preserve">回饋算力收支</t>
    </r>
  </si>
  <si>
    <r>
      <rPr>
        <sz val="11"/>
        <color theme="1"/>
        <rFont val="Noto Sans CJK SC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</si>
  <si>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Noto Sans CJK SC"/>
        <family val="2"/>
      </rPr>
      <t xml:space="preserve">全市場每顆加速器平均 </t>
    </r>
    <r>
      <rPr>
        <sz val="11"/>
        <color theme="1"/>
        <rFont val="Calibri"/>
        <family val="2"/>
        <charset val="1"/>
      </rPr>
      <t xml:space="preserve">HBM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</si>
  <si>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</si>
  <si>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需求缺口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</si>
  <si>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毛利率</t>
    </r>
  </si>
  <si>
    <t xml:space="preserve">無法由公開資料分離</t>
  </si>
  <si>
    <t xml:space="preserve">—</t>
  </si>
  <si>
    <t xml:space="preserve">來源</t>
  </si>
  <si>
    <r>
      <rPr>
        <sz val="11"/>
        <color theme="1"/>
        <rFont val="Calibri"/>
        <family val="2"/>
        <charset val="1"/>
      </rPr>
      <t xml:space="preserve">SK hynix 424B4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</si>
  <si>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https://www.sec.gov/Archives/edgar/data/2120882/000119312526299963/d32785d424b4.htm</t>
  </si>
  <si>
    <r>
      <rPr>
        <sz val="11"/>
        <color theme="1"/>
        <rFont val="Calibri"/>
        <family val="2"/>
        <charset val="1"/>
      </rPr>
      <t xml:space="preserve">SK hynix 6-K </t>
    </r>
    <r>
      <rPr>
        <sz val="11"/>
        <color theme="1"/>
        <rFont val="Noto Sans CJK SC"/>
        <family val="2"/>
      </rPr>
      <t xml:space="preserve">半年報（</t>
    </r>
    <r>
      <rPr>
        <sz val="11"/>
        <color theme="1"/>
        <rFont val="Calibri"/>
        <family val="2"/>
        <charset val="1"/>
      </rPr>
      <t xml:space="preserve">2026-08-18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</si>
  <si>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https://www.sec.gov/Archives/edgar/data/2120882/000119312526354777/d147827d6k.htm</t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</si>
  <si>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法說逐字稿</t>
    </r>
  </si>
  <si>
    <t xml:space="preserve">https://ng.investing.com/news/transcripts/earnings-call-transcript-sk-hynix-posts-record-q2-2026-results-as-shares-fall-93CH-2622277</t>
  </si>
  <si>
    <t xml:space="preserve">https://www.marketscreener.com/quote/stock/SK-HYNIX-INC-6494929/finances/</t>
  </si>
  <si>
    <r>
      <rPr>
        <sz val="11"/>
        <color theme="1"/>
        <rFont val="Calibri"/>
        <family val="2"/>
        <charset val="1"/>
      </rPr>
      <t xml:space="preserve">Herald Business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FnGuide</t>
    </r>
    <r>
      <rPr>
        <sz val="11"/>
        <color theme="1"/>
        <rFont val="Noto Sans CJK SC"/>
        <family val="2"/>
      </rPr>
      <t xml:space="preserve">、目標價</t>
    </r>
  </si>
  <si>
    <t xml:space="preserve">https://biz.heraldcorp.com/article/10841314</t>
  </si>
  <si>
    <r>
      <rPr>
        <sz val="11"/>
        <color theme="1"/>
        <rFont val="Calibri"/>
        <family val="2"/>
        <charset val="1"/>
      </rPr>
      <t xml:space="preserve">BofA 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Economy Tribune</t>
    </r>
    <r>
      <rPr>
        <sz val="11"/>
        <color theme="1"/>
        <rFont val="Noto Sans CJK SC"/>
        <family val="2"/>
      </rPr>
      <t xml:space="preserve">）</t>
    </r>
  </si>
  <si>
    <t xml:space="preserve">https://www.economytribune.co.kr/news/articleView.html?idxno=3903874</t>
  </si>
  <si>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兆買回（</t>
    </r>
    <r>
      <rPr>
        <sz val="11"/>
        <color theme="1"/>
        <rFont val="Calibri"/>
        <family val="2"/>
        <charset val="1"/>
      </rPr>
      <t xml:space="preserve">Korea Herald</t>
    </r>
    <r>
      <rPr>
        <sz val="11"/>
        <color theme="1"/>
        <rFont val="Noto Sans CJK SC"/>
        <family val="2"/>
      </rPr>
      <t xml:space="preserve">）</t>
    </r>
  </si>
  <si>
    <t xml:space="preserve">https://www.koreaherald.com/article/10845792</t>
  </si>
  <si>
    <r>
      <rPr>
        <sz val="11"/>
        <color theme="1"/>
        <rFont val="Calibri"/>
        <family val="2"/>
        <charset val="1"/>
      </rPr>
      <t xml:space="preserve">UBS 2027 HBM </t>
    </r>
    <r>
      <rPr>
        <sz val="11"/>
        <color theme="1"/>
        <rFont val="Noto Sans CJK SC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Korea Herald</t>
    </r>
    <r>
      <rPr>
        <sz val="11"/>
        <color theme="1"/>
        <rFont val="Noto Sans CJK SC"/>
        <family val="2"/>
      </rPr>
      <t xml:space="preserve">）</t>
    </r>
  </si>
  <si>
    <t xml:space="preserve">https://www.koreaherald.com/article/10828143</t>
  </si>
  <si>
    <t xml:space="preserve">companiesmarketcap P/B</t>
  </si>
  <si>
    <t xml:space="preserve">https://companiesmarketcap.com/sk-hynix/pb-ratio/</t>
  </si>
  <si>
    <r>
      <rPr>
        <sz val="11"/>
        <color theme="1"/>
        <rFont val="Calibri"/>
        <family val="2"/>
        <charset val="1"/>
      </rPr>
      <t xml:space="preserve">TrendForce 4Q26 </t>
    </r>
    <r>
      <rPr>
        <sz val="11"/>
        <color theme="1"/>
        <rFont val="Noto Sans CJK SC"/>
        <family val="2"/>
      </rPr>
      <t xml:space="preserve">價格</t>
    </r>
  </si>
  <si>
    <t xml:space="preserve">https://www.trendforce.com/presscenter/news/20260930-13258.html</t>
  </si>
  <si>
    <r>
      <rPr>
        <sz val="11"/>
        <color theme="1"/>
        <rFont val="Calibri"/>
        <family val="2"/>
        <charset val="1"/>
      </rPr>
      <t xml:space="preserve">Citi 2027 </t>
    </r>
    <r>
      <rPr>
        <sz val="11"/>
        <color theme="1"/>
        <rFont val="Noto Sans CJK SC"/>
        <family val="2"/>
      </rPr>
      <t xml:space="preserve">見頂</t>
    </r>
  </si>
  <si>
    <t xml:space="preserve">https://www.tipranks.com/news/memory-prices-will-peak-next-year-warns-citi-as-it-cuts-micron-mu-price-target-by-18</t>
  </si>
  <si>
    <t xml:space="preserve">Bernstein 2028</t>
  </si>
  <si>
    <t xml:space="preserve">https://www.notebookcheck.net/DRAM-crisis-Analysts-expect-drastic-price-drop-in-2028.1337992.0.html</t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</si>
  <si>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（共用市場層）</t>
    </r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</si>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</sst>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%"/>
    <numFmt numFmtId="167" formatCode="0"/>
    <numFmt numFmtId="168" formatCode="0.0"/>
    <numFmt numFmtId="169" formatCode="0.0%"/>
    <numFmt numFmtId="170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7.15" hidden="false" customHeight="false" outlineLevel="0" collapsed="false">
      <c r="A5" s="4" t="s">
        <v>3</v>
      </c>
    </row>
    <row r="6" customFormat="false" ht="17.15" hidden="false" customHeight="false" outlineLevel="0" collapsed="false">
      <c r="A6" s="4" t="s">
        <v>4</v>
      </c>
    </row>
    <row r="7" customFormat="false" ht="17.15" hidden="false" customHeight="false" outlineLevel="0" collapsed="false">
      <c r="A7" s="4" t="s">
        <v>5</v>
      </c>
    </row>
    <row r="8" customFormat="false" ht="17.15" hidden="false" customHeight="false" outlineLevel="0" collapsed="false">
      <c r="A8" s="4" t="s">
        <v>6</v>
      </c>
    </row>
    <row r="9" customFormat="false" ht="17.15" hidden="false" customHeight="false" outlineLevel="0" collapsed="false">
      <c r="A9" s="4" t="s">
        <v>7</v>
      </c>
    </row>
    <row r="10" customFormat="false" ht="17.15" hidden="false" customHeight="false" outlineLevel="0" collapsed="false">
      <c r="A10" s="4" t="s">
        <v>8</v>
      </c>
    </row>
    <row r="11" customFormat="false" ht="17.15" hidden="false" customHeight="false" outlineLevel="0" collapsed="false">
      <c r="A11" s="4" t="s">
        <v>9</v>
      </c>
    </row>
    <row r="12" customFormat="false" ht="15" hidden="false" customHeight="false" outlineLevel="0" collapsed="false">
      <c r="A12" s="2"/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7.15" hidden="false" customHeight="false" outlineLevel="0" collapsed="false">
      <c r="A17" s="4" t="s">
        <v>13</v>
      </c>
    </row>
    <row r="18" customFormat="false" ht="17.15" hidden="false" customHeight="false" outlineLevel="0" collapsed="false">
      <c r="A18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20"/>
  </cols>
  <sheetData>
    <row r="1" customFormat="false" ht="17.15" hidden="false" customHeight="false" outlineLevel="0" collapsed="false">
      <c r="A1" s="0" t="s">
        <v>15</v>
      </c>
    </row>
    <row r="3" customFormat="false" ht="15" hidden="false" customHeight="false" outlineLevel="0" collapsed="false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</row>
    <row r="4" customFormat="false" ht="17.15" hidden="false" customHeight="false" outlineLevel="0" collapsed="false">
      <c r="A4" s="1" t="s">
        <v>24</v>
      </c>
    </row>
    <row r="5" customFormat="false" ht="17.15" hidden="false" customHeight="false" outlineLevel="0" collapsed="false">
      <c r="A5" s="0" t="s">
        <v>25</v>
      </c>
      <c r="B5" s="6" t="s">
        <v>26</v>
      </c>
      <c r="C5" s="0" t="s">
        <v>27</v>
      </c>
      <c r="D5" s="7" t="n">
        <v>1350</v>
      </c>
      <c r="E5" s="7" t="n">
        <v>1420</v>
      </c>
      <c r="F5" s="7" t="n">
        <v>1500</v>
      </c>
      <c r="G5" s="8" t="s">
        <v>28</v>
      </c>
      <c r="H5" s="8" t="s">
        <v>29</v>
      </c>
    </row>
    <row r="6" customFormat="false" ht="17.15" hidden="false" customHeight="false" outlineLevel="0" collapsed="false">
      <c r="A6" s="0" t="s">
        <v>30</v>
      </c>
      <c r="B6" s="6" t="s">
        <v>31</v>
      </c>
      <c r="C6" s="0" t="s">
        <v>32</v>
      </c>
      <c r="E6" s="7" t="n">
        <v>1723000</v>
      </c>
      <c r="G6" s="8" t="s">
        <v>33</v>
      </c>
      <c r="H6" s="8" t="s">
        <v>34</v>
      </c>
    </row>
    <row r="7" customFormat="false" ht="17.15" hidden="false" customHeight="false" outlineLevel="0" collapsed="false">
      <c r="A7" s="1" t="s">
        <v>35</v>
      </c>
    </row>
    <row r="8" customFormat="false" ht="17.15" hidden="false" customHeight="false" outlineLevel="0" collapsed="false">
      <c r="A8" s="0" t="s">
        <v>36</v>
      </c>
      <c r="B8" s="0" t="s">
        <v>37</v>
      </c>
      <c r="C8" s="0" t="s">
        <v>38</v>
      </c>
      <c r="D8" s="7" t="n">
        <v>0.08</v>
      </c>
      <c r="E8" s="7" t="n">
        <v>0.1</v>
      </c>
      <c r="F8" s="7" t="n">
        <v>0.12</v>
      </c>
      <c r="G8" s="8" t="s">
        <v>33</v>
      </c>
      <c r="H8" s="6" t="s">
        <v>39</v>
      </c>
    </row>
    <row r="9" customFormat="false" ht="17.15" hidden="false" customHeight="false" outlineLevel="0" collapsed="false">
      <c r="A9" s="0" t="s">
        <v>40</v>
      </c>
      <c r="B9" s="0" t="s">
        <v>41</v>
      </c>
      <c r="C9" s="0" t="s">
        <v>38</v>
      </c>
      <c r="D9" s="7" t="n">
        <v>0.08</v>
      </c>
      <c r="E9" s="7" t="n">
        <v>0.12</v>
      </c>
      <c r="F9" s="7" t="n">
        <v>0.16</v>
      </c>
      <c r="G9" s="8" t="s">
        <v>28</v>
      </c>
      <c r="H9" s="8" t="s">
        <v>42</v>
      </c>
    </row>
    <row r="10" customFormat="false" ht="17.15" hidden="false" customHeight="false" outlineLevel="0" collapsed="false">
      <c r="A10" s="0" t="s">
        <v>43</v>
      </c>
      <c r="B10" s="0" t="s">
        <v>44</v>
      </c>
      <c r="C10" s="0" t="s">
        <v>38</v>
      </c>
      <c r="D10" s="7" t="n">
        <v>0</v>
      </c>
      <c r="E10" s="7" t="n">
        <v>0.02</v>
      </c>
      <c r="F10" s="7" t="n">
        <v>0.04</v>
      </c>
      <c r="G10" s="8" t="s">
        <v>33</v>
      </c>
      <c r="H10" s="6" t="s">
        <v>45</v>
      </c>
    </row>
    <row r="11" customFormat="false" ht="17.15" hidden="false" customHeight="false" outlineLevel="0" collapsed="false">
      <c r="A11" s="0" t="s">
        <v>46</v>
      </c>
      <c r="B11" s="0" t="s">
        <v>47</v>
      </c>
      <c r="C11" s="0" t="s">
        <v>38</v>
      </c>
      <c r="D11" s="7" t="n">
        <v>0.1</v>
      </c>
      <c r="E11" s="7" t="n">
        <v>0.125</v>
      </c>
      <c r="F11" s="7" t="n">
        <v>0.2</v>
      </c>
      <c r="G11" s="8" t="s">
        <v>48</v>
      </c>
      <c r="H11" s="8" t="s">
        <v>49</v>
      </c>
    </row>
    <row r="12" customFormat="false" ht="17.15" hidden="false" customHeight="false" outlineLevel="0" collapsed="false">
      <c r="A12" s="0" t="s">
        <v>50</v>
      </c>
      <c r="B12" s="0" t="s">
        <v>51</v>
      </c>
      <c r="C12" s="0" t="s">
        <v>38</v>
      </c>
      <c r="D12" s="7" t="n">
        <v>0</v>
      </c>
      <c r="E12" s="7" t="n">
        <v>0.05</v>
      </c>
      <c r="F12" s="7" t="n">
        <v>0.08</v>
      </c>
      <c r="G12" s="8" t="s">
        <v>52</v>
      </c>
      <c r="H12" s="6" t="s">
        <v>53</v>
      </c>
    </row>
    <row r="13" customFormat="false" ht="17.15" hidden="false" customHeight="false" outlineLevel="0" collapsed="false">
      <c r="A13" s="0" t="s">
        <v>54</v>
      </c>
      <c r="B13" s="0" t="s">
        <v>55</v>
      </c>
      <c r="C13" s="0" t="s">
        <v>38</v>
      </c>
      <c r="D13" s="7" t="n">
        <v>0.05</v>
      </c>
      <c r="E13" s="7" t="n">
        <v>0.1</v>
      </c>
      <c r="F13" s="7" t="n">
        <v>0.15</v>
      </c>
      <c r="G13" s="8" t="s">
        <v>28</v>
      </c>
      <c r="H13" s="8" t="s">
        <v>56</v>
      </c>
    </row>
    <row r="14" customFormat="false" ht="17.15" hidden="false" customHeight="false" outlineLevel="0" collapsed="false">
      <c r="A14" s="0" t="s">
        <v>57</v>
      </c>
      <c r="B14" s="0" t="s">
        <v>58</v>
      </c>
      <c r="C14" s="0" t="s">
        <v>38</v>
      </c>
      <c r="D14" s="7" t="n">
        <v>0</v>
      </c>
      <c r="E14" s="7" t="n">
        <v>0.05</v>
      </c>
      <c r="F14" s="7" t="n">
        <v>0.08</v>
      </c>
      <c r="G14" s="8" t="s">
        <v>52</v>
      </c>
    </row>
    <row r="15" customFormat="false" ht="17.15" hidden="false" customHeight="false" outlineLevel="0" collapsed="false">
      <c r="A15" s="0" t="s">
        <v>59</v>
      </c>
      <c r="B15" s="0" t="s">
        <v>60</v>
      </c>
      <c r="C15" s="0" t="s">
        <v>38</v>
      </c>
      <c r="D15" s="7" t="n">
        <v>0.1</v>
      </c>
      <c r="E15" s="7" t="n">
        <v>0.175</v>
      </c>
      <c r="F15" s="7" t="n">
        <v>0.2</v>
      </c>
      <c r="G15" s="8" t="s">
        <v>48</v>
      </c>
      <c r="H15" s="8" t="s">
        <v>61</v>
      </c>
    </row>
    <row r="16" customFormat="false" ht="17.15" hidden="false" customHeight="false" outlineLevel="0" collapsed="false">
      <c r="A16" s="0" t="s">
        <v>62</v>
      </c>
      <c r="B16" s="0" t="s">
        <v>63</v>
      </c>
      <c r="C16" s="6" t="s">
        <v>64</v>
      </c>
      <c r="E16" s="7" t="n">
        <v>4.3</v>
      </c>
      <c r="G16" s="8" t="s">
        <v>52</v>
      </c>
      <c r="H16" s="8" t="s">
        <v>65</v>
      </c>
    </row>
    <row r="17" customFormat="false" ht="17.15" hidden="false" customHeight="false" outlineLevel="0" collapsed="false">
      <c r="A17" s="0" t="s">
        <v>66</v>
      </c>
      <c r="B17" s="0" t="s">
        <v>67</v>
      </c>
      <c r="C17" s="6" t="s">
        <v>64</v>
      </c>
      <c r="E17" s="7" t="n">
        <v>4.6</v>
      </c>
      <c r="G17" s="8" t="s">
        <v>52</v>
      </c>
    </row>
    <row r="18" customFormat="false" ht="15" hidden="false" customHeight="false" outlineLevel="0" collapsed="false">
      <c r="A18" s="0" t="s">
        <v>68</v>
      </c>
      <c r="B18" s="6" t="s">
        <v>69</v>
      </c>
      <c r="C18" s="0" t="s">
        <v>38</v>
      </c>
      <c r="D18" s="7" t="n">
        <v>0.01</v>
      </c>
      <c r="E18" s="7" t="n">
        <v>0.03</v>
      </c>
      <c r="F18" s="7" t="n">
        <v>0.05</v>
      </c>
      <c r="G18" s="8" t="s">
        <v>52</v>
      </c>
    </row>
    <row r="19" customFormat="false" ht="17.15" hidden="false" customHeight="false" outlineLevel="0" collapsed="false">
      <c r="A19" s="0" t="s">
        <v>70</v>
      </c>
      <c r="B19" s="6" t="s">
        <v>71</v>
      </c>
      <c r="C19" s="6" t="s">
        <v>64</v>
      </c>
      <c r="E19" s="7" t="n">
        <v>1.5</v>
      </c>
      <c r="G19" s="8" t="s">
        <v>28</v>
      </c>
      <c r="H19" s="8" t="s">
        <v>72</v>
      </c>
    </row>
    <row r="20" customFormat="false" ht="17.15" hidden="false" customHeight="false" outlineLevel="0" collapsed="false">
      <c r="A20" s="0" t="s">
        <v>73</v>
      </c>
      <c r="B20" s="6" t="s">
        <v>74</v>
      </c>
      <c r="C20" s="6" t="s">
        <v>64</v>
      </c>
      <c r="D20" s="7" t="n">
        <v>0.5</v>
      </c>
      <c r="E20" s="7" t="n">
        <v>1</v>
      </c>
      <c r="F20" s="7" t="n">
        <v>2</v>
      </c>
      <c r="G20" s="8" t="s">
        <v>52</v>
      </c>
      <c r="H20" s="6" t="s">
        <v>75</v>
      </c>
    </row>
    <row r="21" customFormat="false" ht="17.15" hidden="false" customHeight="false" outlineLevel="0" collapsed="false">
      <c r="A21" s="1" t="s">
        <v>76</v>
      </c>
    </row>
    <row r="22" customFormat="false" ht="17.15" hidden="false" customHeight="false" outlineLevel="0" collapsed="false">
      <c r="A22" s="0" t="s">
        <v>77</v>
      </c>
      <c r="B22" s="6" t="s">
        <v>78</v>
      </c>
      <c r="C22" s="0" t="s">
        <v>38</v>
      </c>
      <c r="D22" s="7" t="n">
        <v>0.05</v>
      </c>
      <c r="E22" s="7" t="n">
        <v>0.1</v>
      </c>
      <c r="F22" s="7" t="n">
        <v>0.15</v>
      </c>
      <c r="G22" s="8" t="s">
        <v>28</v>
      </c>
      <c r="H22" s="8" t="s">
        <v>79</v>
      </c>
    </row>
    <row r="23" customFormat="false" ht="17.15" hidden="false" customHeight="false" outlineLevel="0" collapsed="false">
      <c r="A23" s="0" t="s">
        <v>80</v>
      </c>
      <c r="B23" s="6" t="s">
        <v>81</v>
      </c>
      <c r="C23" s="0" t="s">
        <v>38</v>
      </c>
      <c r="D23" s="7" t="n">
        <v>0.1</v>
      </c>
      <c r="E23" s="7" t="n">
        <v>0.15</v>
      </c>
      <c r="F23" s="7" t="n">
        <v>0.19</v>
      </c>
      <c r="G23" s="8" t="s">
        <v>48</v>
      </c>
      <c r="H23" s="8" t="s">
        <v>82</v>
      </c>
    </row>
    <row r="24" customFormat="false" ht="17.15" hidden="false" customHeight="false" outlineLevel="0" collapsed="false">
      <c r="A24" s="0" t="s">
        <v>83</v>
      </c>
      <c r="B24" s="0" t="s">
        <v>84</v>
      </c>
      <c r="C24" s="0" t="s">
        <v>38</v>
      </c>
      <c r="D24" s="7" t="n">
        <v>0.15</v>
      </c>
      <c r="E24" s="7" t="n">
        <v>0.2</v>
      </c>
      <c r="F24" s="7" t="n">
        <v>0.25</v>
      </c>
      <c r="G24" s="8" t="s">
        <v>33</v>
      </c>
      <c r="H24" s="8" t="s">
        <v>85</v>
      </c>
    </row>
    <row r="25" customFormat="false" ht="17.15" hidden="false" customHeight="false" outlineLevel="0" collapsed="false">
      <c r="A25" s="0" t="s">
        <v>86</v>
      </c>
      <c r="B25" s="0" t="s">
        <v>87</v>
      </c>
      <c r="C25" s="0" t="s">
        <v>38</v>
      </c>
      <c r="D25" s="7" t="n">
        <v>0.15</v>
      </c>
      <c r="E25" s="7" t="n">
        <v>0.2</v>
      </c>
      <c r="F25" s="7" t="n">
        <v>0.25</v>
      </c>
      <c r="G25" s="8" t="s">
        <v>33</v>
      </c>
      <c r="H25" s="6" t="s">
        <v>88</v>
      </c>
    </row>
    <row r="26" customFormat="false" ht="17.15" hidden="false" customHeight="false" outlineLevel="0" collapsed="false">
      <c r="A26" s="0" t="s">
        <v>89</v>
      </c>
      <c r="B26" s="0" t="s">
        <v>90</v>
      </c>
      <c r="C26" s="0" t="s">
        <v>38</v>
      </c>
      <c r="D26" s="7" t="n">
        <v>0.55</v>
      </c>
      <c r="E26" s="7" t="n">
        <v>0.58</v>
      </c>
      <c r="F26" s="7" t="n">
        <v>0.62</v>
      </c>
      <c r="G26" s="8" t="s">
        <v>48</v>
      </c>
      <c r="H26" s="8" t="s">
        <v>91</v>
      </c>
    </row>
    <row r="27" customFormat="false" ht="17.15" hidden="false" customHeight="false" outlineLevel="0" collapsed="false">
      <c r="A27" s="0" t="s">
        <v>92</v>
      </c>
      <c r="B27" s="0" t="s">
        <v>93</v>
      </c>
      <c r="C27" s="0" t="s">
        <v>38</v>
      </c>
      <c r="D27" s="7" t="n">
        <v>0.48</v>
      </c>
      <c r="E27" s="7" t="n">
        <v>0.52</v>
      </c>
      <c r="F27" s="7" t="n">
        <v>0.56</v>
      </c>
      <c r="G27" s="8" t="s">
        <v>48</v>
      </c>
      <c r="H27" s="8" t="s">
        <v>94</v>
      </c>
    </row>
    <row r="28" customFormat="false" ht="17.15" hidden="false" customHeight="false" outlineLevel="0" collapsed="false">
      <c r="A28" s="0" t="s">
        <v>95</v>
      </c>
      <c r="B28" s="0" t="s">
        <v>96</v>
      </c>
      <c r="C28" s="0" t="s">
        <v>38</v>
      </c>
      <c r="D28" s="7" t="n">
        <v>0.38</v>
      </c>
      <c r="E28" s="7" t="n">
        <v>0.42</v>
      </c>
      <c r="F28" s="7" t="n">
        <v>0.48</v>
      </c>
      <c r="G28" s="8" t="s">
        <v>48</v>
      </c>
      <c r="H28" s="8" t="s">
        <v>97</v>
      </c>
    </row>
    <row r="29" customFormat="false" ht="17.15" hidden="false" customHeight="false" outlineLevel="0" collapsed="false">
      <c r="A29" s="0" t="s">
        <v>98</v>
      </c>
      <c r="B29" s="0" t="s">
        <v>99</v>
      </c>
      <c r="C29" s="0" t="s">
        <v>38</v>
      </c>
      <c r="D29" s="7" t="n">
        <v>0.35</v>
      </c>
      <c r="E29" s="7" t="n">
        <v>0.4</v>
      </c>
      <c r="F29" s="7" t="n">
        <v>0.45</v>
      </c>
      <c r="G29" s="8" t="s">
        <v>52</v>
      </c>
    </row>
    <row r="30" customFormat="false" ht="15" hidden="false" customHeight="false" outlineLevel="0" collapsed="false">
      <c r="A30" s="0" t="s">
        <v>100</v>
      </c>
      <c r="B30" s="6" t="s">
        <v>101</v>
      </c>
      <c r="C30" s="6" t="s">
        <v>64</v>
      </c>
      <c r="E30" s="7" t="n">
        <v>1.6</v>
      </c>
      <c r="G30" s="8" t="s">
        <v>33</v>
      </c>
    </row>
    <row r="31" customFormat="false" ht="17.15" hidden="false" customHeight="false" outlineLevel="0" collapsed="false">
      <c r="A31" s="0" t="s">
        <v>102</v>
      </c>
      <c r="B31" s="6" t="s">
        <v>103</v>
      </c>
      <c r="C31" s="0" t="s">
        <v>38</v>
      </c>
      <c r="E31" s="7" t="n">
        <v>0.45</v>
      </c>
      <c r="G31" s="8" t="s">
        <v>52</v>
      </c>
    </row>
    <row r="32" customFormat="false" ht="17.15" hidden="false" customHeight="false" outlineLevel="0" collapsed="false">
      <c r="A32" s="0" t="s">
        <v>104</v>
      </c>
      <c r="B32" s="6" t="s">
        <v>105</v>
      </c>
      <c r="C32" s="0" t="s">
        <v>38</v>
      </c>
      <c r="E32" s="7" t="n">
        <v>0.3</v>
      </c>
      <c r="G32" s="8" t="s">
        <v>52</v>
      </c>
      <c r="H32" s="8" t="s">
        <v>106</v>
      </c>
    </row>
    <row r="33" customFormat="false" ht="17.15" hidden="false" customHeight="false" outlineLevel="0" collapsed="false">
      <c r="A33" s="0" t="s">
        <v>107</v>
      </c>
      <c r="B33" s="6" t="s">
        <v>108</v>
      </c>
      <c r="C33" s="0" t="s">
        <v>38</v>
      </c>
      <c r="E33" s="7" t="n">
        <v>0.25</v>
      </c>
      <c r="G33" s="8" t="s">
        <v>52</v>
      </c>
    </row>
    <row r="34" customFormat="false" ht="15" hidden="false" customHeight="false" outlineLevel="0" collapsed="false">
      <c r="A34" s="0" t="s">
        <v>109</v>
      </c>
      <c r="B34" s="6" t="s">
        <v>110</v>
      </c>
      <c r="C34" s="0" t="s">
        <v>38</v>
      </c>
      <c r="D34" s="7" t="n">
        <v>0.05</v>
      </c>
      <c r="E34" s="7" t="n">
        <v>0.1</v>
      </c>
      <c r="F34" s="7" t="n">
        <v>0.15</v>
      </c>
      <c r="G34" s="8" t="s">
        <v>52</v>
      </c>
    </row>
    <row r="35" customFormat="false" ht="15" hidden="false" customHeight="false" outlineLevel="0" collapsed="false">
      <c r="A35" s="0" t="s">
        <v>111</v>
      </c>
      <c r="B35" s="6" t="s">
        <v>112</v>
      </c>
      <c r="C35" s="6" t="s">
        <v>113</v>
      </c>
      <c r="D35" s="7" t="n">
        <v>4</v>
      </c>
      <c r="E35" s="7" t="n">
        <v>5</v>
      </c>
      <c r="F35" s="7" t="n">
        <v>6</v>
      </c>
      <c r="G35" s="8" t="s">
        <v>52</v>
      </c>
    </row>
    <row r="36" customFormat="false" ht="15" hidden="false" customHeight="false" outlineLevel="0" collapsed="false">
      <c r="A36" s="0" t="s">
        <v>114</v>
      </c>
      <c r="B36" s="6" t="s">
        <v>115</v>
      </c>
      <c r="C36" s="0" t="s">
        <v>38</v>
      </c>
      <c r="E36" s="7" t="n">
        <v>0.9</v>
      </c>
      <c r="G36" s="8" t="s">
        <v>52</v>
      </c>
    </row>
    <row r="37" customFormat="false" ht="17.15" hidden="false" customHeight="false" outlineLevel="0" collapsed="false">
      <c r="A37" s="0" t="s">
        <v>116</v>
      </c>
      <c r="B37" s="6" t="s">
        <v>117</v>
      </c>
      <c r="C37" s="6" t="s">
        <v>64</v>
      </c>
      <c r="E37" s="7" t="n">
        <v>6</v>
      </c>
      <c r="G37" s="8" t="s">
        <v>28</v>
      </c>
      <c r="H37" s="6" t="s">
        <v>118</v>
      </c>
    </row>
    <row r="38" customFormat="false" ht="17.15" hidden="false" customHeight="false" outlineLevel="0" collapsed="false">
      <c r="A38" s="0" t="s">
        <v>119</v>
      </c>
      <c r="B38" s="6" t="s">
        <v>120</v>
      </c>
      <c r="C38" s="0" t="s">
        <v>121</v>
      </c>
      <c r="D38" s="7" t="n">
        <v>0.04</v>
      </c>
      <c r="E38" s="7" t="n">
        <v>0.047</v>
      </c>
      <c r="F38" s="7" t="n">
        <v>0.06</v>
      </c>
      <c r="G38" s="8" t="s">
        <v>28</v>
      </c>
      <c r="H38" s="6" t="s">
        <v>122</v>
      </c>
    </row>
    <row r="39" customFormat="false" ht="15" hidden="false" customHeight="false" outlineLevel="0" collapsed="false">
      <c r="A39" s="0" t="s">
        <v>123</v>
      </c>
      <c r="B39" s="6" t="s">
        <v>124</v>
      </c>
      <c r="C39" s="0" t="s">
        <v>38</v>
      </c>
      <c r="E39" s="7" t="n">
        <v>0.1</v>
      </c>
      <c r="G39" s="8" t="s">
        <v>52</v>
      </c>
    </row>
    <row r="40" customFormat="false" ht="17.15" hidden="false" customHeight="false" outlineLevel="0" collapsed="false">
      <c r="A40" s="0" t="s">
        <v>125</v>
      </c>
      <c r="B40" s="6" t="s">
        <v>126</v>
      </c>
      <c r="C40" s="0" t="s">
        <v>38</v>
      </c>
      <c r="D40" s="7" t="n">
        <v>0.2</v>
      </c>
      <c r="E40" s="7" t="n">
        <v>0.23</v>
      </c>
      <c r="F40" s="7" t="n">
        <v>0.25</v>
      </c>
      <c r="G40" s="8" t="s">
        <v>33</v>
      </c>
      <c r="H40" s="8" t="s">
        <v>127</v>
      </c>
    </row>
    <row r="41" customFormat="false" ht="15" hidden="false" customHeight="false" outlineLevel="0" collapsed="false">
      <c r="A41" s="0" t="s">
        <v>128</v>
      </c>
      <c r="B41" s="6" t="s">
        <v>129</v>
      </c>
      <c r="C41" s="0" t="s">
        <v>38</v>
      </c>
      <c r="E41" s="7" t="n">
        <v>0.02</v>
      </c>
      <c r="G41" s="8" t="s">
        <v>52</v>
      </c>
    </row>
    <row r="42" customFormat="false" ht="17.15" hidden="false" customHeight="false" outlineLevel="0" collapsed="false">
      <c r="A42" s="0" t="s">
        <v>130</v>
      </c>
      <c r="B42" s="6" t="s">
        <v>131</v>
      </c>
      <c r="C42" s="6" t="s">
        <v>64</v>
      </c>
      <c r="D42" s="7" t="n">
        <v>45</v>
      </c>
      <c r="E42" s="7" t="n">
        <v>48.7</v>
      </c>
      <c r="F42" s="7" t="n">
        <v>50</v>
      </c>
      <c r="G42" s="8" t="s">
        <v>132</v>
      </c>
      <c r="H42" s="6" t="s">
        <v>133</v>
      </c>
    </row>
    <row r="43" customFormat="false" ht="17.15" hidden="false" customHeight="false" outlineLevel="0" collapsed="false">
      <c r="A43" s="0" t="s">
        <v>134</v>
      </c>
      <c r="B43" s="6" t="s">
        <v>135</v>
      </c>
      <c r="C43" s="6" t="s">
        <v>64</v>
      </c>
      <c r="D43" s="7" t="n">
        <v>55</v>
      </c>
      <c r="E43" s="7" t="n">
        <v>62.3</v>
      </c>
      <c r="F43" s="7" t="n">
        <v>75</v>
      </c>
      <c r="G43" s="8" t="s">
        <v>48</v>
      </c>
      <c r="H43" s="8" t="s">
        <v>136</v>
      </c>
    </row>
    <row r="44" customFormat="false" ht="17.15" hidden="false" customHeight="false" outlineLevel="0" collapsed="false">
      <c r="A44" s="0" t="s">
        <v>137</v>
      </c>
      <c r="B44" s="6" t="s">
        <v>138</v>
      </c>
      <c r="C44" s="6" t="s">
        <v>64</v>
      </c>
      <c r="D44" s="7" t="n">
        <v>60</v>
      </c>
      <c r="E44" s="7" t="n">
        <v>71.2</v>
      </c>
      <c r="F44" s="7" t="n">
        <v>85</v>
      </c>
      <c r="G44" s="8" t="s">
        <v>48</v>
      </c>
      <c r="H44" s="8" t="s">
        <v>139</v>
      </c>
    </row>
    <row r="45" customFormat="false" ht="17.15" hidden="false" customHeight="false" outlineLevel="0" collapsed="false">
      <c r="A45" s="1" t="s">
        <v>140</v>
      </c>
    </row>
    <row r="46" customFormat="false" ht="17.15" hidden="false" customHeight="false" outlineLevel="0" collapsed="false">
      <c r="A46" s="0" t="s">
        <v>141</v>
      </c>
      <c r="B46" s="6" t="s">
        <v>142</v>
      </c>
      <c r="C46" s="6" t="s">
        <v>64</v>
      </c>
      <c r="E46" s="7" t="n">
        <v>262.693</v>
      </c>
      <c r="G46" s="8" t="s">
        <v>33</v>
      </c>
      <c r="H46" s="8" t="s">
        <v>143</v>
      </c>
    </row>
    <row r="47" customFormat="false" ht="17.15" hidden="false" customHeight="false" outlineLevel="0" collapsed="false">
      <c r="A47" s="0" t="s">
        <v>144</v>
      </c>
      <c r="B47" s="6" t="s">
        <v>145</v>
      </c>
      <c r="C47" s="6" t="s">
        <v>64</v>
      </c>
      <c r="E47" s="7" t="n">
        <v>69.4</v>
      </c>
      <c r="G47" s="8" t="s">
        <v>33</v>
      </c>
      <c r="H47" s="8" t="s">
        <v>146</v>
      </c>
    </row>
    <row r="48" customFormat="false" ht="15" hidden="false" customHeight="false" outlineLevel="0" collapsed="false">
      <c r="A48" s="0" t="s">
        <v>147</v>
      </c>
      <c r="B48" s="6" t="s">
        <v>148</v>
      </c>
      <c r="C48" s="6" t="s">
        <v>149</v>
      </c>
      <c r="E48" s="7" t="n">
        <v>711.0755</v>
      </c>
      <c r="G48" s="8" t="s">
        <v>33</v>
      </c>
      <c r="H48" s="8" t="s">
        <v>143</v>
      </c>
    </row>
    <row r="49" customFormat="false" ht="17.15" hidden="false" customHeight="false" outlineLevel="0" collapsed="false">
      <c r="A49" s="0" t="s">
        <v>150</v>
      </c>
      <c r="B49" s="6" t="s">
        <v>151</v>
      </c>
      <c r="C49" s="6" t="s">
        <v>64</v>
      </c>
      <c r="E49" s="7" t="n">
        <v>40.4</v>
      </c>
      <c r="G49" s="8" t="s">
        <v>28</v>
      </c>
      <c r="H49" s="8" t="s">
        <v>152</v>
      </c>
    </row>
    <row r="50" customFormat="false" ht="17.15" hidden="false" customHeight="false" outlineLevel="0" collapsed="false">
      <c r="A50" s="0" t="s">
        <v>153</v>
      </c>
      <c r="B50" s="6" t="s">
        <v>154</v>
      </c>
      <c r="C50" s="6" t="s">
        <v>149</v>
      </c>
      <c r="E50" s="7" t="n">
        <v>17.79</v>
      </c>
      <c r="G50" s="8" t="s">
        <v>33</v>
      </c>
      <c r="H50" s="8" t="s">
        <v>155</v>
      </c>
    </row>
    <row r="51" customFormat="false" ht="17.15" hidden="false" customHeight="false" outlineLevel="0" collapsed="false">
      <c r="A51" s="0" t="s">
        <v>156</v>
      </c>
      <c r="B51" s="6" t="s">
        <v>157</v>
      </c>
      <c r="C51" s="6" t="s">
        <v>64</v>
      </c>
      <c r="E51" s="7" t="n">
        <v>40</v>
      </c>
      <c r="G51" s="8" t="s">
        <v>33</v>
      </c>
      <c r="H51" s="8" t="s">
        <v>158</v>
      </c>
    </row>
    <row r="52" customFormat="false" ht="15" hidden="false" customHeight="false" outlineLevel="0" collapsed="false">
      <c r="A52" s="0" t="s">
        <v>159</v>
      </c>
      <c r="B52" s="6" t="s">
        <v>160</v>
      </c>
      <c r="C52" s="6" t="s">
        <v>149</v>
      </c>
      <c r="E52" s="7" t="n">
        <v>24.07</v>
      </c>
      <c r="G52" s="8" t="s">
        <v>33</v>
      </c>
    </row>
    <row r="53" customFormat="false" ht="17.15" hidden="false" customHeight="false" outlineLevel="0" collapsed="false">
      <c r="A53" s="0" t="s">
        <v>161</v>
      </c>
      <c r="B53" s="6" t="s">
        <v>162</v>
      </c>
      <c r="C53" s="6" t="s">
        <v>64</v>
      </c>
      <c r="E53" s="7" t="n">
        <v>0.54</v>
      </c>
      <c r="G53" s="8" t="s">
        <v>28</v>
      </c>
      <c r="H53" s="6" t="s">
        <v>163</v>
      </c>
    </row>
    <row r="54" customFormat="false" ht="17.15" hidden="false" customHeight="false" outlineLevel="0" collapsed="false">
      <c r="A54" s="0" t="s">
        <v>164</v>
      </c>
      <c r="B54" s="6" t="s">
        <v>165</v>
      </c>
      <c r="C54" s="6" t="s">
        <v>64</v>
      </c>
      <c r="E54" s="7" t="n">
        <v>29.2</v>
      </c>
      <c r="G54" s="8" t="s">
        <v>28</v>
      </c>
      <c r="H54" s="6" t="s">
        <v>166</v>
      </c>
    </row>
    <row r="55" customFormat="false" ht="17.15" hidden="false" customHeight="false" outlineLevel="0" collapsed="false">
      <c r="A55" s="0" t="s">
        <v>167</v>
      </c>
      <c r="B55" s="6" t="s">
        <v>168</v>
      </c>
      <c r="C55" s="0" t="s">
        <v>32</v>
      </c>
      <c r="E55" s="7" t="n">
        <v>4541</v>
      </c>
      <c r="G55" s="8" t="s">
        <v>48</v>
      </c>
      <c r="H55" s="8" t="s">
        <v>169</v>
      </c>
    </row>
    <row r="56" customFormat="false" ht="17.15" hidden="false" customHeight="false" outlineLevel="0" collapsed="false">
      <c r="A56" s="0" t="s">
        <v>170</v>
      </c>
      <c r="B56" s="6" t="s">
        <v>171</v>
      </c>
      <c r="C56" s="0" t="s">
        <v>32</v>
      </c>
      <c r="E56" s="7" t="n">
        <v>5249</v>
      </c>
      <c r="G56" s="8" t="s">
        <v>48</v>
      </c>
      <c r="H56" s="6" t="s">
        <v>88</v>
      </c>
    </row>
    <row r="57" customFormat="false" ht="17.15" hidden="false" customHeight="false" outlineLevel="0" collapsed="false">
      <c r="A57" s="0" t="s">
        <v>172</v>
      </c>
      <c r="B57" s="6" t="s">
        <v>173</v>
      </c>
      <c r="C57" s="0" t="s">
        <v>38</v>
      </c>
      <c r="D57" s="7" t="n">
        <v>0.3</v>
      </c>
      <c r="E57" s="7" t="n">
        <v>0.5</v>
      </c>
      <c r="F57" s="7" t="n">
        <v>0.7</v>
      </c>
      <c r="G57" s="8" t="s">
        <v>33</v>
      </c>
      <c r="H57" s="6" t="s">
        <v>174</v>
      </c>
    </row>
    <row r="58" customFormat="false" ht="15" hidden="false" customHeight="false" outlineLevel="0" collapsed="false">
      <c r="A58" s="0" t="s">
        <v>175</v>
      </c>
      <c r="B58" s="6" t="s">
        <v>176</v>
      </c>
      <c r="C58" s="0" t="s">
        <v>32</v>
      </c>
      <c r="E58" s="7" t="n">
        <v>1723000</v>
      </c>
      <c r="G58" s="8" t="s">
        <v>52</v>
      </c>
      <c r="H58" s="6" t="s">
        <v>177</v>
      </c>
    </row>
    <row r="59" customFormat="false" ht="17.15" hidden="false" customHeight="false" outlineLevel="0" collapsed="false">
      <c r="A59" s="1" t="s">
        <v>178</v>
      </c>
    </row>
    <row r="60" customFormat="false" ht="15" hidden="false" customHeight="false" outlineLevel="0" collapsed="false">
      <c r="A60" s="0" t="s">
        <v>179</v>
      </c>
      <c r="B60" s="0" t="s">
        <v>180</v>
      </c>
      <c r="C60" s="0" t="s">
        <v>181</v>
      </c>
      <c r="E60" s="7" t="n">
        <v>1</v>
      </c>
      <c r="G60" s="8" t="s">
        <v>52</v>
      </c>
      <c r="H60" s="6" t="s">
        <v>182</v>
      </c>
    </row>
    <row r="61" customFormat="false" ht="17.15" hidden="false" customHeight="false" outlineLevel="0" collapsed="false">
      <c r="A61" s="0" t="s">
        <v>183</v>
      </c>
      <c r="B61" s="0" t="s">
        <v>184</v>
      </c>
      <c r="C61" s="0" t="s">
        <v>181</v>
      </c>
      <c r="E61" s="7" t="n">
        <v>1.6</v>
      </c>
      <c r="G61" s="8" t="s">
        <v>48</v>
      </c>
      <c r="H61" s="8" t="s">
        <v>185</v>
      </c>
    </row>
    <row r="62" customFormat="false" ht="17.15" hidden="false" customHeight="false" outlineLevel="0" collapsed="false">
      <c r="A62" s="0" t="s">
        <v>186</v>
      </c>
      <c r="B62" s="0" t="s">
        <v>187</v>
      </c>
      <c r="C62" s="0" t="s">
        <v>181</v>
      </c>
      <c r="E62" s="7" t="n">
        <v>3.3</v>
      </c>
      <c r="G62" s="8" t="s">
        <v>48</v>
      </c>
      <c r="H62" s="8" t="s">
        <v>188</v>
      </c>
    </row>
    <row r="63" customFormat="false" ht="17.15" hidden="false" customHeight="false" outlineLevel="0" collapsed="false">
      <c r="A63" s="0" t="s">
        <v>189</v>
      </c>
      <c r="B63" s="0" t="s">
        <v>190</v>
      </c>
      <c r="C63" s="0" t="s">
        <v>181</v>
      </c>
      <c r="E63" s="7" t="n">
        <v>4</v>
      </c>
      <c r="G63" s="8" t="s">
        <v>52</v>
      </c>
      <c r="H63" s="6" t="s">
        <v>191</v>
      </c>
    </row>
    <row r="64" customFormat="false" ht="15" hidden="false" customHeight="false" outlineLevel="0" collapsed="false">
      <c r="A64" s="0" t="s">
        <v>192</v>
      </c>
      <c r="B64" s="0" t="s">
        <v>193</v>
      </c>
      <c r="C64" s="0" t="s">
        <v>181</v>
      </c>
      <c r="E64" s="7" t="n">
        <v>8</v>
      </c>
      <c r="G64" s="8" t="s">
        <v>52</v>
      </c>
    </row>
    <row r="65" customFormat="false" ht="15" hidden="false" customHeight="false" outlineLevel="0" collapsed="false">
      <c r="A65" s="0" t="s">
        <v>194</v>
      </c>
      <c r="B65" s="0" t="s">
        <v>195</v>
      </c>
      <c r="C65" s="0" t="s">
        <v>181</v>
      </c>
      <c r="E65" s="7" t="n">
        <v>12</v>
      </c>
      <c r="G65" s="8" t="s">
        <v>52</v>
      </c>
    </row>
    <row r="66" customFormat="false" ht="17.15" hidden="false" customHeight="false" outlineLevel="0" collapsed="false">
      <c r="A66" s="1" t="s">
        <v>196</v>
      </c>
    </row>
    <row r="67" customFormat="false" ht="17.15" hidden="false" customHeight="false" outlineLevel="0" collapsed="false">
      <c r="A67" s="0" t="s">
        <v>197</v>
      </c>
      <c r="B67" s="6" t="s">
        <v>198</v>
      </c>
      <c r="C67" s="0" t="s">
        <v>38</v>
      </c>
      <c r="E67" s="7" t="n">
        <v>-0.025</v>
      </c>
      <c r="G67" s="8" t="s">
        <v>48</v>
      </c>
      <c r="H67" s="8" t="s">
        <v>199</v>
      </c>
    </row>
    <row r="68" customFormat="false" ht="17.15" hidden="false" customHeight="false" outlineLevel="0" collapsed="false">
      <c r="A68" s="0" t="s">
        <v>200</v>
      </c>
      <c r="B68" s="6" t="s">
        <v>201</v>
      </c>
      <c r="C68" s="0" t="s">
        <v>38</v>
      </c>
      <c r="E68" s="7" t="n">
        <v>0.125</v>
      </c>
      <c r="G68" s="8" t="s">
        <v>48</v>
      </c>
      <c r="H68" s="6" t="s">
        <v>88</v>
      </c>
    </row>
    <row r="69" customFormat="false" ht="17.15" hidden="false" customHeight="false" outlineLevel="0" collapsed="false">
      <c r="A69" s="0" t="s">
        <v>202</v>
      </c>
      <c r="B69" s="6" t="s">
        <v>203</v>
      </c>
      <c r="C69" s="0" t="s">
        <v>38</v>
      </c>
      <c r="E69" s="7" t="n">
        <v>0.475</v>
      </c>
      <c r="G69" s="8" t="s">
        <v>48</v>
      </c>
      <c r="H69" s="6" t="s">
        <v>88</v>
      </c>
    </row>
    <row r="70" customFormat="false" ht="17.15" hidden="false" customHeight="false" outlineLevel="0" collapsed="false">
      <c r="A70" s="0" t="s">
        <v>204</v>
      </c>
      <c r="B70" s="6" t="s">
        <v>205</v>
      </c>
      <c r="C70" s="0" t="s">
        <v>38</v>
      </c>
      <c r="E70" s="7" t="n">
        <v>0.95</v>
      </c>
      <c r="G70" s="8" t="s">
        <v>48</v>
      </c>
      <c r="H70" s="6" t="s">
        <v>88</v>
      </c>
    </row>
    <row r="71" customFormat="false" ht="17.15" hidden="false" customHeight="false" outlineLevel="0" collapsed="false">
      <c r="A71" s="0" t="s">
        <v>206</v>
      </c>
      <c r="B71" s="6" t="s">
        <v>207</v>
      </c>
      <c r="C71" s="0" t="s">
        <v>38</v>
      </c>
      <c r="E71" s="7" t="n">
        <v>0.605</v>
      </c>
      <c r="G71" s="8" t="s">
        <v>48</v>
      </c>
      <c r="H71" s="6" t="s">
        <v>88</v>
      </c>
    </row>
    <row r="72" customFormat="false" ht="17.15" hidden="false" customHeight="false" outlineLevel="0" collapsed="false">
      <c r="A72" s="0" t="s">
        <v>208</v>
      </c>
      <c r="B72" s="6" t="s">
        <v>209</v>
      </c>
      <c r="C72" s="0" t="s">
        <v>38</v>
      </c>
      <c r="E72" s="7" t="n">
        <v>0.155</v>
      </c>
      <c r="G72" s="8" t="s">
        <v>48</v>
      </c>
      <c r="H72" s="6" t="s">
        <v>88</v>
      </c>
    </row>
    <row r="73" customFormat="false" ht="17.15" hidden="false" customHeight="false" outlineLevel="0" collapsed="false">
      <c r="A73" s="0" t="s">
        <v>210</v>
      </c>
      <c r="B73" s="6" t="s">
        <v>211</v>
      </c>
      <c r="C73" s="0" t="s">
        <v>38</v>
      </c>
      <c r="E73" s="7" t="n">
        <v>0.125</v>
      </c>
      <c r="G73" s="8" t="s">
        <v>48</v>
      </c>
      <c r="H73" s="6" t="s">
        <v>88</v>
      </c>
    </row>
    <row r="74" customFormat="false" ht="17.15" hidden="false" customHeight="false" outlineLevel="0" collapsed="false">
      <c r="A74" s="0" t="s">
        <v>212</v>
      </c>
      <c r="B74" s="6" t="s">
        <v>213</v>
      </c>
      <c r="C74" s="0" t="s">
        <v>38</v>
      </c>
      <c r="E74" s="7" t="n">
        <v>0.03</v>
      </c>
      <c r="G74" s="8" t="s">
        <v>48</v>
      </c>
      <c r="H74" s="8" t="s">
        <v>214</v>
      </c>
    </row>
    <row r="75" customFormat="false" ht="17.15" hidden="false" customHeight="false" outlineLevel="0" collapsed="false">
      <c r="A75" s="0" t="s">
        <v>215</v>
      </c>
      <c r="B75" s="6" t="s">
        <v>216</v>
      </c>
      <c r="C75" s="0" t="s">
        <v>38</v>
      </c>
      <c r="E75" s="7" t="n">
        <v>0</v>
      </c>
      <c r="G75" s="8" t="s">
        <v>48</v>
      </c>
      <c r="H75" s="6" t="s">
        <v>88</v>
      </c>
    </row>
    <row r="76" customFormat="false" ht="17.15" hidden="false" customHeight="false" outlineLevel="0" collapsed="false">
      <c r="A76" s="0" t="s">
        <v>217</v>
      </c>
      <c r="B76" s="6" t="s">
        <v>218</v>
      </c>
      <c r="C76" s="0" t="s">
        <v>38</v>
      </c>
      <c r="E76" s="7" t="n">
        <v>-0.02</v>
      </c>
      <c r="G76" s="8" t="s">
        <v>48</v>
      </c>
      <c r="H76" s="6" t="s">
        <v>88</v>
      </c>
    </row>
    <row r="77" customFormat="false" ht="17.15" hidden="false" customHeight="false" outlineLevel="0" collapsed="false">
      <c r="A77" s="0" t="s">
        <v>219</v>
      </c>
      <c r="B77" s="6" t="s">
        <v>220</v>
      </c>
      <c r="C77" s="0" t="s">
        <v>38</v>
      </c>
      <c r="E77" s="7" t="n">
        <v>-0.03</v>
      </c>
      <c r="G77" s="8" t="s">
        <v>48</v>
      </c>
      <c r="H77" s="6" t="s">
        <v>88</v>
      </c>
    </row>
    <row r="78" customFormat="false" ht="17.15" hidden="false" customHeight="false" outlineLevel="0" collapsed="false">
      <c r="A78" s="0" t="s">
        <v>221</v>
      </c>
      <c r="B78" s="6" t="s">
        <v>222</v>
      </c>
      <c r="C78" s="0" t="s">
        <v>38</v>
      </c>
      <c r="E78" s="7" t="n">
        <v>-0.03</v>
      </c>
      <c r="G78" s="8" t="s">
        <v>48</v>
      </c>
      <c r="H78" s="6" t="s">
        <v>88</v>
      </c>
    </row>
    <row r="79" customFormat="false" ht="17.15" hidden="false" customHeight="false" outlineLevel="0" collapsed="false">
      <c r="A79" s="0" t="s">
        <v>223</v>
      </c>
      <c r="B79" s="6" t="s">
        <v>224</v>
      </c>
      <c r="C79" s="0" t="s">
        <v>38</v>
      </c>
      <c r="E79" s="7" t="n">
        <v>-0.03</v>
      </c>
      <c r="G79" s="8" t="s">
        <v>48</v>
      </c>
      <c r="H79" s="6" t="s">
        <v>88</v>
      </c>
    </row>
    <row r="80" customFormat="false" ht="17.15" hidden="false" customHeight="false" outlineLevel="0" collapsed="false">
      <c r="A80" s="0" t="s">
        <v>225</v>
      </c>
      <c r="B80" s="6" t="s">
        <v>226</v>
      </c>
      <c r="C80" s="0" t="s">
        <v>38</v>
      </c>
      <c r="E80" s="7" t="n">
        <v>-0.02</v>
      </c>
      <c r="G80" s="8" t="s">
        <v>48</v>
      </c>
      <c r="H80" s="6" t="s">
        <v>88</v>
      </c>
    </row>
    <row r="81" customFormat="false" ht="17.15" hidden="false" customHeight="false" outlineLevel="0" collapsed="false">
      <c r="A81" s="0" t="s">
        <v>227</v>
      </c>
      <c r="B81" s="6" t="s">
        <v>228</v>
      </c>
      <c r="C81" s="0" t="s">
        <v>38</v>
      </c>
      <c r="E81" s="7" t="n">
        <v>-0.02</v>
      </c>
      <c r="G81" s="8" t="s">
        <v>48</v>
      </c>
      <c r="H81" s="6" t="s">
        <v>88</v>
      </c>
    </row>
    <row r="82" customFormat="false" ht="17.15" hidden="false" customHeight="false" outlineLevel="0" collapsed="false">
      <c r="A82" s="0" t="s">
        <v>229</v>
      </c>
      <c r="B82" s="6" t="s">
        <v>230</v>
      </c>
      <c r="C82" s="0" t="s">
        <v>38</v>
      </c>
      <c r="E82" s="7" t="n">
        <v>0.05</v>
      </c>
      <c r="G82" s="8" t="s">
        <v>48</v>
      </c>
      <c r="H82" s="8" t="s">
        <v>231</v>
      </c>
    </row>
    <row r="83" customFormat="false" ht="17.15" hidden="false" customHeight="false" outlineLevel="0" collapsed="false">
      <c r="A83" s="0" t="s">
        <v>232</v>
      </c>
      <c r="B83" s="6" t="s">
        <v>233</v>
      </c>
      <c r="C83" s="0" t="s">
        <v>38</v>
      </c>
      <c r="E83" s="7" t="n">
        <v>0.02</v>
      </c>
      <c r="G83" s="8" t="s">
        <v>48</v>
      </c>
      <c r="H83" s="6" t="s">
        <v>88</v>
      </c>
    </row>
    <row r="84" customFormat="false" ht="17.15" hidden="false" customHeight="false" outlineLevel="0" collapsed="false">
      <c r="A84" s="0" t="s">
        <v>234</v>
      </c>
      <c r="B84" s="6" t="s">
        <v>235</v>
      </c>
      <c r="C84" s="0" t="s">
        <v>38</v>
      </c>
      <c r="E84" s="7" t="n">
        <v>-0.08</v>
      </c>
      <c r="G84" s="8" t="s">
        <v>48</v>
      </c>
      <c r="H84" s="6" t="s">
        <v>88</v>
      </c>
    </row>
    <row r="85" customFormat="false" ht="17.15" hidden="false" customHeight="false" outlineLevel="0" collapsed="false">
      <c r="A85" s="0" t="s">
        <v>236</v>
      </c>
      <c r="B85" s="6" t="s">
        <v>237</v>
      </c>
      <c r="C85" s="0" t="s">
        <v>38</v>
      </c>
      <c r="E85" s="7" t="n">
        <v>-0.15</v>
      </c>
      <c r="G85" s="8" t="s">
        <v>48</v>
      </c>
      <c r="H85" s="6" t="s">
        <v>88</v>
      </c>
    </row>
    <row r="86" customFormat="false" ht="17.15" hidden="false" customHeight="false" outlineLevel="0" collapsed="false">
      <c r="A86" s="0" t="s">
        <v>238</v>
      </c>
      <c r="B86" s="6" t="s">
        <v>239</v>
      </c>
      <c r="C86" s="0" t="s">
        <v>38</v>
      </c>
      <c r="E86" s="7" t="n">
        <v>-0.25</v>
      </c>
      <c r="G86" s="8" t="s">
        <v>48</v>
      </c>
      <c r="H86" s="6" t="s">
        <v>88</v>
      </c>
    </row>
    <row r="87" customFormat="false" ht="17.15" hidden="false" customHeight="false" outlineLevel="0" collapsed="false">
      <c r="A87" s="0" t="s">
        <v>240</v>
      </c>
      <c r="B87" s="6" t="s">
        <v>241</v>
      </c>
      <c r="C87" s="0" t="s">
        <v>38</v>
      </c>
      <c r="E87" s="7" t="n">
        <v>-0.15</v>
      </c>
      <c r="G87" s="8" t="s">
        <v>48</v>
      </c>
      <c r="H87" s="6" t="s">
        <v>88</v>
      </c>
    </row>
    <row r="88" customFormat="false" ht="17.15" hidden="false" customHeight="false" outlineLevel="0" collapsed="false">
      <c r="A88" s="0" t="s">
        <v>242</v>
      </c>
      <c r="B88" s="6" t="s">
        <v>243</v>
      </c>
      <c r="C88" s="0" t="s">
        <v>38</v>
      </c>
      <c r="E88" s="7" t="n">
        <v>-0.1</v>
      </c>
      <c r="G88" s="8" t="s">
        <v>48</v>
      </c>
      <c r="H88" s="6" t="s">
        <v>88</v>
      </c>
    </row>
    <row r="89" customFormat="false" ht="17.15" hidden="false" customHeight="false" outlineLevel="0" collapsed="false">
      <c r="A89" s="0" t="s">
        <v>244</v>
      </c>
      <c r="B89" s="6" t="s">
        <v>245</v>
      </c>
      <c r="C89" s="0" t="s">
        <v>38</v>
      </c>
      <c r="E89" s="7" t="n">
        <v>-0.05</v>
      </c>
      <c r="G89" s="8" t="s">
        <v>48</v>
      </c>
      <c r="H89" s="6" t="s">
        <v>88</v>
      </c>
    </row>
    <row r="90" customFormat="false" ht="17.15" hidden="false" customHeight="false" outlineLevel="0" collapsed="false">
      <c r="A90" s="0" t="s">
        <v>246</v>
      </c>
      <c r="B90" s="6" t="s">
        <v>247</v>
      </c>
      <c r="C90" s="0" t="s">
        <v>38</v>
      </c>
      <c r="E90" s="7" t="n">
        <v>0.05</v>
      </c>
      <c r="G90" s="8" t="s">
        <v>52</v>
      </c>
      <c r="H90" s="8" t="s">
        <v>248</v>
      </c>
    </row>
    <row r="91" customFormat="false" ht="17.15" hidden="false" customHeight="false" outlineLevel="0" collapsed="false">
      <c r="A91" s="0" t="s">
        <v>249</v>
      </c>
      <c r="B91" s="6" t="s">
        <v>250</v>
      </c>
      <c r="C91" s="0" t="s">
        <v>38</v>
      </c>
      <c r="E91" s="7" t="n">
        <v>0.02</v>
      </c>
      <c r="G91" s="8" t="s">
        <v>52</v>
      </c>
      <c r="H91" s="6" t="s">
        <v>88</v>
      </c>
    </row>
    <row r="92" customFormat="false" ht="17.15" hidden="false" customHeight="false" outlineLevel="0" collapsed="false">
      <c r="A92" s="0" t="s">
        <v>251</v>
      </c>
      <c r="B92" s="6" t="s">
        <v>252</v>
      </c>
      <c r="C92" s="0" t="s">
        <v>38</v>
      </c>
      <c r="E92" s="7" t="n">
        <v>-0.08</v>
      </c>
      <c r="G92" s="8" t="s">
        <v>52</v>
      </c>
      <c r="H92" s="6" t="s">
        <v>88</v>
      </c>
    </row>
    <row r="93" customFormat="false" ht="17.15" hidden="false" customHeight="false" outlineLevel="0" collapsed="false">
      <c r="A93" s="0" t="s">
        <v>253</v>
      </c>
      <c r="B93" s="6" t="s">
        <v>254</v>
      </c>
      <c r="C93" s="0" t="s">
        <v>38</v>
      </c>
      <c r="E93" s="7" t="n">
        <v>-0.15</v>
      </c>
      <c r="G93" s="8" t="s">
        <v>52</v>
      </c>
      <c r="H93" s="6" t="s">
        <v>88</v>
      </c>
    </row>
    <row r="94" customFormat="false" ht="17.15" hidden="false" customHeight="false" outlineLevel="0" collapsed="false">
      <c r="A94" s="0" t="s">
        <v>255</v>
      </c>
      <c r="B94" s="6" t="s">
        <v>256</v>
      </c>
      <c r="C94" s="0" t="s">
        <v>38</v>
      </c>
      <c r="E94" s="7" t="n">
        <v>-0.35</v>
      </c>
      <c r="G94" s="8" t="s">
        <v>52</v>
      </c>
      <c r="H94" s="6" t="s">
        <v>88</v>
      </c>
    </row>
    <row r="95" customFormat="false" ht="17.15" hidden="false" customHeight="false" outlineLevel="0" collapsed="false">
      <c r="A95" s="0" t="s">
        <v>257</v>
      </c>
      <c r="B95" s="6" t="s">
        <v>258</v>
      </c>
      <c r="C95" s="0" t="s">
        <v>38</v>
      </c>
      <c r="E95" s="7" t="n">
        <v>-0.3</v>
      </c>
      <c r="G95" s="8" t="s">
        <v>52</v>
      </c>
      <c r="H95" s="6" t="s">
        <v>88</v>
      </c>
    </row>
    <row r="96" customFormat="false" ht="17.15" hidden="false" customHeight="false" outlineLevel="0" collapsed="false">
      <c r="A96" s="0" t="s">
        <v>259</v>
      </c>
      <c r="B96" s="6" t="s">
        <v>260</v>
      </c>
      <c r="C96" s="0" t="s">
        <v>38</v>
      </c>
      <c r="E96" s="7" t="n">
        <v>-0.25</v>
      </c>
      <c r="G96" s="8" t="s">
        <v>52</v>
      </c>
      <c r="H96" s="6" t="s">
        <v>88</v>
      </c>
    </row>
    <row r="97" customFormat="false" ht="17.15" hidden="false" customHeight="false" outlineLevel="0" collapsed="false">
      <c r="A97" s="0" t="s">
        <v>261</v>
      </c>
      <c r="B97" s="6" t="s">
        <v>262</v>
      </c>
      <c r="C97" s="0" t="s">
        <v>38</v>
      </c>
      <c r="E97" s="7" t="n">
        <v>-0.2</v>
      </c>
      <c r="G97" s="8" t="s">
        <v>52</v>
      </c>
      <c r="H97" s="6" t="s">
        <v>88</v>
      </c>
    </row>
    <row r="98" customFormat="false" ht="17.15" hidden="false" customHeight="false" outlineLevel="0" collapsed="false">
      <c r="A98" s="0" t="s">
        <v>263</v>
      </c>
      <c r="B98" s="0" t="s">
        <v>264</v>
      </c>
      <c r="C98" s="0" t="s">
        <v>38</v>
      </c>
      <c r="E98" s="7" t="n">
        <v>0</v>
      </c>
      <c r="G98" s="8" t="s">
        <v>48</v>
      </c>
      <c r="H98" s="8" t="s">
        <v>265</v>
      </c>
    </row>
    <row r="99" customFormat="false" ht="17.15" hidden="false" customHeight="false" outlineLevel="0" collapsed="false">
      <c r="A99" s="0" t="s">
        <v>266</v>
      </c>
      <c r="B99" s="0" t="s">
        <v>267</v>
      </c>
      <c r="C99" s="0" t="s">
        <v>38</v>
      </c>
      <c r="E99" s="7" t="n">
        <v>0.05</v>
      </c>
      <c r="G99" s="8" t="s">
        <v>48</v>
      </c>
      <c r="H99" s="6" t="s">
        <v>88</v>
      </c>
    </row>
    <row r="100" customFormat="false" ht="17.15" hidden="false" customHeight="false" outlineLevel="0" collapsed="false">
      <c r="A100" s="0" t="s">
        <v>268</v>
      </c>
      <c r="B100" s="0" t="s">
        <v>269</v>
      </c>
      <c r="C100" s="0" t="s">
        <v>38</v>
      </c>
      <c r="E100" s="7" t="n">
        <v>0.3</v>
      </c>
      <c r="G100" s="8" t="s">
        <v>48</v>
      </c>
      <c r="H100" s="6" t="s">
        <v>88</v>
      </c>
    </row>
    <row r="101" customFormat="false" ht="17.15" hidden="false" customHeight="false" outlineLevel="0" collapsed="false">
      <c r="A101" s="0" t="s">
        <v>270</v>
      </c>
      <c r="B101" s="0" t="s">
        <v>271</v>
      </c>
      <c r="C101" s="0" t="s">
        <v>38</v>
      </c>
      <c r="E101" s="7" t="n">
        <v>0.875</v>
      </c>
      <c r="G101" s="8" t="s">
        <v>48</v>
      </c>
      <c r="H101" s="6" t="s">
        <v>88</v>
      </c>
    </row>
    <row r="102" customFormat="false" ht="17.15" hidden="false" customHeight="false" outlineLevel="0" collapsed="false">
      <c r="A102" s="0" t="s">
        <v>272</v>
      </c>
      <c r="B102" s="0" t="s">
        <v>273</v>
      </c>
      <c r="C102" s="0" t="s">
        <v>38</v>
      </c>
      <c r="E102" s="7" t="n">
        <v>0.725</v>
      </c>
      <c r="G102" s="8" t="s">
        <v>48</v>
      </c>
      <c r="H102" s="6" t="s">
        <v>88</v>
      </c>
    </row>
    <row r="103" customFormat="false" ht="17.15" hidden="false" customHeight="false" outlineLevel="0" collapsed="false">
      <c r="A103" s="0" t="s">
        <v>274</v>
      </c>
      <c r="B103" s="0" t="s">
        <v>275</v>
      </c>
      <c r="C103" s="0" t="s">
        <v>38</v>
      </c>
      <c r="E103" s="7" t="n">
        <v>0.15</v>
      </c>
      <c r="G103" s="8" t="s">
        <v>48</v>
      </c>
      <c r="H103" s="6" t="s">
        <v>88</v>
      </c>
    </row>
    <row r="104" customFormat="false" ht="17.15" hidden="false" customHeight="false" outlineLevel="0" collapsed="false">
      <c r="A104" s="0" t="s">
        <v>276</v>
      </c>
      <c r="B104" s="0" t="s">
        <v>277</v>
      </c>
      <c r="C104" s="0" t="s">
        <v>38</v>
      </c>
      <c r="E104" s="7" t="n">
        <v>0.175</v>
      </c>
      <c r="G104" s="8" t="s">
        <v>48</v>
      </c>
      <c r="H104" s="6" t="s">
        <v>88</v>
      </c>
    </row>
    <row r="105" customFormat="false" ht="17.15" hidden="false" customHeight="false" outlineLevel="0" collapsed="false">
      <c r="A105" s="0" t="s">
        <v>278</v>
      </c>
      <c r="B105" s="0" t="s">
        <v>279</v>
      </c>
      <c r="C105" s="0" t="s">
        <v>38</v>
      </c>
      <c r="E105" s="7" t="n">
        <v>0.03</v>
      </c>
      <c r="G105" s="8" t="s">
        <v>48</v>
      </c>
      <c r="H105" s="8" t="s">
        <v>280</v>
      </c>
    </row>
    <row r="106" customFormat="false" ht="17.15" hidden="false" customHeight="false" outlineLevel="0" collapsed="false">
      <c r="A106" s="0" t="s">
        <v>281</v>
      </c>
      <c r="B106" s="0" t="s">
        <v>282</v>
      </c>
      <c r="C106" s="0" t="s">
        <v>38</v>
      </c>
      <c r="E106" s="7" t="n">
        <v>0</v>
      </c>
      <c r="G106" s="8" t="s">
        <v>48</v>
      </c>
      <c r="H106" s="6" t="s">
        <v>88</v>
      </c>
    </row>
    <row r="107" customFormat="false" ht="17.15" hidden="false" customHeight="false" outlineLevel="0" collapsed="false">
      <c r="A107" s="0" t="s">
        <v>283</v>
      </c>
      <c r="B107" s="0" t="s">
        <v>284</v>
      </c>
      <c r="C107" s="0" t="s">
        <v>38</v>
      </c>
      <c r="E107" s="7" t="n">
        <v>-0.05</v>
      </c>
      <c r="G107" s="8" t="s">
        <v>48</v>
      </c>
      <c r="H107" s="6" t="s">
        <v>88</v>
      </c>
    </row>
    <row r="108" customFormat="false" ht="17.15" hidden="false" customHeight="false" outlineLevel="0" collapsed="false">
      <c r="A108" s="0" t="s">
        <v>285</v>
      </c>
      <c r="B108" s="0" t="s">
        <v>286</v>
      </c>
      <c r="C108" s="0" t="s">
        <v>38</v>
      </c>
      <c r="E108" s="7" t="n">
        <v>-0.07</v>
      </c>
      <c r="G108" s="8" t="s">
        <v>48</v>
      </c>
      <c r="H108" s="6" t="s">
        <v>88</v>
      </c>
    </row>
    <row r="109" customFormat="false" ht="17.15" hidden="false" customHeight="false" outlineLevel="0" collapsed="false">
      <c r="A109" s="0" t="s">
        <v>287</v>
      </c>
      <c r="B109" s="0" t="s">
        <v>288</v>
      </c>
      <c r="C109" s="0" t="s">
        <v>38</v>
      </c>
      <c r="E109" s="7" t="n">
        <v>-0.05</v>
      </c>
      <c r="G109" s="8" t="s">
        <v>48</v>
      </c>
      <c r="H109" s="6" t="s">
        <v>88</v>
      </c>
    </row>
    <row r="110" customFormat="false" ht="17.15" hidden="false" customHeight="false" outlineLevel="0" collapsed="false">
      <c r="A110" s="0" t="s">
        <v>289</v>
      </c>
      <c r="B110" s="0" t="s">
        <v>290</v>
      </c>
      <c r="C110" s="0" t="s">
        <v>38</v>
      </c>
      <c r="E110" s="7" t="n">
        <v>-0.05</v>
      </c>
      <c r="G110" s="8" t="s">
        <v>48</v>
      </c>
      <c r="H110" s="6" t="s">
        <v>88</v>
      </c>
    </row>
    <row r="111" customFormat="false" ht="17.15" hidden="false" customHeight="false" outlineLevel="0" collapsed="false">
      <c r="A111" s="0" t="s">
        <v>291</v>
      </c>
      <c r="B111" s="0" t="s">
        <v>292</v>
      </c>
      <c r="C111" s="0" t="s">
        <v>38</v>
      </c>
      <c r="E111" s="7" t="n">
        <v>-0.05</v>
      </c>
      <c r="G111" s="8" t="s">
        <v>48</v>
      </c>
      <c r="H111" s="6" t="s">
        <v>88</v>
      </c>
    </row>
    <row r="112" customFormat="false" ht="17.15" hidden="false" customHeight="false" outlineLevel="0" collapsed="false">
      <c r="A112" s="0" t="s">
        <v>293</v>
      </c>
      <c r="B112" s="0" t="s">
        <v>294</v>
      </c>
      <c r="C112" s="0" t="s">
        <v>38</v>
      </c>
      <c r="E112" s="7" t="n">
        <v>-0.05</v>
      </c>
      <c r="G112" s="8" t="s">
        <v>48</v>
      </c>
      <c r="H112" s="6" t="s">
        <v>88</v>
      </c>
    </row>
    <row r="113" customFormat="false" ht="17.15" hidden="false" customHeight="false" outlineLevel="0" collapsed="false">
      <c r="A113" s="0" t="s">
        <v>295</v>
      </c>
      <c r="B113" s="0" t="s">
        <v>296</v>
      </c>
      <c r="C113" s="0" t="s">
        <v>38</v>
      </c>
      <c r="E113" s="7" t="n">
        <v>0.05</v>
      </c>
      <c r="G113" s="8" t="s">
        <v>48</v>
      </c>
      <c r="H113" s="8" t="s">
        <v>297</v>
      </c>
    </row>
    <row r="114" customFormat="false" ht="17.15" hidden="false" customHeight="false" outlineLevel="0" collapsed="false">
      <c r="A114" s="0" t="s">
        <v>298</v>
      </c>
      <c r="B114" s="0" t="s">
        <v>299</v>
      </c>
      <c r="C114" s="0" t="s">
        <v>38</v>
      </c>
      <c r="E114" s="7" t="n">
        <v>0.02</v>
      </c>
      <c r="G114" s="8" t="s">
        <v>48</v>
      </c>
      <c r="H114" s="6" t="s">
        <v>88</v>
      </c>
    </row>
    <row r="115" customFormat="false" ht="17.15" hidden="false" customHeight="false" outlineLevel="0" collapsed="false">
      <c r="A115" s="0" t="s">
        <v>300</v>
      </c>
      <c r="B115" s="0" t="s">
        <v>301</v>
      </c>
      <c r="C115" s="0" t="s">
        <v>38</v>
      </c>
      <c r="E115" s="7" t="n">
        <v>-0.1</v>
      </c>
      <c r="G115" s="8" t="s">
        <v>48</v>
      </c>
      <c r="H115" s="6" t="s">
        <v>88</v>
      </c>
    </row>
    <row r="116" customFormat="false" ht="17.15" hidden="false" customHeight="false" outlineLevel="0" collapsed="false">
      <c r="A116" s="0" t="s">
        <v>302</v>
      </c>
      <c r="B116" s="0" t="s">
        <v>303</v>
      </c>
      <c r="C116" s="0" t="s">
        <v>38</v>
      </c>
      <c r="E116" s="7" t="n">
        <v>-0.2</v>
      </c>
      <c r="G116" s="8" t="s">
        <v>48</v>
      </c>
      <c r="H116" s="6" t="s">
        <v>88</v>
      </c>
    </row>
    <row r="117" customFormat="false" ht="17.15" hidden="false" customHeight="false" outlineLevel="0" collapsed="false">
      <c r="A117" s="0" t="s">
        <v>304</v>
      </c>
      <c r="B117" s="0" t="s">
        <v>305</v>
      </c>
      <c r="C117" s="0" t="s">
        <v>38</v>
      </c>
      <c r="E117" s="7" t="n">
        <v>-0.3</v>
      </c>
      <c r="G117" s="8" t="s">
        <v>48</v>
      </c>
      <c r="H117" s="6" t="s">
        <v>88</v>
      </c>
    </row>
    <row r="118" customFormat="false" ht="17.15" hidden="false" customHeight="false" outlineLevel="0" collapsed="false">
      <c r="A118" s="0" t="s">
        <v>306</v>
      </c>
      <c r="B118" s="0" t="s">
        <v>307</v>
      </c>
      <c r="C118" s="0" t="s">
        <v>38</v>
      </c>
      <c r="E118" s="7" t="n">
        <v>-0.25</v>
      </c>
      <c r="G118" s="8" t="s">
        <v>48</v>
      </c>
      <c r="H118" s="6" t="s">
        <v>88</v>
      </c>
    </row>
    <row r="119" customFormat="false" ht="17.15" hidden="false" customHeight="false" outlineLevel="0" collapsed="false">
      <c r="A119" s="0" t="s">
        <v>308</v>
      </c>
      <c r="B119" s="0" t="s">
        <v>309</v>
      </c>
      <c r="C119" s="0" t="s">
        <v>38</v>
      </c>
      <c r="E119" s="7" t="n">
        <v>-0.2</v>
      </c>
      <c r="G119" s="8" t="s">
        <v>48</v>
      </c>
      <c r="H119" s="6" t="s">
        <v>88</v>
      </c>
    </row>
    <row r="120" customFormat="false" ht="17.15" hidden="false" customHeight="false" outlineLevel="0" collapsed="false">
      <c r="A120" s="0" t="s">
        <v>310</v>
      </c>
      <c r="B120" s="0" t="s">
        <v>311</v>
      </c>
      <c r="C120" s="0" t="s">
        <v>38</v>
      </c>
      <c r="E120" s="7" t="n">
        <v>-0.1</v>
      </c>
      <c r="G120" s="8" t="s">
        <v>48</v>
      </c>
      <c r="H120" s="6" t="s">
        <v>88</v>
      </c>
    </row>
    <row r="121" customFormat="false" ht="17.15" hidden="false" customHeight="false" outlineLevel="0" collapsed="false">
      <c r="A121" s="0" t="s">
        <v>312</v>
      </c>
      <c r="B121" s="0" t="s">
        <v>313</v>
      </c>
      <c r="C121" s="0" t="s">
        <v>38</v>
      </c>
      <c r="E121" s="7" t="n">
        <v>0.05</v>
      </c>
      <c r="G121" s="8" t="s">
        <v>52</v>
      </c>
      <c r="H121" s="8" t="s">
        <v>314</v>
      </c>
    </row>
    <row r="122" customFormat="false" ht="17.15" hidden="false" customHeight="false" outlineLevel="0" collapsed="false">
      <c r="A122" s="0" t="s">
        <v>315</v>
      </c>
      <c r="B122" s="0" t="s">
        <v>316</v>
      </c>
      <c r="C122" s="0" t="s">
        <v>38</v>
      </c>
      <c r="E122" s="7" t="n">
        <v>0.02</v>
      </c>
      <c r="G122" s="8" t="s">
        <v>52</v>
      </c>
      <c r="H122" s="6" t="s">
        <v>88</v>
      </c>
    </row>
    <row r="123" customFormat="false" ht="17.15" hidden="false" customHeight="false" outlineLevel="0" collapsed="false">
      <c r="A123" s="0" t="s">
        <v>317</v>
      </c>
      <c r="B123" s="0" t="s">
        <v>318</v>
      </c>
      <c r="C123" s="0" t="s">
        <v>38</v>
      </c>
      <c r="E123" s="7" t="n">
        <v>-0.1</v>
      </c>
      <c r="G123" s="8" t="s">
        <v>52</v>
      </c>
      <c r="H123" s="6" t="s">
        <v>88</v>
      </c>
    </row>
    <row r="124" customFormat="false" ht="17.15" hidden="false" customHeight="false" outlineLevel="0" collapsed="false">
      <c r="A124" s="0" t="s">
        <v>319</v>
      </c>
      <c r="B124" s="0" t="s">
        <v>320</v>
      </c>
      <c r="C124" s="0" t="s">
        <v>38</v>
      </c>
      <c r="E124" s="7" t="n">
        <v>-0.2</v>
      </c>
      <c r="G124" s="8" t="s">
        <v>52</v>
      </c>
      <c r="H124" s="6" t="s">
        <v>88</v>
      </c>
    </row>
    <row r="125" customFormat="false" ht="17.15" hidden="false" customHeight="false" outlineLevel="0" collapsed="false">
      <c r="A125" s="0" t="s">
        <v>321</v>
      </c>
      <c r="B125" s="0" t="s">
        <v>322</v>
      </c>
      <c r="C125" s="0" t="s">
        <v>38</v>
      </c>
      <c r="E125" s="7" t="n">
        <v>-0.35</v>
      </c>
      <c r="G125" s="8" t="s">
        <v>52</v>
      </c>
      <c r="H125" s="6" t="s">
        <v>88</v>
      </c>
    </row>
    <row r="126" customFormat="false" ht="17.15" hidden="false" customHeight="false" outlineLevel="0" collapsed="false">
      <c r="A126" s="0" t="s">
        <v>323</v>
      </c>
      <c r="B126" s="0" t="s">
        <v>324</v>
      </c>
      <c r="C126" s="0" t="s">
        <v>38</v>
      </c>
      <c r="E126" s="7" t="n">
        <v>-0.35</v>
      </c>
      <c r="G126" s="8" t="s">
        <v>52</v>
      </c>
      <c r="H126" s="6" t="s">
        <v>88</v>
      </c>
    </row>
    <row r="127" customFormat="false" ht="17.15" hidden="false" customHeight="false" outlineLevel="0" collapsed="false">
      <c r="A127" s="0" t="s">
        <v>325</v>
      </c>
      <c r="B127" s="0" t="s">
        <v>326</v>
      </c>
      <c r="C127" s="0" t="s">
        <v>38</v>
      </c>
      <c r="E127" s="7" t="n">
        <v>-0.25</v>
      </c>
      <c r="G127" s="8" t="s">
        <v>52</v>
      </c>
      <c r="H127" s="6" t="s">
        <v>88</v>
      </c>
    </row>
    <row r="128" customFormat="false" ht="17.15" hidden="false" customHeight="false" outlineLevel="0" collapsed="false">
      <c r="A128" s="0" t="s">
        <v>327</v>
      </c>
      <c r="B128" s="0" t="s">
        <v>328</v>
      </c>
      <c r="C128" s="0" t="s">
        <v>38</v>
      </c>
      <c r="E128" s="7" t="n">
        <v>-0.2</v>
      </c>
      <c r="G128" s="8" t="s">
        <v>52</v>
      </c>
      <c r="H128" s="6" t="s">
        <v>88</v>
      </c>
    </row>
    <row r="129" customFormat="false" ht="17.15" hidden="false" customHeight="false" outlineLevel="0" collapsed="false">
      <c r="A129" s="1" t="s">
        <v>329</v>
      </c>
    </row>
    <row r="130" customFormat="false" ht="17.15" hidden="false" customHeight="false" outlineLevel="0" collapsed="false">
      <c r="A130" s="0" t="s">
        <v>330</v>
      </c>
      <c r="B130" s="0" t="s">
        <v>331</v>
      </c>
      <c r="C130" s="6" t="s">
        <v>332</v>
      </c>
      <c r="E130" s="7" t="n">
        <v>5.4</v>
      </c>
      <c r="G130" s="8" t="s">
        <v>48</v>
      </c>
      <c r="H130" s="6" t="s">
        <v>333</v>
      </c>
    </row>
    <row r="131" customFormat="false" ht="17.15" hidden="false" customHeight="false" outlineLevel="0" collapsed="false">
      <c r="A131" s="0" t="s">
        <v>334</v>
      </c>
      <c r="B131" s="0" t="s">
        <v>335</v>
      </c>
      <c r="C131" s="6" t="s">
        <v>332</v>
      </c>
      <c r="E131" s="7" t="n">
        <v>2.4</v>
      </c>
      <c r="G131" s="8" t="s">
        <v>48</v>
      </c>
      <c r="H131" s="6" t="s">
        <v>88</v>
      </c>
    </row>
    <row r="132" customFormat="false" ht="17.15" hidden="false" customHeight="false" outlineLevel="0" collapsed="false">
      <c r="A132" s="0" t="s">
        <v>336</v>
      </c>
      <c r="B132" s="0" t="s">
        <v>337</v>
      </c>
      <c r="C132" s="6" t="s">
        <v>332</v>
      </c>
      <c r="E132" s="7" t="n">
        <v>0.5</v>
      </c>
      <c r="G132" s="8" t="s">
        <v>48</v>
      </c>
      <c r="H132" s="6" t="s">
        <v>88</v>
      </c>
    </row>
    <row r="133" customFormat="false" ht="17.15" hidden="false" customHeight="false" outlineLevel="0" collapsed="false">
      <c r="A133" s="0" t="s">
        <v>338</v>
      </c>
      <c r="B133" s="0" t="s">
        <v>339</v>
      </c>
      <c r="C133" s="0" t="s">
        <v>340</v>
      </c>
      <c r="E133" s="7" t="n">
        <v>260</v>
      </c>
      <c r="G133" s="8" t="s">
        <v>48</v>
      </c>
      <c r="H133" s="6" t="s">
        <v>88</v>
      </c>
    </row>
    <row r="134" customFormat="false" ht="17.15" hidden="false" customHeight="false" outlineLevel="0" collapsed="false">
      <c r="A134" s="0" t="s">
        <v>341</v>
      </c>
      <c r="B134" s="0" t="s">
        <v>342</v>
      </c>
      <c r="C134" s="0" t="s">
        <v>340</v>
      </c>
      <c r="E134" s="7" t="n">
        <v>280</v>
      </c>
      <c r="G134" s="8" t="s">
        <v>48</v>
      </c>
      <c r="H134" s="6" t="s">
        <v>88</v>
      </c>
    </row>
    <row r="135" customFormat="false" ht="17.15" hidden="false" customHeight="false" outlineLevel="0" collapsed="false">
      <c r="A135" s="0" t="s">
        <v>343</v>
      </c>
      <c r="B135" s="0" t="s">
        <v>344</v>
      </c>
      <c r="C135" s="0" t="s">
        <v>340</v>
      </c>
      <c r="E135" s="7" t="n">
        <v>288</v>
      </c>
      <c r="G135" s="8" t="s">
        <v>48</v>
      </c>
      <c r="H135" s="6" t="s">
        <v>88</v>
      </c>
    </row>
    <row r="136" customFormat="false" ht="17.15" hidden="false" customHeight="false" outlineLevel="0" collapsed="false">
      <c r="A136" s="0" t="s">
        <v>345</v>
      </c>
      <c r="B136" s="0" t="s">
        <v>346</v>
      </c>
      <c r="C136" s="6" t="s">
        <v>332</v>
      </c>
      <c r="E136" s="7" t="n">
        <v>1.7</v>
      </c>
      <c r="G136" s="8" t="s">
        <v>48</v>
      </c>
      <c r="H136" s="8" t="s">
        <v>347</v>
      </c>
    </row>
    <row r="137" customFormat="false" ht="17.15" hidden="false" customHeight="false" outlineLevel="0" collapsed="false">
      <c r="A137" s="0" t="s">
        <v>348</v>
      </c>
      <c r="B137" s="0" t="s">
        <v>349</v>
      </c>
      <c r="C137" s="6" t="s">
        <v>332</v>
      </c>
      <c r="E137" s="7" t="n">
        <v>7</v>
      </c>
      <c r="G137" s="8" t="s">
        <v>48</v>
      </c>
      <c r="H137" s="6" t="s">
        <v>88</v>
      </c>
    </row>
    <row r="138" customFormat="false" ht="17.15" hidden="false" customHeight="false" outlineLevel="0" collapsed="false">
      <c r="A138" s="0" t="s">
        <v>350</v>
      </c>
      <c r="B138" s="0" t="s">
        <v>351</v>
      </c>
      <c r="C138" s="6" t="s">
        <v>332</v>
      </c>
      <c r="E138" s="7" t="n">
        <v>7</v>
      </c>
      <c r="G138" s="8" t="s">
        <v>48</v>
      </c>
      <c r="H138" s="6" t="s">
        <v>88</v>
      </c>
    </row>
    <row r="139" customFormat="false" ht="17.15" hidden="false" customHeight="false" outlineLevel="0" collapsed="false">
      <c r="A139" s="0" t="s">
        <v>352</v>
      </c>
      <c r="B139" s="0" t="s">
        <v>353</v>
      </c>
      <c r="C139" s="0" t="s">
        <v>340</v>
      </c>
      <c r="E139" s="7" t="n">
        <v>288</v>
      </c>
      <c r="G139" s="8" t="s">
        <v>48</v>
      </c>
      <c r="H139" s="6" t="s">
        <v>88</v>
      </c>
    </row>
    <row r="140" customFormat="false" ht="17.15" hidden="false" customHeight="false" outlineLevel="0" collapsed="false">
      <c r="A140" s="0" t="s">
        <v>354</v>
      </c>
      <c r="B140" s="0" t="s">
        <v>355</v>
      </c>
      <c r="C140" s="0" t="s">
        <v>340</v>
      </c>
      <c r="E140" s="7" t="n">
        <v>288</v>
      </c>
      <c r="G140" s="8" t="s">
        <v>48</v>
      </c>
      <c r="H140" s="6" t="s">
        <v>88</v>
      </c>
    </row>
    <row r="141" customFormat="false" ht="17.15" hidden="false" customHeight="false" outlineLevel="0" collapsed="false">
      <c r="A141" s="0" t="s">
        <v>356</v>
      </c>
      <c r="B141" s="0" t="s">
        <v>357</v>
      </c>
      <c r="C141" s="0" t="s">
        <v>340</v>
      </c>
      <c r="E141" s="7" t="n">
        <v>288</v>
      </c>
      <c r="G141" s="8" t="s">
        <v>48</v>
      </c>
      <c r="H141" s="6" t="s">
        <v>88</v>
      </c>
    </row>
    <row r="142" customFormat="false" ht="17.15" hidden="false" customHeight="false" outlineLevel="0" collapsed="false">
      <c r="A142" s="0" t="s">
        <v>358</v>
      </c>
      <c r="B142" s="0" t="s">
        <v>359</v>
      </c>
      <c r="C142" s="6" t="s">
        <v>332</v>
      </c>
      <c r="E142" s="7" t="n">
        <v>0</v>
      </c>
      <c r="G142" s="8" t="s">
        <v>52</v>
      </c>
      <c r="H142" s="6" t="s">
        <v>360</v>
      </c>
    </row>
    <row r="143" customFormat="false" ht="17.15" hidden="false" customHeight="false" outlineLevel="0" collapsed="false">
      <c r="A143" s="0" t="s">
        <v>361</v>
      </c>
      <c r="B143" s="0" t="s">
        <v>362</v>
      </c>
      <c r="C143" s="6" t="s">
        <v>332</v>
      </c>
      <c r="E143" s="7" t="n">
        <v>0.3</v>
      </c>
      <c r="G143" s="8" t="s">
        <v>52</v>
      </c>
      <c r="H143" s="6" t="s">
        <v>88</v>
      </c>
    </row>
    <row r="144" customFormat="false" ht="17.15" hidden="false" customHeight="false" outlineLevel="0" collapsed="false">
      <c r="A144" s="0" t="s">
        <v>363</v>
      </c>
      <c r="B144" s="0" t="s">
        <v>364</v>
      </c>
      <c r="C144" s="6" t="s">
        <v>332</v>
      </c>
      <c r="E144" s="7" t="n">
        <v>2</v>
      </c>
      <c r="G144" s="8" t="s">
        <v>52</v>
      </c>
      <c r="H144" s="6" t="s">
        <v>88</v>
      </c>
    </row>
    <row r="145" customFormat="false" ht="17.15" hidden="false" customHeight="false" outlineLevel="0" collapsed="false">
      <c r="A145" s="0" t="s">
        <v>365</v>
      </c>
      <c r="B145" s="0" t="s">
        <v>366</v>
      </c>
      <c r="C145" s="0" t="s">
        <v>340</v>
      </c>
      <c r="E145" s="7" t="n">
        <v>1024</v>
      </c>
      <c r="G145" s="8" t="s">
        <v>52</v>
      </c>
      <c r="H145" s="6" t="s">
        <v>88</v>
      </c>
    </row>
    <row r="146" customFormat="false" ht="17.15" hidden="false" customHeight="false" outlineLevel="0" collapsed="false">
      <c r="A146" s="0" t="s">
        <v>367</v>
      </c>
      <c r="B146" s="0" t="s">
        <v>368</v>
      </c>
      <c r="C146" s="0" t="s">
        <v>340</v>
      </c>
      <c r="E146" s="7" t="n">
        <v>1024</v>
      </c>
      <c r="G146" s="8" t="s">
        <v>52</v>
      </c>
      <c r="H146" s="6" t="s">
        <v>88</v>
      </c>
    </row>
    <row r="147" customFormat="false" ht="17.15" hidden="false" customHeight="false" outlineLevel="0" collapsed="false">
      <c r="A147" s="0" t="s">
        <v>369</v>
      </c>
      <c r="B147" s="0" t="s">
        <v>370</v>
      </c>
      <c r="C147" s="0" t="s">
        <v>340</v>
      </c>
      <c r="E147" s="7" t="n">
        <v>1024</v>
      </c>
      <c r="G147" s="8" t="s">
        <v>52</v>
      </c>
      <c r="H147" s="6" t="s">
        <v>88</v>
      </c>
    </row>
    <row r="148" customFormat="false" ht="17.15" hidden="false" customHeight="false" outlineLevel="0" collapsed="false">
      <c r="A148" s="0" t="s">
        <v>371</v>
      </c>
      <c r="B148" s="0" t="s">
        <v>372</v>
      </c>
      <c r="C148" s="6" t="s">
        <v>332</v>
      </c>
      <c r="E148" s="7" t="n">
        <v>0.5</v>
      </c>
      <c r="G148" s="8" t="s">
        <v>48</v>
      </c>
      <c r="H148" s="8" t="s">
        <v>373</v>
      </c>
    </row>
    <row r="149" customFormat="false" ht="17.15" hidden="false" customHeight="false" outlineLevel="0" collapsed="false">
      <c r="A149" s="0" t="s">
        <v>374</v>
      </c>
      <c r="B149" s="0" t="s">
        <v>375</v>
      </c>
      <c r="C149" s="6" t="s">
        <v>332</v>
      </c>
      <c r="E149" s="7" t="n">
        <v>0</v>
      </c>
      <c r="G149" s="8" t="s">
        <v>48</v>
      </c>
      <c r="H149" s="6" t="s">
        <v>88</v>
      </c>
    </row>
    <row r="150" customFormat="false" ht="17.15" hidden="false" customHeight="false" outlineLevel="0" collapsed="false">
      <c r="A150" s="0" t="s">
        <v>376</v>
      </c>
      <c r="B150" s="0" t="s">
        <v>377</v>
      </c>
      <c r="C150" s="6" t="s">
        <v>332</v>
      </c>
      <c r="E150" s="7" t="n">
        <v>0</v>
      </c>
      <c r="G150" s="8" t="s">
        <v>48</v>
      </c>
      <c r="H150" s="6" t="s">
        <v>88</v>
      </c>
    </row>
    <row r="151" customFormat="false" ht="17.15" hidden="false" customHeight="false" outlineLevel="0" collapsed="false">
      <c r="A151" s="0" t="s">
        <v>378</v>
      </c>
      <c r="B151" s="0" t="s">
        <v>379</v>
      </c>
      <c r="C151" s="0" t="s">
        <v>340</v>
      </c>
      <c r="E151" s="7" t="n">
        <v>141</v>
      </c>
      <c r="G151" s="8" t="s">
        <v>48</v>
      </c>
      <c r="H151" s="6" t="s">
        <v>88</v>
      </c>
    </row>
    <row r="152" customFormat="false" ht="17.15" hidden="false" customHeight="false" outlineLevel="0" collapsed="false">
      <c r="A152" s="0" t="s">
        <v>380</v>
      </c>
      <c r="B152" s="0" t="s">
        <v>381</v>
      </c>
      <c r="C152" s="0" t="s">
        <v>340</v>
      </c>
      <c r="E152" s="7" t="n">
        <v>141</v>
      </c>
      <c r="G152" s="8" t="s">
        <v>48</v>
      </c>
      <c r="H152" s="6" t="s">
        <v>88</v>
      </c>
    </row>
    <row r="153" customFormat="false" ht="17.15" hidden="false" customHeight="false" outlineLevel="0" collapsed="false">
      <c r="A153" s="0" t="s">
        <v>382</v>
      </c>
      <c r="B153" s="0" t="s">
        <v>383</v>
      </c>
      <c r="C153" s="0" t="s">
        <v>340</v>
      </c>
      <c r="E153" s="7" t="n">
        <v>141</v>
      </c>
      <c r="G153" s="8" t="s">
        <v>48</v>
      </c>
      <c r="H153" s="6" t="s">
        <v>88</v>
      </c>
    </row>
    <row r="154" customFormat="false" ht="17.15" hidden="false" customHeight="false" outlineLevel="0" collapsed="false">
      <c r="A154" s="0" t="s">
        <v>384</v>
      </c>
      <c r="B154" s="0" t="s">
        <v>385</v>
      </c>
      <c r="C154" s="6" t="s">
        <v>332</v>
      </c>
      <c r="E154" s="7" t="n">
        <v>0.75</v>
      </c>
      <c r="G154" s="8" t="s">
        <v>386</v>
      </c>
      <c r="H154" s="8" t="s">
        <v>387</v>
      </c>
    </row>
    <row r="155" customFormat="false" ht="17.15" hidden="false" customHeight="false" outlineLevel="0" collapsed="false">
      <c r="A155" s="0" t="s">
        <v>388</v>
      </c>
      <c r="B155" s="0" t="s">
        <v>389</v>
      </c>
      <c r="C155" s="6" t="s">
        <v>332</v>
      </c>
      <c r="E155" s="7" t="n">
        <v>1.5</v>
      </c>
      <c r="G155" s="8" t="s">
        <v>386</v>
      </c>
      <c r="H155" s="6" t="s">
        <v>88</v>
      </c>
    </row>
    <row r="156" customFormat="false" ht="17.15" hidden="false" customHeight="false" outlineLevel="0" collapsed="false">
      <c r="A156" s="0" t="s">
        <v>390</v>
      </c>
      <c r="B156" s="0" t="s">
        <v>391</v>
      </c>
      <c r="C156" s="6" t="s">
        <v>332</v>
      </c>
      <c r="E156" s="7" t="n">
        <v>2</v>
      </c>
      <c r="G156" s="8" t="s">
        <v>386</v>
      </c>
      <c r="H156" s="6" t="s">
        <v>88</v>
      </c>
    </row>
    <row r="157" customFormat="false" ht="17.15" hidden="false" customHeight="false" outlineLevel="0" collapsed="false">
      <c r="A157" s="0" t="s">
        <v>392</v>
      </c>
      <c r="B157" s="0" t="s">
        <v>393</v>
      </c>
      <c r="C157" s="0" t="s">
        <v>340</v>
      </c>
      <c r="E157" s="7" t="n">
        <v>288</v>
      </c>
      <c r="G157" s="8" t="s">
        <v>386</v>
      </c>
      <c r="H157" s="6" t="s">
        <v>88</v>
      </c>
    </row>
    <row r="158" customFormat="false" ht="17.15" hidden="false" customHeight="false" outlineLevel="0" collapsed="false">
      <c r="A158" s="0" t="s">
        <v>394</v>
      </c>
      <c r="B158" s="0" t="s">
        <v>395</v>
      </c>
      <c r="C158" s="0" t="s">
        <v>340</v>
      </c>
      <c r="E158" s="7" t="n">
        <v>360</v>
      </c>
      <c r="G158" s="8" t="s">
        <v>386</v>
      </c>
      <c r="H158" s="6" t="s">
        <v>88</v>
      </c>
    </row>
    <row r="159" customFormat="false" ht="17.15" hidden="false" customHeight="false" outlineLevel="0" collapsed="false">
      <c r="A159" s="0" t="s">
        <v>396</v>
      </c>
      <c r="B159" s="0" t="s">
        <v>397</v>
      </c>
      <c r="C159" s="0" t="s">
        <v>340</v>
      </c>
      <c r="E159" s="7" t="n">
        <v>432</v>
      </c>
      <c r="G159" s="8" t="s">
        <v>386</v>
      </c>
      <c r="H159" s="6" t="s">
        <v>88</v>
      </c>
    </row>
    <row r="160" customFormat="false" ht="17.15" hidden="false" customHeight="false" outlineLevel="0" collapsed="false">
      <c r="A160" s="0" t="s">
        <v>398</v>
      </c>
      <c r="B160" s="0" t="s">
        <v>399</v>
      </c>
      <c r="C160" s="6" t="s">
        <v>332</v>
      </c>
      <c r="E160" s="7" t="n">
        <v>3.85</v>
      </c>
      <c r="G160" s="8" t="s">
        <v>48</v>
      </c>
      <c r="H160" s="8" t="s">
        <v>400</v>
      </c>
    </row>
    <row r="161" customFormat="false" ht="17.15" hidden="false" customHeight="false" outlineLevel="0" collapsed="false">
      <c r="A161" s="0" t="s">
        <v>401</v>
      </c>
      <c r="B161" s="0" t="s">
        <v>402</v>
      </c>
      <c r="C161" s="6" t="s">
        <v>332</v>
      </c>
      <c r="E161" s="7" t="n">
        <v>5.5</v>
      </c>
      <c r="G161" s="8" t="s">
        <v>48</v>
      </c>
      <c r="H161" s="6" t="s">
        <v>88</v>
      </c>
    </row>
    <row r="162" customFormat="false" ht="17.15" hidden="false" customHeight="false" outlineLevel="0" collapsed="false">
      <c r="A162" s="0" t="s">
        <v>403</v>
      </c>
      <c r="B162" s="0" t="s">
        <v>404</v>
      </c>
      <c r="C162" s="6" t="s">
        <v>332</v>
      </c>
      <c r="E162" s="7" t="n">
        <v>7</v>
      </c>
      <c r="G162" s="8" t="s">
        <v>48</v>
      </c>
      <c r="H162" s="6" t="s">
        <v>88</v>
      </c>
    </row>
    <row r="163" customFormat="false" ht="17.15" hidden="false" customHeight="false" outlineLevel="0" collapsed="false">
      <c r="A163" s="0" t="s">
        <v>405</v>
      </c>
      <c r="B163" s="0" t="s">
        <v>406</v>
      </c>
      <c r="C163" s="0" t="s">
        <v>340</v>
      </c>
      <c r="E163" s="7" t="n">
        <v>192</v>
      </c>
      <c r="G163" s="8" t="s">
        <v>48</v>
      </c>
      <c r="H163" s="6" t="s">
        <v>88</v>
      </c>
    </row>
    <row r="164" customFormat="false" ht="17.15" hidden="false" customHeight="false" outlineLevel="0" collapsed="false">
      <c r="A164" s="0" t="s">
        <v>407</v>
      </c>
      <c r="B164" s="0" t="s">
        <v>408</v>
      </c>
      <c r="C164" s="0" t="s">
        <v>340</v>
      </c>
      <c r="E164" s="7" t="n">
        <v>250</v>
      </c>
      <c r="G164" s="8" t="s">
        <v>48</v>
      </c>
      <c r="H164" s="6" t="s">
        <v>88</v>
      </c>
    </row>
    <row r="165" customFormat="false" ht="17.15" hidden="false" customHeight="false" outlineLevel="0" collapsed="false">
      <c r="A165" s="0" t="s">
        <v>409</v>
      </c>
      <c r="B165" s="0" t="s">
        <v>410</v>
      </c>
      <c r="C165" s="0" t="s">
        <v>340</v>
      </c>
      <c r="E165" s="7" t="n">
        <v>288</v>
      </c>
      <c r="G165" s="8" t="s">
        <v>48</v>
      </c>
      <c r="H165" s="6" t="s">
        <v>88</v>
      </c>
    </row>
    <row r="166" customFormat="false" ht="17.15" hidden="false" customHeight="false" outlineLevel="0" collapsed="false">
      <c r="A166" s="0" t="s">
        <v>411</v>
      </c>
      <c r="B166" s="0" t="s">
        <v>412</v>
      </c>
      <c r="C166" s="6" t="s">
        <v>332</v>
      </c>
      <c r="E166" s="7" t="n">
        <v>2</v>
      </c>
      <c r="G166" s="8" t="s">
        <v>52</v>
      </c>
      <c r="H166" s="6" t="s">
        <v>413</v>
      </c>
    </row>
    <row r="167" customFormat="false" ht="17.15" hidden="false" customHeight="false" outlineLevel="0" collapsed="false">
      <c r="A167" s="0" t="s">
        <v>414</v>
      </c>
      <c r="B167" s="0" t="s">
        <v>415</v>
      </c>
      <c r="C167" s="6" t="s">
        <v>332</v>
      </c>
      <c r="E167" s="7" t="n">
        <v>2.5</v>
      </c>
      <c r="G167" s="8" t="s">
        <v>52</v>
      </c>
      <c r="H167" s="6" t="s">
        <v>88</v>
      </c>
    </row>
    <row r="168" customFormat="false" ht="17.15" hidden="false" customHeight="false" outlineLevel="0" collapsed="false">
      <c r="A168" s="0" t="s">
        <v>416</v>
      </c>
      <c r="B168" s="0" t="s">
        <v>417</v>
      </c>
      <c r="C168" s="6" t="s">
        <v>332</v>
      </c>
      <c r="E168" s="7" t="n">
        <v>3</v>
      </c>
      <c r="G168" s="8" t="s">
        <v>52</v>
      </c>
      <c r="H168" s="6" t="s">
        <v>88</v>
      </c>
    </row>
    <row r="169" customFormat="false" ht="17.15" hidden="false" customHeight="false" outlineLevel="0" collapsed="false">
      <c r="A169" s="0" t="s">
        <v>418</v>
      </c>
      <c r="B169" s="0" t="s">
        <v>419</v>
      </c>
      <c r="C169" s="0" t="s">
        <v>340</v>
      </c>
      <c r="E169" s="7" t="n">
        <v>110</v>
      </c>
      <c r="G169" s="8" t="s">
        <v>52</v>
      </c>
      <c r="H169" s="6" t="s">
        <v>88</v>
      </c>
    </row>
    <row r="170" customFormat="false" ht="17.15" hidden="false" customHeight="false" outlineLevel="0" collapsed="false">
      <c r="A170" s="0" t="s">
        <v>420</v>
      </c>
      <c r="B170" s="0" t="s">
        <v>421</v>
      </c>
      <c r="C170" s="0" t="s">
        <v>340</v>
      </c>
      <c r="E170" s="7" t="n">
        <v>144</v>
      </c>
      <c r="G170" s="8" t="s">
        <v>52</v>
      </c>
      <c r="H170" s="6" t="s">
        <v>88</v>
      </c>
    </row>
    <row r="171" customFormat="false" ht="17.15" hidden="false" customHeight="false" outlineLevel="0" collapsed="false">
      <c r="A171" s="0" t="s">
        <v>422</v>
      </c>
      <c r="B171" s="0" t="s">
        <v>423</v>
      </c>
      <c r="C171" s="0" t="s">
        <v>340</v>
      </c>
      <c r="E171" s="7" t="n">
        <v>200</v>
      </c>
      <c r="G171" s="8" t="s">
        <v>52</v>
      </c>
      <c r="H171" s="6" t="s">
        <v>88</v>
      </c>
    </row>
    <row r="172" customFormat="false" ht="17.15" hidden="false" customHeight="false" outlineLevel="0" collapsed="false">
      <c r="A172" s="0" t="s">
        <v>424</v>
      </c>
      <c r="B172" s="6" t="s">
        <v>425</v>
      </c>
      <c r="C172" s="6" t="s">
        <v>332</v>
      </c>
      <c r="E172" s="7" t="n">
        <v>1</v>
      </c>
      <c r="G172" s="8" t="s">
        <v>426</v>
      </c>
      <c r="H172" s="8" t="s">
        <v>427</v>
      </c>
    </row>
    <row r="173" customFormat="false" ht="17.15" hidden="false" customHeight="false" outlineLevel="0" collapsed="false">
      <c r="A173" s="0" t="s">
        <v>428</v>
      </c>
      <c r="B173" s="6" t="s">
        <v>429</v>
      </c>
      <c r="C173" s="6" t="s">
        <v>332</v>
      </c>
      <c r="E173" s="7" t="n">
        <v>4.5</v>
      </c>
      <c r="G173" s="8" t="s">
        <v>426</v>
      </c>
      <c r="H173" s="6" t="s">
        <v>88</v>
      </c>
    </row>
    <row r="174" customFormat="false" ht="17.15" hidden="false" customHeight="false" outlineLevel="0" collapsed="false">
      <c r="A174" s="0" t="s">
        <v>430</v>
      </c>
      <c r="B174" s="6" t="s">
        <v>431</v>
      </c>
      <c r="C174" s="6" t="s">
        <v>332</v>
      </c>
      <c r="E174" s="7" t="n">
        <v>5</v>
      </c>
      <c r="G174" s="8" t="s">
        <v>426</v>
      </c>
      <c r="H174" s="6" t="s">
        <v>88</v>
      </c>
    </row>
    <row r="175" customFormat="false" ht="17.15" hidden="false" customHeight="false" outlineLevel="0" collapsed="false">
      <c r="A175" s="0" t="s">
        <v>432</v>
      </c>
      <c r="B175" s="6" t="s">
        <v>433</v>
      </c>
      <c r="C175" s="0" t="s">
        <v>340</v>
      </c>
      <c r="E175" s="7" t="n">
        <v>150</v>
      </c>
      <c r="G175" s="8" t="s">
        <v>426</v>
      </c>
      <c r="H175" s="6" t="s">
        <v>88</v>
      </c>
    </row>
    <row r="176" customFormat="false" ht="17.15" hidden="false" customHeight="false" outlineLevel="0" collapsed="false">
      <c r="A176" s="0" t="s">
        <v>434</v>
      </c>
      <c r="B176" s="6" t="s">
        <v>435</v>
      </c>
      <c r="C176" s="0" t="s">
        <v>340</v>
      </c>
      <c r="E176" s="7" t="n">
        <v>200</v>
      </c>
      <c r="G176" s="8" t="s">
        <v>426</v>
      </c>
      <c r="H176" s="6" t="s">
        <v>88</v>
      </c>
    </row>
    <row r="177" customFormat="false" ht="17.15" hidden="false" customHeight="false" outlineLevel="0" collapsed="false">
      <c r="A177" s="0" t="s">
        <v>436</v>
      </c>
      <c r="B177" s="6" t="s">
        <v>437</v>
      </c>
      <c r="C177" s="0" t="s">
        <v>340</v>
      </c>
      <c r="E177" s="7" t="n">
        <v>250</v>
      </c>
      <c r="G177" s="8" t="s">
        <v>426</v>
      </c>
      <c r="H177" s="6" t="s">
        <v>88</v>
      </c>
    </row>
    <row r="178" customFormat="false" ht="17.15" hidden="false" customHeight="false" outlineLevel="0" collapsed="false">
      <c r="A178" s="1" t="s">
        <v>438</v>
      </c>
    </row>
    <row r="179" customFormat="false" ht="17.15" hidden="false" customHeight="false" outlineLevel="0" collapsed="false">
      <c r="A179" s="0" t="s">
        <v>439</v>
      </c>
      <c r="B179" s="0" t="s">
        <v>440</v>
      </c>
      <c r="C179" s="0" t="s">
        <v>441</v>
      </c>
      <c r="D179" s="7" t="n">
        <v>34</v>
      </c>
      <c r="E179" s="7" t="n">
        <v>35</v>
      </c>
      <c r="F179" s="7" t="n">
        <v>35</v>
      </c>
      <c r="G179" s="8" t="s">
        <v>33</v>
      </c>
      <c r="H179" s="8" t="s">
        <v>442</v>
      </c>
    </row>
    <row r="180" customFormat="false" ht="17.15" hidden="false" customHeight="false" outlineLevel="0" collapsed="false">
      <c r="A180" s="0" t="s">
        <v>443</v>
      </c>
      <c r="B180" s="0" t="s">
        <v>444</v>
      </c>
      <c r="C180" s="0" t="s">
        <v>38</v>
      </c>
      <c r="D180" s="7" t="n">
        <v>0.6</v>
      </c>
      <c r="E180" s="7" t="n">
        <v>0.7</v>
      </c>
      <c r="F180" s="7" t="n">
        <v>0.8</v>
      </c>
      <c r="G180" s="8" t="s">
        <v>48</v>
      </c>
      <c r="H180" s="8" t="s">
        <v>445</v>
      </c>
    </row>
    <row r="181" customFormat="false" ht="17.15" hidden="false" customHeight="false" outlineLevel="0" collapsed="false">
      <c r="A181" s="0" t="s">
        <v>446</v>
      </c>
      <c r="B181" s="6" t="s">
        <v>447</v>
      </c>
      <c r="C181" s="0" t="s">
        <v>181</v>
      </c>
      <c r="D181" s="7" t="n">
        <v>1</v>
      </c>
      <c r="E181" s="7" t="n">
        <v>1.15</v>
      </c>
      <c r="F181" s="7" t="n">
        <v>1.3</v>
      </c>
      <c r="G181" s="8" t="s">
        <v>52</v>
      </c>
      <c r="H181" s="6" t="s">
        <v>448</v>
      </c>
    </row>
    <row r="182" customFormat="false" ht="17.15" hidden="false" customHeight="false" outlineLevel="0" collapsed="false">
      <c r="A182" s="0" t="s">
        <v>449</v>
      </c>
      <c r="B182" s="0" t="s">
        <v>450</v>
      </c>
      <c r="C182" s="0" t="s">
        <v>38</v>
      </c>
      <c r="D182" s="7" t="n">
        <v>0.5</v>
      </c>
      <c r="E182" s="7" t="n">
        <v>0.55</v>
      </c>
      <c r="F182" s="7" t="n">
        <v>0.63</v>
      </c>
      <c r="G182" s="8" t="s">
        <v>48</v>
      </c>
      <c r="H182" s="8" t="s">
        <v>451</v>
      </c>
    </row>
    <row r="183" customFormat="false" ht="17.15" hidden="false" customHeight="false" outlineLevel="0" collapsed="false">
      <c r="A183" s="0" t="s">
        <v>452</v>
      </c>
      <c r="B183" s="0" t="s">
        <v>453</v>
      </c>
      <c r="C183" s="0" t="s">
        <v>38</v>
      </c>
      <c r="D183" s="7" t="n">
        <v>0.3</v>
      </c>
      <c r="E183" s="7" t="n">
        <v>0.45</v>
      </c>
      <c r="F183" s="7" t="n">
        <v>0.63</v>
      </c>
      <c r="G183" s="8" t="s">
        <v>52</v>
      </c>
      <c r="H183" s="6" t="s">
        <v>454</v>
      </c>
    </row>
    <row r="184" customFormat="false" ht="17.15" hidden="false" customHeight="false" outlineLevel="0" collapsed="false">
      <c r="A184" s="0" t="s">
        <v>455</v>
      </c>
      <c r="B184" s="0" t="s">
        <v>456</v>
      </c>
      <c r="C184" s="0" t="s">
        <v>457</v>
      </c>
      <c r="D184" s="7" t="n">
        <v>12.5</v>
      </c>
      <c r="E184" s="7" t="n">
        <v>14.6</v>
      </c>
      <c r="F184" s="7" t="n">
        <v>16</v>
      </c>
      <c r="G184" s="8" t="s">
        <v>48</v>
      </c>
      <c r="H184" s="8" t="s">
        <v>458</v>
      </c>
    </row>
    <row r="185" customFormat="false" ht="17.15" hidden="false" customHeight="false" outlineLevel="0" collapsed="false">
      <c r="A185" s="0" t="s">
        <v>459</v>
      </c>
      <c r="B185" s="0" t="s">
        <v>460</v>
      </c>
      <c r="C185" s="0" t="s">
        <v>38</v>
      </c>
      <c r="D185" s="7" t="n">
        <v>0.38</v>
      </c>
      <c r="E185" s="7" t="n">
        <v>0.8</v>
      </c>
      <c r="F185" s="7" t="n">
        <v>1.21</v>
      </c>
      <c r="G185" s="8" t="s">
        <v>48</v>
      </c>
      <c r="H185" s="8" t="s">
        <v>461</v>
      </c>
    </row>
    <row r="186" customFormat="false" ht="17.15" hidden="false" customHeight="false" outlineLevel="0" collapsed="false">
      <c r="A186" s="0" t="s">
        <v>462</v>
      </c>
      <c r="B186" s="0" t="s">
        <v>463</v>
      </c>
      <c r="C186" s="0" t="s">
        <v>38</v>
      </c>
      <c r="D186" s="7" t="n">
        <v>0</v>
      </c>
      <c r="E186" s="7" t="n">
        <v>0.1</v>
      </c>
      <c r="F186" s="7" t="n">
        <v>0.25</v>
      </c>
      <c r="G186" s="8" t="s">
        <v>48</v>
      </c>
      <c r="H186" s="8" t="s">
        <v>464</v>
      </c>
    </row>
    <row r="187" customFormat="false" ht="17.15" hidden="false" customHeight="false" outlineLevel="0" collapsed="false">
      <c r="A187" s="0" t="s">
        <v>465</v>
      </c>
      <c r="B187" s="0" t="s">
        <v>466</v>
      </c>
      <c r="C187" s="0" t="s">
        <v>38</v>
      </c>
      <c r="D187" s="7" t="n">
        <v>-0.4</v>
      </c>
      <c r="E187" s="7" t="n">
        <v>-0.25</v>
      </c>
      <c r="F187" s="7" t="n">
        <v>-0.1</v>
      </c>
      <c r="G187" s="8" t="s">
        <v>52</v>
      </c>
      <c r="H187" s="6" t="s">
        <v>467</v>
      </c>
    </row>
    <row r="188" customFormat="false" ht="17.15" hidden="false" customHeight="false" outlineLevel="0" collapsed="false">
      <c r="A188" s="0" t="s">
        <v>468</v>
      </c>
      <c r="B188" s="0" t="s">
        <v>469</v>
      </c>
      <c r="C188" s="0" t="s">
        <v>38</v>
      </c>
      <c r="D188" s="7" t="n">
        <v>-0.55</v>
      </c>
      <c r="E188" s="7" t="n">
        <v>-0.4</v>
      </c>
      <c r="F188" s="7" t="n">
        <v>-0.25</v>
      </c>
      <c r="G188" s="8" t="s">
        <v>52</v>
      </c>
      <c r="H188" s="6" t="s">
        <v>470</v>
      </c>
    </row>
    <row r="189" customFormat="false" ht="17.15" hidden="false" customHeight="false" outlineLevel="0" collapsed="false">
      <c r="A189" s="1" t="s">
        <v>471</v>
      </c>
    </row>
    <row r="190" customFormat="false" ht="17.15" hidden="false" customHeight="false" outlineLevel="0" collapsed="false">
      <c r="A190" s="0" t="s">
        <v>472</v>
      </c>
      <c r="B190" s="0" t="s">
        <v>473</v>
      </c>
      <c r="C190" s="0" t="s">
        <v>441</v>
      </c>
      <c r="D190" s="7" t="n">
        <v>340</v>
      </c>
      <c r="E190" s="7" t="n">
        <v>374</v>
      </c>
      <c r="F190" s="7" t="n">
        <v>400</v>
      </c>
      <c r="G190" s="8" t="s">
        <v>474</v>
      </c>
      <c r="H190" s="8" t="s">
        <v>475</v>
      </c>
    </row>
    <row r="191" customFormat="false" ht="17.15" hidden="false" customHeight="false" outlineLevel="0" collapsed="false">
      <c r="A191" s="0" t="s">
        <v>476</v>
      </c>
      <c r="B191" s="6" t="s">
        <v>477</v>
      </c>
      <c r="C191" s="0" t="s">
        <v>478</v>
      </c>
      <c r="D191" s="7" t="n">
        <v>45</v>
      </c>
      <c r="E191" s="7" t="n">
        <v>51.6</v>
      </c>
      <c r="F191" s="7" t="n">
        <v>58</v>
      </c>
      <c r="G191" s="8" t="s">
        <v>28</v>
      </c>
      <c r="H191" s="8" t="s">
        <v>479</v>
      </c>
    </row>
    <row r="192" customFormat="false" ht="17.15" hidden="false" customHeight="false" outlineLevel="0" collapsed="false">
      <c r="A192" s="0" t="s">
        <v>480</v>
      </c>
      <c r="B192" s="6" t="s">
        <v>481</v>
      </c>
      <c r="C192" s="0" t="s">
        <v>478</v>
      </c>
      <c r="D192" s="7" t="n">
        <v>3.5</v>
      </c>
      <c r="E192" s="7" t="n">
        <v>4.46</v>
      </c>
      <c r="F192" s="7" t="n">
        <v>4.9</v>
      </c>
      <c r="G192" s="8" t="s">
        <v>28</v>
      </c>
      <c r="H192" s="8" t="s">
        <v>479</v>
      </c>
    </row>
    <row r="193" customFormat="false" ht="17.15" hidden="false" customHeight="false" outlineLevel="0" collapsed="false">
      <c r="A193" s="0" t="s">
        <v>482</v>
      </c>
      <c r="B193" s="6" t="s">
        <v>483</v>
      </c>
      <c r="C193" s="0" t="s">
        <v>441</v>
      </c>
      <c r="E193" s="7" t="n">
        <v>54.6</v>
      </c>
      <c r="G193" s="8" t="s">
        <v>48</v>
      </c>
      <c r="H193" s="8" t="s">
        <v>484</v>
      </c>
    </row>
    <row r="194" customFormat="false" ht="17.15" hidden="false" customHeight="false" outlineLevel="0" collapsed="false">
      <c r="A194" s="0" t="s">
        <v>485</v>
      </c>
      <c r="B194" s="6" t="s">
        <v>486</v>
      </c>
      <c r="C194" s="0" t="s">
        <v>441</v>
      </c>
      <c r="E194" s="7" t="n">
        <v>77.4</v>
      </c>
      <c r="G194" s="8" t="s">
        <v>48</v>
      </c>
      <c r="H194" s="8" t="s">
        <v>487</v>
      </c>
    </row>
    <row r="195" customFormat="false" ht="17.15" hidden="false" customHeight="false" outlineLevel="0" collapsed="false">
      <c r="A195" s="0" t="s">
        <v>488</v>
      </c>
      <c r="B195" s="6" t="s">
        <v>489</v>
      </c>
      <c r="C195" s="0" t="s">
        <v>441</v>
      </c>
      <c r="E195" s="7" t="n">
        <v>152.8</v>
      </c>
      <c r="G195" s="8" t="s">
        <v>48</v>
      </c>
      <c r="H195" s="8" t="s">
        <v>490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8" min="3" style="0" width="8"/>
  </cols>
  <sheetData>
    <row r="1" customFormat="false" ht="17.15" hidden="false" customHeight="false" outlineLevel="0" collapsed="false">
      <c r="A1" s="0" t="s">
        <v>491</v>
      </c>
    </row>
    <row r="3" customFormat="false" ht="15" hidden="false" customHeight="false" outlineLevel="0" collapsed="false">
      <c r="A3" s="5" t="s">
        <v>492</v>
      </c>
      <c r="B3" s="5" t="s">
        <v>493</v>
      </c>
      <c r="C3" s="9" t="s">
        <v>494</v>
      </c>
      <c r="D3" s="9" t="s">
        <v>495</v>
      </c>
      <c r="E3" s="9" t="s">
        <v>496</v>
      </c>
      <c r="F3" s="9" t="s">
        <v>497</v>
      </c>
      <c r="G3" s="9" t="s">
        <v>498</v>
      </c>
      <c r="H3" s="9" t="s">
        <v>499</v>
      </c>
      <c r="I3" s="9" t="s">
        <v>500</v>
      </c>
      <c r="J3" s="9" t="s">
        <v>501</v>
      </c>
      <c r="K3" s="9" t="s">
        <v>502</v>
      </c>
      <c r="L3" s="9" t="s">
        <v>503</v>
      </c>
      <c r="M3" s="9" t="s">
        <v>504</v>
      </c>
      <c r="N3" s="9" t="s">
        <v>505</v>
      </c>
      <c r="O3" s="9" t="s">
        <v>506</v>
      </c>
      <c r="P3" s="9" t="s">
        <v>507</v>
      </c>
      <c r="Q3" s="9" t="s">
        <v>508</v>
      </c>
      <c r="R3" s="9" t="s">
        <v>509</v>
      </c>
    </row>
    <row r="4" customFormat="false" ht="17.15" hidden="false" customHeight="false" outlineLevel="0" collapsed="false">
      <c r="A4" s="6" t="s">
        <v>510</v>
      </c>
      <c r="B4" s="0" t="s">
        <v>511</v>
      </c>
      <c r="C4" s="0" t="n">
        <v>1</v>
      </c>
      <c r="D4" s="10" t="n">
        <f aca="false">C4*(1+cq_1)</f>
        <v>0.975</v>
      </c>
      <c r="E4" s="10" t="n">
        <f aca="false">D4*(1+cq_2)</f>
        <v>1.096875</v>
      </c>
      <c r="F4" s="10" t="n">
        <f aca="false">E4*(1+cq_3)</f>
        <v>1.617890625</v>
      </c>
      <c r="G4" s="10" t="n">
        <f aca="false">F4*(1+cq_4)</f>
        <v>3.15488671875</v>
      </c>
      <c r="H4" s="10" t="n">
        <f aca="false">G4*(1+cq_5)</f>
        <v>5.06359318359375</v>
      </c>
      <c r="I4" s="10" t="n">
        <f aca="false">H4*(1+cq_6)</f>
        <v>5.84845012705078</v>
      </c>
      <c r="J4" s="10" t="n">
        <f aca="false">I4*(1+cq_7)</f>
        <v>6.57950639293213</v>
      </c>
      <c r="K4" s="10" t="n">
        <f aca="false">J4*(1+cqA_8)</f>
        <v>6.77689158472009</v>
      </c>
      <c r="L4" s="10" t="n">
        <f aca="false">K4*(1+cqA_9)</f>
        <v>6.77689158472009</v>
      </c>
      <c r="M4" s="10" t="n">
        <f aca="false">L4*(1+cqA_10)</f>
        <v>6.64135375302569</v>
      </c>
      <c r="N4" s="10" t="n">
        <f aca="false">M4*(1+cqA_11)</f>
        <v>6.44211314043492</v>
      </c>
      <c r="O4" s="10" t="n">
        <f aca="false">N4*(1+cqA_12)</f>
        <v>6.24884974622187</v>
      </c>
      <c r="P4" s="10" t="n">
        <f aca="false">O4*(1+cqA_13)</f>
        <v>6.06138425383522</v>
      </c>
      <c r="Q4" s="10" t="n">
        <f aca="false">P4*(1+cqA_14)</f>
        <v>5.94015656875851</v>
      </c>
      <c r="R4" s="10" t="n">
        <f aca="false">Q4*(1+cqA_15)</f>
        <v>5.82135343738334</v>
      </c>
    </row>
    <row r="5" customFormat="false" ht="17.15" hidden="false" customHeight="false" outlineLevel="0" collapsed="false">
      <c r="A5" s="6" t="s">
        <v>510</v>
      </c>
      <c r="B5" s="0" t="s">
        <v>512</v>
      </c>
      <c r="C5" s="0" t="n">
        <v>1</v>
      </c>
      <c r="D5" s="10" t="n">
        <f aca="false">C5*(1+cq_1)</f>
        <v>0.975</v>
      </c>
      <c r="E5" s="10" t="n">
        <f aca="false">D5*(1+cq_2)</f>
        <v>1.096875</v>
      </c>
      <c r="F5" s="10" t="n">
        <f aca="false">E5*(1+cq_3)</f>
        <v>1.617890625</v>
      </c>
      <c r="G5" s="10" t="n">
        <f aca="false">F5*(1+cq_4)</f>
        <v>3.15488671875</v>
      </c>
      <c r="H5" s="10" t="n">
        <f aca="false">G5*(1+cq_5)</f>
        <v>5.06359318359375</v>
      </c>
      <c r="I5" s="10" t="n">
        <f aca="false">H5*(1+cq_6)</f>
        <v>5.84845012705078</v>
      </c>
      <c r="J5" s="10" t="n">
        <f aca="false">I5*(1+cq_7)</f>
        <v>6.57950639293213</v>
      </c>
      <c r="K5" s="10" t="n">
        <f aca="false">J5*(1+cqB_8)</f>
        <v>6.90848171257874</v>
      </c>
      <c r="L5" s="10" t="n">
        <f aca="false">K5*(1+cqB_9)</f>
        <v>7.04665134683031</v>
      </c>
      <c r="M5" s="10" t="n">
        <f aca="false">L5*(1+cqB_10)</f>
        <v>6.48291923908389</v>
      </c>
      <c r="N5" s="10" t="n">
        <f aca="false">M5*(1+cqB_11)</f>
        <v>5.5104813532213</v>
      </c>
      <c r="O5" s="10" t="n">
        <f aca="false">N5*(1+cqB_12)</f>
        <v>4.13286101491598</v>
      </c>
      <c r="P5" s="10" t="n">
        <f aca="false">O5*(1+cqB_13)</f>
        <v>3.51293186267858</v>
      </c>
      <c r="Q5" s="10" t="n">
        <f aca="false">P5*(1+cqB_14)</f>
        <v>3.16163867641072</v>
      </c>
      <c r="R5" s="10" t="n">
        <f aca="false">Q5*(1+cqB_15)</f>
        <v>3.00355674259019</v>
      </c>
    </row>
    <row r="6" customFormat="false" ht="17.15" hidden="false" customHeight="false" outlineLevel="0" collapsed="false">
      <c r="A6" s="6" t="s">
        <v>510</v>
      </c>
      <c r="B6" s="0" t="s">
        <v>513</v>
      </c>
      <c r="C6" s="0" t="n">
        <v>1</v>
      </c>
      <c r="D6" s="10" t="n">
        <f aca="false">C6*(1+cq_1)</f>
        <v>0.975</v>
      </c>
      <c r="E6" s="10" t="n">
        <f aca="false">D6*(1+cq_2)</f>
        <v>1.096875</v>
      </c>
      <c r="F6" s="10" t="n">
        <f aca="false">E6*(1+cq_3)</f>
        <v>1.617890625</v>
      </c>
      <c r="G6" s="10" t="n">
        <f aca="false">F6*(1+cq_4)</f>
        <v>3.15488671875</v>
      </c>
      <c r="H6" s="10" t="n">
        <f aca="false">G6*(1+cq_5)</f>
        <v>5.06359318359375</v>
      </c>
      <c r="I6" s="10" t="n">
        <f aca="false">H6*(1+cq_6)</f>
        <v>5.84845012705078</v>
      </c>
      <c r="J6" s="10" t="n">
        <f aca="false">I6*(1+cq_7)</f>
        <v>6.57950639293213</v>
      </c>
      <c r="K6" s="10" t="n">
        <f aca="false">J6*(1+cqC_8)</f>
        <v>6.90848171257874</v>
      </c>
      <c r="L6" s="10" t="n">
        <f aca="false">K6*(1+cqC_9)</f>
        <v>7.04665134683031</v>
      </c>
      <c r="M6" s="10" t="n">
        <f aca="false">L6*(1+cqC_10)</f>
        <v>6.48291923908389</v>
      </c>
      <c r="N6" s="10" t="n">
        <f aca="false">M6*(1+cqC_11)</f>
        <v>5.5104813532213</v>
      </c>
      <c r="O6" s="10" t="n">
        <f aca="false">N6*(1+cqC_12)</f>
        <v>3.58181287959385</v>
      </c>
      <c r="P6" s="10" t="n">
        <f aca="false">O6*(1+cqC_13)</f>
        <v>2.50726901571569</v>
      </c>
      <c r="Q6" s="10" t="n">
        <f aca="false">P6*(1+cqC_14)</f>
        <v>1.88045176178677</v>
      </c>
      <c r="R6" s="10" t="n">
        <f aca="false">Q6*(1+cqC_15)</f>
        <v>1.50436140942942</v>
      </c>
    </row>
    <row r="8" customFormat="false" ht="15" hidden="false" customHeight="false" outlineLevel="0" collapsed="false">
      <c r="A8" s="0" t="s">
        <v>514</v>
      </c>
      <c r="B8" s="0" t="s">
        <v>511</v>
      </c>
      <c r="C8" s="0" t="n">
        <v>1</v>
      </c>
      <c r="D8" s="10" t="n">
        <f aca="false">C8*(1+nq_1)</f>
        <v>1</v>
      </c>
      <c r="E8" s="10" t="n">
        <f aca="false">D8*(1+nq_2)</f>
        <v>1.05</v>
      </c>
      <c r="F8" s="10" t="n">
        <f aca="false">E8*(1+nq_3)</f>
        <v>1.365</v>
      </c>
      <c r="G8" s="10" t="n">
        <f aca="false">F8*(1+nq_4)</f>
        <v>2.559375</v>
      </c>
      <c r="H8" s="10" t="n">
        <f aca="false">G8*(1+nq_5)</f>
        <v>4.414921875</v>
      </c>
      <c r="I8" s="10" t="n">
        <f aca="false">H8*(1+nq_6)</f>
        <v>5.07716015625</v>
      </c>
      <c r="J8" s="10" t="n">
        <f aca="false">I8*(1+nq_7)</f>
        <v>5.96566318359375</v>
      </c>
      <c r="K8" s="10" t="n">
        <f aca="false">J8*(1+nqA_8)</f>
        <v>6.14463307910156</v>
      </c>
      <c r="L8" s="10" t="n">
        <f aca="false">K8*(1+nqA_9)</f>
        <v>6.14463307910156</v>
      </c>
      <c r="M8" s="10" t="n">
        <f aca="false">L8*(1+nqA_10)</f>
        <v>5.83740142514648</v>
      </c>
      <c r="N8" s="10" t="n">
        <f aca="false">M8*(1+nqA_11)</f>
        <v>5.42878332538623</v>
      </c>
      <c r="O8" s="10" t="n">
        <f aca="false">N8*(1+nqA_12)</f>
        <v>5.15734415911692</v>
      </c>
      <c r="P8" s="10" t="n">
        <f aca="false">O8*(1+nqA_13)</f>
        <v>4.89947695116107</v>
      </c>
      <c r="Q8" s="10" t="n">
        <f aca="false">P8*(1+nqA_14)</f>
        <v>4.65450310360302</v>
      </c>
      <c r="R8" s="10" t="n">
        <f aca="false">Q8*(1+nqA_15)</f>
        <v>4.42177794842287</v>
      </c>
    </row>
    <row r="9" customFormat="false" ht="15" hidden="false" customHeight="false" outlineLevel="0" collapsed="false">
      <c r="A9" s="0" t="s">
        <v>514</v>
      </c>
      <c r="B9" s="0" t="s">
        <v>512</v>
      </c>
      <c r="C9" s="0" t="n">
        <v>1</v>
      </c>
      <c r="D9" s="10" t="n">
        <f aca="false">C9*(1+nq_1)</f>
        <v>1</v>
      </c>
      <c r="E9" s="10" t="n">
        <f aca="false">D9*(1+nq_2)</f>
        <v>1.05</v>
      </c>
      <c r="F9" s="10" t="n">
        <f aca="false">E9*(1+nq_3)</f>
        <v>1.365</v>
      </c>
      <c r="G9" s="10" t="n">
        <f aca="false">F9*(1+nq_4)</f>
        <v>2.559375</v>
      </c>
      <c r="H9" s="10" t="n">
        <f aca="false">G9*(1+nq_5)</f>
        <v>4.414921875</v>
      </c>
      <c r="I9" s="10" t="n">
        <f aca="false">H9*(1+nq_6)</f>
        <v>5.07716015625</v>
      </c>
      <c r="J9" s="10" t="n">
        <f aca="false">I9*(1+nq_7)</f>
        <v>5.96566318359375</v>
      </c>
      <c r="K9" s="10" t="n">
        <f aca="false">J9*(1+nqB_8)</f>
        <v>6.26394634277344</v>
      </c>
      <c r="L9" s="10" t="n">
        <f aca="false">K9*(1+nqB_9)</f>
        <v>6.38922526962891</v>
      </c>
      <c r="M9" s="10" t="n">
        <f aca="false">L9*(1+nqB_10)</f>
        <v>5.75030274266602</v>
      </c>
      <c r="N9" s="10" t="n">
        <f aca="false">M9*(1+nqB_11)</f>
        <v>4.60024219413281</v>
      </c>
      <c r="O9" s="10" t="n">
        <f aca="false">N9*(1+nqB_12)</f>
        <v>3.22016953589297</v>
      </c>
      <c r="P9" s="10" t="n">
        <f aca="false">O9*(1+nqB_13)</f>
        <v>2.41512715191973</v>
      </c>
      <c r="Q9" s="10" t="n">
        <f aca="false">P9*(1+nqB_14)</f>
        <v>1.93210172153578</v>
      </c>
      <c r="R9" s="10" t="n">
        <f aca="false">Q9*(1+nqB_15)</f>
        <v>1.7388915493822</v>
      </c>
    </row>
    <row r="10" customFormat="false" ht="15" hidden="false" customHeight="false" outlineLevel="0" collapsed="false">
      <c r="A10" s="0" t="s">
        <v>514</v>
      </c>
      <c r="B10" s="0" t="s">
        <v>513</v>
      </c>
      <c r="C10" s="0" t="n">
        <v>1</v>
      </c>
      <c r="D10" s="10" t="n">
        <f aca="false">C10*(1+nq_1)</f>
        <v>1</v>
      </c>
      <c r="E10" s="10" t="n">
        <f aca="false">D10*(1+nq_2)</f>
        <v>1.05</v>
      </c>
      <c r="F10" s="10" t="n">
        <f aca="false">E10*(1+nq_3)</f>
        <v>1.365</v>
      </c>
      <c r="G10" s="10" t="n">
        <f aca="false">F10*(1+nq_4)</f>
        <v>2.559375</v>
      </c>
      <c r="H10" s="10" t="n">
        <f aca="false">G10*(1+nq_5)</f>
        <v>4.414921875</v>
      </c>
      <c r="I10" s="10" t="n">
        <f aca="false">H10*(1+nq_6)</f>
        <v>5.07716015625</v>
      </c>
      <c r="J10" s="10" t="n">
        <f aca="false">I10*(1+nq_7)</f>
        <v>5.96566318359375</v>
      </c>
      <c r="K10" s="10" t="n">
        <f aca="false">J10*(1+nqC_8)</f>
        <v>6.26394634277344</v>
      </c>
      <c r="L10" s="10" t="n">
        <f aca="false">K10*(1+nqC_9)</f>
        <v>6.38922526962891</v>
      </c>
      <c r="M10" s="10" t="n">
        <f aca="false">L10*(1+nqC_10)</f>
        <v>5.75030274266602</v>
      </c>
      <c r="N10" s="10" t="n">
        <f aca="false">M10*(1+nqC_11)</f>
        <v>4.60024219413281</v>
      </c>
      <c r="O10" s="10" t="n">
        <f aca="false">N10*(1+nqC_12)</f>
        <v>2.99015742618633</v>
      </c>
      <c r="P10" s="10" t="n">
        <f aca="false">O10*(1+nqC_13)</f>
        <v>1.94360232702111</v>
      </c>
      <c r="Q10" s="10" t="n">
        <f aca="false">P10*(1+nqC_14)</f>
        <v>1.45770174526584</v>
      </c>
      <c r="R10" s="10" t="n">
        <f aca="false">Q10*(1+nqC_15)</f>
        <v>1.16616139621267</v>
      </c>
    </row>
    <row r="12" customFormat="false" ht="15" hidden="false" customHeight="false" outlineLevel="0" collapsed="false">
      <c r="A12" s="3" t="s">
        <v>515</v>
      </c>
    </row>
    <row r="13" customFormat="false" ht="15" hidden="false" customHeight="false" outlineLevel="0" collapsed="false">
      <c r="A13" s="5" t="s">
        <v>492</v>
      </c>
      <c r="B13" s="5" t="s">
        <v>493</v>
      </c>
      <c r="C13" s="9" t="s">
        <v>516</v>
      </c>
      <c r="D13" s="9" t="s">
        <v>517</v>
      </c>
      <c r="E13" s="9" t="s">
        <v>518</v>
      </c>
      <c r="F13" s="9" t="s">
        <v>519</v>
      </c>
      <c r="G13" s="9" t="s">
        <v>520</v>
      </c>
      <c r="H13" s="9" t="s">
        <v>521</v>
      </c>
      <c r="I13" s="9" t="s">
        <v>522</v>
      </c>
    </row>
    <row r="14" customFormat="false" ht="17.15" hidden="false" customHeight="false" outlineLevel="0" collapsed="false">
      <c r="A14" s="6" t="s">
        <v>510</v>
      </c>
      <c r="B14" s="0" t="s">
        <v>511</v>
      </c>
      <c r="C14" s="10" t="n">
        <f aca="false">AVERAGE(C4:F4)</f>
        <v>1.17244140625</v>
      </c>
      <c r="D14" s="10" t="n">
        <f aca="false">AVERAGE(G4:J4)</f>
        <v>5.16160910558167</v>
      </c>
      <c r="E14" s="10" t="n">
        <f aca="false">AVERAGE(K4:N4)</f>
        <v>6.6593125157252</v>
      </c>
      <c r="F14" s="10" t="n">
        <f aca="false">AVERAGE(O4:R4)</f>
        <v>6.01793600154974</v>
      </c>
      <c r="G14" s="11" t="n">
        <f aca="false">D14/C14-1</f>
        <v>3.40244525488982</v>
      </c>
      <c r="H14" s="11" t="n">
        <f aca="false">E14/D14-1</f>
        <v>0.290162114082592</v>
      </c>
      <c r="I14" s="11" t="n">
        <f aca="false">F14/E14-1</f>
        <v>-0.0963127218704524</v>
      </c>
    </row>
    <row r="15" customFormat="false" ht="17.15" hidden="false" customHeight="false" outlineLevel="0" collapsed="false">
      <c r="A15" s="6" t="s">
        <v>510</v>
      </c>
      <c r="B15" s="0" t="s">
        <v>512</v>
      </c>
      <c r="C15" s="10" t="n">
        <f aca="false">AVERAGE(C5:F5)</f>
        <v>1.17244140625</v>
      </c>
      <c r="D15" s="10" t="n">
        <f aca="false">AVERAGE(G5:J5)</f>
        <v>5.16160910558167</v>
      </c>
      <c r="E15" s="10" t="n">
        <f aca="false">AVERAGE(K5:N5)</f>
        <v>6.48713341292856</v>
      </c>
      <c r="F15" s="10" t="n">
        <f aca="false">AVERAGE(O5:R5)</f>
        <v>3.45274707414887</v>
      </c>
      <c r="G15" s="11" t="n">
        <f aca="false">D15/C15-1</f>
        <v>3.40244525488982</v>
      </c>
      <c r="H15" s="11" t="n">
        <f aca="false">E15/D15-1</f>
        <v>0.25680447322396</v>
      </c>
      <c r="I15" s="11" t="n">
        <f aca="false">F15/E15-1</f>
        <v>-0.467754575962982</v>
      </c>
    </row>
    <row r="16" customFormat="false" ht="17.15" hidden="false" customHeight="false" outlineLevel="0" collapsed="false">
      <c r="A16" s="6" t="s">
        <v>510</v>
      </c>
      <c r="B16" s="0" t="s">
        <v>513</v>
      </c>
      <c r="C16" s="10" t="n">
        <f aca="false">AVERAGE(C6:F6)</f>
        <v>1.17244140625</v>
      </c>
      <c r="D16" s="10" t="n">
        <f aca="false">AVERAGE(G6:J6)</f>
        <v>5.16160910558167</v>
      </c>
      <c r="E16" s="10" t="n">
        <f aca="false">AVERAGE(K6:N6)</f>
        <v>6.48713341292856</v>
      </c>
      <c r="F16" s="10" t="n">
        <f aca="false">AVERAGE(O6:R6)</f>
        <v>2.36847376663143</v>
      </c>
      <c r="G16" s="11" t="n">
        <f aca="false">D16/C16-1</f>
        <v>3.40244525488982</v>
      </c>
      <c r="H16" s="11" t="n">
        <f aca="false">E16/D16-1</f>
        <v>0.25680447322396</v>
      </c>
      <c r="I16" s="11" t="n">
        <f aca="false">F16/E16-1</f>
        <v>-0.634896707702793</v>
      </c>
    </row>
    <row r="17" customFormat="false" ht="15" hidden="false" customHeight="false" outlineLevel="0" collapsed="false">
      <c r="A17" s="0" t="s">
        <v>514</v>
      </c>
      <c r="B17" s="0" t="s">
        <v>511</v>
      </c>
      <c r="C17" s="10" t="n">
        <f aca="false">AVERAGE(C8:F8)</f>
        <v>1.10375</v>
      </c>
      <c r="D17" s="10" t="n">
        <f aca="false">AVERAGE(G8:J8)</f>
        <v>4.50428005371094</v>
      </c>
      <c r="E17" s="10" t="n">
        <f aca="false">AVERAGE(K8:N8)</f>
        <v>5.88886272718396</v>
      </c>
      <c r="F17" s="10" t="n">
        <f aca="false">AVERAGE(O8:R8)</f>
        <v>4.78327554057597</v>
      </c>
      <c r="G17" s="11" t="n">
        <f aca="false">D17/C17-1</f>
        <v>3.08088793088194</v>
      </c>
      <c r="H17" s="11" t="n">
        <f aca="false">E17/D17-1</f>
        <v>0.307392670296401</v>
      </c>
      <c r="I17" s="11" t="n">
        <f aca="false">F17/E17-1</f>
        <v>-0.187742054421547</v>
      </c>
    </row>
    <row r="18" customFormat="false" ht="15" hidden="false" customHeight="false" outlineLevel="0" collapsed="false">
      <c r="A18" s="0" t="s">
        <v>514</v>
      </c>
      <c r="B18" s="0" t="s">
        <v>512</v>
      </c>
      <c r="C18" s="10" t="n">
        <f aca="false">AVERAGE(C9:F9)</f>
        <v>1.10375</v>
      </c>
      <c r="D18" s="10" t="n">
        <f aca="false">AVERAGE(G9:J9)</f>
        <v>4.50428005371094</v>
      </c>
      <c r="E18" s="10" t="n">
        <f aca="false">AVERAGE(K9:N9)</f>
        <v>5.75092913730029</v>
      </c>
      <c r="F18" s="10" t="n">
        <f aca="false">AVERAGE(O9:R9)</f>
        <v>2.32657248968267</v>
      </c>
      <c r="G18" s="11" t="n">
        <f aca="false">D18/C18-1</f>
        <v>3.08088793088194</v>
      </c>
      <c r="H18" s="11" t="n">
        <f aca="false">E18/D18-1</f>
        <v>0.276769887467872</v>
      </c>
      <c r="I18" s="11" t="n">
        <f aca="false">F18/E18-1</f>
        <v>-0.5954440692735</v>
      </c>
    </row>
    <row r="19" customFormat="false" ht="15" hidden="false" customHeight="false" outlineLevel="0" collapsed="false">
      <c r="A19" s="0" t="s">
        <v>514</v>
      </c>
      <c r="B19" s="0" t="s">
        <v>513</v>
      </c>
      <c r="C19" s="10" t="n">
        <f aca="false">AVERAGE(C10:F10)</f>
        <v>1.10375</v>
      </c>
      <c r="D19" s="10" t="n">
        <f aca="false">AVERAGE(G10:J10)</f>
        <v>4.50428005371094</v>
      </c>
      <c r="E19" s="10" t="n">
        <f aca="false">AVERAGE(K10:N10)</f>
        <v>5.75092913730029</v>
      </c>
      <c r="F19" s="10" t="n">
        <f aca="false">AVERAGE(O10:R10)</f>
        <v>1.88940572367149</v>
      </c>
      <c r="G19" s="11" t="n">
        <f aca="false">D19/C19-1</f>
        <v>3.08088793088194</v>
      </c>
      <c r="H19" s="11" t="n">
        <f aca="false">E19/D19-1</f>
        <v>0.276769887467872</v>
      </c>
      <c r="I19" s="11" t="n">
        <f aca="false">F19/E19-1</f>
        <v>-0.671460788585121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6" min="3" style="0" width="10"/>
    <col collapsed="false" customWidth="true" hidden="false" outlineLevel="0" max="7" min="7" style="0" width="50"/>
  </cols>
  <sheetData>
    <row r="1" customFormat="false" ht="17.15" hidden="false" customHeight="false" outlineLevel="0" collapsed="false">
      <c r="A1" s="0" t="s">
        <v>523</v>
      </c>
    </row>
    <row r="3" customFormat="false" ht="15" hidden="false" customHeight="false" outlineLevel="0" collapsed="false">
      <c r="A3" s="5" t="s">
        <v>17</v>
      </c>
      <c r="B3" s="5" t="s">
        <v>18</v>
      </c>
      <c r="C3" s="9" t="s">
        <v>516</v>
      </c>
      <c r="D3" s="9" t="s">
        <v>517</v>
      </c>
      <c r="E3" s="9" t="s">
        <v>518</v>
      </c>
      <c r="F3" s="9" t="s">
        <v>519</v>
      </c>
      <c r="G3" s="5" t="s">
        <v>524</v>
      </c>
    </row>
    <row r="4" customFormat="false" ht="17.15" hidden="false" customHeight="false" outlineLevel="0" collapsed="false">
      <c r="A4" s="3" t="s">
        <v>525</v>
      </c>
    </row>
    <row r="5" customFormat="false" ht="17.15" hidden="false" customHeight="false" outlineLevel="0" collapsed="false">
      <c r="A5" s="0" t="s">
        <v>526</v>
      </c>
      <c r="B5" s="0" t="s">
        <v>527</v>
      </c>
      <c r="D5" s="12" t="n">
        <f aca="false">u_bw_26*g_bw_26</f>
        <v>1404</v>
      </c>
      <c r="E5" s="12" t="n">
        <f aca="false">u_bw_27*g_bw_27</f>
        <v>672</v>
      </c>
      <c r="F5" s="12" t="n">
        <f aca="false">u_bw_28*g_bw_28</f>
        <v>144</v>
      </c>
    </row>
    <row r="6" customFormat="false" ht="15" hidden="false" customHeight="false" outlineLevel="0" collapsed="false">
      <c r="A6" s="0" t="s">
        <v>528</v>
      </c>
      <c r="B6" s="0" t="s">
        <v>527</v>
      </c>
      <c r="D6" s="12" t="n">
        <f aca="false">u_rb_26*g_rb_26</f>
        <v>489.6</v>
      </c>
      <c r="E6" s="12" t="n">
        <f aca="false">u_rb_27*g_rb_27</f>
        <v>2016</v>
      </c>
      <c r="F6" s="12" t="n">
        <f aca="false">u_rb_28*g_rb_28</f>
        <v>2016</v>
      </c>
    </row>
    <row r="7" customFormat="false" ht="15" hidden="false" customHeight="false" outlineLevel="0" collapsed="false">
      <c r="A7" s="0" t="s">
        <v>529</v>
      </c>
      <c r="B7" s="0" t="s">
        <v>527</v>
      </c>
      <c r="D7" s="12" t="n">
        <f aca="false">u_ru_26*g_ru_26</f>
        <v>0</v>
      </c>
      <c r="E7" s="12" t="n">
        <f aca="false">u_ru_27*g_ru_27</f>
        <v>307.2</v>
      </c>
      <c r="F7" s="12" t="n">
        <f aca="false">u_ru_28*g_ru_28</f>
        <v>2048</v>
      </c>
    </row>
    <row r="8" customFormat="false" ht="17.15" hidden="false" customHeight="false" outlineLevel="0" collapsed="false">
      <c r="A8" s="0" t="s">
        <v>530</v>
      </c>
      <c r="B8" s="0" t="s">
        <v>527</v>
      </c>
      <c r="D8" s="12" t="n">
        <f aca="false">u_hp_26*g_hp_26</f>
        <v>70.5</v>
      </c>
      <c r="E8" s="12" t="n">
        <f aca="false">u_hp_27*g_hp_27</f>
        <v>0</v>
      </c>
      <c r="F8" s="12" t="n">
        <f aca="false">u_hp_28*g_hp_28</f>
        <v>0</v>
      </c>
    </row>
    <row r="9" customFormat="false" ht="15" hidden="false" customHeight="false" outlineLevel="0" collapsed="false">
      <c r="A9" s="0" t="s">
        <v>531</v>
      </c>
      <c r="B9" s="0" t="s">
        <v>527</v>
      </c>
      <c r="D9" s="12" t="n">
        <f aca="false">u_amd_26*g_amd_26</f>
        <v>216</v>
      </c>
      <c r="E9" s="12" t="n">
        <f aca="false">u_amd_27*g_amd_27</f>
        <v>540</v>
      </c>
      <c r="F9" s="12" t="n">
        <f aca="false">u_amd_28*g_amd_28</f>
        <v>864</v>
      </c>
    </row>
    <row r="10" customFormat="false" ht="15" hidden="false" customHeight="false" outlineLevel="0" collapsed="false">
      <c r="A10" s="0" t="s">
        <v>532</v>
      </c>
      <c r="B10" s="0" t="s">
        <v>527</v>
      </c>
      <c r="D10" s="12" t="n">
        <f aca="false">u_tpu_26*g_tpu_26</f>
        <v>739.2</v>
      </c>
      <c r="E10" s="12" t="n">
        <f aca="false">u_tpu_27*g_tpu_27</f>
        <v>1375</v>
      </c>
      <c r="F10" s="12" t="n">
        <f aca="false">u_tpu_28*g_tpu_28</f>
        <v>2016</v>
      </c>
    </row>
    <row r="11" customFormat="false" ht="15" hidden="false" customHeight="false" outlineLevel="0" collapsed="false">
      <c r="A11" s="0" t="s">
        <v>533</v>
      </c>
      <c r="B11" s="0" t="s">
        <v>527</v>
      </c>
      <c r="D11" s="12" t="n">
        <f aca="false">u_trn_26*g_trn_26</f>
        <v>220</v>
      </c>
      <c r="E11" s="12" t="n">
        <f aca="false">u_trn_27*g_trn_27</f>
        <v>360</v>
      </c>
      <c r="F11" s="12" t="n">
        <f aca="false">u_trn_28*g_trn_28</f>
        <v>600</v>
      </c>
    </row>
    <row r="12" customFormat="false" ht="17.15" hidden="false" customHeight="false" outlineLevel="0" collapsed="false">
      <c r="A12" s="6" t="s">
        <v>534</v>
      </c>
      <c r="B12" s="0" t="s">
        <v>527</v>
      </c>
      <c r="D12" s="12" t="n">
        <f aca="false">u_oth_26*g_oth_26</f>
        <v>150</v>
      </c>
      <c r="E12" s="12" t="n">
        <f aca="false">u_oth_27*g_oth_27</f>
        <v>900</v>
      </c>
      <c r="F12" s="12" t="n">
        <f aca="false">u_oth_28*g_oth_28</f>
        <v>1250</v>
      </c>
    </row>
    <row r="13" customFormat="false" ht="15" hidden="false" customHeight="false" outlineLevel="0" collapsed="false">
      <c r="A13" s="6" t="s">
        <v>535</v>
      </c>
      <c r="B13" s="0" t="s">
        <v>536</v>
      </c>
      <c r="D13" s="10" t="n">
        <f aca="false">SUM(D5:D12)/1000</f>
        <v>3.2893</v>
      </c>
      <c r="E13" s="10" t="n">
        <f aca="false">SUM(E5:E12)/1000</f>
        <v>6.1702</v>
      </c>
      <c r="F13" s="10" t="n">
        <f aca="false">SUM(F5:F12)/1000</f>
        <v>8.938</v>
      </c>
    </row>
    <row r="14" customFormat="false" ht="17.15" hidden="false" customHeight="false" outlineLevel="0" collapsed="false">
      <c r="A14" s="6" t="s">
        <v>537</v>
      </c>
      <c r="B14" s="0" t="s">
        <v>536</v>
      </c>
      <c r="D14" s="10" t="n">
        <f aca="false">D13*hbm_gross</f>
        <v>3.782695</v>
      </c>
      <c r="E14" s="10" t="n">
        <f aca="false">E13*hbm_gross</f>
        <v>7.09573</v>
      </c>
      <c r="F14" s="10" t="n">
        <f aca="false">F13*hbm_gross</f>
        <v>10.2787</v>
      </c>
    </row>
    <row r="15" customFormat="false" ht="17.15" hidden="false" customHeight="false" outlineLevel="0" collapsed="false">
      <c r="A15" s="6" t="s">
        <v>538</v>
      </c>
      <c r="B15" s="6" t="s">
        <v>332</v>
      </c>
      <c r="D15" s="13" t="n">
        <f aca="false">u_bw_26+u_rb_26+u_ru_26+u_hp_26+u_amd_26+u_tpu_26+u_trn_26+u_oth_26</f>
        <v>15.2</v>
      </c>
      <c r="E15" s="13" t="n">
        <f aca="false">u_bw_27+u_rb_27+u_ru_27+u_hp_27+u_amd_27+u_tpu_27+u_trn_27+u_oth_27</f>
        <v>23.7</v>
      </c>
      <c r="F15" s="13" t="n">
        <f aca="false">u_bw_28+u_rb_28+u_ru_28+u_hp_28+u_amd_28+u_tpu_28+u_trn_28+u_oth_28</f>
        <v>26.5</v>
      </c>
      <c r="G15" s="8" t="s">
        <v>539</v>
      </c>
    </row>
    <row r="16" customFormat="false" ht="17.15" hidden="false" customHeight="false" outlineLevel="0" collapsed="false">
      <c r="A16" s="6" t="s">
        <v>540</v>
      </c>
      <c r="B16" s="0" t="s">
        <v>340</v>
      </c>
      <c r="D16" s="12" t="n">
        <f aca="false">D13*1000/D15</f>
        <v>216.401315789474</v>
      </c>
      <c r="E16" s="12" t="n">
        <f aca="false">E13*1000/E15</f>
        <v>260.345991561181</v>
      </c>
      <c r="F16" s="12" t="n">
        <f aca="false">F13*1000/F15</f>
        <v>337.283018867925</v>
      </c>
    </row>
    <row r="17" customFormat="false" ht="17.15" hidden="false" customHeight="false" outlineLevel="0" collapsed="false">
      <c r="A17" s="6" t="s">
        <v>541</v>
      </c>
      <c r="B17" s="0" t="s">
        <v>536</v>
      </c>
      <c r="C17" s="10" t="n">
        <f aca="false">D17/(1+hbm_g26)</f>
        <v>2.22511470588235</v>
      </c>
      <c r="D17" s="10" t="n">
        <f aca="false">D14</f>
        <v>3.782695</v>
      </c>
      <c r="E17" s="10" t="n">
        <f aca="false">D17*(1+hbm_sup27)</f>
        <v>5.86317725</v>
      </c>
      <c r="F17" s="10" t="n">
        <f aca="false">E17*(1+hbm_sup28)</f>
        <v>8.5016070125</v>
      </c>
      <c r="G17" s="8" t="s">
        <v>542</v>
      </c>
    </row>
    <row r="18" customFormat="false" ht="17.15" hidden="false" customHeight="false" outlineLevel="0" collapsed="false">
      <c r="A18" s="6" t="s">
        <v>543</v>
      </c>
      <c r="B18" s="0" t="s">
        <v>536</v>
      </c>
      <c r="C18" s="10" t="n">
        <f aca="false">C17</f>
        <v>2.22511470588235</v>
      </c>
      <c r="D18" s="10" t="n">
        <f aca="false">MIN(D14,D17)</f>
        <v>3.782695</v>
      </c>
      <c r="E18" s="10" t="n">
        <f aca="false">MIN(E14,E17)</f>
        <v>5.86317725</v>
      </c>
      <c r="F18" s="10" t="n">
        <f aca="false">MIN(F14,F17)</f>
        <v>8.5016070125</v>
      </c>
    </row>
    <row r="19" customFormat="false" ht="17.15" hidden="false" customHeight="false" outlineLevel="0" collapsed="false">
      <c r="A19" s="6" t="s">
        <v>544</v>
      </c>
      <c r="B19" s="0" t="s">
        <v>536</v>
      </c>
      <c r="D19" s="10" t="n">
        <f aca="false">D14-D17</f>
        <v>0</v>
      </c>
      <c r="E19" s="10" t="n">
        <f aca="false">E14-E17</f>
        <v>1.23255275</v>
      </c>
      <c r="F19" s="10" t="n">
        <f aca="false">F14-F17</f>
        <v>1.7770929875</v>
      </c>
    </row>
    <row r="20" customFormat="false" ht="17.15" hidden="false" customHeight="false" outlineLevel="0" collapsed="false">
      <c r="A20" s="0" t="s">
        <v>545</v>
      </c>
      <c r="B20" s="0" t="s">
        <v>457</v>
      </c>
      <c r="C20" s="10" t="n">
        <f aca="false">hbm_mkt25/C18</f>
        <v>15.7295261711557</v>
      </c>
      <c r="D20" s="10" t="n">
        <f aca="false">hbm_p26</f>
        <v>14.6</v>
      </c>
      <c r="E20" s="10" t="n">
        <f aca="false">D20*(1+hbm_p27)</f>
        <v>26.28</v>
      </c>
      <c r="F20" s="10" t="n">
        <f aca="false">E20*(1+hbm_p28_A)</f>
        <v>28.908</v>
      </c>
    </row>
    <row r="21" customFormat="false" ht="17.15" hidden="false" customHeight="false" outlineLevel="0" collapsed="false">
      <c r="A21" s="0" t="s">
        <v>546</v>
      </c>
      <c r="B21" s="0" t="s">
        <v>457</v>
      </c>
      <c r="C21" s="10" t="n">
        <f aca="false">hbm_mkt25/C18</f>
        <v>15.7295261711557</v>
      </c>
      <c r="D21" s="10" t="n">
        <f aca="false">hbm_p26</f>
        <v>14.6</v>
      </c>
      <c r="E21" s="10" t="n">
        <f aca="false">D21*(1+hbm_p27)</f>
        <v>26.28</v>
      </c>
      <c r="F21" s="10" t="n">
        <f aca="false">E21*(1+hbm_p28_B)</f>
        <v>19.71</v>
      </c>
    </row>
    <row r="22" customFormat="false" ht="17.15" hidden="false" customHeight="false" outlineLevel="0" collapsed="false">
      <c r="A22" s="0" t="s">
        <v>547</v>
      </c>
      <c r="B22" s="0" t="s">
        <v>457</v>
      </c>
      <c r="C22" s="10" t="n">
        <f aca="false">hbm_mkt25/C18</f>
        <v>15.7295261711557</v>
      </c>
      <c r="D22" s="10" t="n">
        <f aca="false">hbm_p26</f>
        <v>14.6</v>
      </c>
      <c r="E22" s="10" t="n">
        <f aca="false">D22*(1+hbm_p27)</f>
        <v>26.28</v>
      </c>
      <c r="F22" s="10" t="n">
        <f aca="false">E22*(1+hbm_p28_C)</f>
        <v>15.768</v>
      </c>
    </row>
    <row r="23" customFormat="false" ht="17.15" hidden="false" customHeight="false" outlineLevel="0" collapsed="false">
      <c r="A23" s="0" t="s">
        <v>548</v>
      </c>
      <c r="B23" s="0" t="s">
        <v>441</v>
      </c>
      <c r="C23" s="13" t="n">
        <f aca="false">C18*C20</f>
        <v>35</v>
      </c>
      <c r="D23" s="13" t="n">
        <f aca="false">D18*D20</f>
        <v>55.227347</v>
      </c>
      <c r="E23" s="13" t="n">
        <f aca="false">E18*E20</f>
        <v>154.08429813</v>
      </c>
      <c r="F23" s="13" t="n">
        <f aca="false">F18*F20</f>
        <v>245.76445551735</v>
      </c>
    </row>
    <row r="24" customFormat="false" ht="17.15" hidden="false" customHeight="false" outlineLevel="0" collapsed="false">
      <c r="A24" s="0" t="s">
        <v>549</v>
      </c>
      <c r="B24" s="0" t="s">
        <v>441</v>
      </c>
      <c r="C24" s="13" t="n">
        <f aca="false">C18*C21</f>
        <v>35</v>
      </c>
      <c r="D24" s="13" t="n">
        <f aca="false">D18*D21</f>
        <v>55.227347</v>
      </c>
      <c r="E24" s="13" t="n">
        <f aca="false">E18*E21</f>
        <v>154.08429813</v>
      </c>
      <c r="F24" s="13" t="n">
        <f aca="false">F18*F21</f>
        <v>167.566674216375</v>
      </c>
    </row>
    <row r="25" customFormat="false" ht="17.15" hidden="false" customHeight="false" outlineLevel="0" collapsed="false">
      <c r="A25" s="0" t="s">
        <v>550</v>
      </c>
      <c r="B25" s="0" t="s">
        <v>441</v>
      </c>
      <c r="C25" s="13" t="n">
        <f aca="false">C18*C22</f>
        <v>35</v>
      </c>
      <c r="D25" s="13" t="n">
        <f aca="false">D18*D22</f>
        <v>55.227347</v>
      </c>
      <c r="E25" s="13" t="n">
        <f aca="false">E18*E22</f>
        <v>154.08429813</v>
      </c>
      <c r="F25" s="13" t="n">
        <f aca="false">F18*F22</f>
        <v>134.0533393731</v>
      </c>
    </row>
    <row r="27" customFormat="false" ht="17.15" hidden="false" customHeight="false" outlineLevel="0" collapsed="false">
      <c r="A27" s="3" t="s">
        <v>551</v>
      </c>
    </row>
    <row r="28" customFormat="false" ht="17.15" hidden="false" customHeight="false" outlineLevel="0" collapsed="false">
      <c r="A28" s="6" t="s">
        <v>552</v>
      </c>
      <c r="B28" s="0" t="s">
        <v>441</v>
      </c>
      <c r="D28" s="13" t="n">
        <f aca="false">(D5+D6+D7+D8)/1000*hbm_p26</f>
        <v>28.67586</v>
      </c>
    </row>
    <row r="29" customFormat="false" ht="17.15" hidden="false" customHeight="false" outlineLevel="0" collapsed="false">
      <c r="A29" s="6" t="s">
        <v>553</v>
      </c>
      <c r="B29" s="0" t="s">
        <v>441</v>
      </c>
      <c r="D29" s="13" t="n">
        <f aca="false">nv_dc26*nv_hbm/nv_content</f>
        <v>32.3263565891473</v>
      </c>
      <c r="G29" s="6" t="s">
        <v>554</v>
      </c>
    </row>
    <row r="30" customFormat="false" ht="15" hidden="false" customHeight="false" outlineLevel="0" collapsed="false">
      <c r="A30" s="6" t="s">
        <v>555</v>
      </c>
      <c r="B30" s="0" t="s">
        <v>38</v>
      </c>
      <c r="D30" s="11" t="n">
        <f aca="false">D28/D29-1</f>
        <v>-0.112926323109758</v>
      </c>
    </row>
    <row r="31" customFormat="false" ht="17.15" hidden="false" customHeight="false" outlineLevel="0" collapsed="false">
      <c r="A31" s="6" t="s">
        <v>556</v>
      </c>
      <c r="B31" s="6" t="s">
        <v>332</v>
      </c>
      <c r="D31" s="13" t="n">
        <f aca="false">nv_dc26/nv_content</f>
        <v>7.24806201550388</v>
      </c>
      <c r="E31" s="13" t="n">
        <f aca="false">u_bw_26+u_rb_26+u_hp_26</f>
        <v>7.6</v>
      </c>
      <c r="G31" s="8" t="s">
        <v>557</v>
      </c>
    </row>
    <row r="32" customFormat="false" ht="17.15" hidden="false" customHeight="false" outlineLevel="0" collapsed="false">
      <c r="A32" s="6" t="s">
        <v>558</v>
      </c>
      <c r="B32" s="0" t="s">
        <v>441</v>
      </c>
      <c r="D32" s="13" t="n">
        <f aca="false">pub26_lo</f>
        <v>54.6</v>
      </c>
      <c r="E32" s="13" t="n">
        <f aca="false">pub26_hi</f>
        <v>77.4</v>
      </c>
      <c r="F32" s="13" t="n">
        <f aca="false">pub27</f>
        <v>152.8</v>
      </c>
    </row>
    <row r="33" customFormat="false" ht="17.15" hidden="false" customHeight="false" outlineLevel="0" collapsed="false">
      <c r="A33" s="6" t="s">
        <v>559</v>
      </c>
      <c r="B33" s="0" t="s">
        <v>38</v>
      </c>
      <c r="D33" s="11" t="n">
        <f aca="false">D23/pub26_lo-1</f>
        <v>0.0114898717948717</v>
      </c>
      <c r="F33" s="11" t="n">
        <f aca="false">E23/pub27-1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1"/>
  </cols>
  <sheetData>
    <row r="1" customFormat="false" ht="17.15" hidden="false" customHeight="false" outlineLevel="0" collapsed="false">
      <c r="A1" s="0" t="s">
        <v>560</v>
      </c>
    </row>
    <row r="3" customFormat="false" ht="17.15" hidden="false" customHeight="false" outlineLevel="0" collapsed="false">
      <c r="A3" s="5" t="s">
        <v>17</v>
      </c>
      <c r="B3" s="9" t="s">
        <v>494</v>
      </c>
      <c r="C3" s="9" t="s">
        <v>495</v>
      </c>
      <c r="D3" s="9" t="s">
        <v>496</v>
      </c>
      <c r="E3" s="9" t="s">
        <v>497</v>
      </c>
      <c r="F3" s="9" t="s">
        <v>498</v>
      </c>
      <c r="G3" s="9" t="s">
        <v>499</v>
      </c>
      <c r="H3" s="9" t="s">
        <v>561</v>
      </c>
      <c r="I3" s="9" t="s">
        <v>562</v>
      </c>
      <c r="J3" s="9" t="s">
        <v>563</v>
      </c>
    </row>
    <row r="4" customFormat="false" ht="15" hidden="false" customHeight="false" outlineLevel="0" collapsed="false">
      <c r="A4" s="6" t="s">
        <v>564</v>
      </c>
      <c r="B4" s="14" t="n">
        <v>17.639</v>
      </c>
      <c r="C4" s="14" t="n">
        <v>22.232</v>
      </c>
      <c r="D4" s="14" t="n">
        <v>24.449</v>
      </c>
      <c r="E4" s="14" t="n">
        <v>32.827</v>
      </c>
      <c r="F4" s="14" t="n">
        <v>52.576</v>
      </c>
      <c r="G4" s="14" t="n">
        <v>79.319</v>
      </c>
      <c r="H4" s="8" t="n">
        <f aca="false">H5+H6+H7</f>
        <v>96.311345015</v>
      </c>
      <c r="I4" s="8" t="n">
        <f aca="false">I5+I6+I7</f>
        <v>113.112885464856</v>
      </c>
      <c r="J4" s="10" t="n">
        <f aca="false">SUM(F4:I4)</f>
        <v>341.319230479856</v>
      </c>
    </row>
    <row r="5" customFormat="false" ht="17.15" hidden="false" customHeight="false" outlineLevel="0" collapsed="false">
      <c r="A5" s="0" t="s">
        <v>565</v>
      </c>
      <c r="F5" s="10" t="n">
        <f aca="false">F4*0.773</f>
        <v>40.641248</v>
      </c>
      <c r="G5" s="10" t="n">
        <f aca="false">G4*0.73</f>
        <v>57.90287</v>
      </c>
      <c r="H5" s="8" t="n">
        <f aca="false">G5*(1+q3_db)*(1+q3_dp)</f>
        <v>71.33633584</v>
      </c>
      <c r="I5" s="8" t="n">
        <f aca="false">H5*(1+q4_db)*(1+q4_dp)</f>
        <v>82.3934678952</v>
      </c>
      <c r="J5" s="10" t="n">
        <f aca="false">SUM(F5:I5)</f>
        <v>252.2739217352</v>
      </c>
    </row>
    <row r="6" customFormat="false" ht="15" hidden="false" customHeight="false" outlineLevel="0" collapsed="false">
      <c r="A6" s="0" t="s">
        <v>566</v>
      </c>
      <c r="F6" s="10" t="n">
        <f aca="false">F4*0.22</f>
        <v>11.56672</v>
      </c>
      <c r="G6" s="10" t="n">
        <f aca="false">G4*0.27</f>
        <v>21.41613</v>
      </c>
      <c r="H6" s="8" t="n">
        <f aca="false">G6*(1+q3_nb)*(1+q3_np)</f>
        <v>24.575009175</v>
      </c>
      <c r="I6" s="8" t="n">
        <f aca="false">H6*(1+q4_nb)*(1+q4_np)</f>
        <v>30.3194175696563</v>
      </c>
      <c r="J6" s="10" t="n">
        <f aca="false">SUM(F6:I6)</f>
        <v>87.8772767446563</v>
      </c>
    </row>
    <row r="7" customFormat="false" ht="15" hidden="false" customHeight="false" outlineLevel="0" collapsed="false">
      <c r="A7" s="6" t="s">
        <v>567</v>
      </c>
      <c r="F7" s="0" t="n">
        <f aca="false">F4-F5-F6</f>
        <v>0.368031999999996</v>
      </c>
      <c r="G7" s="0" t="n">
        <f aca="false">G4-G5-G6</f>
        <v>0</v>
      </c>
      <c r="H7" s="0" t="n">
        <f aca="false">other_y/4</f>
        <v>0.4</v>
      </c>
      <c r="I7" s="0" t="n">
        <f aca="false">other_y/4</f>
        <v>0.4</v>
      </c>
      <c r="J7" s="10" t="n">
        <f aca="false">SUM(F7:I7)</f>
        <v>1.168032</v>
      </c>
    </row>
    <row r="8" customFormat="false" ht="15" hidden="false" customHeight="false" outlineLevel="0" collapsed="false">
      <c r="A8" s="6" t="s">
        <v>568</v>
      </c>
      <c r="F8" s="10" t="n">
        <f aca="false">F4*(1-0.79)</f>
        <v>11.04096</v>
      </c>
      <c r="G8" s="10" t="n">
        <f aca="false">G4*(1-0.83)</f>
        <v>13.48423</v>
      </c>
      <c r="H8" s="8" t="n">
        <f aca="false">(G8-da_cogs*G13)*((w_c+w_h)*H14/G14+w_n*H15/G15)*(1-costdn_q)+da_cogs*da_q3</f>
        <v>14.198319828</v>
      </c>
      <c r="I8" s="8" t="n">
        <f aca="false">(H8-da_cogs*H13)*((w_c+w_h)*I14/H14+w_n*I15/H15)*(1-costdn_q)+da_cogs*da_q4</f>
        <v>14.659393744818</v>
      </c>
      <c r="J8" s="10" t="n">
        <f aca="false">SUM(F8:I8)</f>
        <v>53.382903572818</v>
      </c>
    </row>
    <row r="9" customFormat="false" ht="15" hidden="false" customHeight="false" outlineLevel="0" collapsed="false">
      <c r="A9" s="6" t="s">
        <v>569</v>
      </c>
      <c r="F9" s="0" t="n">
        <f aca="false">F4-F8-F10</f>
        <v>3.92504</v>
      </c>
      <c r="G9" s="0" t="n">
        <f aca="false">G4-G8-G10</f>
        <v>5.29176999999999</v>
      </c>
      <c r="H9" s="0" t="n">
        <f aca="false">opex_fix_q+opex_var*H4</f>
        <v>6.026633215705</v>
      </c>
      <c r="I9" s="0" t="n">
        <f aca="false">opex_fix_q+opex_var*I4</f>
        <v>6.81630561684825</v>
      </c>
      <c r="J9" s="10" t="n">
        <f aca="false">SUM(F9:I9)</f>
        <v>22.0597488325532</v>
      </c>
    </row>
    <row r="10" customFormat="false" ht="15" hidden="false" customHeight="false" outlineLevel="0" collapsed="false">
      <c r="A10" s="6" t="s">
        <v>570</v>
      </c>
      <c r="B10" s="14" t="n">
        <v>7.441</v>
      </c>
      <c r="C10" s="14" t="n">
        <v>9.213</v>
      </c>
      <c r="D10" s="14" t="n">
        <v>11.383</v>
      </c>
      <c r="E10" s="14" t="n">
        <v>19.17</v>
      </c>
      <c r="F10" s="14" t="n">
        <v>37.61</v>
      </c>
      <c r="G10" s="14" t="n">
        <v>60.543</v>
      </c>
      <c r="H10" s="8" t="n">
        <f aca="false">H4-H8-H9</f>
        <v>76.086391971295</v>
      </c>
      <c r="I10" s="8" t="n">
        <f aca="false">I4-I8-I9</f>
        <v>91.63718610319</v>
      </c>
      <c r="J10" s="10" t="n">
        <f aca="false">SUM(F10:I10)</f>
        <v>265.876578074485</v>
      </c>
    </row>
    <row r="11" customFormat="false" ht="15" hidden="false" customHeight="false" outlineLevel="0" collapsed="false">
      <c r="A11" s="6" t="s">
        <v>571</v>
      </c>
      <c r="B11" s="15" t="n">
        <f aca="false">IF(B4=0,"",B10/B4)</f>
        <v>0.421849311185441</v>
      </c>
      <c r="C11" s="15" t="n">
        <f aca="false">IF(C4=0,"",C10/C4)</f>
        <v>0.414402662828356</v>
      </c>
      <c r="D11" s="15" t="n">
        <f aca="false">IF(D4=0,"",D10/D4)</f>
        <v>0.465581414372776</v>
      </c>
      <c r="E11" s="15" t="n">
        <f aca="false">IF(E4=0,"",E10/E4)</f>
        <v>0.583970512078472</v>
      </c>
      <c r="F11" s="15" t="n">
        <f aca="false">IF(F4=0,"",F10/F4)</f>
        <v>0.715345404747413</v>
      </c>
      <c r="G11" s="15" t="n">
        <f aca="false">IF(G4=0,"",G10/G4)</f>
        <v>0.763284963249663</v>
      </c>
      <c r="H11" s="15" t="n">
        <f aca="false">IF(H4=0,"",H10/H4)</f>
        <v>0.790004458555167</v>
      </c>
      <c r="I11" s="15" t="n">
        <f aca="false">IF(I4=0,"",I10/I4)</f>
        <v>0.810139231499504</v>
      </c>
      <c r="J11" s="15" t="n">
        <f aca="false">J10/J4</f>
        <v>0.778967471890443</v>
      </c>
    </row>
    <row r="12" customFormat="false" ht="15" hidden="false" customHeight="false" outlineLevel="0" collapsed="false">
      <c r="A12" s="6" t="s">
        <v>572</v>
      </c>
      <c r="B12" s="14" t="n">
        <v>8.108</v>
      </c>
      <c r="C12" s="14" t="n">
        <v>6.996</v>
      </c>
      <c r="D12" s="14" t="n">
        <v>12.598</v>
      </c>
      <c r="E12" s="14" t="n">
        <v>15.246</v>
      </c>
      <c r="F12" s="14" t="n">
        <v>40.346</v>
      </c>
      <c r="G12" s="14" t="n">
        <v>93.923</v>
      </c>
      <c r="H12" s="8" t="n">
        <f aca="false">(H10+nonop_q)*(1-tax)</f>
        <v>59.3565218178972</v>
      </c>
      <c r="I12" s="8" t="n">
        <f aca="false">(I10+nonop_q)*(1-tax)</f>
        <v>71.3306332994563</v>
      </c>
      <c r="J12" s="10" t="n">
        <f aca="false">SUM(F12:I12)</f>
        <v>264.956155117354</v>
      </c>
    </row>
    <row r="13" customFormat="false" ht="15" hidden="false" customHeight="false" outlineLevel="0" collapsed="false">
      <c r="A13" s="6" t="s">
        <v>573</v>
      </c>
      <c r="B13" s="14" t="n">
        <v>3.334</v>
      </c>
      <c r="C13" s="14" t="n">
        <v>3.443</v>
      </c>
      <c r="D13" s="14" t="n">
        <v>3.556</v>
      </c>
      <c r="E13" s="14" t="n">
        <v>3.557</v>
      </c>
      <c r="F13" s="14" t="n">
        <v>3.726</v>
      </c>
      <c r="G13" s="14" t="n">
        <v>4.028</v>
      </c>
      <c r="H13" s="8" t="n">
        <f aca="false">da_q3</f>
        <v>4.3</v>
      </c>
      <c r="I13" s="8" t="n">
        <f aca="false">da_q4</f>
        <v>4.6</v>
      </c>
      <c r="J13" s="10" t="n">
        <f aca="false">SUM(F13:I13)</f>
        <v>16.654</v>
      </c>
    </row>
    <row r="14" customFormat="false" ht="17.15" hidden="false" customHeight="false" outlineLevel="0" collapsed="false">
      <c r="A14" s="0" t="s">
        <v>574</v>
      </c>
      <c r="G14" s="0" t="n">
        <v>1</v>
      </c>
      <c r="H14" s="0" t="n">
        <f aca="false">G14*(1+q3_db)</f>
        <v>1.1</v>
      </c>
      <c r="I14" s="0" t="n">
        <f aca="false">H14*(1+q4_db)</f>
        <v>1.155</v>
      </c>
    </row>
    <row r="15" customFormat="false" ht="17.15" hidden="false" customHeight="false" outlineLevel="0" collapsed="false">
      <c r="A15" s="0" t="s">
        <v>575</v>
      </c>
      <c r="G15" s="0" t="n">
        <v>1</v>
      </c>
      <c r="H15" s="0" t="n">
        <f aca="false">G15*(1+q3_nb)</f>
        <v>1.02</v>
      </c>
      <c r="I15" s="0" t="n">
        <f aca="false">H15*(1+q4_nb)</f>
        <v>1.071</v>
      </c>
    </row>
    <row r="18" customFormat="false" ht="17.15" hidden="false" customHeight="false" outlineLevel="0" collapsed="false">
      <c r="A18" s="0" t="s">
        <v>576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2" style="0" width="12"/>
    <col collapsed="false" customWidth="true" hidden="false" outlineLevel="0" max="10" min="10" style="0" width="50"/>
  </cols>
  <sheetData>
    <row r="1" customFormat="false" ht="17.15" hidden="false" customHeight="false" outlineLevel="0" collapsed="false">
      <c r="A1" s="0" t="s">
        <v>577</v>
      </c>
    </row>
    <row r="3" customFormat="false" ht="17.15" hidden="false" customHeight="false" outlineLevel="0" collapsed="false">
      <c r="A3" s="5" t="s">
        <v>17</v>
      </c>
      <c r="B3" s="9" t="s">
        <v>578</v>
      </c>
      <c r="C3" s="9" t="s">
        <v>579</v>
      </c>
      <c r="D3" s="9" t="s">
        <v>580</v>
      </c>
      <c r="E3" s="9" t="s">
        <v>581</v>
      </c>
      <c r="F3" s="9" t="s">
        <v>582</v>
      </c>
      <c r="G3" s="9" t="s">
        <v>583</v>
      </c>
      <c r="H3" s="9" t="s">
        <v>584</v>
      </c>
      <c r="I3" s="9" t="s">
        <v>585</v>
      </c>
      <c r="J3" s="5" t="s">
        <v>524</v>
      </c>
    </row>
    <row r="4" customFormat="false" ht="15" hidden="false" customHeight="false" outlineLevel="0" collapsed="false">
      <c r="A4" s="6" t="s">
        <v>564</v>
      </c>
      <c r="B4" s="13" t="n">
        <f aca="false">SUM(Q!B4:E4)</f>
        <v>97.147</v>
      </c>
      <c r="C4" s="13" t="n">
        <f aca="false">Q!J4</f>
        <v>341.319230479856</v>
      </c>
      <c r="D4" s="13" t="n">
        <f aca="false">D5+D6+D7+D8</f>
        <v>531.511774306725</v>
      </c>
      <c r="E4" s="13" t="n">
        <f aca="false">E5+E6+E7+E8</f>
        <v>587.501270002768</v>
      </c>
      <c r="F4" s="13" t="n">
        <f aca="false">F5+F6+F7+F8</f>
        <v>520.522081420466</v>
      </c>
      <c r="G4" s="13" t="n">
        <f aca="false">G5+G6+G7+G8</f>
        <v>341.105709513835</v>
      </c>
      <c r="H4" s="13" t="n">
        <f aca="false">H5+H6+H7+H8</f>
        <v>520.522081420466</v>
      </c>
      <c r="I4" s="13" t="n">
        <f aca="false">I5+I6+I7+I8</f>
        <v>253.587590356783</v>
      </c>
    </row>
    <row r="5" customFormat="false" ht="17.15" hidden="false" customHeight="false" outlineLevel="0" collapsed="false">
      <c r="A5" s="6" t="s">
        <v>586</v>
      </c>
      <c r="C5" s="13" t="n">
        <f aca="false">Q!J5-C6</f>
        <v>211.4940487104</v>
      </c>
      <c r="D5" s="13" t="n">
        <f aca="false">C5*(1+cb_1)*(AVERAGE(Path!K4:N4)/AVERAGE(Path!G4:J4))</f>
        <v>300.147769900106</v>
      </c>
      <c r="E5" s="13" t="n">
        <f aca="false">D5*(1+cb_2)*(AVERAGE(Path!O4:R4)/AVERAGE(Path!K4:N4))</f>
        <v>311.925679400333</v>
      </c>
      <c r="F5" s="13" t="n">
        <f aca="false">C5*(1+cb_1)*(AVERAGE(Path!K5:N5)/AVERAGE(Path!G5:J5))</f>
        <v>292.387333127425</v>
      </c>
      <c r="G5" s="13" t="n">
        <f aca="false">F5*(1+cb_2)*(AVERAGE(Path!O5:R5)/AVERAGE(Path!K5:N5))</f>
        <v>178.965093118978</v>
      </c>
      <c r="H5" s="13" t="n">
        <f aca="false">C5*(1+cb_1)*(AVERAGE(Path!K6:N6)/AVERAGE(Path!G6:J6))</f>
        <v>292.387333127425</v>
      </c>
      <c r="I5" s="13" t="n">
        <f aca="false">H5*(1+cb_2)*(AVERAGE(Path!O6:R6)/AVERAGE(Path!K6:N6))</f>
        <v>122.764314643446</v>
      </c>
      <c r="J5" s="6" t="s">
        <v>587</v>
      </c>
    </row>
    <row r="6" customFormat="false" ht="17.15" hidden="false" customHeight="false" outlineLevel="0" collapsed="false">
      <c r="A6" s="0" t="s">
        <v>588</v>
      </c>
      <c r="C6" s="13" t="n">
        <f aca="false">(Mkt!D23/4*sh26+Mkt!D23/4*sh26+Mkt!D23/4*sh26+Mkt!D23/4*sh26)*fx/1000</f>
        <v>40.7798730248</v>
      </c>
      <c r="D6" s="13" t="n">
        <f aca="false">(Mkt!E23/4*sh27+Mkt!E23/4*sh27+Mkt!E23/4*sh27+Mkt!E23/4*sh27)*fx/1000</f>
        <v>91.895875404732</v>
      </c>
      <c r="E6" s="13" t="n">
        <f aca="false">(Mkt!F23/4*sh28+Mkt!F23/4*sh28+Mkt!F23/4*sh28+Mkt!F23/4*sh28)*fx/1000</f>
        <v>139.594210733855</v>
      </c>
      <c r="F6" s="13" t="n">
        <f aca="false">(Mkt!E24/4*sh27+Mkt!E24/4*sh27+Mkt!E24/4*sh27+Mkt!E24/4*sh27)*fx/1000</f>
        <v>91.895875404732</v>
      </c>
      <c r="G6" s="13" t="n">
        <f aca="false">(Mkt!F24/4*sh28+Mkt!F24/4*sh28+Mkt!F24/4*sh28+Mkt!F24/4*sh28)*fx/1000</f>
        <v>95.177870954901</v>
      </c>
      <c r="H6" s="13" t="n">
        <f aca="false">(Mkt!E25/4*sh27+Mkt!E25/4*sh27+Mkt!E25/4*sh27+Mkt!E25/4*sh27)*fx/1000</f>
        <v>91.895875404732</v>
      </c>
      <c r="I6" s="13" t="n">
        <f aca="false">(Mkt!F25/4*sh28+Mkt!F25/4*sh28+Mkt!F25/4*sh28+Mkt!F25/4*sh28)*fx/1000</f>
        <v>76.1422967639208</v>
      </c>
      <c r="J6" s="8" t="s">
        <v>589</v>
      </c>
    </row>
    <row r="7" customFormat="false" ht="15" hidden="false" customHeight="false" outlineLevel="0" collapsed="false">
      <c r="A7" s="0" t="s">
        <v>566</v>
      </c>
      <c r="C7" s="13" t="n">
        <f aca="false">Q!J6</f>
        <v>87.8772767446563</v>
      </c>
      <c r="D7" s="13" t="n">
        <f aca="false">C7*(1+nb_1)*(AVERAGE(Path!K8:N8)/AVERAGE(Path!G8:J8))</f>
        <v>137.868129001886</v>
      </c>
      <c r="E7" s="13" t="n">
        <f aca="false">D7*(1+nb_2)*(AVERAGE(Path!O8:R8)/AVERAGE(Path!K8:N8))</f>
        <v>134.381379868581</v>
      </c>
      <c r="F7" s="13" t="n">
        <f aca="false">C7*(1+nb_1)*(AVERAGE(Path!K9:N9)/AVERAGE(Path!G9:J9))</f>
        <v>134.638872888309</v>
      </c>
      <c r="G7" s="13" t="n">
        <f aca="false">F7*(1+nb_2)*(AVERAGE(Path!O9:R9)/AVERAGE(Path!K9:N9))</f>
        <v>65.3627454399564</v>
      </c>
      <c r="H7" s="13" t="n">
        <f aca="false">C7*(1+nb_1)*(AVERAGE(Path!K10:N10)/AVERAGE(Path!G10:J10))</f>
        <v>134.638872888309</v>
      </c>
      <c r="I7" s="13" t="n">
        <f aca="false">H7*(1+nb_2)*(AVERAGE(Path!O10:R10)/AVERAGE(Path!K10:N10))</f>
        <v>53.0809789494159</v>
      </c>
    </row>
    <row r="8" customFormat="false" ht="15" hidden="false" customHeight="false" outlineLevel="0" collapsed="false">
      <c r="A8" s="6" t="s">
        <v>567</v>
      </c>
      <c r="C8" s="13" t="n">
        <f aca="false">Q!J7</f>
        <v>1.168032</v>
      </c>
      <c r="D8" s="13" t="n">
        <f aca="false">other_y</f>
        <v>1.6</v>
      </c>
      <c r="E8" s="13" t="n">
        <f aca="false">other_y</f>
        <v>1.6</v>
      </c>
      <c r="F8" s="13" t="n">
        <f aca="false">other_y</f>
        <v>1.6</v>
      </c>
      <c r="G8" s="13" t="n">
        <f aca="false">other_y</f>
        <v>1.6</v>
      </c>
      <c r="H8" s="13" t="n">
        <f aca="false">other_y</f>
        <v>1.6</v>
      </c>
      <c r="I8" s="13" t="n">
        <f aca="false">other_y</f>
        <v>1.6</v>
      </c>
    </row>
    <row r="9" customFormat="false" ht="17.15" hidden="false" customHeight="false" outlineLevel="0" collapsed="false">
      <c r="A9" s="0" t="s">
        <v>590</v>
      </c>
      <c r="C9" s="15" t="n">
        <f aca="false">C6/C4</f>
        <v>0.119477220687121</v>
      </c>
      <c r="D9" s="15" t="n">
        <f aca="false">D6/D4</f>
        <v>0.172895276919493</v>
      </c>
      <c r="E9" s="15" t="n">
        <f aca="false">E6/E4</f>
        <v>0.237606653570633</v>
      </c>
      <c r="F9" s="15" t="n">
        <f aca="false">F6/F4</f>
        <v>0.176545585067121</v>
      </c>
      <c r="G9" s="15" t="n">
        <f aca="false">G6/G4</f>
        <v>0.279027492945088</v>
      </c>
      <c r="H9" s="15" t="n">
        <f aca="false">H6/H4</f>
        <v>0.176545585067121</v>
      </c>
      <c r="I9" s="15" t="n">
        <f aca="false">I6/I4</f>
        <v>0.300260342616896</v>
      </c>
    </row>
    <row r="10" customFormat="false" ht="15" hidden="false" customHeight="false" outlineLevel="0" collapsed="false">
      <c r="A10" s="6" t="s">
        <v>573</v>
      </c>
      <c r="B10" s="13" t="n">
        <f aca="false">SUM(Q!B13:E13)</f>
        <v>13.89</v>
      </c>
      <c r="C10" s="13" t="n">
        <f aca="false">Q!J13</f>
        <v>16.654</v>
      </c>
      <c r="D10" s="13" t="n">
        <f aca="false">C10+(C17-C10)/da_life</f>
        <v>23.0632</v>
      </c>
      <c r="E10" s="13" t="n">
        <f aca="false">D10+(D17-D10)/da_life</f>
        <v>30.91056</v>
      </c>
      <c r="F10" s="13" t="n">
        <f aca="false">C10+(C17-C10)/da_life</f>
        <v>23.0632</v>
      </c>
      <c r="G10" s="13" t="n">
        <f aca="false">F10+(F17-F10)/da_life</f>
        <v>30.91056</v>
      </c>
      <c r="H10" s="13" t="n">
        <f aca="false">C10+(C17-C10)/da_life</f>
        <v>23.0632</v>
      </c>
      <c r="I10" s="13" t="n">
        <f aca="false">H10+(H17-H10)/da_life</f>
        <v>30.91056</v>
      </c>
    </row>
    <row r="11" customFormat="false" ht="17.15" hidden="false" customHeight="false" outlineLevel="0" collapsed="false">
      <c r="A11" s="6" t="s">
        <v>591</v>
      </c>
      <c r="D11" s="10" t="n">
        <f aca="false">w_c*(1+cb_1)+w_h*D27/C27+w_n*(1+nb_1)</f>
        <v>1.17057692307692</v>
      </c>
      <c r="E11" s="10" t="n">
        <f aca="false">w_c*(1+cb_2)+w_h*E27/D27+w_n*(1+nb_2)</f>
        <v>1.23178571428571</v>
      </c>
      <c r="F11" s="10" t="n">
        <f aca="false">w_c*(1+cb_1)+w_h*F27/C27+w_n*(1+nb_1)</f>
        <v>1.17057692307692</v>
      </c>
      <c r="G11" s="10" t="n">
        <f aca="false">w_c*(1+cb_2)+w_h*G27/F27+w_n*(1+nb_2)</f>
        <v>1.23178571428571</v>
      </c>
      <c r="H11" s="10" t="n">
        <f aca="false">w_c*(1+cb_1)+w_h*H27/C27+w_n*(1+nb_1)</f>
        <v>1.17057692307692</v>
      </c>
      <c r="I11" s="10" t="n">
        <f aca="false">w_c*(1+cb_2)+w_h*I27/H27+w_n*(1+nb_2)</f>
        <v>1.23178571428571</v>
      </c>
    </row>
    <row r="12" customFormat="false" ht="17.15" hidden="false" customHeight="false" outlineLevel="0" collapsed="false">
      <c r="A12" s="6" t="s">
        <v>568</v>
      </c>
      <c r="C12" s="13" t="n">
        <f aca="false">Q!J8</f>
        <v>53.382903572818</v>
      </c>
      <c r="D12" s="13" t="n">
        <f aca="false">(C12-da_cogs*C10)*D11*(1-costdn_y)+da_cogs*D10</f>
        <v>61.2060171659556</v>
      </c>
      <c r="E12" s="13" t="n">
        <f aca="false">(D12-da_cogs*D10)*E11*(1-costdn_y)+da_cogs*E10</f>
        <v>72.6617063845867</v>
      </c>
      <c r="F12" s="13" t="n">
        <f aca="false">(C12-da_cogs*C10)*F11*(1-costdn_y)+da_cogs*F10</f>
        <v>61.2060171659556</v>
      </c>
      <c r="G12" s="13" t="n">
        <f aca="false">(F12-da_cogs*F10)*G11*(1-costdn_y)+da_cogs*G10</f>
        <v>72.6617063845867</v>
      </c>
      <c r="H12" s="13" t="n">
        <f aca="false">(C12-da_cogs*C10)*H11*(1-costdn_y)+da_cogs*H10</f>
        <v>61.2060171659556</v>
      </c>
      <c r="I12" s="13" t="n">
        <f aca="false">(H12-da_cogs*H10)*I11*(1-costdn_y)+da_cogs*I10</f>
        <v>72.6617063845867</v>
      </c>
      <c r="J12" s="6" t="s">
        <v>592</v>
      </c>
    </row>
    <row r="13" customFormat="false" ht="15" hidden="false" customHeight="false" outlineLevel="0" collapsed="false">
      <c r="A13" s="6" t="s">
        <v>569</v>
      </c>
      <c r="C13" s="13" t="n">
        <f aca="false">Q!J9</f>
        <v>22.0597488325532</v>
      </c>
      <c r="D13" s="13" t="n">
        <f aca="false">opex_fix_y*(1+opex_g)^1+opex_var*D4</f>
        <v>31.5810533924161</v>
      </c>
      <c r="E13" s="13" t="n">
        <f aca="false">opex_fix_y*(1+opex_g)^2+opex_var*E4</f>
        <v>34.8725596901301</v>
      </c>
      <c r="F13" s="13" t="n">
        <f aca="false">opex_fix_y*(1+opex_g)^1+opex_var*F4</f>
        <v>31.0645378267619</v>
      </c>
      <c r="G13" s="13" t="n">
        <f aca="false">opex_fix_y*(1+opex_g)^2+opex_var*G4</f>
        <v>23.2919683471503</v>
      </c>
      <c r="H13" s="13" t="n">
        <f aca="false">opex_fix_y*(1+opex_g)^1+opex_var*H4</f>
        <v>31.0645378267619</v>
      </c>
      <c r="I13" s="13" t="n">
        <f aca="false">opex_fix_y*(1+opex_g)^2+opex_var*I4</f>
        <v>19.1786167467688</v>
      </c>
    </row>
    <row r="14" customFormat="false" ht="15" hidden="false" customHeight="false" outlineLevel="0" collapsed="false">
      <c r="A14" s="6" t="s">
        <v>570</v>
      </c>
      <c r="B14" s="13" t="n">
        <f aca="false">SUM(Q!B10:E10)</f>
        <v>47.207</v>
      </c>
      <c r="C14" s="13" t="n">
        <f aca="false">Q!J10</f>
        <v>265.876578074485</v>
      </c>
      <c r="D14" s="13" t="n">
        <f aca="false">D4-D12-D13</f>
        <v>438.724703748353</v>
      </c>
      <c r="E14" s="13" t="n">
        <f aca="false">E4-E12-E13</f>
        <v>479.967003928052</v>
      </c>
      <c r="F14" s="13" t="n">
        <f aca="false">F4-F12-F13</f>
        <v>428.251526427748</v>
      </c>
      <c r="G14" s="13" t="n">
        <f aca="false">G4-G12-G13</f>
        <v>245.152034782098</v>
      </c>
      <c r="H14" s="13" t="n">
        <f aca="false">H4-H12-H13</f>
        <v>428.251526427748</v>
      </c>
      <c r="I14" s="13" t="n">
        <f aca="false">I4-I12-I13</f>
        <v>161.747267225427</v>
      </c>
    </row>
    <row r="15" customFormat="false" ht="15" hidden="false" customHeight="false" outlineLevel="0" collapsed="false">
      <c r="A15" s="6" t="s">
        <v>571</v>
      </c>
      <c r="B15" s="15" t="n">
        <f aca="false">B14/B4</f>
        <v>0.485933688122124</v>
      </c>
      <c r="C15" s="15" t="n">
        <f aca="false">C14/C4</f>
        <v>0.778967471890443</v>
      </c>
      <c r="D15" s="15" t="n">
        <f aca="false">D14/D4</f>
        <v>0.825428005467239</v>
      </c>
      <c r="E15" s="15" t="n">
        <f aca="false">E14/E4</f>
        <v>0.816963347033769</v>
      </c>
      <c r="F15" s="15" t="n">
        <f aca="false">F14/F4</f>
        <v>0.822734599959875</v>
      </c>
      <c r="G15" s="15" t="n">
        <f aca="false">G14/G4</f>
        <v>0.718698127719715</v>
      </c>
      <c r="H15" s="15" t="n">
        <f aca="false">H14/H4</f>
        <v>0.822734599959875</v>
      </c>
      <c r="I15" s="15" t="n">
        <f aca="false">I14/I4</f>
        <v>0.637835893301634</v>
      </c>
    </row>
    <row r="16" customFormat="false" ht="17.15" hidden="false" customHeight="false" outlineLevel="0" collapsed="false">
      <c r="A16" s="6" t="s">
        <v>572</v>
      </c>
      <c r="B16" s="13" t="n">
        <f aca="false">SUM(Q!B12:E12)</f>
        <v>42.948</v>
      </c>
      <c r="C16" s="13" t="n">
        <f aca="false">Q!J12</f>
        <v>264.956155117354</v>
      </c>
      <c r="D16" s="13" t="n">
        <f aca="false">(D14+rf*C22)*(1-tax)</f>
        <v>340.584588075039</v>
      </c>
      <c r="E16" s="13" t="n">
        <f aca="false">(E14+rf*D22)*(1-tax)</f>
        <v>374.661537181585</v>
      </c>
      <c r="F16" s="13" t="n">
        <f aca="false">(F14+rf*C22)*(1-tax)</f>
        <v>332.520241538174</v>
      </c>
      <c r="G16" s="13" t="n">
        <f aca="false">(G14+rf*F22)*(1-tax)</f>
        <v>193.791915470867</v>
      </c>
      <c r="H16" s="13" t="n">
        <f aca="false">(H14+rf*C22)*(1-tax)</f>
        <v>332.520241538174</v>
      </c>
      <c r="I16" s="13" t="n">
        <f aca="false">(I14+rf*H22)*(1-tax)</f>
        <v>129.57024445223</v>
      </c>
      <c r="J16" s="6" t="s">
        <v>593</v>
      </c>
    </row>
    <row r="17" customFormat="false" ht="15" hidden="false" customHeight="false" outlineLevel="0" collapsed="false">
      <c r="A17" s="6" t="s">
        <v>594</v>
      </c>
      <c r="C17" s="13" t="n">
        <f aca="false">cap_0</f>
        <v>48.7</v>
      </c>
      <c r="D17" s="13" t="n">
        <f aca="false">cap_1</f>
        <v>62.3</v>
      </c>
      <c r="E17" s="13" t="n">
        <f aca="false">cap_2</f>
        <v>71.2</v>
      </c>
      <c r="F17" s="13" t="n">
        <f aca="false">cap_1</f>
        <v>62.3</v>
      </c>
      <c r="G17" s="13" t="n">
        <f aca="false">cap_2</f>
        <v>71.2</v>
      </c>
      <c r="H17" s="13" t="n">
        <f aca="false">cap_1</f>
        <v>62.3</v>
      </c>
      <c r="I17" s="13" t="n">
        <f aca="false">cap_2</f>
        <v>71.2</v>
      </c>
    </row>
    <row r="18" customFormat="false" ht="15" hidden="false" customHeight="false" outlineLevel="0" collapsed="false">
      <c r="A18" s="6" t="s">
        <v>595</v>
      </c>
      <c r="C18" s="13" t="n">
        <f aca="false">C16+C10-C17</f>
        <v>232.910155117354</v>
      </c>
      <c r="D18" s="13" t="n">
        <f aca="false">D16+D10-D17</f>
        <v>301.347788075039</v>
      </c>
      <c r="E18" s="13" t="n">
        <f aca="false">E16+E10-E17</f>
        <v>334.372097181585</v>
      </c>
      <c r="F18" s="13" t="n">
        <f aca="false">F16+F10-F17</f>
        <v>293.283441538174</v>
      </c>
      <c r="G18" s="13" t="n">
        <f aca="false">G16+G10-G17</f>
        <v>153.502475470867</v>
      </c>
      <c r="H18" s="13" t="n">
        <f aca="false">H16+H10-H17</f>
        <v>293.283441538174</v>
      </c>
      <c r="I18" s="13" t="n">
        <f aca="false">I16+I10-I17</f>
        <v>89.2808044522303</v>
      </c>
    </row>
    <row r="19" customFormat="false" ht="15" hidden="false" customHeight="false" outlineLevel="0" collapsed="false">
      <c r="A19" s="6" t="s">
        <v>596</v>
      </c>
      <c r="C19" s="13" t="n">
        <f aca="false">div_0</f>
        <v>0.54</v>
      </c>
      <c r="D19" s="13" t="n">
        <f aca="false">dps_1*C23/1000000</f>
        <v>3.2004763655</v>
      </c>
      <c r="E19" s="13" t="n">
        <f aca="false">dps_2*D23/1000000</f>
        <v>3.25020404069534</v>
      </c>
      <c r="F19" s="13" t="n">
        <f aca="false">dps_1*C23/1000000</f>
        <v>3.2004763655</v>
      </c>
      <c r="G19" s="13" t="n">
        <f aca="false">dps_2*F23/1000000</f>
        <v>3.26248777690312</v>
      </c>
      <c r="H19" s="13" t="n">
        <f aca="false">dps_1*C23/1000000</f>
        <v>3.2004763655</v>
      </c>
      <c r="I19" s="13" t="n">
        <f aca="false">dps_2*H23/1000000</f>
        <v>3.26248777690312</v>
      </c>
    </row>
    <row r="20" customFormat="false" ht="17.15" hidden="false" customHeight="false" outlineLevel="0" collapsed="false">
      <c r="A20" s="6" t="s">
        <v>597</v>
      </c>
      <c r="C20" s="13" t="n">
        <f aca="false">bb_0</f>
        <v>40</v>
      </c>
      <c r="D20" s="13" t="n">
        <f aca="false">MAX(0,payout*D18-D19)</f>
        <v>147.473417672019</v>
      </c>
      <c r="E20" s="13" t="n">
        <f aca="false">MAX(0,payout*E18-E19)</f>
        <v>163.935844550097</v>
      </c>
      <c r="F20" s="13" t="n">
        <f aca="false">MAX(0,payout*F18-F19)</f>
        <v>143.441244403587</v>
      </c>
      <c r="G20" s="13" t="n">
        <f aca="false">MAX(0,payout*G18-G19)</f>
        <v>73.4887499585303</v>
      </c>
      <c r="H20" s="13" t="n">
        <f aca="false">MAX(0,payout*H18-H19)</f>
        <v>143.441244403587</v>
      </c>
      <c r="I20" s="13" t="n">
        <f aca="false">MAX(0,payout*I18-I19)</f>
        <v>41.377914449212</v>
      </c>
      <c r="J20" s="6" t="s">
        <v>598</v>
      </c>
    </row>
    <row r="21" customFormat="false" ht="15" hidden="false" customHeight="false" outlineLevel="0" collapsed="false">
      <c r="A21" s="6" t="s">
        <v>599</v>
      </c>
      <c r="C21" s="13" t="n">
        <f aca="false">eq_last+(Q!H12+Q!I12)+extra_eq-C20-C19</f>
        <v>393.240155117353</v>
      </c>
      <c r="D21" s="13" t="n">
        <f aca="false">C21+D16-D19-D20</f>
        <v>583.150849154873</v>
      </c>
      <c r="E21" s="13" t="n">
        <f aca="false">D21+E16-E19-E20</f>
        <v>790.626337745665</v>
      </c>
      <c r="F21" s="13" t="n">
        <f aca="false">C21+F16-F19-F20</f>
        <v>579.11867588644</v>
      </c>
      <c r="G21" s="13" t="n">
        <f aca="false">F21+G16-G19-G20</f>
        <v>696.159353621874</v>
      </c>
      <c r="H21" s="13" t="n">
        <f aca="false">C21+H16-H19-H20</f>
        <v>579.11867588644</v>
      </c>
      <c r="I21" s="13" t="n">
        <f aca="false">H21+I16-I19-I20</f>
        <v>664.048518112555</v>
      </c>
    </row>
    <row r="22" customFormat="false" ht="15" hidden="false" customHeight="false" outlineLevel="0" collapsed="false">
      <c r="A22" s="6" t="s">
        <v>600</v>
      </c>
      <c r="C22" s="13" t="n">
        <f aca="false">nc_last+(Q!H12+Q!I12)+(Q!H13+Q!I13)-capex_rem+extra_eq-C20-C19</f>
        <v>179.647155117354</v>
      </c>
      <c r="D22" s="13" t="n">
        <f aca="false">C22+D18-D19-D20</f>
        <v>330.321049154873</v>
      </c>
      <c r="E22" s="13" t="n">
        <f aca="false">D22+E18-E19-E20</f>
        <v>497.507097745665</v>
      </c>
      <c r="F22" s="13" t="n">
        <f aca="false">C22+F18-F19-F20</f>
        <v>326.28887588644</v>
      </c>
      <c r="G22" s="13" t="n">
        <f aca="false">F22+G18-G19-G20</f>
        <v>403.040113621874</v>
      </c>
      <c r="H22" s="13" t="n">
        <f aca="false">C22+H18-H19-H20</f>
        <v>326.28887588644</v>
      </c>
      <c r="I22" s="13" t="n">
        <f aca="false">H22+I18-I19-I20</f>
        <v>370.929278112556</v>
      </c>
    </row>
    <row r="23" customFormat="false" ht="15" hidden="false" customHeight="false" outlineLevel="0" collapsed="false">
      <c r="A23" s="6" t="s">
        <v>601</v>
      </c>
      <c r="C23" s="13" t="n">
        <f aca="false">sh_last+extra_sh-bb_sh_0</f>
        <v>704.7955</v>
      </c>
      <c r="D23" s="13" t="n">
        <f aca="false">C23-D20/bb_px*1000000</f>
        <v>619.204427642473</v>
      </c>
      <c r="E23" s="13" t="n">
        <f aca="false">D23-E20/bb_px*1000000</f>
        <v>524.058841716705</v>
      </c>
      <c r="F23" s="13" t="n">
        <f aca="false">C23-F20/bb_px*1000000</f>
        <v>621.544632673484</v>
      </c>
      <c r="G23" s="13" t="n">
        <f aca="false">F23-G20/bb_px*1000000</f>
        <v>578.893007625005</v>
      </c>
      <c r="H23" s="13" t="n">
        <f aca="false">C23-H20/bb_px*1000000</f>
        <v>621.544632673484</v>
      </c>
      <c r="I23" s="13" t="n">
        <f aca="false">H23-I20/bb_px*1000000</f>
        <v>597.529592366338</v>
      </c>
    </row>
    <row r="24" customFormat="false" ht="17.15" hidden="false" customHeight="false" outlineLevel="0" collapsed="false">
      <c r="A24" s="6" t="s">
        <v>602</v>
      </c>
      <c r="C24" s="16" t="n">
        <f aca="false">C21/C23*1000000</f>
        <v>557949.298934731</v>
      </c>
      <c r="D24" s="16" t="n">
        <f aca="false">D21/D23*1000000</f>
        <v>941774.352898496</v>
      </c>
      <c r="E24" s="16" t="n">
        <f aca="false">E21/E23*1000000</f>
        <v>1508659.47639723</v>
      </c>
      <c r="F24" s="16" t="n">
        <f aca="false">F21/F23*1000000</f>
        <v>931741.09378991</v>
      </c>
      <c r="G24" s="16" t="n">
        <f aca="false">G21/G23*1000000</f>
        <v>1202569.98176221</v>
      </c>
      <c r="H24" s="16" t="n">
        <f aca="false">H21/H23*1000000</f>
        <v>931741.09378991</v>
      </c>
      <c r="I24" s="16" t="n">
        <f aca="false">I21/I23*1000000</f>
        <v>1111323.23251605</v>
      </c>
    </row>
    <row r="25" customFormat="false" ht="17.15" hidden="false" customHeight="false" outlineLevel="0" collapsed="false">
      <c r="A25" s="6" t="s">
        <v>603</v>
      </c>
      <c r="C25" s="16" t="n">
        <f aca="false">C16/C23*1000000</f>
        <v>375933.380842178</v>
      </c>
      <c r="D25" s="16" t="n">
        <f aca="false">D16/D23*1000000</f>
        <v>550035.776345727</v>
      </c>
      <c r="E25" s="16" t="n">
        <f aca="false">E16/E23*1000000</f>
        <v>714922.652491223</v>
      </c>
      <c r="F25" s="16" t="n">
        <f aca="false">F16/F23*1000000</f>
        <v>534990.126304986</v>
      </c>
      <c r="G25" s="16" t="n">
        <f aca="false">G16/G23*1000000</f>
        <v>334762.923231578</v>
      </c>
      <c r="H25" s="16" t="n">
        <f aca="false">H16/H23*1000000</f>
        <v>534990.126304986</v>
      </c>
      <c r="I25" s="16" t="n">
        <f aca="false">I16/I23*1000000</f>
        <v>216843.226021837</v>
      </c>
    </row>
    <row r="26" customFormat="false" ht="17.15" hidden="false" customHeight="false" outlineLevel="0" collapsed="false">
      <c r="A26" s="0" t="s">
        <v>604</v>
      </c>
      <c r="C26" s="11" t="n">
        <f aca="false">C16/C21</f>
        <v>0.673776957081821</v>
      </c>
      <c r="D26" s="11" t="n">
        <f aca="false">D16/D21</f>
        <v>0.584041999713502</v>
      </c>
      <c r="E26" s="11" t="n">
        <f aca="false">E16/E21</f>
        <v>0.473879403322014</v>
      </c>
      <c r="F26" s="11" t="n">
        <f aca="false">F16/F21</f>
        <v>0.574183246688072</v>
      </c>
      <c r="G26" s="11" t="n">
        <f aca="false">G16/G21</f>
        <v>0.278372924909556</v>
      </c>
      <c r="H26" s="11" t="n">
        <f aca="false">H16/H21</f>
        <v>0.574183246688072</v>
      </c>
      <c r="I26" s="11" t="n">
        <f aca="false">I16/I21</f>
        <v>0.195121652888424</v>
      </c>
    </row>
    <row r="27" customFormat="false" ht="17.15" hidden="false" customHeight="false" outlineLevel="0" collapsed="false">
      <c r="A27" s="0" t="s">
        <v>605</v>
      </c>
      <c r="C27" s="10" t="n">
        <f aca="false">(Mkt!D18/4*sh26+Mkt!D18/4*sh26+Mkt!D18/4*sh26+Mkt!D18/4*sh26)</f>
        <v>1.9670014</v>
      </c>
      <c r="D27" s="10" t="n">
        <f aca="false">(Mkt!E18/4*sh27+Mkt!E18/4*sh27+Mkt!E18/4*sh27+Mkt!E18/4*sh27)</f>
        <v>2.462534445</v>
      </c>
      <c r="E27" s="10" t="n">
        <f aca="false">(Mkt!F18/4*sh28+Mkt!F18/4*sh28+Mkt!F18/4*sh28+Mkt!F18/4*sh28)</f>
        <v>3.400642805</v>
      </c>
      <c r="F27" s="10" t="n">
        <f aca="false">(Mkt!E18/4*sh27+Mkt!E18/4*sh27+Mkt!E18/4*sh27+Mkt!E18/4*sh27)</f>
        <v>2.462534445</v>
      </c>
      <c r="G27" s="10" t="n">
        <f aca="false">(Mkt!F18/4*sh28+Mkt!F18/4*sh28+Mkt!F18/4*sh28+Mkt!F18/4*sh28)</f>
        <v>3.400642805</v>
      </c>
      <c r="H27" s="10" t="n">
        <f aca="false">(Mkt!E18/4*sh27+Mkt!E18/4*sh27+Mkt!E18/4*sh27+Mkt!E18/4*sh27)</f>
        <v>2.462534445</v>
      </c>
      <c r="I27" s="10" t="n">
        <f aca="false">(Mkt!F18/4*sh28+Mkt!F18/4*sh28+Mkt!F18/4*sh28+Mkt!F18/4*sh28)</f>
        <v>3.400642805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7.15" hidden="false" customHeight="false" outlineLevel="0" collapsed="false">
      <c r="A1" s="0" t="s">
        <v>606</v>
      </c>
    </row>
    <row r="3" customFormat="false" ht="15" hidden="false" customHeight="false" outlineLevel="0" collapsed="false">
      <c r="A3" s="5" t="s">
        <v>607</v>
      </c>
      <c r="B3" s="5" t="s">
        <v>608</v>
      </c>
      <c r="C3" s="5" t="s">
        <v>20</v>
      </c>
      <c r="D3" s="5" t="s">
        <v>493</v>
      </c>
      <c r="E3" s="5" t="s">
        <v>609</v>
      </c>
      <c r="F3" s="5" t="s">
        <v>610</v>
      </c>
      <c r="G3" s="5" t="s">
        <v>611</v>
      </c>
    </row>
    <row r="4" customFormat="false" ht="17.15" hidden="false" customHeight="false" outlineLevel="0" collapsed="false">
      <c r="A4" s="0" t="s">
        <v>180</v>
      </c>
      <c r="B4" s="0" t="n">
        <f aca="false">pb_1</f>
        <v>1</v>
      </c>
      <c r="C4" s="0" t="s">
        <v>612</v>
      </c>
      <c r="D4" s="6" t="s">
        <v>613</v>
      </c>
      <c r="E4" s="16" t="n">
        <f aca="false">Y!C24</f>
        <v>557949.298934731</v>
      </c>
      <c r="F4" s="16" t="n">
        <f aca="false">B4*E4</f>
        <v>557949.298934731</v>
      </c>
      <c r="G4" s="11" t="n">
        <f aca="false">F4/px-1</f>
        <v>-0.676175682568351</v>
      </c>
    </row>
    <row r="5" customFormat="false" ht="17.15" hidden="false" customHeight="false" outlineLevel="0" collapsed="false">
      <c r="A5" s="0" t="s">
        <v>614</v>
      </c>
      <c r="B5" s="0" t="n">
        <f aca="false">pb_2</f>
        <v>1.6</v>
      </c>
      <c r="C5" s="0" t="s">
        <v>612</v>
      </c>
      <c r="D5" s="6" t="s">
        <v>613</v>
      </c>
      <c r="E5" s="16" t="n">
        <f aca="false">Y!C24</f>
        <v>557949.298934731</v>
      </c>
      <c r="F5" s="16" t="n">
        <f aca="false">B5*E5</f>
        <v>892718.87829557</v>
      </c>
      <c r="G5" s="11" t="n">
        <f aca="false">F5/px-1</f>
        <v>-0.481881092109362</v>
      </c>
    </row>
    <row r="6" customFormat="false" ht="17.15" hidden="false" customHeight="false" outlineLevel="0" collapsed="false">
      <c r="A6" s="0" t="s">
        <v>615</v>
      </c>
      <c r="B6" s="0" t="n">
        <f aca="false">pb_3</f>
        <v>3.3</v>
      </c>
      <c r="C6" s="0" t="s">
        <v>612</v>
      </c>
      <c r="D6" s="6" t="s">
        <v>613</v>
      </c>
      <c r="E6" s="16" t="n">
        <f aca="false">Y!C24</f>
        <v>557949.298934731</v>
      </c>
      <c r="F6" s="16" t="n">
        <f aca="false">B6*E6</f>
        <v>1841232.68648461</v>
      </c>
      <c r="G6" s="11" t="n">
        <f aca="false">F6/px-1</f>
        <v>0.0686202475244417</v>
      </c>
    </row>
    <row r="7" customFormat="false" ht="17.15" hidden="false" customHeight="false" outlineLevel="0" collapsed="false">
      <c r="A7" s="0" t="s">
        <v>180</v>
      </c>
      <c r="B7" s="0" t="n">
        <f aca="false">pb_1</f>
        <v>1</v>
      </c>
      <c r="C7" s="0" t="s">
        <v>616</v>
      </c>
      <c r="D7" s="0" t="s">
        <v>511</v>
      </c>
      <c r="E7" s="16" t="n">
        <f aca="false">Y!D24</f>
        <v>941774.352898496</v>
      </c>
      <c r="F7" s="16" t="n">
        <f aca="false">B7*E7</f>
        <v>941774.352898496</v>
      </c>
      <c r="G7" s="11" t="n">
        <f aca="false">F7/px-1</f>
        <v>-0.453410126002034</v>
      </c>
    </row>
    <row r="8" customFormat="false" ht="17.15" hidden="false" customHeight="false" outlineLevel="0" collapsed="false">
      <c r="A8" s="0" t="s">
        <v>614</v>
      </c>
      <c r="B8" s="0" t="n">
        <f aca="false">pb_2</f>
        <v>1.6</v>
      </c>
      <c r="C8" s="0" t="s">
        <v>616</v>
      </c>
      <c r="D8" s="0" t="s">
        <v>511</v>
      </c>
      <c r="E8" s="16" t="n">
        <f aca="false">Y!D24</f>
        <v>941774.352898496</v>
      </c>
      <c r="F8" s="16" t="n">
        <f aca="false">B8*E8</f>
        <v>1506838.96463759</v>
      </c>
      <c r="G8" s="11" t="n">
        <f aca="false">F8/px-1</f>
        <v>-0.125456201603254</v>
      </c>
    </row>
    <row r="9" customFormat="false" ht="17.15" hidden="false" customHeight="false" outlineLevel="0" collapsed="false">
      <c r="A9" s="0" t="s">
        <v>615</v>
      </c>
      <c r="B9" s="0" t="n">
        <f aca="false">pb_3</f>
        <v>3.3</v>
      </c>
      <c r="C9" s="0" t="s">
        <v>616</v>
      </c>
      <c r="D9" s="0" t="s">
        <v>511</v>
      </c>
      <c r="E9" s="16" t="n">
        <f aca="false">Y!D24</f>
        <v>941774.352898496</v>
      </c>
      <c r="F9" s="16" t="n">
        <f aca="false">B9*E9</f>
        <v>3107855.36456504</v>
      </c>
      <c r="G9" s="11" t="n">
        <f aca="false">F9/px-1</f>
        <v>0.803746584193288</v>
      </c>
    </row>
    <row r="10" customFormat="false" ht="17.15" hidden="false" customHeight="false" outlineLevel="0" collapsed="false">
      <c r="A10" s="0" t="s">
        <v>180</v>
      </c>
      <c r="B10" s="0" t="n">
        <f aca="false">pb_1</f>
        <v>1</v>
      </c>
      <c r="C10" s="0" t="s">
        <v>616</v>
      </c>
      <c r="D10" s="0" t="s">
        <v>512</v>
      </c>
      <c r="E10" s="16" t="n">
        <f aca="false">Y!F24</f>
        <v>931741.09378991</v>
      </c>
      <c r="F10" s="16" t="n">
        <f aca="false">B10*E10</f>
        <v>931741.09378991</v>
      </c>
      <c r="G10" s="11" t="n">
        <f aca="false">F10/px-1</f>
        <v>-0.459233259553157</v>
      </c>
    </row>
    <row r="11" customFormat="false" ht="17.15" hidden="false" customHeight="false" outlineLevel="0" collapsed="false">
      <c r="A11" s="0" t="s">
        <v>614</v>
      </c>
      <c r="B11" s="0" t="n">
        <f aca="false">pb_2</f>
        <v>1.6</v>
      </c>
      <c r="C11" s="0" t="s">
        <v>616</v>
      </c>
      <c r="D11" s="0" t="s">
        <v>512</v>
      </c>
      <c r="E11" s="16" t="n">
        <f aca="false">Y!F24</f>
        <v>931741.09378991</v>
      </c>
      <c r="F11" s="16" t="n">
        <f aca="false">B11*E11</f>
        <v>1490785.75006386</v>
      </c>
      <c r="G11" s="11" t="n">
        <f aca="false">F11/px-1</f>
        <v>-0.134773215285051</v>
      </c>
    </row>
    <row r="12" customFormat="false" ht="17.15" hidden="false" customHeight="false" outlineLevel="0" collapsed="false">
      <c r="A12" s="0" t="s">
        <v>615</v>
      </c>
      <c r="B12" s="0" t="n">
        <f aca="false">pb_3</f>
        <v>3.3</v>
      </c>
      <c r="C12" s="0" t="s">
        <v>616</v>
      </c>
      <c r="D12" s="0" t="s">
        <v>512</v>
      </c>
      <c r="E12" s="16" t="n">
        <f aca="false">Y!F24</f>
        <v>931741.09378991</v>
      </c>
      <c r="F12" s="16" t="n">
        <f aca="false">B12*E12</f>
        <v>3074745.6095067</v>
      </c>
      <c r="G12" s="11" t="n">
        <f aca="false">F12/px-1</f>
        <v>0.784530243474582</v>
      </c>
    </row>
    <row r="13" customFormat="false" ht="17.15" hidden="false" customHeight="false" outlineLevel="0" collapsed="false">
      <c r="A13" s="0" t="s">
        <v>180</v>
      </c>
      <c r="B13" s="0" t="n">
        <f aca="false">pb_1</f>
        <v>1</v>
      </c>
      <c r="C13" s="0" t="s">
        <v>616</v>
      </c>
      <c r="D13" s="0" t="s">
        <v>513</v>
      </c>
      <c r="E13" s="16" t="n">
        <f aca="false">Y!H24</f>
        <v>931741.09378991</v>
      </c>
      <c r="F13" s="16" t="n">
        <f aca="false">B13*E13</f>
        <v>931741.09378991</v>
      </c>
      <c r="G13" s="11" t="n">
        <f aca="false">F13/px-1</f>
        <v>-0.459233259553157</v>
      </c>
    </row>
    <row r="14" customFormat="false" ht="17.15" hidden="false" customHeight="false" outlineLevel="0" collapsed="false">
      <c r="A14" s="0" t="s">
        <v>614</v>
      </c>
      <c r="B14" s="0" t="n">
        <f aca="false">pb_2</f>
        <v>1.6</v>
      </c>
      <c r="C14" s="0" t="s">
        <v>616</v>
      </c>
      <c r="D14" s="0" t="s">
        <v>513</v>
      </c>
      <c r="E14" s="16" t="n">
        <f aca="false">Y!H24</f>
        <v>931741.09378991</v>
      </c>
      <c r="F14" s="16" t="n">
        <f aca="false">B14*E14</f>
        <v>1490785.75006386</v>
      </c>
      <c r="G14" s="11" t="n">
        <f aca="false">F14/px-1</f>
        <v>-0.134773215285051</v>
      </c>
    </row>
    <row r="15" customFormat="false" ht="17.15" hidden="false" customHeight="false" outlineLevel="0" collapsed="false">
      <c r="A15" s="0" t="s">
        <v>615</v>
      </c>
      <c r="B15" s="0" t="n">
        <f aca="false">pb_3</f>
        <v>3.3</v>
      </c>
      <c r="C15" s="0" t="s">
        <v>616</v>
      </c>
      <c r="D15" s="0" t="s">
        <v>513</v>
      </c>
      <c r="E15" s="16" t="n">
        <f aca="false">Y!H24</f>
        <v>931741.09378991</v>
      </c>
      <c r="F15" s="16" t="n">
        <f aca="false">B15*E15</f>
        <v>3074745.6095067</v>
      </c>
      <c r="G15" s="11" t="n">
        <f aca="false">F15/px-1</f>
        <v>0.784530243474582</v>
      </c>
    </row>
    <row r="16" customFormat="false" ht="17.15" hidden="false" customHeight="false" outlineLevel="0" collapsed="false">
      <c r="A16" s="0" t="s">
        <v>180</v>
      </c>
      <c r="B16" s="0" t="n">
        <f aca="false">pb_1</f>
        <v>1</v>
      </c>
      <c r="C16" s="0" t="s">
        <v>617</v>
      </c>
      <c r="D16" s="0" t="s">
        <v>511</v>
      </c>
      <c r="E16" s="16" t="n">
        <f aca="false">Y!E24</f>
        <v>1508659.47639723</v>
      </c>
      <c r="F16" s="16" t="n">
        <f aca="false">B16*E16</f>
        <v>1508659.47639723</v>
      </c>
      <c r="G16" s="11" t="n">
        <f aca="false">F16/px-1</f>
        <v>-0.124399607430509</v>
      </c>
    </row>
    <row r="17" customFormat="false" ht="17.15" hidden="false" customHeight="false" outlineLevel="0" collapsed="false">
      <c r="A17" s="0" t="s">
        <v>614</v>
      </c>
      <c r="B17" s="0" t="n">
        <f aca="false">pb_2</f>
        <v>1.6</v>
      </c>
      <c r="C17" s="0" t="s">
        <v>617</v>
      </c>
      <c r="D17" s="0" t="s">
        <v>511</v>
      </c>
      <c r="E17" s="16" t="n">
        <f aca="false">Y!E24</f>
        <v>1508659.47639723</v>
      </c>
      <c r="F17" s="16" t="n">
        <f aca="false">B17*E17</f>
        <v>2413855.16223557</v>
      </c>
      <c r="G17" s="11" t="n">
        <f aca="false">F17/px-1</f>
        <v>0.400960628111186</v>
      </c>
    </row>
    <row r="18" customFormat="false" ht="17.15" hidden="false" customHeight="false" outlineLevel="0" collapsed="false">
      <c r="A18" s="0" t="s">
        <v>615</v>
      </c>
      <c r="B18" s="0" t="n">
        <f aca="false">pb_3</f>
        <v>3.3</v>
      </c>
      <c r="C18" s="0" t="s">
        <v>617</v>
      </c>
      <c r="D18" s="0" t="s">
        <v>511</v>
      </c>
      <c r="E18" s="16" t="n">
        <f aca="false">Y!E24</f>
        <v>1508659.47639723</v>
      </c>
      <c r="F18" s="16" t="n">
        <f aca="false">B18*E18</f>
        <v>4978576.27211087</v>
      </c>
      <c r="G18" s="11" t="n">
        <f aca="false">F18/px-1</f>
        <v>1.88948129547932</v>
      </c>
    </row>
    <row r="19" customFormat="false" ht="17.15" hidden="false" customHeight="false" outlineLevel="0" collapsed="false">
      <c r="A19" s="0" t="s">
        <v>180</v>
      </c>
      <c r="B19" s="0" t="n">
        <f aca="false">pb_1</f>
        <v>1</v>
      </c>
      <c r="C19" s="0" t="s">
        <v>617</v>
      </c>
      <c r="D19" s="0" t="s">
        <v>512</v>
      </c>
      <c r="E19" s="16" t="n">
        <f aca="false">Y!G24</f>
        <v>1202569.98176221</v>
      </c>
      <c r="F19" s="16" t="n">
        <f aca="false">B19*E19</f>
        <v>1202569.98176221</v>
      </c>
      <c r="G19" s="11" t="n">
        <f aca="false">F19/px-1</f>
        <v>-0.30204876276134</v>
      </c>
    </row>
    <row r="20" customFormat="false" ht="17.15" hidden="false" customHeight="false" outlineLevel="0" collapsed="false">
      <c r="A20" s="0" t="s">
        <v>614</v>
      </c>
      <c r="B20" s="0" t="n">
        <f aca="false">pb_2</f>
        <v>1.6</v>
      </c>
      <c r="C20" s="0" t="s">
        <v>617</v>
      </c>
      <c r="D20" s="0" t="s">
        <v>512</v>
      </c>
      <c r="E20" s="16" t="n">
        <f aca="false">Y!G24</f>
        <v>1202569.98176221</v>
      </c>
      <c r="F20" s="16" t="n">
        <f aca="false">B20*E20</f>
        <v>1924111.97081954</v>
      </c>
      <c r="G20" s="11" t="n">
        <f aca="false">F20/px-1</f>
        <v>0.116721979581857</v>
      </c>
    </row>
    <row r="21" customFormat="false" ht="17.15" hidden="false" customHeight="false" outlineLevel="0" collapsed="false">
      <c r="A21" s="0" t="s">
        <v>615</v>
      </c>
      <c r="B21" s="0" t="n">
        <f aca="false">pb_3</f>
        <v>3.3</v>
      </c>
      <c r="C21" s="0" t="s">
        <v>617</v>
      </c>
      <c r="D21" s="0" t="s">
        <v>512</v>
      </c>
      <c r="E21" s="16" t="n">
        <f aca="false">Y!G24</f>
        <v>1202569.98176221</v>
      </c>
      <c r="F21" s="16" t="n">
        <f aca="false">B21*E21</f>
        <v>3968480.9398153</v>
      </c>
      <c r="G21" s="11" t="n">
        <f aca="false">F21/px-1</f>
        <v>1.30323908288758</v>
      </c>
    </row>
    <row r="22" customFormat="false" ht="17.15" hidden="false" customHeight="false" outlineLevel="0" collapsed="false">
      <c r="A22" s="0" t="s">
        <v>180</v>
      </c>
      <c r="B22" s="0" t="n">
        <f aca="false">pb_1</f>
        <v>1</v>
      </c>
      <c r="C22" s="0" t="s">
        <v>617</v>
      </c>
      <c r="D22" s="0" t="s">
        <v>513</v>
      </c>
      <c r="E22" s="16" t="n">
        <f aca="false">Y!I24</f>
        <v>1111323.23251605</v>
      </c>
      <c r="F22" s="16" t="n">
        <f aca="false">B22*E22</f>
        <v>1111323.23251605</v>
      </c>
      <c r="G22" s="11" t="n">
        <f aca="false">F22/px-1</f>
        <v>-0.35500682964826</v>
      </c>
    </row>
    <row r="23" customFormat="false" ht="17.15" hidden="false" customHeight="false" outlineLevel="0" collapsed="false">
      <c r="A23" s="0" t="s">
        <v>614</v>
      </c>
      <c r="B23" s="0" t="n">
        <f aca="false">pb_2</f>
        <v>1.6</v>
      </c>
      <c r="C23" s="0" t="s">
        <v>617</v>
      </c>
      <c r="D23" s="0" t="s">
        <v>513</v>
      </c>
      <c r="E23" s="16" t="n">
        <f aca="false">Y!I24</f>
        <v>1111323.23251605</v>
      </c>
      <c r="F23" s="16" t="n">
        <f aca="false">B23*E23</f>
        <v>1778117.17202568</v>
      </c>
      <c r="G23" s="11" t="n">
        <f aca="false">F23/px-1</f>
        <v>0.0319890725627834</v>
      </c>
    </row>
    <row r="24" customFormat="false" ht="17.15" hidden="false" customHeight="false" outlineLevel="0" collapsed="false">
      <c r="A24" s="0" t="s">
        <v>615</v>
      </c>
      <c r="B24" s="0" t="n">
        <f aca="false">pb_3</f>
        <v>3.3</v>
      </c>
      <c r="C24" s="0" t="s">
        <v>617</v>
      </c>
      <c r="D24" s="0" t="s">
        <v>513</v>
      </c>
      <c r="E24" s="16" t="n">
        <f aca="false">Y!I24</f>
        <v>1111323.23251605</v>
      </c>
      <c r="F24" s="16" t="n">
        <f aca="false">B24*E24</f>
        <v>3667366.66730296</v>
      </c>
      <c r="G24" s="11" t="n">
        <f aca="false">F24/px-1</f>
        <v>1.12847746216074</v>
      </c>
    </row>
    <row r="25" customFormat="false" ht="15" hidden="false" customHeight="false" outlineLevel="0" collapsed="false">
      <c r="A25" s="0" t="s">
        <v>190</v>
      </c>
      <c r="B25" s="0" t="n">
        <f aca="false">pe_1</f>
        <v>4</v>
      </c>
      <c r="C25" s="0" t="s">
        <v>618</v>
      </c>
      <c r="D25" s="0" t="s">
        <v>511</v>
      </c>
      <c r="E25" s="16" t="n">
        <f aca="false">Y!D25</f>
        <v>550035.776345727</v>
      </c>
      <c r="F25" s="16" t="n">
        <f aca="false">B25*E25</f>
        <v>2200143.10538291</v>
      </c>
      <c r="G25" s="11" t="n">
        <f aca="false">F25/px-1</f>
        <v>0.276925772131694</v>
      </c>
    </row>
    <row r="26" customFormat="false" ht="15" hidden="false" customHeight="false" outlineLevel="0" collapsed="false">
      <c r="A26" s="0" t="s">
        <v>193</v>
      </c>
      <c r="B26" s="0" t="n">
        <f aca="false">pe_2</f>
        <v>8</v>
      </c>
      <c r="C26" s="0" t="s">
        <v>618</v>
      </c>
      <c r="D26" s="0" t="s">
        <v>511</v>
      </c>
      <c r="E26" s="16" t="n">
        <f aca="false">Y!D25</f>
        <v>550035.776345727</v>
      </c>
      <c r="F26" s="16" t="n">
        <f aca="false">B26*E26</f>
        <v>4400286.21076582</v>
      </c>
      <c r="G26" s="11" t="n">
        <f aca="false">F26/px-1</f>
        <v>1.55385154426339</v>
      </c>
    </row>
    <row r="27" customFormat="false" ht="15" hidden="false" customHeight="false" outlineLevel="0" collapsed="false">
      <c r="A27" s="0" t="s">
        <v>195</v>
      </c>
      <c r="B27" s="0" t="n">
        <f aca="false">pe_3</f>
        <v>12</v>
      </c>
      <c r="C27" s="0" t="s">
        <v>618</v>
      </c>
      <c r="D27" s="0" t="s">
        <v>511</v>
      </c>
      <c r="E27" s="16" t="n">
        <f aca="false">Y!D25</f>
        <v>550035.776345727</v>
      </c>
      <c r="F27" s="16" t="n">
        <f aca="false">B27*E27</f>
        <v>6600429.31614872</v>
      </c>
      <c r="G27" s="11" t="n">
        <f aca="false">F27/px-1</f>
        <v>2.83077731639508</v>
      </c>
    </row>
    <row r="28" customFormat="false" ht="15" hidden="false" customHeight="false" outlineLevel="0" collapsed="false">
      <c r="A28" s="0" t="s">
        <v>190</v>
      </c>
      <c r="B28" s="0" t="n">
        <f aca="false">pe_1</f>
        <v>4</v>
      </c>
      <c r="C28" s="0" t="s">
        <v>618</v>
      </c>
      <c r="D28" s="0" t="s">
        <v>512</v>
      </c>
      <c r="E28" s="16" t="n">
        <f aca="false">Y!F25</f>
        <v>534990.126304986</v>
      </c>
      <c r="F28" s="16" t="n">
        <f aca="false">B28*E28</f>
        <v>2139960.50521994</v>
      </c>
      <c r="G28" s="11" t="n">
        <f aca="false">F28/px-1</f>
        <v>0.241996810922777</v>
      </c>
    </row>
    <row r="29" customFormat="false" ht="15" hidden="false" customHeight="false" outlineLevel="0" collapsed="false">
      <c r="A29" s="0" t="s">
        <v>193</v>
      </c>
      <c r="B29" s="0" t="n">
        <f aca="false">pe_2</f>
        <v>8</v>
      </c>
      <c r="C29" s="0" t="s">
        <v>618</v>
      </c>
      <c r="D29" s="0" t="s">
        <v>512</v>
      </c>
      <c r="E29" s="16" t="n">
        <f aca="false">Y!F25</f>
        <v>534990.126304986</v>
      </c>
      <c r="F29" s="16" t="n">
        <f aca="false">B29*E29</f>
        <v>4279921.01043989</v>
      </c>
      <c r="G29" s="11" t="n">
        <f aca="false">F29/px-1</f>
        <v>1.48399362184555</v>
      </c>
    </row>
    <row r="30" customFormat="false" ht="15" hidden="false" customHeight="false" outlineLevel="0" collapsed="false">
      <c r="A30" s="0" t="s">
        <v>195</v>
      </c>
      <c r="B30" s="0" t="n">
        <f aca="false">pe_3</f>
        <v>12</v>
      </c>
      <c r="C30" s="0" t="s">
        <v>618</v>
      </c>
      <c r="D30" s="0" t="s">
        <v>512</v>
      </c>
      <c r="E30" s="16" t="n">
        <f aca="false">Y!F25</f>
        <v>534990.126304986</v>
      </c>
      <c r="F30" s="16" t="n">
        <f aca="false">B30*E30</f>
        <v>6419881.51565983</v>
      </c>
      <c r="G30" s="11" t="n">
        <f aca="false">F30/px-1</f>
        <v>2.72599043276833</v>
      </c>
    </row>
    <row r="31" customFormat="false" ht="15" hidden="false" customHeight="false" outlineLevel="0" collapsed="false">
      <c r="A31" s="0" t="s">
        <v>190</v>
      </c>
      <c r="B31" s="0" t="n">
        <f aca="false">pe_1</f>
        <v>4</v>
      </c>
      <c r="C31" s="0" t="s">
        <v>618</v>
      </c>
      <c r="D31" s="0" t="s">
        <v>513</v>
      </c>
      <c r="E31" s="16" t="n">
        <f aca="false">Y!H25</f>
        <v>534990.126304986</v>
      </c>
      <c r="F31" s="16" t="n">
        <f aca="false">B31*E31</f>
        <v>2139960.50521994</v>
      </c>
      <c r="G31" s="11" t="n">
        <f aca="false">F31/px-1</f>
        <v>0.241996810922777</v>
      </c>
    </row>
    <row r="32" customFormat="false" ht="15" hidden="false" customHeight="false" outlineLevel="0" collapsed="false">
      <c r="A32" s="0" t="s">
        <v>193</v>
      </c>
      <c r="B32" s="0" t="n">
        <f aca="false">pe_2</f>
        <v>8</v>
      </c>
      <c r="C32" s="0" t="s">
        <v>618</v>
      </c>
      <c r="D32" s="0" t="s">
        <v>513</v>
      </c>
      <c r="E32" s="16" t="n">
        <f aca="false">Y!H25</f>
        <v>534990.126304986</v>
      </c>
      <c r="F32" s="16" t="n">
        <f aca="false">B32*E32</f>
        <v>4279921.01043989</v>
      </c>
      <c r="G32" s="11" t="n">
        <f aca="false">F32/px-1</f>
        <v>1.48399362184555</v>
      </c>
    </row>
    <row r="33" customFormat="false" ht="15" hidden="false" customHeight="false" outlineLevel="0" collapsed="false">
      <c r="A33" s="0" t="s">
        <v>195</v>
      </c>
      <c r="B33" s="0" t="n">
        <f aca="false">pe_3</f>
        <v>12</v>
      </c>
      <c r="C33" s="0" t="s">
        <v>618</v>
      </c>
      <c r="D33" s="0" t="s">
        <v>513</v>
      </c>
      <c r="E33" s="16" t="n">
        <f aca="false">Y!H25</f>
        <v>534990.126304986</v>
      </c>
      <c r="F33" s="16" t="n">
        <f aca="false">B33*E33</f>
        <v>6419881.51565983</v>
      </c>
      <c r="G33" s="11" t="n">
        <f aca="false">F33/px-1</f>
        <v>2.72599043276833</v>
      </c>
    </row>
    <row r="34" customFormat="false" ht="15" hidden="false" customHeight="false" outlineLevel="0" collapsed="false">
      <c r="A34" s="0" t="s">
        <v>190</v>
      </c>
      <c r="B34" s="0" t="n">
        <f aca="false">pe_1</f>
        <v>4</v>
      </c>
      <c r="C34" s="0" t="s">
        <v>619</v>
      </c>
      <c r="D34" s="0" t="s">
        <v>511</v>
      </c>
      <c r="E34" s="16" t="n">
        <f aca="false">Y!E25</f>
        <v>714922.652491223</v>
      </c>
      <c r="F34" s="16" t="n">
        <f aca="false">B34*E34</f>
        <v>2859690.60996489</v>
      </c>
      <c r="G34" s="11" t="n">
        <f aca="false">F34/px-1</f>
        <v>0.659715966317406</v>
      </c>
    </row>
    <row r="35" customFormat="false" ht="15" hidden="false" customHeight="false" outlineLevel="0" collapsed="false">
      <c r="A35" s="0" t="s">
        <v>193</v>
      </c>
      <c r="B35" s="0" t="n">
        <f aca="false">pe_2</f>
        <v>8</v>
      </c>
      <c r="C35" s="0" t="s">
        <v>619</v>
      </c>
      <c r="D35" s="0" t="s">
        <v>511</v>
      </c>
      <c r="E35" s="16" t="n">
        <f aca="false">Y!E25</f>
        <v>714922.652491223</v>
      </c>
      <c r="F35" s="16" t="n">
        <f aca="false">B35*E35</f>
        <v>5719381.21992978</v>
      </c>
      <c r="G35" s="11" t="n">
        <f aca="false">F35/px-1</f>
        <v>2.31943193263481</v>
      </c>
    </row>
    <row r="36" customFormat="false" ht="15" hidden="false" customHeight="false" outlineLevel="0" collapsed="false">
      <c r="A36" s="0" t="s">
        <v>195</v>
      </c>
      <c r="B36" s="0" t="n">
        <f aca="false">pe_3</f>
        <v>12</v>
      </c>
      <c r="C36" s="0" t="s">
        <v>619</v>
      </c>
      <c r="D36" s="0" t="s">
        <v>511</v>
      </c>
      <c r="E36" s="16" t="n">
        <f aca="false">Y!E25</f>
        <v>714922.652491223</v>
      </c>
      <c r="F36" s="16" t="n">
        <f aca="false">B36*E36</f>
        <v>8579071.82989467</v>
      </c>
      <c r="G36" s="11" t="n">
        <f aca="false">F36/px-1</f>
        <v>3.97914789895222</v>
      </c>
    </row>
    <row r="37" customFormat="false" ht="15" hidden="false" customHeight="false" outlineLevel="0" collapsed="false">
      <c r="A37" s="0" t="s">
        <v>190</v>
      </c>
      <c r="B37" s="0" t="n">
        <f aca="false">pe_1</f>
        <v>4</v>
      </c>
      <c r="C37" s="0" t="s">
        <v>619</v>
      </c>
      <c r="D37" s="0" t="s">
        <v>512</v>
      </c>
      <c r="E37" s="16" t="n">
        <f aca="false">Y!G25</f>
        <v>334762.923231578</v>
      </c>
      <c r="F37" s="16" t="n">
        <f aca="false">B37*E37</f>
        <v>1339051.69292631</v>
      </c>
      <c r="G37" s="11" t="n">
        <f aca="false">F37/px-1</f>
        <v>-0.222837090582523</v>
      </c>
    </row>
    <row r="38" customFormat="false" ht="15" hidden="false" customHeight="false" outlineLevel="0" collapsed="false">
      <c r="A38" s="0" t="s">
        <v>193</v>
      </c>
      <c r="B38" s="0" t="n">
        <f aca="false">pe_2</f>
        <v>8</v>
      </c>
      <c r="C38" s="0" t="s">
        <v>619</v>
      </c>
      <c r="D38" s="0" t="s">
        <v>512</v>
      </c>
      <c r="E38" s="16" t="n">
        <f aca="false">Y!G25</f>
        <v>334762.923231578</v>
      </c>
      <c r="F38" s="16" t="n">
        <f aca="false">B38*E38</f>
        <v>2678103.38585262</v>
      </c>
      <c r="G38" s="11" t="n">
        <f aca="false">F38/px-1</f>
        <v>0.554325818834953</v>
      </c>
    </row>
    <row r="39" customFormat="false" ht="15" hidden="false" customHeight="false" outlineLevel="0" collapsed="false">
      <c r="A39" s="0" t="s">
        <v>195</v>
      </c>
      <c r="B39" s="0" t="n">
        <f aca="false">pe_3</f>
        <v>12</v>
      </c>
      <c r="C39" s="0" t="s">
        <v>619</v>
      </c>
      <c r="D39" s="0" t="s">
        <v>512</v>
      </c>
      <c r="E39" s="16" t="n">
        <f aca="false">Y!G25</f>
        <v>334762.923231578</v>
      </c>
      <c r="F39" s="16" t="n">
        <f aca="false">B39*E39</f>
        <v>4017155.07877894</v>
      </c>
      <c r="G39" s="11" t="n">
        <f aca="false">F39/px-1</f>
        <v>1.33148872825243</v>
      </c>
    </row>
    <row r="40" customFormat="false" ht="15" hidden="false" customHeight="false" outlineLevel="0" collapsed="false">
      <c r="A40" s="0" t="s">
        <v>190</v>
      </c>
      <c r="B40" s="0" t="n">
        <f aca="false">pe_1</f>
        <v>4</v>
      </c>
      <c r="C40" s="0" t="s">
        <v>619</v>
      </c>
      <c r="D40" s="0" t="s">
        <v>513</v>
      </c>
      <c r="E40" s="16" t="n">
        <f aca="false">Y!I25</f>
        <v>216843.226021837</v>
      </c>
      <c r="F40" s="16" t="n">
        <f aca="false">B40*E40</f>
        <v>867372.90408735</v>
      </c>
      <c r="G40" s="11" t="n">
        <f aca="false">F40/px-1</f>
        <v>-0.496591465996895</v>
      </c>
    </row>
    <row r="41" customFormat="false" ht="15" hidden="false" customHeight="false" outlineLevel="0" collapsed="false">
      <c r="A41" s="0" t="s">
        <v>193</v>
      </c>
      <c r="B41" s="0" t="n">
        <f aca="false">pe_2</f>
        <v>8</v>
      </c>
      <c r="C41" s="0" t="s">
        <v>619</v>
      </c>
      <c r="D41" s="0" t="s">
        <v>513</v>
      </c>
      <c r="E41" s="16" t="n">
        <f aca="false">Y!I25</f>
        <v>216843.226021837</v>
      </c>
      <c r="F41" s="16" t="n">
        <f aca="false">B41*E41</f>
        <v>1734745.8081747</v>
      </c>
      <c r="G41" s="11" t="n">
        <f aca="false">F41/px-1</f>
        <v>0.00681706800620985</v>
      </c>
    </row>
    <row r="42" customFormat="false" ht="15" hidden="false" customHeight="false" outlineLevel="0" collapsed="false">
      <c r="A42" s="0" t="s">
        <v>195</v>
      </c>
      <c r="B42" s="0" t="n">
        <f aca="false">pe_3</f>
        <v>12</v>
      </c>
      <c r="C42" s="0" t="s">
        <v>619</v>
      </c>
      <c r="D42" s="0" t="s">
        <v>513</v>
      </c>
      <c r="E42" s="16" t="n">
        <f aca="false">Y!I25</f>
        <v>216843.226021837</v>
      </c>
      <c r="F42" s="16" t="n">
        <f aca="false">B42*E42</f>
        <v>2602118.71226205</v>
      </c>
      <c r="G42" s="11" t="n">
        <f aca="false">F42/px-1</f>
        <v>0.510225602009315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</cols>
  <sheetData>
    <row r="1" customFormat="false" ht="17.15" hidden="false" customHeight="false" outlineLevel="0" collapsed="false">
      <c r="A1" s="0" t="s">
        <v>620</v>
      </c>
    </row>
    <row r="3" customFormat="false" ht="17.15" hidden="false" customHeight="false" outlineLevel="0" collapsed="false">
      <c r="A3" s="5" t="s">
        <v>621</v>
      </c>
      <c r="B3" s="5" t="s">
        <v>622</v>
      </c>
      <c r="C3" s="9" t="s">
        <v>623</v>
      </c>
      <c r="D3" s="5" t="s">
        <v>570</v>
      </c>
      <c r="E3" s="5" t="s">
        <v>624</v>
      </c>
    </row>
    <row r="4" customFormat="false" ht="15" hidden="false" customHeight="false" outlineLevel="0" collapsed="false">
      <c r="A4" s="1" t="s">
        <v>580</v>
      </c>
      <c r="B4" s="6" t="s">
        <v>20</v>
      </c>
      <c r="D4" s="13" t="n">
        <f aca="false">Y!D14</f>
        <v>438.724703748353</v>
      </c>
    </row>
    <row r="5" customFormat="false" ht="17.15" hidden="false" customHeight="false" outlineLevel="0" collapsed="false">
      <c r="A5" s="0" t="s">
        <v>580</v>
      </c>
      <c r="B5" s="6" t="s">
        <v>625</v>
      </c>
      <c r="C5" s="13" t="n">
        <f aca="false">-0.2*Y!D5</f>
        <v>-60.0295539800212</v>
      </c>
      <c r="D5" s="13" t="n">
        <f aca="false">D4+C5*(1-opex_var)</f>
        <v>381.516538805393</v>
      </c>
      <c r="E5" s="11" t="n">
        <f aca="false">D5/D4-1</f>
        <v>-0.130396497972848</v>
      </c>
    </row>
    <row r="6" customFormat="false" ht="17.15" hidden="false" customHeight="false" outlineLevel="0" collapsed="false">
      <c r="A6" s="0" t="s">
        <v>580</v>
      </c>
      <c r="B6" s="6" t="s">
        <v>626</v>
      </c>
      <c r="C6" s="13" t="n">
        <f aca="false">0.2*Y!D5</f>
        <v>60.0295539800212</v>
      </c>
      <c r="D6" s="13" t="n">
        <f aca="false">D4+C6*(1-opex_var)</f>
        <v>495.932868691313</v>
      </c>
      <c r="E6" s="11" t="n">
        <f aca="false">D6/D4-1</f>
        <v>0.130396497972848</v>
      </c>
    </row>
    <row r="7" customFormat="false" ht="17.15" hidden="false" customHeight="false" outlineLevel="0" collapsed="false">
      <c r="A7" s="0" t="s">
        <v>580</v>
      </c>
      <c r="B7" s="0" t="s">
        <v>627</v>
      </c>
      <c r="C7" s="13" t="n">
        <f aca="false">-0.3*Y!D6</f>
        <v>-27.5687626214196</v>
      </c>
      <c r="D7" s="13" t="n">
        <f aca="false">D4+C7*(1-opex_var)</f>
        <v>412.45167297014</v>
      </c>
      <c r="E7" s="11" t="n">
        <f aca="false">D7/D4-1</f>
        <v>-0.0598850043176115</v>
      </c>
    </row>
    <row r="8" customFormat="false" ht="17.15" hidden="false" customHeight="false" outlineLevel="0" collapsed="false">
      <c r="A8" s="0" t="s">
        <v>580</v>
      </c>
      <c r="B8" s="0" t="s">
        <v>628</v>
      </c>
      <c r="C8" s="13" t="n">
        <f aca="false">0.3*Y!D6</f>
        <v>27.5687626214196</v>
      </c>
      <c r="D8" s="13" t="n">
        <f aca="false">D4+C8*(1-opex_var)</f>
        <v>464.997734526566</v>
      </c>
      <c r="E8" s="11" t="n">
        <f aca="false">D8/D4-1</f>
        <v>0.0598850043176113</v>
      </c>
    </row>
    <row r="9" customFormat="false" ht="17.15" hidden="false" customHeight="false" outlineLevel="0" collapsed="false">
      <c r="A9" s="0" t="s">
        <v>580</v>
      </c>
      <c r="B9" s="0" t="s">
        <v>629</v>
      </c>
      <c r="C9" s="13" t="n">
        <f aca="false">-0.3*Y!D7</f>
        <v>-41.3604387005659</v>
      </c>
      <c r="D9" s="13" t="n">
        <f aca="false">D4+C9*(1-opex_var)</f>
        <v>399.308205666714</v>
      </c>
      <c r="E9" s="11" t="n">
        <f aca="false">D9/D4-1</f>
        <v>-0.08984335220897</v>
      </c>
    </row>
    <row r="10" customFormat="false" ht="17.15" hidden="false" customHeight="false" outlineLevel="0" collapsed="false">
      <c r="A10" s="0" t="s">
        <v>580</v>
      </c>
      <c r="B10" s="0" t="s">
        <v>630</v>
      </c>
      <c r="C10" s="13" t="n">
        <f aca="false">0.3*Y!D7</f>
        <v>41.3604387005659</v>
      </c>
      <c r="D10" s="13" t="n">
        <f aca="false">D4+C10*(1-opex_var)</f>
        <v>478.141201829992</v>
      </c>
      <c r="E10" s="11" t="n">
        <f aca="false">D10/D4-1</f>
        <v>0.0898433522089701</v>
      </c>
    </row>
    <row r="12" customFormat="false" ht="15" hidden="false" customHeight="false" outlineLevel="0" collapsed="false">
      <c r="A12" s="1" t="s">
        <v>583</v>
      </c>
      <c r="B12" s="6" t="s">
        <v>20</v>
      </c>
      <c r="D12" s="13" t="n">
        <f aca="false">Y!G14</f>
        <v>245.152034782098</v>
      </c>
    </row>
    <row r="13" customFormat="false" ht="17.15" hidden="false" customHeight="false" outlineLevel="0" collapsed="false">
      <c r="A13" s="0" t="s">
        <v>583</v>
      </c>
      <c r="B13" s="6" t="s">
        <v>625</v>
      </c>
      <c r="C13" s="13" t="n">
        <f aca="false">-0.2*Y!G5</f>
        <v>-35.7930186237955</v>
      </c>
      <c r="D13" s="13" t="n">
        <f aca="false">D12+C13*(1-opex_var)</f>
        <v>211.041288033621</v>
      </c>
      <c r="E13" s="11" t="n">
        <f aca="false">D13/D12-1</f>
        <v>-0.13914119366293</v>
      </c>
    </row>
    <row r="14" customFormat="false" ht="17.15" hidden="false" customHeight="false" outlineLevel="0" collapsed="false">
      <c r="A14" s="0" t="s">
        <v>583</v>
      </c>
      <c r="B14" s="6" t="s">
        <v>626</v>
      </c>
      <c r="C14" s="13" t="n">
        <f aca="false">0.2*Y!G5</f>
        <v>35.7930186237955</v>
      </c>
      <c r="D14" s="13" t="n">
        <f aca="false">D12+C14*(1-opex_var)</f>
        <v>279.262781530575</v>
      </c>
      <c r="E14" s="11" t="n">
        <f aca="false">D14/D12-1</f>
        <v>0.139141193662929</v>
      </c>
    </row>
    <row r="15" customFormat="false" ht="17.15" hidden="false" customHeight="false" outlineLevel="0" collapsed="false">
      <c r="A15" s="0" t="s">
        <v>583</v>
      </c>
      <c r="B15" s="0" t="s">
        <v>627</v>
      </c>
      <c r="C15" s="13" t="n">
        <f aca="false">-0.3*Y!G6</f>
        <v>-28.5533612864703</v>
      </c>
      <c r="D15" s="13" t="n">
        <f aca="false">D12+C15*(1-opex_var)</f>
        <v>217.940681476092</v>
      </c>
      <c r="E15" s="11" t="n">
        <f aca="false">D15/D12-1</f>
        <v>-0.110997868445974</v>
      </c>
    </row>
    <row r="16" customFormat="false" ht="17.15" hidden="false" customHeight="false" outlineLevel="0" collapsed="false">
      <c r="A16" s="0" t="s">
        <v>583</v>
      </c>
      <c r="B16" s="0" t="s">
        <v>628</v>
      </c>
      <c r="C16" s="13" t="n">
        <f aca="false">0.3*Y!G6</f>
        <v>28.5533612864703</v>
      </c>
      <c r="D16" s="13" t="n">
        <f aca="false">D12+C16*(1-opex_var)</f>
        <v>272.363388088104</v>
      </c>
      <c r="E16" s="11" t="n">
        <f aca="false">D16/D12-1</f>
        <v>0.110997868445974</v>
      </c>
    </row>
    <row r="17" customFormat="false" ht="17.15" hidden="false" customHeight="false" outlineLevel="0" collapsed="false">
      <c r="A17" s="0" t="s">
        <v>583</v>
      </c>
      <c r="B17" s="0" t="s">
        <v>629</v>
      </c>
      <c r="C17" s="13" t="n">
        <f aca="false">-0.3*Y!G7</f>
        <v>-19.6088236319869</v>
      </c>
      <c r="D17" s="13" t="n">
        <f aca="false">D12+C17*(1-opex_var)</f>
        <v>226.464825860815</v>
      </c>
      <c r="E17" s="11" t="n">
        <f aca="false">D17/D12-1</f>
        <v>-0.0762270194407871</v>
      </c>
    </row>
    <row r="18" customFormat="false" ht="17.15" hidden="false" customHeight="false" outlineLevel="0" collapsed="false">
      <c r="A18" s="0" t="s">
        <v>583</v>
      </c>
      <c r="B18" s="0" t="s">
        <v>630</v>
      </c>
      <c r="C18" s="13" t="n">
        <f aca="false">0.3*Y!G7</f>
        <v>19.6088236319869</v>
      </c>
      <c r="D18" s="13" t="n">
        <f aca="false">D12+C18*(1-opex_var)</f>
        <v>263.839243703382</v>
      </c>
      <c r="E18" s="11" t="n">
        <f aca="false">D18/D12-1</f>
        <v>0.076227019440787</v>
      </c>
    </row>
    <row r="20" customFormat="false" ht="15" hidden="false" customHeight="false" outlineLevel="0" collapsed="false">
      <c r="A20" s="1" t="s">
        <v>585</v>
      </c>
      <c r="B20" s="6" t="s">
        <v>20</v>
      </c>
      <c r="D20" s="13" t="n">
        <f aca="false">Y!I14</f>
        <v>161.747267225427</v>
      </c>
    </row>
    <row r="21" customFormat="false" ht="17.15" hidden="false" customHeight="false" outlineLevel="0" collapsed="false">
      <c r="A21" s="0" t="s">
        <v>585</v>
      </c>
      <c r="B21" s="6" t="s">
        <v>625</v>
      </c>
      <c r="C21" s="13" t="n">
        <f aca="false">-0.2*Y!I5</f>
        <v>-24.5528629286893</v>
      </c>
      <c r="D21" s="13" t="n">
        <f aca="false">D20+C21*(1-opex_var)</f>
        <v>138.348388854387</v>
      </c>
      <c r="E21" s="11" t="n">
        <f aca="false">D21/D20-1</f>
        <v>-0.144663206819005</v>
      </c>
    </row>
    <row r="22" customFormat="false" ht="17.15" hidden="false" customHeight="false" outlineLevel="0" collapsed="false">
      <c r="A22" s="0" t="s">
        <v>585</v>
      </c>
      <c r="B22" s="6" t="s">
        <v>626</v>
      </c>
      <c r="C22" s="13" t="n">
        <f aca="false">0.2*Y!I5</f>
        <v>24.5528629286893</v>
      </c>
      <c r="D22" s="13" t="n">
        <f aca="false">D20+C22*(1-opex_var)</f>
        <v>185.146145596468</v>
      </c>
      <c r="E22" s="11" t="n">
        <f aca="false">D22/D20-1</f>
        <v>0.144663206819005</v>
      </c>
    </row>
    <row r="23" customFormat="false" ht="17.15" hidden="false" customHeight="false" outlineLevel="0" collapsed="false">
      <c r="A23" s="0" t="s">
        <v>585</v>
      </c>
      <c r="B23" s="0" t="s">
        <v>627</v>
      </c>
      <c r="C23" s="13" t="n">
        <f aca="false">-0.3*Y!I6</f>
        <v>-22.8426890291762</v>
      </c>
      <c r="D23" s="13" t="n">
        <f aca="false">D20+C23*(1-opex_var)</f>
        <v>139.978184580623</v>
      </c>
      <c r="E23" s="11" t="n">
        <f aca="false">D23/D20-1</f>
        <v>-0.134587019726679</v>
      </c>
    </row>
    <row r="24" customFormat="false" ht="17.15" hidden="false" customHeight="false" outlineLevel="0" collapsed="false">
      <c r="A24" s="0" t="s">
        <v>585</v>
      </c>
      <c r="B24" s="0" t="s">
        <v>628</v>
      </c>
      <c r="C24" s="13" t="n">
        <f aca="false">0.3*Y!I6</f>
        <v>22.8426890291762</v>
      </c>
      <c r="D24" s="13" t="n">
        <f aca="false">D20+C24*(1-opex_var)</f>
        <v>183.516349870232</v>
      </c>
      <c r="E24" s="11" t="n">
        <f aca="false">D24/D20-1</f>
        <v>0.134587019726679</v>
      </c>
    </row>
    <row r="25" customFormat="false" ht="17.15" hidden="false" customHeight="false" outlineLevel="0" collapsed="false">
      <c r="A25" s="0" t="s">
        <v>585</v>
      </c>
      <c r="B25" s="0" t="s">
        <v>629</v>
      </c>
      <c r="C25" s="13" t="n">
        <f aca="false">-0.3*Y!I7</f>
        <v>-15.9242936848248</v>
      </c>
      <c r="D25" s="13" t="n">
        <f aca="false">D20+C25*(1-opex_var)</f>
        <v>146.571415343789</v>
      </c>
      <c r="E25" s="11" t="n">
        <f aca="false">D25/D20-1</f>
        <v>-0.0938244716090776</v>
      </c>
    </row>
    <row r="26" customFormat="false" ht="17.15" hidden="false" customHeight="false" outlineLevel="0" collapsed="false">
      <c r="A26" s="0" t="s">
        <v>585</v>
      </c>
      <c r="B26" s="0" t="s">
        <v>630</v>
      </c>
      <c r="C26" s="13" t="n">
        <f aca="false">0.3*Y!I7</f>
        <v>15.9242936848248</v>
      </c>
      <c r="D26" s="13" t="n">
        <f aca="false">D20+C26*(1-opex_var)</f>
        <v>176.923119107065</v>
      </c>
      <c r="E26" s="11" t="n">
        <f aca="false">D26/D20-1</f>
        <v>0.0938244716090777</v>
      </c>
    </row>
    <row r="28" customFormat="false" ht="17.15" hidden="false" customHeight="false" outlineLevel="0" collapsed="false">
      <c r="A28" s="6" t="s">
        <v>631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5" style="0" width="50"/>
  </cols>
  <sheetData>
    <row r="1" customFormat="false" ht="17.15" hidden="false" customHeight="false" outlineLevel="0" collapsed="false">
      <c r="A1" s="0" t="s">
        <v>632</v>
      </c>
    </row>
    <row r="3" customFormat="false" ht="15" hidden="false" customHeight="false" outlineLevel="0" collapsed="false">
      <c r="A3" s="5" t="s">
        <v>17</v>
      </c>
      <c r="B3" s="5" t="s">
        <v>633</v>
      </c>
      <c r="C3" s="5" t="s">
        <v>634</v>
      </c>
      <c r="D3" s="5" t="s">
        <v>635</v>
      </c>
      <c r="E3" s="5" t="s">
        <v>636</v>
      </c>
    </row>
    <row r="4" customFormat="false" ht="17.15" hidden="false" customHeight="false" outlineLevel="0" collapsed="false">
      <c r="A4" s="0" t="s">
        <v>637</v>
      </c>
      <c r="B4" s="13" t="n">
        <f aca="false">Y!C4</f>
        <v>341.319230479856</v>
      </c>
      <c r="C4" s="7" t="n">
        <v>344.2</v>
      </c>
      <c r="D4" s="11" t="n">
        <f aca="false">B4/C4-1</f>
        <v>-0.00836946403295669</v>
      </c>
      <c r="E4" s="8" t="s">
        <v>638</v>
      </c>
    </row>
    <row r="5" customFormat="false" ht="17.15" hidden="false" customHeight="false" outlineLevel="0" collapsed="false">
      <c r="A5" s="0" t="s">
        <v>639</v>
      </c>
      <c r="B5" s="13" t="n">
        <f aca="false">Y!C14</f>
        <v>265.876578074485</v>
      </c>
      <c r="C5" s="7" t="n">
        <v>266.1</v>
      </c>
      <c r="D5" s="11" t="n">
        <f aca="false">B5/C5-1</f>
        <v>-0.000839616405542865</v>
      </c>
      <c r="E5" s="8" t="s">
        <v>640</v>
      </c>
    </row>
    <row r="6" customFormat="false" ht="17.15" hidden="false" customHeight="false" outlineLevel="0" collapsed="false">
      <c r="A6" s="0" t="s">
        <v>641</v>
      </c>
      <c r="B6" s="13" t="n">
        <f aca="false">Y!C16</f>
        <v>264.956155117354</v>
      </c>
      <c r="C6" s="7" t="n">
        <v>256.3</v>
      </c>
      <c r="D6" s="11" t="n">
        <f aca="false">B6/C6-1</f>
        <v>0.0337735275745357</v>
      </c>
      <c r="E6" s="8" t="s">
        <v>642</v>
      </c>
    </row>
    <row r="7" customFormat="false" ht="17.15" hidden="false" customHeight="false" outlineLevel="0" collapsed="false">
      <c r="A7" s="0" t="s">
        <v>643</v>
      </c>
      <c r="B7" s="13" t="n">
        <f aca="false">Y!C6</f>
        <v>40.7798730248</v>
      </c>
      <c r="C7" s="7" t="n">
        <v>45.7</v>
      </c>
      <c r="D7" s="11" t="n">
        <f aca="false">B7/C7-1</f>
        <v>-0.107661421776805</v>
      </c>
      <c r="E7" s="8" t="s">
        <v>644</v>
      </c>
    </row>
    <row r="8" customFormat="false" ht="17.15" hidden="false" customHeight="false" outlineLevel="0" collapsed="false">
      <c r="A8" s="0" t="s">
        <v>645</v>
      </c>
      <c r="B8" s="13" t="n">
        <f aca="false">Y!D4</f>
        <v>531.511774306725</v>
      </c>
      <c r="C8" s="7" t="n">
        <v>531.3</v>
      </c>
      <c r="D8" s="11" t="n">
        <f aca="false">B8/C8-1</f>
        <v>0.000398596474166402</v>
      </c>
      <c r="E8" s="8" t="s">
        <v>642</v>
      </c>
    </row>
    <row r="9" customFormat="false" ht="17.15" hidden="false" customHeight="false" outlineLevel="0" collapsed="false">
      <c r="A9" s="0" t="s">
        <v>646</v>
      </c>
      <c r="B9" s="13" t="n">
        <f aca="false">Y!D14</f>
        <v>438.724703748353</v>
      </c>
      <c r="C9" s="7" t="n">
        <v>417.2</v>
      </c>
      <c r="D9" s="11" t="n">
        <f aca="false">B9/C9-1</f>
        <v>0.0515932496365124</v>
      </c>
      <c r="E9" s="8" t="s">
        <v>647</v>
      </c>
    </row>
    <row r="10" customFormat="false" ht="17.15" hidden="false" customHeight="false" outlineLevel="0" collapsed="false">
      <c r="A10" s="0" t="s">
        <v>648</v>
      </c>
      <c r="B10" s="13" t="n">
        <f aca="false">Y!D16</f>
        <v>340.584588075039</v>
      </c>
      <c r="C10" s="7" t="n">
        <v>336.2</v>
      </c>
      <c r="D10" s="11" t="n">
        <f aca="false">B10/C10-1</f>
        <v>0.0130416064099912</v>
      </c>
      <c r="E10" s="8" t="s">
        <v>642</v>
      </c>
    </row>
    <row r="11" customFormat="false" ht="17.15" hidden="false" customHeight="false" outlineLevel="0" collapsed="false">
      <c r="A11" s="0" t="s">
        <v>649</v>
      </c>
      <c r="B11" s="13" t="n">
        <f aca="false">Y!E14</f>
        <v>479.967003928052</v>
      </c>
      <c r="C11" s="7" t="n">
        <v>454</v>
      </c>
      <c r="D11" s="11" t="n">
        <f aca="false">B11/C11-1</f>
        <v>0.0571960438943868</v>
      </c>
      <c r="E11" s="8" t="s">
        <v>650</v>
      </c>
    </row>
    <row r="12" customFormat="false" ht="17.15" hidden="false" customHeight="false" outlineLevel="0" collapsed="false">
      <c r="A12" s="0" t="s">
        <v>651</v>
      </c>
      <c r="B12" s="13" t="n">
        <f aca="false">Q!H4</f>
        <v>96.311345015</v>
      </c>
      <c r="C12" s="7" t="n">
        <v>94.1</v>
      </c>
      <c r="D12" s="11" t="n">
        <f aca="false">B12/C12-1</f>
        <v>0.0234999470244424</v>
      </c>
      <c r="E12" s="8" t="s">
        <v>652</v>
      </c>
    </row>
    <row r="13" customFormat="false" ht="17.15" hidden="false" customHeight="false" outlineLevel="0" collapsed="false">
      <c r="A13" s="0" t="s">
        <v>653</v>
      </c>
      <c r="B13" s="13" t="n">
        <f aca="false">Q!H10</f>
        <v>76.086391971295</v>
      </c>
      <c r="C13" s="7" t="n">
        <v>76.1</v>
      </c>
      <c r="D13" s="11" t="n">
        <f aca="false">B13/C13-1</f>
        <v>-0.000178817722798708</v>
      </c>
      <c r="E13" s="8" t="s">
        <v>654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7.15" hidden="false" customHeight="false" outlineLevel="0" collapsed="false">
      <c r="A1" s="1" t="s">
        <v>655</v>
      </c>
    </row>
    <row r="3" customFormat="false" ht="17.15" hidden="false" customHeight="false" outlineLevel="0" collapsed="false">
      <c r="A3" s="6" t="s">
        <v>656</v>
      </c>
      <c r="B3" s="0" t="n">
        <f aca="false">nv_hbm</f>
        <v>4.46</v>
      </c>
      <c r="C3" s="0" t="s">
        <v>478</v>
      </c>
    </row>
    <row r="4" customFormat="false" ht="17.15" hidden="false" customHeight="false" outlineLevel="0" collapsed="false">
      <c r="A4" s="6" t="s">
        <v>657</v>
      </c>
      <c r="B4" s="0" t="str">
        <f aca="false">TEXT(Mkt!D16,"0")&amp;" ／ "&amp;TEXT(Mkt!E16,"0")</f>
        <v>216 ／ 260</v>
      </c>
      <c r="C4" s="0" t="s">
        <v>340</v>
      </c>
    </row>
    <row r="5" customFormat="false" ht="17.15" hidden="false" customHeight="false" outlineLevel="0" collapsed="false">
      <c r="A5" s="0" t="s">
        <v>658</v>
      </c>
      <c r="B5" s="0" t="str">
        <f aca="false">TEXT(Mkt!D23,"0")&amp;" ／ "&amp;TEXT(Mkt!E23,"0")</f>
        <v>55 ／ 154</v>
      </c>
      <c r="C5" s="0" t="s">
        <v>441</v>
      </c>
    </row>
    <row r="6" customFormat="false" ht="17.15" hidden="false" customHeight="false" outlineLevel="0" collapsed="false">
      <c r="A6" s="0" t="s">
        <v>659</v>
      </c>
      <c r="B6" s="10" t="n">
        <f aca="false">Mkt!E19</f>
        <v>1.23255275</v>
      </c>
      <c r="C6" s="8" t="s">
        <v>536</v>
      </c>
    </row>
    <row r="7" customFormat="false" ht="17.15" hidden="false" customHeight="false" outlineLevel="0" collapsed="false">
      <c r="A7" s="0" t="s">
        <v>660</v>
      </c>
      <c r="B7" s="6" t="s">
        <v>661</v>
      </c>
      <c r="C7" s="0" t="s">
        <v>662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3" t="s">
        <v>663</v>
      </c>
    </row>
    <row r="2" customFormat="false" ht="17.15" hidden="false" customHeight="false" outlineLevel="0" collapsed="false">
      <c r="A2" s="0" t="s">
        <v>664</v>
      </c>
      <c r="B2" s="0" t="s">
        <v>665</v>
      </c>
    </row>
    <row r="3" customFormat="false" ht="17.15" hidden="false" customHeight="false" outlineLevel="0" collapsed="false">
      <c r="A3" s="0" t="s">
        <v>666</v>
      </c>
      <c r="B3" s="0" t="s">
        <v>667</v>
      </c>
    </row>
    <row r="4" customFormat="false" ht="17.15" hidden="false" customHeight="false" outlineLevel="0" collapsed="false">
      <c r="A4" s="0" t="s">
        <v>668</v>
      </c>
      <c r="B4" s="0" t="s">
        <v>669</v>
      </c>
    </row>
    <row r="5" customFormat="false" ht="17.15" hidden="false" customHeight="false" outlineLevel="0" collapsed="false">
      <c r="A5" s="0" t="s">
        <v>169</v>
      </c>
      <c r="B5" s="0" t="s">
        <v>670</v>
      </c>
    </row>
    <row r="6" customFormat="false" ht="17.15" hidden="false" customHeight="false" outlineLevel="0" collapsed="false">
      <c r="A6" s="0" t="s">
        <v>671</v>
      </c>
      <c r="B6" s="0" t="s">
        <v>672</v>
      </c>
    </row>
    <row r="7" customFormat="false" ht="17.15" hidden="false" customHeight="false" outlineLevel="0" collapsed="false">
      <c r="A7" s="0" t="s">
        <v>673</v>
      </c>
      <c r="B7" s="0" t="s">
        <v>674</v>
      </c>
    </row>
    <row r="8" customFormat="false" ht="17.15" hidden="false" customHeight="false" outlineLevel="0" collapsed="false">
      <c r="A8" s="0" t="s">
        <v>675</v>
      </c>
      <c r="B8" s="0" t="s">
        <v>676</v>
      </c>
    </row>
    <row r="9" customFormat="false" ht="17.15" hidden="false" customHeight="false" outlineLevel="0" collapsed="false">
      <c r="A9" s="0" t="s">
        <v>677</v>
      </c>
      <c r="B9" s="0" t="s">
        <v>678</v>
      </c>
    </row>
    <row r="10" customFormat="false" ht="15" hidden="false" customHeight="false" outlineLevel="0" collapsed="false">
      <c r="A10" s="0" t="s">
        <v>679</v>
      </c>
      <c r="B10" s="0" t="s">
        <v>680</v>
      </c>
    </row>
    <row r="11" customFormat="false" ht="17.15" hidden="false" customHeight="false" outlineLevel="0" collapsed="false">
      <c r="A11" s="0" t="s">
        <v>681</v>
      </c>
      <c r="B11" s="0" t="s">
        <v>682</v>
      </c>
    </row>
    <row r="12" customFormat="false" ht="17.15" hidden="false" customHeight="false" outlineLevel="0" collapsed="false">
      <c r="A12" s="0" t="s">
        <v>683</v>
      </c>
      <c r="B12" s="0" t="s">
        <v>684</v>
      </c>
    </row>
    <row r="13" customFormat="false" ht="15" hidden="false" customHeight="false" outlineLevel="0" collapsed="false">
      <c r="A13" s="0" t="s">
        <v>685</v>
      </c>
      <c r="B13" s="0" t="s">
        <v>686</v>
      </c>
    </row>
    <row r="14" customFormat="false" ht="17.15" hidden="false" customHeight="false" outlineLevel="0" collapsed="false">
      <c r="A14" s="0" t="s">
        <v>687</v>
      </c>
      <c r="B14" s="6" t="s">
        <v>688</v>
      </c>
    </row>
    <row r="15" customFormat="false" ht="17.15" hidden="false" customHeight="false" outlineLevel="0" collapsed="false">
      <c r="A15" s="0" t="s">
        <v>479</v>
      </c>
      <c r="B15" s="6" t="s">
        <v>688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2026-10-08T13:42:52Z</dcterms:created>
  <dc:creator>openpyxl</dc:creator>
  <dc:description/>
  <dc:language>en-US</dc:language>
  <cp:lastModifiedBy/>
  <dcterms:modified xsi:type="dcterms:W3CDTF">2026-10-08T13:42:52Z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