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m_factor" vbProcedure="false">Val!$B$157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comp_adj" vbProcedure="false">Val!$B$158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<sst xmlns="http://schemas.openxmlformats.org/spreadsheetml/2006/main" count="2862" uniqueCount="891">
  <si>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</si>
  <si>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</si>
  <si>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</si>
  <si>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</si>
  <si>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</si>
  <si>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</si>
  <si>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</si>
  <si>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</si>
  <si>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</si>
  <si>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</si>
  <si>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</si>
  <si>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</si>
  <si>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</si>
  <si>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</si>
  <si>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</si>
  <si>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</si>
  <si>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</si>
  <si>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</si>
  <si>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</si>
  <si>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</si>
  <si>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</si>
  <si>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</si>
  <si>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</si>
  <si>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</si>
  <si>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</si>
  <si>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</si>
  <si>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</si>
  <si>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</si>
  <si>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</si>
  <si>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</si>
  <si>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</si>
  <si>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</si>
  <si>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</si>
  <si>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</si>
  <si>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</si>
  <si>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</si>
  <si>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</si>
  <si>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</si>
  <si>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</si>
  <si>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</si>
  <si>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</si>
  <si>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</si>
  <si>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</si>
  <si>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</si>
  <si>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</si>
  <si>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</si>
  <si>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</si>
  <si>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</si>
  <si>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</si>
  <si>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</si>
  <si>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</si>
  <si>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</si>
  <si>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PL!C78:F78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</si>
  <si>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</si>
  <si>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</si>
  <si>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</si>
  <si>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</si>
  <si>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</si>
  <si>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</si>
  <si>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</si>
  <si>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</si>
  <si>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PL!C109:F109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</si>
  <si>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</si>
  <si>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</si>
  <si>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</si>
  <si>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</si>
  <si>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</si>
  <si>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</si>
  <si>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</si>
  <si>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</si>
  <si>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</si>
  <si>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</si>
  <si>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</si>
  <si>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</si>
  <si>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</si>
  <si>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</si>
  <si>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</si>
  <si>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</si>
  <si>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</si>
  <si>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</si>
  <si>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PL!C79:F79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</si>
  <si>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</si>
  <si>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</si>
  <si>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</si>
  <si>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</si>
  <si>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</si>
  <si>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</si>
  <si>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</si>
  <si>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</si>
  <si>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PL!C110:F110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</si>
  <si>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</si>
  <si>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</si>
  <si>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</si>
  <si>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</si>
  <si>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</si>
  <si>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</si>
  <si>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</si>
  <si>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</si>
  <si>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</si>
  <si>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</si>
  <si>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</si>
  <si>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</si>
  <si>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</si>
  <si>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</si>
  <si>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</si>
  <si>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</si>
  <si>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</si>
  <si>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</si>
  <si>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</si>
  <si>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PL!D83:G83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</si>
  <si>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</si>
  <si>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</si>
  <si>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</si>
  <si>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</si>
  <si>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</si>
  <si>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</si>
  <si>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</si>
  <si>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</si>
  <si>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PL!D114:G114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</si>
  <si>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</si>
  <si>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</si>
  <si>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</si>
  <si>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</si>
  <si>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</si>
  <si>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</si>
  <si>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</si>
  <si>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</si>
  <si>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</si>
  <si>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</si>
  <si>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</si>
  <si>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</si>
  <si>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</si>
  <si>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</si>
  <si>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</si>
  <si>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</si>
  <si>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</si>
  <si>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</si>
  <si>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</si>
  <si>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</si>
  <si>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</si>
  <si>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</si>
  <si>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</si>
  <si>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</si>
  <si>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</si>
  <si>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</si>
  <si>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</si>
  <si>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</si>
  <si>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</si>
  <si>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</si>
  <si>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</si>
  <si>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</si>
  <si>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</si>
  <si>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</si>
  <si>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</si>
  <si>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</si>
  <si>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</si>
  <si>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</si>
  <si>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</si>
  <si>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</si>
  <si>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</si>
  <si>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</si>
  <si>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</si>
  <si>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</si>
  <si>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</si>
  <si>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</si>
  <si>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</si>
  <si>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</si>
  <si>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</si>
  <si>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</si>
  <si>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</si>
  <si>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</si>
  <si>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</si>
  <si>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</si>
  <si>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</si>
  <si>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</si>
  <si>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</si>
  <si>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</si>
  <si>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</si>
  <si>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</si>
  <si>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</si>
  <si>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</si>
  <si>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</si>
  <si>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</si>
  <si>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</si>
  <si>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</si>
  <si>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</si>
  <si>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</si>
  <si>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</si>
  <si>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</si>
  <si>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</si>
  <si>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</si>
  <si>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</si>
  <si>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</si>
  <si>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</si>
  <si>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</si>
  <si>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</si>
  <si>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</si>
  <si>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</si>
  <si>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</si>
  <si>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</si>
  <si>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</si>
  <si>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</si>
  <si>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</si>
  <si>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</si>
  <si>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</si>
  <si>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</si>
  <si>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</si>
  <si>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</si>
  <si>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</si>
  <si>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</si>
  <si>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</si>
  <si>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</si>
  <si>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</si>
  <si>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</si>
  <si>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</si>
  <si>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</si>
  <si>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</si>
  <si>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</si>
  <si>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</si>
  <si>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</si>
  <si>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</si>
  <si>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</si>
  <si>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</si>
  <si>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</si>
  <si>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</si>
  <si>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</si>
  <si>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</si>
  <si>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</si>
  <si>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</si>
  <si>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</si>
  <si>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</si>
  <si>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</si>
  <si>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</si>
  <si>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</si>
  <si>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</si>
  <si>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</si>
  <si>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</si>
  <si>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</si>
  <si>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</si>
  <si>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</si>
  <si>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</si>
  <si>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</si>
  <si>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</si>
  <si>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</si>
  <si>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</si>
  <si>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</si>
  <si>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</si>
  <si>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</si>
  <si>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</si>
  <si>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</si>
  <si>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</si>
  <si>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</si>
  <si>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</si>
  <si>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</si>
  <si>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</si>
  <si>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</si>
  <si>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</si>
  <si>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</si>
  <si>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</si>
  <si>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</si>
  <si>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</si>
  <si>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</si>
  <si>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</si>
  <si>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</si>
  <si>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</si>
  <si>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</si>
  <si>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</si>
  <si>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</si>
  <si>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</si>
  <si>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</si>
  <si>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</si>
  <si>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</si>
  <si>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</si>
  <si>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</si>
  <si>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</si>
  <si>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</si>
  <si>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</si>
  <si>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</si>
  <si>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</si>
  <si>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</si>
  <si>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</si>
  <si>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</si>
  <si>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</si>
  <si>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</si>
  <si>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</si>
  <si>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</si>
  <si>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</si>
  <si>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</si>
  <si>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</si>
  <si>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</si>
  <si>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</si>
  <si>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</si>
  <si>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</si>
  <si>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</si>
  <si>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</si>
  <si>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</si>
  <si>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</si>
  <si>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</si>
  <si>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</si>
  <si>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</si>
  <si>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</si>
  <si>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</si>
  <si>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</si>
  <si>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</si>
  <si>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</si>
  <si>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</si>
  <si>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</si>
  <si>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</si>
  <si>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</si>
  <si>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</si>
  <si>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</si>
  <si>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</si>
  <si>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</si>
  <si>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</si>
  <si>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</si>
  <si>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</si>
  <si>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</si>
  <si>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</si>
  <si>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</si>
  <si>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</si>
  <si>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</si>
  <si>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</si>
  <si>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</si>
  <si>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</si>
  <si>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</si>
  <si>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</si>
  <si>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</si>
  <si>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</si>
  <si>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</si>
  <si>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</si>
  <si>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</si>
  <si>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</si>
  <si>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</si>
  <si>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</si>
  <si>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</si>
  <si>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</si>
  <si>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</si>
  <si>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</si>
  <si>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</si>
  <si>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</si>
  <si>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</si>
  <si>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</si>
  <si>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</si>
  <si>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</si>
  <si>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</si>
  <si>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</si>
  <si>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</si>
  <si>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</si>
  <si>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</si>
  <si>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</si>
  <si>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</si>
  <si>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</si>
  <si>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</si>
  <si>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</si>
  <si>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</si>
  <si>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</si>
  <si>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</si>
  <si>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</si>
  <si>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</si>
  <si>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</si>
  <si>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</si>
  <si>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</si>
  <si>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</si>
  <si>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</si>
  <si>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</si>
  <si>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</si>
  <si>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</si>
  <si>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</si>
  <si>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</si>
  <si>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</si>
  <si>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</si>
  <si>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</si>
  <si>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</si>
  <si>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</si>
  <si>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</si>
  <si>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</si>
  <si>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</si>
  <si>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</si>
  <si>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</si>
  <si>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</si>
  <si>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</si>
  <si>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</si>
  <si>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</si>
  <si>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</si>
  <si>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</si>
  <si>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</si>
  <si>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</si>
  <si>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</si>
  <si>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</si>
  <si>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</si>
  <si>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</si>
  <si>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</si>
  <si>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</si>
  <si>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</si>
  <si>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</si>
  <si>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</si>
  <si>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</si>
  <si>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</si>
  <si>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</si>
  <si>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</si>
  <si>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</si>
  <si>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</si>
  <si>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</si>
  <si>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</si>
  <si>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</si>
  <si>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</si>
  <si>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</si>
  <si>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</si>
  <si>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</si>
  <si>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</si>
  <si>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</si>
  <si>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</si>
  <si>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</si>
  <si>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</si>
  <si>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</si>
  <si>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</si>
  <si>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</si>
  <si>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</si>
  <si>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</si>
  <si>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</si>
  <si>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</si>
  <si>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</si>
  <si>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</si>
  <si>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</si>
  <si>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</si>
  <si>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</si>
  <si>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</si>
  <si>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</si>
  <si>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</si>
  <si>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</si>
  <si>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</si>
  <si>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</si>
  <si>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</si>
  <si>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t xml:space="preserve">說明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</si>
  <si>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</si>
  <si>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</si>
  <si>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</si>
  <si>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</si>
  <si>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</si>
  <si>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</si>
  <si>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</si>
  <si>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</si>
  <si>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</si>
  <si>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</si>
  <si>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</si>
  <si>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</si>
  <si>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</si>
  <si>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</si>
  <si>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</si>
  <si>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</si>
  <si>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</si>
  <si>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</si>
  <si>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</si>
  <si>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</si>
  <si>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</si>
  <si>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</si>
  <si>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</si>
  <si>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</si>
  <si>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</si>
  <si>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</si>
  <si>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</si>
  <si>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</si>
  <si>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</si>
  <si>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</si>
  <si>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</si>
  <si>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</si>
  <si>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</si>
  <si>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</si>
  <si>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</si>
  <si>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</si>
  <si>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</si>
  <si>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</si>
  <si>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</si>
  <si>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</si>
  <si>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</si>
  <si>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</si>
  <si>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</si>
  <si>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</si>
  <si>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</si>
  <si>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</si>
  <si>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</si>
  <si>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</si>
  <si>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</si>
  <si>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</si>
  <si>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</si>
  <si>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</si>
  <si>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</si>
  <si>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</si>
  <si>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</si>
  <si>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</si>
  <si>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</si>
  <si>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</si>
  <si>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</si>
  <si>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</si>
  <si>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</si>
  <si>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</si>
  <si>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</si>
  <si>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</si>
  <si>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</si>
  <si>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</si>
  <si>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</si>
  <si>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</si>
  <si>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</si>
  <si>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錨點；四捨五入到百萬美元）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</si>
  <si>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分部合計 </t>
    </r>
    <r>
      <rPr>
        <sz val="11"/>
        <color theme="1"/>
        <rFont val="Calibri"/>
        <family val="2"/>
        <charset val="1"/>
      </rPr>
      <t xml:space="preserve">3,190.1 vs </t>
    </r>
    <r>
      <rPr>
        <sz val="11"/>
        <color theme="1"/>
        <rFont val="Noto Sans CJK SC"/>
        <family val="2"/>
      </rPr>
      <t xml:space="preserve">公司合併營收 </t>
    </r>
    <r>
      <rPr>
        <sz val="11"/>
        <color theme="1"/>
        <rFont val="Calibri"/>
        <family val="2"/>
        <charset val="1"/>
      </rPr>
      <t xml:space="preserve">3,190.0</t>
    </r>
    <r>
      <rPr>
        <sz val="11"/>
        <color theme="1"/>
        <rFont val="Noto Sans CJK SC"/>
        <family val="2"/>
      </rPr>
      <t xml:space="preserve">：季度分部數字四捨五入差 </t>
    </r>
    <r>
      <rPr>
        <sz val="11"/>
        <color theme="1"/>
        <rFont val="Calibri"/>
        <family val="2"/>
        <charset val="1"/>
      </rPr>
      <t xml:space="preserve">0.1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</si>
  <si>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</si>
  <si>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</si>
  <si>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</si>
  <si>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</si>
  <si>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</si>
  <si>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</si>
  <si>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</si>
  <si>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</si>
  <si>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</si>
  <si>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</si>
  <si>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</si>
  <si>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</si>
  <si>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</si>
  <si>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</si>
  <si>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</si>
  <si>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</si>
  <si>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</si>
  <si>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</si>
  <si>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</si>
  <si>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</si>
  <si>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</si>
  <si>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</si>
  <si>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</si>
  <si>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</si>
  <si>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</si>
  <si>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</si>
  <si>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</si>
  <si>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</si>
  <si>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</si>
  <si>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</si>
  <si>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</si>
  <si>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</si>
  <si>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</si>
  <si>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</si>
  <si>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</si>
  <si>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</si>
  <si>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</si>
  <si>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</si>
  <si>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</si>
  <si>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</si>
  <si>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</si>
  <si>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</si>
  <si>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</si>
  <si>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</si>
  <si>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</si>
  <si>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</si>
  <si>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</si>
  <si>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</si>
  <si>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</si>
  <si>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</si>
  <si>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</si>
  <si>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</si>
  <si>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</si>
  <si>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</si>
  <si>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</si>
  <si>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</si>
  <si>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</si>
  <si>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</si>
  <si>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</si>
  <si>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</si>
  <si>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</si>
  <si>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</si>
  <si>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</si>
  <si>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</si>
  <si>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</si>
  <si>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</si>
  <si>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</si>
  <si>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</si>
  <si>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</si>
  <si>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</si>
  <si>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</si>
  <si>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</si>
  <si>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</si>
  <si>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</si>
  <si>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</si>
  <si>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</si>
  <si>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</si>
  <si>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</si>
  <si>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</si>
  <si>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</si>
  <si>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</si>
  <si>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</si>
  <si>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</si>
  <si>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</si>
  <si>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</si>
  <si>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</si>
  <si>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</si>
  <si>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</si>
  <si>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</si>
  <si>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</si>
  <si>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</si>
  <si>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</si>
  <si>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</si>
  <si>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</si>
  <si>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</si>
  <si>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</si>
  <si>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</si>
  <si>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</si>
  <si>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</si>
  <si>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</si>
  <si>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</si>
  <si>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</si>
  <si>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</si>
  <si>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</si>
  <si>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</si>
  <si>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</si>
  <si>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</si>
  <si>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</si>
  <si>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</si>
  <si>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</si>
  <si>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</si>
  <si>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</si>
  <si>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</si>
  <si>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</si>
  <si>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</si>
  <si>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</si>
  <si>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</si>
  <si>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</si>
  <si>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</si>
  <si>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</si>
  <si>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</si>
  <si>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</si>
  <si>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</si>
  <si>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</si>
  <si>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</si>
  <si>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</si>
  <si>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</si>
  <si>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</si>
  <si>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</si>
  <si>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</si>
  <si>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</si>
  <si>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</si>
  <si>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</si>
  <si>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</si>
  <si>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</si>
  <si>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</si>
  <si>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</si>
  <si>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</si>
  <si>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</si>
  <si>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</si>
  <si>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</si>
  <si>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</si>
  <si>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</si>
  <si>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</si>
  <si>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</si>
  <si>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</si>
  <si>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</si>
  <si>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</si>
  <si>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</si>
  <si>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</si>
  <si>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</si>
  <si>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</si>
  <si>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</si>
  <si>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</si>
  <si>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</si>
  <si>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</si>
  <si>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</si>
  <si>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</si>
  <si>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</si>
  <si>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</si>
  <si>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</si>
  <si>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</si>
  <si>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</si>
  <si>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</si>
  <si>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</si>
  <si>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</si>
  <si>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</si>
  <si>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</si>
  <si>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</si>
  <si>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</si>
  <si>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</si>
  <si>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</si>
  <si>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</si>
  <si>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</si>
  <si>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</si>
  <si>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</si>
  <si>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</si>
  <si>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</si>
  <si>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</si>
  <si>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</si>
  <si>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</si>
  <si>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</si>
  <si>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</si>
  <si>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</si>
  <si>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</si>
  <si>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</si>
  <si>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</si>
  <si>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</si>
  <si>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</si>
  <si>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</si>
  <si>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</si>
  <si>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</si>
  <si>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</si>
  <si>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</si>
  <si>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</si>
  <si>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</si>
  <si>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</si>
  <si>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</si>
  <si>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</si>
  <si>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泰瑞達</t>
  </si>
  <si>
    <t xml:space="preserve">TER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</si>
  <si>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</si>
  <si>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TER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</si>
  <si>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</si>
  <si>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</si>
  <si>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</si>
  <si>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COHU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</si>
  <si>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FORM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</si>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</sst>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US$"&amp;TEXT(Val!$B$126,"#,##0.00")&amp;"（DCF "&amp;TEXT(Val!$B$111,"#,##0.00")&amp;"、Comparable（相對倍數調整後）"&amp;TEXT(tp_comp_adj,"#,##0.00")&amp;"；DCF 權重 "&amp;TEXT(tp_w_dcf,"0%")&amp;"），比現價 "&amp;TEXT(px,"#,##0.00")&amp;"（2026-10-23）"&amp;IF(Val!$B$129&gt;=0,"高 "&amp;TEXT(Val!$B$129,"0.0%"),"低 "&amp;TEXT(-Val!$B$129,"0.0%"))&amp;"，級距 "&amp;Val!$B$137&amp;"、投資建議 "&amp;Val!$B$138&amp;"。相對倍數調整係數 "&amp;TEXT(rm_factor,"0.00")&amp;"（本公司 10 年前瞻倍數中位數 ÷ 同業的中位數，夾在 0.5–2.0；Val 第 0.5 節），調整前加權上檔空間 "&amp;TEXT((tp_w_dcf*Val!$B$111+(1-tp_w_dcf)*Val!$B$122)/px-1,"+0.0%;−0.0%")&amp;"；Comparable 單獨（市場主流同業法、未調整）為 "&amp;TEXT(Val!$B$130,"+0.0%;−0.0%")&amp;"。"&amp;"以下為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27.3%（期間約早一年），共識目標"&amp;"價 446.47 隱含 39.5 倍。"</f>
        <v>重點觀察 1：目標價 US$356.37（DCF 219.30、Comparable（相對倍數調整後）493.44；DCF 權重 50%），比現價 308.85（2026-10-23）高 15.4%，級距 0%–25%、投資建議 中立。相對倍數調整係數 1.22（本公司 10 年前瞻倍數中位數 ÷ 同業的中位數，夾在 0.5–2.0；Val 第 0.5 節），調整前加權上檔空間 +1.1%；Comparable 單獨（市場主流同業法、未調整）為 +31.2%。以下為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27.3%（期間約早一年），共識目標價 446.47 隱含 39.5 倍。</v>
      </c>
    </row>
    <row r="20" customFormat="false" ht="17.15" hidden="false" customHeight="false" outlineLevel="0" collapsed="false">
      <c r="A20" s="4" t="s">
        <v>14</v>
      </c>
    </row>
    <row r="21" customFormat="false" ht="17.15" hidden="false" customHeight="false" outlineLevel="0" collapsed="false">
      <c r="A21" s="4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6.9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4" t="s">
        <v>36</v>
      </c>
      <c r="C6" s="0" t="s">
        <v>31</v>
      </c>
      <c r="E6" s="7" t="n">
        <v>2.1</v>
      </c>
      <c r="G6" s="8" t="s">
        <v>32</v>
      </c>
      <c r="H6" s="8" t="s">
        <v>37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31</v>
      </c>
      <c r="E7" s="7" t="n">
        <v>11</v>
      </c>
      <c r="G7" s="8" t="s">
        <v>41</v>
      </c>
      <c r="H7" s="8" t="s">
        <v>42</v>
      </c>
      <c r="I7" s="8" t="s">
        <v>43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31</v>
      </c>
      <c r="E8" s="7" t="n">
        <v>15.4143580786026</v>
      </c>
      <c r="G8" s="8" t="s">
        <v>41</v>
      </c>
      <c r="H8" s="4" t="s">
        <v>38</v>
      </c>
      <c r="I8" s="4" t="s">
        <v>38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0" t="s">
        <v>31</v>
      </c>
      <c r="E9" s="7" t="n">
        <v>17.2991836614041</v>
      </c>
      <c r="G9" s="8" t="s">
        <v>41</v>
      </c>
      <c r="H9" s="4" t="s">
        <v>38</v>
      </c>
      <c r="I9" s="4" t="s">
        <v>38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31</v>
      </c>
      <c r="E10" s="7" t="n">
        <v>19.2361762010077</v>
      </c>
      <c r="G10" s="8" t="s">
        <v>41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31</v>
      </c>
      <c r="E11" s="7" t="n">
        <v>11</v>
      </c>
      <c r="G11" s="8" t="s">
        <v>41</v>
      </c>
      <c r="H11" s="8" t="s">
        <v>52</v>
      </c>
      <c r="I11" s="4" t="s">
        <v>38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31</v>
      </c>
      <c r="E12" s="7" t="n">
        <v>15.4143580786026</v>
      </c>
      <c r="G12" s="8" t="s">
        <v>41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31</v>
      </c>
      <c r="E13" s="7" t="n">
        <v>14.7695229291233</v>
      </c>
      <c r="G13" s="8" t="s">
        <v>41</v>
      </c>
      <c r="H13" s="4" t="s">
        <v>38</v>
      </c>
      <c r="I13" s="4" t="s">
        <v>38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31</v>
      </c>
      <c r="E14" s="7" t="n">
        <v>17.0762870508566</v>
      </c>
      <c r="G14" s="8" t="s">
        <v>41</v>
      </c>
      <c r="H14" s="4" t="s">
        <v>38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31</v>
      </c>
      <c r="E15" s="7" t="n">
        <v>11</v>
      </c>
      <c r="G15" s="8" t="s">
        <v>41</v>
      </c>
      <c r="H15" s="8" t="s">
        <v>61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31</v>
      </c>
      <c r="E16" s="7" t="n">
        <v>15.4143580786026</v>
      </c>
      <c r="G16" s="8" t="s">
        <v>41</v>
      </c>
      <c r="H16" s="4" t="s">
        <v>38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31</v>
      </c>
      <c r="E17" s="7" t="n">
        <v>12.2398621968425</v>
      </c>
      <c r="G17" s="8" t="s">
        <v>41</v>
      </c>
      <c r="H17" s="4" t="s">
        <v>38</v>
      </c>
      <c r="I17" s="4" t="s">
        <v>38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13.4764718006046</v>
      </c>
      <c r="G18" s="8" t="s">
        <v>41</v>
      </c>
      <c r="H18" s="4" t="s">
        <v>38</v>
      </c>
      <c r="I18" s="4" t="s">
        <v>38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31</v>
      </c>
      <c r="E19" s="7" t="n">
        <v>2.75</v>
      </c>
      <c r="G19" s="8" t="s">
        <v>41</v>
      </c>
      <c r="H19" s="8" t="s">
        <v>70</v>
      </c>
      <c r="I19" s="8" t="s">
        <v>71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31</v>
      </c>
      <c r="E20" s="7" t="n">
        <v>3.99150647980462</v>
      </c>
      <c r="G20" s="8" t="s">
        <v>41</v>
      </c>
      <c r="H20" s="4" t="s">
        <v>38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31</v>
      </c>
      <c r="E21" s="7" t="n">
        <v>5.17069526557172</v>
      </c>
      <c r="G21" s="8" t="s">
        <v>41</v>
      </c>
      <c r="H21" s="4" t="s">
        <v>38</v>
      </c>
      <c r="I21" s="4" t="s">
        <v>38</v>
      </c>
    </row>
    <row r="22" customFormat="false" ht="17.15" hidden="false" customHeight="false" outlineLevel="0" collapsed="false">
      <c r="A22" s="0" t="s">
        <v>76</v>
      </c>
      <c r="B22" s="4" t="s">
        <v>77</v>
      </c>
      <c r="C22" s="0" t="s">
        <v>31</v>
      </c>
      <c r="E22" s="7" t="n">
        <v>6.33160644779016</v>
      </c>
      <c r="G22" s="8" t="s">
        <v>41</v>
      </c>
      <c r="H22" s="4" t="s">
        <v>38</v>
      </c>
      <c r="I22" s="4" t="s">
        <v>38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31</v>
      </c>
      <c r="E23" s="7" t="n">
        <v>2.75</v>
      </c>
      <c r="G23" s="8" t="s">
        <v>41</v>
      </c>
      <c r="H23" s="8" t="s">
        <v>80</v>
      </c>
      <c r="I23" s="4" t="s">
        <v>38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31</v>
      </c>
      <c r="E24" s="7" t="n">
        <v>3.99150647980462</v>
      </c>
      <c r="G24" s="8" t="s">
        <v>41</v>
      </c>
      <c r="H24" s="4" t="s">
        <v>38</v>
      </c>
      <c r="I24" s="4" t="s">
        <v>38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31</v>
      </c>
      <c r="E25" s="7" t="n">
        <v>4.8492815003257</v>
      </c>
      <c r="G25" s="8" t="s">
        <v>41</v>
      </c>
      <c r="H25" s="4" t="s">
        <v>38</v>
      </c>
      <c r="I25" s="4" t="s">
        <v>38</v>
      </c>
    </row>
    <row r="26" customFormat="false" ht="17.15" hidden="false" customHeight="false" outlineLevel="0" collapsed="false">
      <c r="A26" s="0" t="s">
        <v>85</v>
      </c>
      <c r="B26" s="4" t="s">
        <v>86</v>
      </c>
      <c r="C26" s="0" t="s">
        <v>31</v>
      </c>
      <c r="E26" s="7" t="n">
        <v>5.89583446540914</v>
      </c>
      <c r="G26" s="8" t="s">
        <v>41</v>
      </c>
      <c r="H26" s="4" t="s">
        <v>38</v>
      </c>
      <c r="I26" s="4" t="s">
        <v>38</v>
      </c>
    </row>
    <row r="27" customFormat="false" ht="17.15" hidden="false" customHeight="false" outlineLevel="0" collapsed="false">
      <c r="A27" s="0" t="s">
        <v>87</v>
      </c>
      <c r="B27" s="4" t="s">
        <v>88</v>
      </c>
      <c r="C27" s="0" t="s">
        <v>31</v>
      </c>
      <c r="E27" s="7" t="n">
        <v>2.75</v>
      </c>
      <c r="G27" s="8" t="s">
        <v>41</v>
      </c>
      <c r="H27" s="8" t="s">
        <v>89</v>
      </c>
      <c r="I27" s="4" t="s">
        <v>38</v>
      </c>
    </row>
    <row r="28" customFormat="false" ht="17.15" hidden="false" customHeight="false" outlineLevel="0" collapsed="false">
      <c r="A28" s="0" t="s">
        <v>90</v>
      </c>
      <c r="B28" s="4" t="s">
        <v>91</v>
      </c>
      <c r="C28" s="0" t="s">
        <v>31</v>
      </c>
      <c r="E28" s="7" t="n">
        <v>3.99150647980462</v>
      </c>
      <c r="G28" s="8" t="s">
        <v>41</v>
      </c>
      <c r="H28" s="4" t="s">
        <v>38</v>
      </c>
      <c r="I28" s="4" t="s">
        <v>38</v>
      </c>
    </row>
    <row r="29" customFormat="false" ht="17.15" hidden="false" customHeight="false" outlineLevel="0" collapsed="false">
      <c r="A29" s="0" t="s">
        <v>92</v>
      </c>
      <c r="B29" s="4" t="s">
        <v>93</v>
      </c>
      <c r="C29" s="0" t="s">
        <v>31</v>
      </c>
      <c r="E29" s="7" t="n">
        <v>3.72997394923451</v>
      </c>
      <c r="G29" s="8" t="s">
        <v>41</v>
      </c>
      <c r="H29" s="4" t="s">
        <v>38</v>
      </c>
      <c r="I29" s="4" t="s">
        <v>38</v>
      </c>
    </row>
    <row r="30" customFormat="false" ht="17.15" hidden="false" customHeight="false" outlineLevel="0" collapsed="false">
      <c r="A30" s="0" t="s">
        <v>94</v>
      </c>
      <c r="B30" s="4" t="s">
        <v>95</v>
      </c>
      <c r="C30" s="0" t="s">
        <v>31</v>
      </c>
      <c r="E30" s="7" t="n">
        <v>4.40250457885175</v>
      </c>
      <c r="G30" s="8" t="s">
        <v>41</v>
      </c>
      <c r="H30" s="4" t="s">
        <v>38</v>
      </c>
      <c r="I30" s="4" t="s">
        <v>38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0" t="s">
        <v>98</v>
      </c>
      <c r="E31" s="7" t="n">
        <v>0.66</v>
      </c>
      <c r="G31" s="8" t="s">
        <v>32</v>
      </c>
      <c r="H31" s="8" t="s">
        <v>99</v>
      </c>
      <c r="I31" s="8" t="s">
        <v>100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0" t="s">
        <v>98</v>
      </c>
      <c r="E32" s="7" t="n">
        <v>0.66</v>
      </c>
      <c r="G32" s="8" t="s">
        <v>32</v>
      </c>
      <c r="H32" s="4" t="s">
        <v>38</v>
      </c>
      <c r="I32" s="4" t="s">
        <v>38</v>
      </c>
    </row>
    <row r="33" customFormat="false" ht="17.15" hidden="false" customHeight="false" outlineLevel="0" collapsed="false">
      <c r="A33" s="0" t="s">
        <v>103</v>
      </c>
      <c r="B33" s="0" t="s">
        <v>104</v>
      </c>
      <c r="C33" s="0" t="s">
        <v>98</v>
      </c>
      <c r="E33" s="7" t="n">
        <v>0.66</v>
      </c>
      <c r="G33" s="8" t="s">
        <v>32</v>
      </c>
      <c r="H33" s="4" t="s">
        <v>38</v>
      </c>
      <c r="I33" s="4" t="s">
        <v>38</v>
      </c>
    </row>
    <row r="34" customFormat="false" ht="17.15" hidden="false" customHeight="false" outlineLevel="0" collapsed="false">
      <c r="A34" s="0" t="s">
        <v>105</v>
      </c>
      <c r="B34" s="0" t="s">
        <v>106</v>
      </c>
      <c r="C34" s="0" t="s">
        <v>98</v>
      </c>
      <c r="E34" s="7" t="n">
        <v>0.66</v>
      </c>
      <c r="G34" s="8" t="s">
        <v>32</v>
      </c>
      <c r="H34" s="4" t="s">
        <v>38</v>
      </c>
      <c r="I34" s="4" t="s">
        <v>38</v>
      </c>
    </row>
    <row r="35" customFormat="false" ht="17.15" hidden="false" customHeight="false" outlineLevel="0" collapsed="false">
      <c r="A35" s="0" t="s">
        <v>107</v>
      </c>
      <c r="B35" s="0" t="s">
        <v>108</v>
      </c>
      <c r="C35" s="0" t="s">
        <v>98</v>
      </c>
      <c r="E35" s="7" t="n">
        <v>0.66</v>
      </c>
      <c r="G35" s="8" t="s">
        <v>32</v>
      </c>
      <c r="H35" s="8" t="s">
        <v>109</v>
      </c>
      <c r="I35" s="4" t="s">
        <v>38</v>
      </c>
    </row>
    <row r="36" customFormat="false" ht="17.15" hidden="false" customHeight="false" outlineLevel="0" collapsed="false">
      <c r="A36" s="0" t="s">
        <v>110</v>
      </c>
      <c r="B36" s="0" t="s">
        <v>111</v>
      </c>
      <c r="C36" s="0" t="s">
        <v>98</v>
      </c>
      <c r="E36" s="7" t="n">
        <v>0.66</v>
      </c>
      <c r="G36" s="8" t="s">
        <v>32</v>
      </c>
      <c r="H36" s="4" t="s">
        <v>38</v>
      </c>
      <c r="I36" s="4" t="s">
        <v>38</v>
      </c>
    </row>
    <row r="37" customFormat="false" ht="17.15" hidden="false" customHeight="false" outlineLevel="0" collapsed="false">
      <c r="A37" s="0" t="s">
        <v>112</v>
      </c>
      <c r="B37" s="0" t="s">
        <v>113</v>
      </c>
      <c r="C37" s="0" t="s">
        <v>98</v>
      </c>
      <c r="E37" s="7" t="n">
        <v>0.66</v>
      </c>
      <c r="G37" s="8" t="s">
        <v>32</v>
      </c>
      <c r="H37" s="4" t="s">
        <v>38</v>
      </c>
      <c r="I37" s="4" t="s">
        <v>38</v>
      </c>
    </row>
    <row r="38" customFormat="false" ht="17.15" hidden="false" customHeight="false" outlineLevel="0" collapsed="false">
      <c r="A38" s="0" t="s">
        <v>114</v>
      </c>
      <c r="B38" s="0" t="s">
        <v>115</v>
      </c>
      <c r="C38" s="0" t="s">
        <v>98</v>
      </c>
      <c r="E38" s="7" t="n">
        <v>0.66</v>
      </c>
      <c r="G38" s="8" t="s">
        <v>32</v>
      </c>
      <c r="H38" s="4" t="s">
        <v>38</v>
      </c>
      <c r="I38" s="4" t="s">
        <v>38</v>
      </c>
    </row>
    <row r="39" customFormat="false" ht="17.15" hidden="false" customHeight="false" outlineLevel="0" collapsed="false">
      <c r="A39" s="0" t="s">
        <v>116</v>
      </c>
      <c r="B39" s="0" t="s">
        <v>117</v>
      </c>
      <c r="C39" s="0" t="s">
        <v>98</v>
      </c>
      <c r="E39" s="7" t="n">
        <v>0.66</v>
      </c>
      <c r="G39" s="8" t="s">
        <v>32</v>
      </c>
      <c r="H39" s="8" t="s">
        <v>118</v>
      </c>
      <c r="I39" s="4" t="s">
        <v>38</v>
      </c>
    </row>
    <row r="40" customFormat="false" ht="17.15" hidden="false" customHeight="false" outlineLevel="0" collapsed="false">
      <c r="A40" s="0" t="s">
        <v>119</v>
      </c>
      <c r="B40" s="0" t="s">
        <v>120</v>
      </c>
      <c r="C40" s="0" t="s">
        <v>98</v>
      </c>
      <c r="E40" s="7" t="n">
        <v>0.66</v>
      </c>
      <c r="G40" s="8" t="s">
        <v>32</v>
      </c>
      <c r="H40" s="4" t="s">
        <v>38</v>
      </c>
      <c r="I40" s="4" t="s">
        <v>38</v>
      </c>
    </row>
    <row r="41" customFormat="false" ht="17.15" hidden="false" customHeight="false" outlineLevel="0" collapsed="false">
      <c r="A41" s="0" t="s">
        <v>121</v>
      </c>
      <c r="B41" s="0" t="s">
        <v>122</v>
      </c>
      <c r="C41" s="0" t="s">
        <v>98</v>
      </c>
      <c r="E41" s="7" t="n">
        <v>0.61</v>
      </c>
      <c r="G41" s="8" t="s">
        <v>32</v>
      </c>
      <c r="H41" s="4" t="s">
        <v>38</v>
      </c>
      <c r="I41" s="4" t="s">
        <v>38</v>
      </c>
    </row>
    <row r="42" customFormat="false" ht="17.15" hidden="false" customHeight="false" outlineLevel="0" collapsed="false">
      <c r="A42" s="0" t="s">
        <v>123</v>
      </c>
      <c r="B42" s="0" t="s">
        <v>124</v>
      </c>
      <c r="C42" s="0" t="s">
        <v>98</v>
      </c>
      <c r="E42" s="7" t="n">
        <v>0.56</v>
      </c>
      <c r="G42" s="8" t="s">
        <v>32</v>
      </c>
      <c r="H42" s="4" t="s">
        <v>38</v>
      </c>
      <c r="I42" s="4" t="s">
        <v>38</v>
      </c>
    </row>
    <row r="43" customFormat="false" ht="17.15" hidden="false" customHeight="false" outlineLevel="0" collapsed="false">
      <c r="A43" s="0" t="s">
        <v>125</v>
      </c>
      <c r="B43" s="4" t="s">
        <v>126</v>
      </c>
      <c r="C43" s="0" t="s">
        <v>127</v>
      </c>
      <c r="E43" s="7" t="n">
        <v>1</v>
      </c>
      <c r="G43" s="8" t="s">
        <v>128</v>
      </c>
      <c r="H43" s="8" t="s">
        <v>129</v>
      </c>
      <c r="I43" s="8" t="s">
        <v>130</v>
      </c>
    </row>
    <row r="44" customFormat="false" ht="17.15" hidden="false" customHeight="false" outlineLevel="0" collapsed="false">
      <c r="A44" s="0" t="s">
        <v>131</v>
      </c>
      <c r="B44" s="4" t="s">
        <v>132</v>
      </c>
      <c r="C44" s="0" t="s">
        <v>127</v>
      </c>
      <c r="E44" s="7" t="n">
        <v>1</v>
      </c>
      <c r="G44" s="8" t="s">
        <v>128</v>
      </c>
      <c r="H44" s="8" t="s">
        <v>133</v>
      </c>
      <c r="I44" s="4" t="s">
        <v>38</v>
      </c>
    </row>
    <row r="45" customFormat="false" ht="17.15" hidden="false" customHeight="false" outlineLevel="0" collapsed="false">
      <c r="A45" s="0" t="s">
        <v>134</v>
      </c>
      <c r="B45" s="4" t="s">
        <v>135</v>
      </c>
      <c r="C45" s="0" t="s">
        <v>127</v>
      </c>
      <c r="E45" s="7" t="n">
        <v>0.8</v>
      </c>
      <c r="G45" s="8" t="s">
        <v>128</v>
      </c>
      <c r="H45" s="8" t="s">
        <v>136</v>
      </c>
      <c r="I45" s="8" t="s">
        <v>130</v>
      </c>
    </row>
    <row r="46" customFormat="false" ht="17.15" hidden="false" customHeight="false" outlineLevel="0" collapsed="false">
      <c r="A46" s="0" t="s">
        <v>137</v>
      </c>
      <c r="B46" s="4" t="s">
        <v>138</v>
      </c>
      <c r="C46" s="0" t="s">
        <v>127</v>
      </c>
      <c r="E46" s="7" t="n">
        <v>0.85</v>
      </c>
      <c r="G46" s="8" t="s">
        <v>128</v>
      </c>
      <c r="H46" s="8" t="s">
        <v>139</v>
      </c>
      <c r="I46" s="4" t="s">
        <v>38</v>
      </c>
    </row>
    <row r="47" customFormat="false" ht="17.15" hidden="false" customHeight="false" outlineLevel="0" collapsed="false">
      <c r="A47" s="0" t="s">
        <v>140</v>
      </c>
      <c r="B47" s="4" t="s">
        <v>141</v>
      </c>
      <c r="C47" s="0" t="s">
        <v>127</v>
      </c>
      <c r="E47" s="7" t="n">
        <v>0.6</v>
      </c>
      <c r="G47" s="8" t="s">
        <v>128</v>
      </c>
      <c r="H47" s="8" t="s">
        <v>142</v>
      </c>
      <c r="I47" s="8" t="s">
        <v>130</v>
      </c>
    </row>
    <row r="48" customFormat="false" ht="17.15" hidden="false" customHeight="false" outlineLevel="0" collapsed="false">
      <c r="A48" s="0" t="s">
        <v>143</v>
      </c>
      <c r="B48" s="4" t="s">
        <v>144</v>
      </c>
      <c r="C48" s="0" t="s">
        <v>127</v>
      </c>
      <c r="E48" s="7" t="n">
        <v>0.6</v>
      </c>
      <c r="G48" s="8" t="s">
        <v>128</v>
      </c>
      <c r="H48" s="8" t="s">
        <v>145</v>
      </c>
      <c r="I48" s="4" t="s">
        <v>38</v>
      </c>
    </row>
    <row r="49" customFormat="false" ht="17.15" hidden="false" customHeight="false" outlineLevel="0" collapsed="false">
      <c r="A49" s="0" t="s">
        <v>146</v>
      </c>
      <c r="B49" s="4" t="s">
        <v>147</v>
      </c>
      <c r="C49" s="0" t="s">
        <v>31</v>
      </c>
      <c r="E49" s="7" t="n">
        <v>116.896831844029</v>
      </c>
      <c r="G49" s="8" t="s">
        <v>41</v>
      </c>
      <c r="H49" s="8" t="s">
        <v>148</v>
      </c>
      <c r="I49" s="8" t="s">
        <v>149</v>
      </c>
    </row>
    <row r="50" customFormat="false" ht="17.15" hidden="false" customHeight="false" outlineLevel="0" collapsed="false">
      <c r="A50" s="0" t="s">
        <v>150</v>
      </c>
      <c r="B50" s="4" t="s">
        <v>151</v>
      </c>
      <c r="C50" s="0" t="s">
        <v>31</v>
      </c>
      <c r="E50" s="7" t="n">
        <v>156.157050570127</v>
      </c>
      <c r="G50" s="8" t="s">
        <v>41</v>
      </c>
      <c r="H50" s="4" t="s">
        <v>38</v>
      </c>
      <c r="I50" s="4" t="s">
        <v>38</v>
      </c>
    </row>
    <row r="51" customFormat="false" ht="17.15" hidden="false" customHeight="false" outlineLevel="0" collapsed="false">
      <c r="A51" s="0" t="s">
        <v>152</v>
      </c>
      <c r="B51" s="4" t="s">
        <v>153</v>
      </c>
      <c r="C51" s="0" t="s">
        <v>31</v>
      </c>
      <c r="E51" s="7" t="n">
        <v>192.795469377561</v>
      </c>
      <c r="G51" s="8" t="s">
        <v>41</v>
      </c>
      <c r="H51" s="4" t="s">
        <v>38</v>
      </c>
      <c r="I51" s="4" t="s">
        <v>38</v>
      </c>
    </row>
    <row r="52" customFormat="false" ht="17.15" hidden="false" customHeight="false" outlineLevel="0" collapsed="false">
      <c r="A52" s="0" t="s">
        <v>154</v>
      </c>
      <c r="B52" s="4" t="s">
        <v>155</v>
      </c>
      <c r="C52" s="0" t="s">
        <v>31</v>
      </c>
      <c r="E52" s="7" t="n">
        <v>216.628626308958</v>
      </c>
      <c r="G52" s="8" t="s">
        <v>41</v>
      </c>
      <c r="H52" s="4" t="s">
        <v>38</v>
      </c>
      <c r="I52" s="4" t="s">
        <v>38</v>
      </c>
    </row>
    <row r="53" customFormat="false" ht="17.15" hidden="false" customHeight="false" outlineLevel="0" collapsed="false">
      <c r="A53" s="0" t="s">
        <v>156</v>
      </c>
      <c r="B53" s="4" t="s">
        <v>157</v>
      </c>
      <c r="C53" s="0" t="s">
        <v>31</v>
      </c>
      <c r="E53" s="7" t="n">
        <v>228.903685855226</v>
      </c>
      <c r="G53" s="8" t="s">
        <v>41</v>
      </c>
      <c r="H53" s="4" t="s">
        <v>38</v>
      </c>
      <c r="I53" s="4" t="s">
        <v>38</v>
      </c>
    </row>
    <row r="54" customFormat="false" ht="17.15" hidden="false" customHeight="false" outlineLevel="0" collapsed="false">
      <c r="A54" s="0" t="s">
        <v>158</v>
      </c>
      <c r="B54" s="4" t="s">
        <v>159</v>
      </c>
      <c r="C54" s="0" t="s">
        <v>31</v>
      </c>
      <c r="E54" s="7" t="n">
        <v>116.896831844029</v>
      </c>
      <c r="G54" s="8" t="s">
        <v>41</v>
      </c>
      <c r="H54" s="8" t="s">
        <v>160</v>
      </c>
      <c r="I54" s="4" t="s">
        <v>38</v>
      </c>
    </row>
    <row r="55" customFormat="false" ht="17.15" hidden="false" customHeight="false" outlineLevel="0" collapsed="false">
      <c r="A55" s="0" t="s">
        <v>161</v>
      </c>
      <c r="B55" s="4" t="s">
        <v>162</v>
      </c>
      <c r="C55" s="0" t="s">
        <v>31</v>
      </c>
      <c r="E55" s="7" t="n">
        <v>156.157050570127</v>
      </c>
      <c r="G55" s="8" t="s">
        <v>41</v>
      </c>
      <c r="H55" s="4" t="s">
        <v>38</v>
      </c>
      <c r="I55" s="4" t="s">
        <v>38</v>
      </c>
    </row>
    <row r="56" customFormat="false" ht="17.15" hidden="false" customHeight="false" outlineLevel="0" collapsed="false">
      <c r="A56" s="0" t="s">
        <v>163</v>
      </c>
      <c r="B56" s="4" t="s">
        <v>164</v>
      </c>
      <c r="C56" s="0" t="s">
        <v>31</v>
      </c>
      <c r="E56" s="7" t="n">
        <v>192.795469377561</v>
      </c>
      <c r="G56" s="8" t="s">
        <v>41</v>
      </c>
      <c r="H56" s="4" t="s">
        <v>38</v>
      </c>
      <c r="I56" s="4" t="s">
        <v>38</v>
      </c>
    </row>
    <row r="57" customFormat="false" ht="17.15" hidden="false" customHeight="false" outlineLevel="0" collapsed="false">
      <c r="A57" s="0" t="s">
        <v>165</v>
      </c>
      <c r="B57" s="4" t="s">
        <v>166</v>
      </c>
      <c r="C57" s="0" t="s">
        <v>31</v>
      </c>
      <c r="E57" s="7" t="n">
        <v>192.795469377561</v>
      </c>
      <c r="G57" s="8" t="s">
        <v>41</v>
      </c>
      <c r="H57" s="4" t="s">
        <v>38</v>
      </c>
      <c r="I57" s="4" t="s">
        <v>38</v>
      </c>
    </row>
    <row r="58" customFormat="false" ht="17.15" hidden="false" customHeight="false" outlineLevel="0" collapsed="false">
      <c r="A58" s="0" t="s">
        <v>167</v>
      </c>
      <c r="B58" s="4" t="s">
        <v>168</v>
      </c>
      <c r="C58" s="0" t="s">
        <v>31</v>
      </c>
      <c r="E58" s="7" t="n">
        <v>183.155695908683</v>
      </c>
      <c r="G58" s="8" t="s">
        <v>41</v>
      </c>
      <c r="H58" s="4" t="s">
        <v>38</v>
      </c>
      <c r="I58" s="4" t="s">
        <v>38</v>
      </c>
    </row>
    <row r="59" customFormat="false" ht="17.15" hidden="false" customHeight="false" outlineLevel="0" collapsed="false">
      <c r="A59" s="0" t="s">
        <v>169</v>
      </c>
      <c r="B59" s="4" t="s">
        <v>170</v>
      </c>
      <c r="C59" s="0" t="s">
        <v>31</v>
      </c>
      <c r="E59" s="7" t="n">
        <v>116.896831844029</v>
      </c>
      <c r="G59" s="8" t="s">
        <v>41</v>
      </c>
      <c r="H59" s="8" t="s">
        <v>171</v>
      </c>
      <c r="I59" s="4" t="s">
        <v>38</v>
      </c>
    </row>
    <row r="60" customFormat="false" ht="17.15" hidden="false" customHeight="false" outlineLevel="0" collapsed="false">
      <c r="A60" s="0" t="s">
        <v>172</v>
      </c>
      <c r="B60" s="4" t="s">
        <v>173</v>
      </c>
      <c r="C60" s="0" t="s">
        <v>31</v>
      </c>
      <c r="E60" s="7" t="n">
        <v>156.157050570127</v>
      </c>
      <c r="G60" s="8" t="s">
        <v>41</v>
      </c>
      <c r="H60" s="4" t="s">
        <v>38</v>
      </c>
      <c r="I60" s="4" t="s">
        <v>38</v>
      </c>
    </row>
    <row r="61" customFormat="false" ht="17.15" hidden="false" customHeight="false" outlineLevel="0" collapsed="false">
      <c r="A61" s="0" t="s">
        <v>174</v>
      </c>
      <c r="B61" s="4" t="s">
        <v>175</v>
      </c>
      <c r="C61" s="0" t="s">
        <v>31</v>
      </c>
      <c r="E61" s="7" t="n">
        <v>192.795469377561</v>
      </c>
      <c r="G61" s="8" t="s">
        <v>41</v>
      </c>
      <c r="H61" s="4" t="s">
        <v>38</v>
      </c>
      <c r="I61" s="4" t="s">
        <v>38</v>
      </c>
    </row>
    <row r="62" customFormat="false" ht="17.15" hidden="false" customHeight="false" outlineLevel="0" collapsed="false">
      <c r="A62" s="0" t="s">
        <v>176</v>
      </c>
      <c r="B62" s="4" t="s">
        <v>177</v>
      </c>
      <c r="C62" s="0" t="s">
        <v>31</v>
      </c>
      <c r="E62" s="7" t="n">
        <v>154.236375502049</v>
      </c>
      <c r="G62" s="8" t="s">
        <v>41</v>
      </c>
      <c r="H62" s="4" t="s">
        <v>38</v>
      </c>
      <c r="I62" s="4" t="s">
        <v>38</v>
      </c>
    </row>
    <row r="63" customFormat="false" ht="17.15" hidden="false" customHeight="false" outlineLevel="0" collapsed="false">
      <c r="A63" s="0" t="s">
        <v>178</v>
      </c>
      <c r="B63" s="4" t="s">
        <v>179</v>
      </c>
      <c r="C63" s="0" t="s">
        <v>31</v>
      </c>
      <c r="E63" s="7" t="n">
        <v>154.236375502049</v>
      </c>
      <c r="G63" s="8" t="s">
        <v>41</v>
      </c>
      <c r="H63" s="4" t="s">
        <v>38</v>
      </c>
      <c r="I63" s="4" t="s">
        <v>38</v>
      </c>
    </row>
    <row r="64" customFormat="false" ht="17.15" hidden="false" customHeight="false" outlineLevel="0" collapsed="false">
      <c r="A64" s="6" t="s">
        <v>180</v>
      </c>
    </row>
    <row r="65" customFormat="false" ht="17.15" hidden="false" customHeight="false" outlineLevel="0" collapsed="false">
      <c r="A65" s="0" t="s">
        <v>181</v>
      </c>
      <c r="B65" s="4" t="s">
        <v>182</v>
      </c>
      <c r="C65" s="0" t="s">
        <v>98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41</v>
      </c>
      <c r="H65" s="0" t="s">
        <v>183</v>
      </c>
      <c r="I65" s="4" t="s">
        <v>184</v>
      </c>
    </row>
    <row r="66" customFormat="false" ht="17.15" hidden="false" customHeight="false" outlineLevel="0" collapsed="false">
      <c r="A66" s="0" t="s">
        <v>185</v>
      </c>
      <c r="B66" s="4" t="s">
        <v>186</v>
      </c>
      <c r="C66" s="0" t="s">
        <v>98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41</v>
      </c>
      <c r="H66" s="0" t="s">
        <v>187</v>
      </c>
      <c r="I66" s="0" t="s">
        <v>188</v>
      </c>
    </row>
    <row r="67" customFormat="false" ht="17.15" hidden="false" customHeight="false" outlineLevel="0" collapsed="false">
      <c r="A67" s="0" t="s">
        <v>189</v>
      </c>
      <c r="B67" s="0" t="s">
        <v>190</v>
      </c>
      <c r="C67" s="0" t="s">
        <v>98</v>
      </c>
      <c r="E67" s="0" t="n">
        <f aca="false">as_A_2026</f>
        <v>0.66</v>
      </c>
      <c r="G67" s="0" t="s">
        <v>41</v>
      </c>
      <c r="H67" s="0" t="s">
        <v>191</v>
      </c>
      <c r="I67" s="0" t="s">
        <v>192</v>
      </c>
    </row>
    <row r="68" customFormat="false" ht="17.15" hidden="false" customHeight="false" outlineLevel="0" collapsed="false">
      <c r="A68" s="6" t="s">
        <v>193</v>
      </c>
    </row>
    <row r="69" customFormat="false" ht="17.15" hidden="false" customHeight="false" outlineLevel="0" collapsed="false">
      <c r="A69" s="0" t="s">
        <v>194</v>
      </c>
      <c r="B69" s="0" t="s">
        <v>195</v>
      </c>
      <c r="C69" s="0" t="s">
        <v>196</v>
      </c>
      <c r="D69" s="7" t="n">
        <v>1200</v>
      </c>
      <c r="E69" s="7" t="n">
        <v>1250</v>
      </c>
      <c r="F69" s="7" t="n">
        <v>1300</v>
      </c>
      <c r="G69" s="8" t="s">
        <v>32</v>
      </c>
      <c r="H69" s="4" t="s">
        <v>197</v>
      </c>
      <c r="I69" s="8" t="s">
        <v>198</v>
      </c>
    </row>
    <row r="70" customFormat="false" ht="17.15" hidden="false" customHeight="false" outlineLevel="0" collapsed="false">
      <c r="A70" s="0" t="s">
        <v>199</v>
      </c>
      <c r="B70" s="0" t="s">
        <v>200</v>
      </c>
      <c r="C70" s="0" t="s">
        <v>201</v>
      </c>
      <c r="D70" s="7" t="n">
        <v>1.79</v>
      </c>
      <c r="E70" s="7" t="n">
        <v>1.94</v>
      </c>
      <c r="F70" s="7" t="n">
        <v>2.09</v>
      </c>
      <c r="G70" s="8" t="s">
        <v>32</v>
      </c>
      <c r="H70" s="4" t="s">
        <v>202</v>
      </c>
      <c r="I70" s="8" t="s">
        <v>203</v>
      </c>
    </row>
    <row r="71" customFormat="false" ht="17.15" hidden="false" customHeight="false" outlineLevel="0" collapsed="false">
      <c r="A71" s="0" t="s">
        <v>204</v>
      </c>
      <c r="B71" s="0" t="s">
        <v>205</v>
      </c>
      <c r="C71" s="0" t="s">
        <v>127</v>
      </c>
      <c r="D71" s="7" t="n">
        <v>0.95</v>
      </c>
      <c r="E71" s="7" t="n">
        <v>1</v>
      </c>
      <c r="F71" s="7" t="n">
        <v>1.1</v>
      </c>
      <c r="G71" s="8" t="s">
        <v>128</v>
      </c>
      <c r="H71" s="4" t="s">
        <v>206</v>
      </c>
      <c r="I71" s="4" t="s">
        <v>207</v>
      </c>
    </row>
    <row r="72" customFormat="false" ht="17.15" hidden="false" customHeight="false" outlineLevel="0" collapsed="false">
      <c r="A72" s="0" t="s">
        <v>208</v>
      </c>
      <c r="B72" s="4" t="s">
        <v>209</v>
      </c>
      <c r="C72" s="0" t="s">
        <v>98</v>
      </c>
      <c r="D72" s="7" t="n">
        <v>0</v>
      </c>
      <c r="E72" s="7" t="n">
        <v>0.1</v>
      </c>
      <c r="F72" s="7" t="n">
        <v>0.2</v>
      </c>
      <c r="G72" s="8" t="s">
        <v>128</v>
      </c>
      <c r="H72" s="4" t="s">
        <v>210</v>
      </c>
      <c r="I72" s="8" t="s">
        <v>211</v>
      </c>
    </row>
    <row r="73" customFormat="false" ht="17.15" hidden="false" customHeight="false" outlineLevel="0" collapsed="false">
      <c r="A73" s="0" t="s">
        <v>212</v>
      </c>
      <c r="B73" s="4" t="s">
        <v>213</v>
      </c>
      <c r="C73" s="0" t="s">
        <v>196</v>
      </c>
      <c r="D73" s="7" t="n">
        <v>-10</v>
      </c>
      <c r="E73" s="7" t="n">
        <v>0</v>
      </c>
      <c r="F73" s="7" t="n">
        <v>10</v>
      </c>
      <c r="G73" s="8" t="s">
        <v>128</v>
      </c>
      <c r="H73" s="4" t="s">
        <v>214</v>
      </c>
      <c r="I73" s="8" t="s">
        <v>215</v>
      </c>
    </row>
    <row r="74" customFormat="false" ht="17.15" hidden="false" customHeight="false" outlineLevel="0" collapsed="false">
      <c r="A74" s="6" t="s">
        <v>216</v>
      </c>
    </row>
    <row r="75" customFormat="false" ht="17.15" hidden="false" customHeight="false" outlineLevel="0" collapsed="false">
      <c r="A75" s="0" t="s">
        <v>217</v>
      </c>
      <c r="B75" s="0" t="s">
        <v>218</v>
      </c>
      <c r="C75" s="0" t="s">
        <v>98</v>
      </c>
      <c r="D75" s="7" t="n">
        <v>0.04</v>
      </c>
      <c r="E75" s="7" t="n">
        <v>0.08</v>
      </c>
      <c r="F75" s="7" t="n">
        <v>0.12</v>
      </c>
      <c r="G75" s="8" t="s">
        <v>128</v>
      </c>
      <c r="H75" s="8" t="s">
        <v>219</v>
      </c>
      <c r="I75" s="8" t="s">
        <v>215</v>
      </c>
    </row>
    <row r="76" customFormat="false" ht="17.15" hidden="false" customHeight="false" outlineLevel="0" collapsed="false">
      <c r="A76" s="0" t="s">
        <v>220</v>
      </c>
      <c r="B76" s="0" t="s">
        <v>221</v>
      </c>
      <c r="C76" s="0" t="s">
        <v>98</v>
      </c>
      <c r="D76" s="7" t="n">
        <v>0.01</v>
      </c>
      <c r="E76" s="7" t="n">
        <v>0.05</v>
      </c>
      <c r="F76" s="7" t="n">
        <v>0.09</v>
      </c>
      <c r="G76" s="8" t="s">
        <v>128</v>
      </c>
      <c r="H76" s="8" t="s">
        <v>219</v>
      </c>
      <c r="I76" s="8" t="s">
        <v>215</v>
      </c>
    </row>
    <row r="77" customFormat="false" ht="17.15" hidden="false" customHeight="false" outlineLevel="0" collapsed="false">
      <c r="A77" s="0" t="s">
        <v>222</v>
      </c>
      <c r="B77" s="0" t="s">
        <v>223</v>
      </c>
      <c r="C77" s="0" t="s">
        <v>98</v>
      </c>
      <c r="D77" s="7" t="n">
        <v>-0.02</v>
      </c>
      <c r="E77" s="7" t="n">
        <v>0.02</v>
      </c>
      <c r="F77" s="7" t="n">
        <v>0.06</v>
      </c>
      <c r="G77" s="8" t="s">
        <v>128</v>
      </c>
      <c r="H77" s="8" t="s">
        <v>219</v>
      </c>
      <c r="I77" s="8" t="s">
        <v>215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98</v>
      </c>
      <c r="D78" s="7" t="n">
        <v>0</v>
      </c>
      <c r="E78" s="7" t="n">
        <v>0.1</v>
      </c>
      <c r="F78" s="7" t="n">
        <v>0.2</v>
      </c>
      <c r="G78" s="8" t="s">
        <v>128</v>
      </c>
      <c r="H78" s="4" t="s">
        <v>226</v>
      </c>
      <c r="I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98</v>
      </c>
      <c r="D79" s="7" t="n">
        <v>-0.05</v>
      </c>
      <c r="E79" s="7" t="n">
        <v>0.02</v>
      </c>
      <c r="F79" s="7" t="n">
        <v>0.07</v>
      </c>
      <c r="G79" s="8" t="s">
        <v>128</v>
      </c>
      <c r="H79" s="8" t="s">
        <v>230</v>
      </c>
      <c r="I79" s="4" t="s">
        <v>231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98</v>
      </c>
      <c r="D80" s="7" t="n">
        <v>-0.03</v>
      </c>
      <c r="E80" s="7" t="n">
        <v>0.04</v>
      </c>
      <c r="F80" s="7" t="n">
        <v>0.09</v>
      </c>
      <c r="G80" s="8" t="s">
        <v>128</v>
      </c>
      <c r="H80" s="8" t="s">
        <v>230</v>
      </c>
      <c r="I80" s="4" t="s">
        <v>231</v>
      </c>
    </row>
    <row r="81" customFormat="false" ht="17.15" hidden="false" customHeight="false" outlineLevel="0" collapsed="false">
      <c r="A81" s="0" t="s">
        <v>234</v>
      </c>
      <c r="B81" s="4" t="s">
        <v>235</v>
      </c>
      <c r="C81" s="0" t="s">
        <v>98</v>
      </c>
      <c r="D81" s="7" t="n">
        <v>-0.02</v>
      </c>
      <c r="E81" s="7" t="n">
        <v>0.05</v>
      </c>
      <c r="F81" s="7" t="n">
        <v>0.1</v>
      </c>
      <c r="G81" s="8" t="s">
        <v>128</v>
      </c>
      <c r="H81" s="8" t="s">
        <v>230</v>
      </c>
      <c r="I81" s="4" t="s">
        <v>231</v>
      </c>
    </row>
    <row r="82" customFormat="false" ht="17.15" hidden="false" customHeight="false" outlineLevel="0" collapsed="false">
      <c r="A82" s="6" t="s">
        <v>236</v>
      </c>
    </row>
    <row r="83" customFormat="false" ht="17.15" hidden="false" customHeight="false" outlineLevel="0" collapsed="false">
      <c r="A83" s="0" t="s">
        <v>237</v>
      </c>
      <c r="B83" s="4" t="s">
        <v>238</v>
      </c>
      <c r="C83" s="0" t="s">
        <v>98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41</v>
      </c>
      <c r="H83" s="4" t="s">
        <v>239</v>
      </c>
      <c r="I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196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41</v>
      </c>
      <c r="H84" s="4" t="s">
        <v>38</v>
      </c>
      <c r="I84" s="4" t="s">
        <v>243</v>
      </c>
    </row>
    <row r="85" customFormat="false" ht="17.15" hidden="false" customHeight="false" outlineLevel="0" collapsed="false">
      <c r="A85" s="0" t="s">
        <v>244</v>
      </c>
      <c r="B85" s="4" t="s">
        <v>245</v>
      </c>
      <c r="C85" s="0" t="s">
        <v>196</v>
      </c>
      <c r="E85" s="9" t="n">
        <f aca="false">f26_corp</f>
        <v>-10.4</v>
      </c>
      <c r="G85" s="8" t="s">
        <v>41</v>
      </c>
      <c r="H85" s="8" t="s">
        <v>246</v>
      </c>
      <c r="I85" s="8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98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41</v>
      </c>
      <c r="H86" s="4" t="s">
        <v>250</v>
      </c>
      <c r="I86" s="8" t="s">
        <v>251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196</v>
      </c>
      <c r="E87" s="0" t="n">
        <f aca="false">2*h1_aff</f>
        <v>-13.2</v>
      </c>
      <c r="G87" s="0" t="s">
        <v>41</v>
      </c>
      <c r="H87" s="4" t="s">
        <v>254</v>
      </c>
      <c r="I87" s="0" t="s">
        <v>255</v>
      </c>
    </row>
    <row r="88" customFormat="false" ht="17.15" hidden="false" customHeight="false" outlineLevel="0" collapsed="false">
      <c r="A88" s="0" t="s">
        <v>256</v>
      </c>
      <c r="B88" s="4" t="s">
        <v>257</v>
      </c>
      <c r="C88" s="4" t="s">
        <v>258</v>
      </c>
      <c r="E88" s="7" t="n">
        <v>157.7</v>
      </c>
      <c r="G88" s="8" t="s">
        <v>259</v>
      </c>
      <c r="H88" s="4" t="s">
        <v>260</v>
      </c>
      <c r="I88" s="8" t="s">
        <v>261</v>
      </c>
    </row>
    <row r="89" customFormat="false" ht="17.15" hidden="false" customHeight="false" outlineLevel="0" collapsed="false">
      <c r="A89" s="0" t="s">
        <v>262</v>
      </c>
      <c r="B89" s="4" t="s">
        <v>263</v>
      </c>
      <c r="C89" s="0" t="s">
        <v>98</v>
      </c>
      <c r="D89" s="7" t="n">
        <v>0</v>
      </c>
      <c r="E89" s="7" t="n">
        <v>0.01</v>
      </c>
      <c r="F89" s="7" t="n">
        <v>0.02</v>
      </c>
      <c r="G89" s="8" t="s">
        <v>128</v>
      </c>
      <c r="H89" s="8" t="s">
        <v>264</v>
      </c>
      <c r="I89" s="4" t="s">
        <v>265</v>
      </c>
    </row>
    <row r="90" customFormat="false" ht="17.15" hidden="false" customHeight="false" outlineLevel="0" collapsed="false">
      <c r="A90" s="0" t="s">
        <v>266</v>
      </c>
      <c r="B90" s="4" t="s">
        <v>267</v>
      </c>
      <c r="C90" s="0" t="s">
        <v>268</v>
      </c>
      <c r="D90" s="7" t="n">
        <v>-0.04</v>
      </c>
      <c r="E90" s="7" t="n">
        <v>-0.01</v>
      </c>
      <c r="F90" s="7" t="n">
        <v>0</v>
      </c>
      <c r="G90" s="8" t="s">
        <v>128</v>
      </c>
      <c r="H90" s="8" t="s">
        <v>269</v>
      </c>
      <c r="I90" s="4" t="s">
        <v>270</v>
      </c>
    </row>
    <row r="91" customFormat="false" ht="17.15" hidden="false" customHeight="false" outlineLevel="0" collapsed="false">
      <c r="A91" s="0" t="s">
        <v>271</v>
      </c>
      <c r="B91" s="4" t="s">
        <v>272</v>
      </c>
      <c r="C91" s="0" t="s">
        <v>268</v>
      </c>
      <c r="D91" s="7" t="n">
        <v>-0.06</v>
      </c>
      <c r="E91" s="7" t="n">
        <v>-0.02</v>
      </c>
      <c r="F91" s="7" t="n">
        <v>0</v>
      </c>
      <c r="G91" s="8" t="s">
        <v>128</v>
      </c>
      <c r="H91" s="8" t="s">
        <v>273</v>
      </c>
      <c r="I91" s="4" t="s">
        <v>38</v>
      </c>
    </row>
    <row r="92" customFormat="false" ht="17.15" hidden="false" customHeight="false" outlineLevel="0" collapsed="false">
      <c r="A92" s="0" t="s">
        <v>274</v>
      </c>
      <c r="B92" s="0" t="s">
        <v>275</v>
      </c>
      <c r="C92" s="0" t="s">
        <v>127</v>
      </c>
      <c r="D92" s="7" t="n">
        <v>0.85</v>
      </c>
      <c r="E92" s="7" t="n">
        <v>1</v>
      </c>
      <c r="F92" s="7" t="n">
        <v>1</v>
      </c>
      <c r="G92" s="8" t="s">
        <v>128</v>
      </c>
      <c r="H92" s="4" t="s">
        <v>276</v>
      </c>
      <c r="I92" s="8" t="s">
        <v>215</v>
      </c>
    </row>
    <row r="93" customFormat="false" ht="17.15" hidden="false" customHeight="false" outlineLevel="0" collapsed="false">
      <c r="A93" s="6" t="s">
        <v>277</v>
      </c>
    </row>
    <row r="94" customFormat="false" ht="17.15" hidden="false" customHeight="false" outlineLevel="0" collapsed="false">
      <c r="A94" s="0" t="s">
        <v>278</v>
      </c>
      <c r="B94" s="4" t="s">
        <v>279</v>
      </c>
      <c r="C94" s="0" t="s">
        <v>98</v>
      </c>
      <c r="E94" s="7" t="n">
        <v>0.5</v>
      </c>
      <c r="G94" s="8" t="s">
        <v>32</v>
      </c>
      <c r="H94" s="4" t="s">
        <v>280</v>
      </c>
      <c r="I94" s="4" t="s">
        <v>281</v>
      </c>
    </row>
    <row r="95" customFormat="false" ht="15" hidden="false" customHeight="false" outlineLevel="0" collapsed="false">
      <c r="A95" s="0" t="s">
        <v>282</v>
      </c>
      <c r="B95" s="4" t="s">
        <v>283</v>
      </c>
      <c r="C95" s="0" t="s">
        <v>98</v>
      </c>
      <c r="E95" s="7" t="n">
        <v>0.52</v>
      </c>
      <c r="G95" s="8" t="s">
        <v>32</v>
      </c>
      <c r="H95" s="4" t="s">
        <v>38</v>
      </c>
      <c r="I95" s="8" t="s">
        <v>215</v>
      </c>
    </row>
    <row r="96" customFormat="false" ht="17.15" hidden="false" customHeight="false" outlineLevel="0" collapsed="false">
      <c r="A96" s="0" t="s">
        <v>284</v>
      </c>
      <c r="B96" s="4" t="s">
        <v>285</v>
      </c>
      <c r="C96" s="0" t="s">
        <v>196</v>
      </c>
      <c r="E96" s="7" t="n">
        <v>5100</v>
      </c>
      <c r="G96" s="8" t="s">
        <v>32</v>
      </c>
      <c r="H96" s="8" t="s">
        <v>286</v>
      </c>
      <c r="I96" s="4" t="s">
        <v>287</v>
      </c>
    </row>
    <row r="97" customFormat="false" ht="17.15" hidden="false" customHeight="false" outlineLevel="0" collapsed="false">
      <c r="A97" s="0" t="s">
        <v>288</v>
      </c>
      <c r="B97" s="4" t="s">
        <v>289</v>
      </c>
      <c r="C97" s="0" t="s">
        <v>201</v>
      </c>
      <c r="E97" s="7" t="n">
        <v>9.09</v>
      </c>
      <c r="G97" s="8" t="s">
        <v>32</v>
      </c>
      <c r="H97" s="8" t="s">
        <v>290</v>
      </c>
      <c r="I97" s="8" t="s">
        <v>291</v>
      </c>
    </row>
    <row r="98" customFormat="false" ht="17.15" hidden="false" customHeight="false" outlineLevel="0" collapsed="false">
      <c r="A98" s="0" t="s">
        <v>292</v>
      </c>
      <c r="B98" s="4" t="s">
        <v>293</v>
      </c>
      <c r="C98" s="0" t="s">
        <v>201</v>
      </c>
      <c r="E98" s="7" t="n">
        <v>11.3</v>
      </c>
      <c r="G98" s="8" t="s">
        <v>32</v>
      </c>
      <c r="H98" s="8" t="s">
        <v>294</v>
      </c>
      <c r="I98" s="8" t="s">
        <v>295</v>
      </c>
    </row>
    <row r="99" customFormat="false" ht="17.15" hidden="false" customHeight="false" outlineLevel="0" collapsed="false">
      <c r="A99" s="0" t="s">
        <v>296</v>
      </c>
      <c r="B99" s="4" t="s">
        <v>297</v>
      </c>
      <c r="C99" s="0" t="s">
        <v>196</v>
      </c>
      <c r="E99" s="7" t="n">
        <v>6000</v>
      </c>
      <c r="G99" s="8" t="s">
        <v>32</v>
      </c>
      <c r="H99" s="4" t="s">
        <v>298</v>
      </c>
      <c r="I99" s="4" t="s">
        <v>299</v>
      </c>
    </row>
    <row r="100" customFormat="false" ht="17.15" hidden="false" customHeight="false" outlineLevel="0" collapsed="false">
      <c r="A100" s="0" t="s">
        <v>300</v>
      </c>
      <c r="B100" s="4" t="s">
        <v>301</v>
      </c>
      <c r="C100" s="0" t="s">
        <v>201</v>
      </c>
      <c r="E100" s="7" t="n">
        <v>9.5</v>
      </c>
      <c r="G100" s="8" t="s">
        <v>32</v>
      </c>
      <c r="H100" s="4" t="s">
        <v>38</v>
      </c>
      <c r="I100" s="8" t="s">
        <v>215</v>
      </c>
    </row>
    <row r="101" customFormat="false" ht="17.15" hidden="false" customHeight="false" outlineLevel="0" collapsed="false">
      <c r="A101" s="0" t="s">
        <v>302</v>
      </c>
      <c r="B101" s="4" t="s">
        <v>303</v>
      </c>
      <c r="C101" s="0" t="s">
        <v>201</v>
      </c>
      <c r="E101" s="7" t="n">
        <v>11</v>
      </c>
      <c r="G101" s="8" t="s">
        <v>32</v>
      </c>
      <c r="H101" s="4" t="s">
        <v>38</v>
      </c>
      <c r="I101" s="8" t="s">
        <v>215</v>
      </c>
    </row>
    <row r="102" customFormat="false" ht="17.15" hidden="false" customHeight="false" outlineLevel="0" collapsed="false">
      <c r="A102" s="0" t="s">
        <v>304</v>
      </c>
      <c r="B102" s="4" t="s">
        <v>305</v>
      </c>
      <c r="C102" s="0" t="s">
        <v>98</v>
      </c>
      <c r="E102" s="7" t="n">
        <v>0.07</v>
      </c>
      <c r="G102" s="8" t="s">
        <v>32</v>
      </c>
      <c r="H102" s="4" t="s">
        <v>306</v>
      </c>
      <c r="I102" s="8" t="s">
        <v>307</v>
      </c>
    </row>
    <row r="103" customFormat="false" ht="17.15" hidden="false" customHeight="false" outlineLevel="0" collapsed="false">
      <c r="A103" s="0" t="s">
        <v>308</v>
      </c>
      <c r="B103" s="4" t="s">
        <v>309</v>
      </c>
      <c r="C103" s="0" t="s">
        <v>98</v>
      </c>
      <c r="E103" s="7" t="n">
        <v>0.09</v>
      </c>
      <c r="G103" s="8" t="s">
        <v>32</v>
      </c>
      <c r="H103" s="4" t="s">
        <v>38</v>
      </c>
      <c r="I103" s="8" t="s">
        <v>215</v>
      </c>
    </row>
    <row r="104" customFormat="false" ht="17.15" hidden="false" customHeight="false" outlineLevel="0" collapsed="false">
      <c r="A104" s="0" t="s">
        <v>310</v>
      </c>
      <c r="B104" s="4" t="s">
        <v>311</v>
      </c>
      <c r="C104" s="0" t="s">
        <v>98</v>
      </c>
      <c r="E104" s="7" t="n">
        <v>0.37</v>
      </c>
      <c r="G104" s="8" t="s">
        <v>32</v>
      </c>
      <c r="H104" s="8" t="s">
        <v>312</v>
      </c>
      <c r="I104" s="4" t="s">
        <v>313</v>
      </c>
    </row>
    <row r="105" customFormat="false" ht="17.15" hidden="false" customHeight="false" outlineLevel="0" collapsed="false">
      <c r="A105" s="0" t="s">
        <v>314</v>
      </c>
      <c r="B105" s="4" t="s">
        <v>315</v>
      </c>
      <c r="C105" s="4" t="s">
        <v>316</v>
      </c>
      <c r="E105" s="7" t="n">
        <v>2029</v>
      </c>
      <c r="G105" s="8" t="s">
        <v>41</v>
      </c>
      <c r="H105" s="8" t="s">
        <v>317</v>
      </c>
      <c r="I105" s="4" t="s">
        <v>318</v>
      </c>
    </row>
    <row r="106" customFormat="false" ht="17.15" hidden="false" customHeight="false" outlineLevel="0" collapsed="false">
      <c r="A106" s="0" t="s">
        <v>319</v>
      </c>
      <c r="B106" s="4" t="s">
        <v>320</v>
      </c>
      <c r="C106" s="4" t="s">
        <v>316</v>
      </c>
      <c r="E106" s="7" t="n">
        <v>2028</v>
      </c>
      <c r="G106" s="8" t="s">
        <v>41</v>
      </c>
      <c r="H106" s="8" t="s">
        <v>321</v>
      </c>
      <c r="I106" s="4" t="s">
        <v>38</v>
      </c>
    </row>
    <row r="107" customFormat="false" ht="17.15" hidden="false" customHeight="false" outlineLevel="0" collapsed="false">
      <c r="A107" s="0" t="s">
        <v>322</v>
      </c>
      <c r="B107" s="4" t="s">
        <v>323</v>
      </c>
      <c r="C107" s="4" t="s">
        <v>316</v>
      </c>
      <c r="E107" s="7" t="n">
        <v>2027</v>
      </c>
      <c r="G107" s="8" t="s">
        <v>41</v>
      </c>
      <c r="H107" s="8" t="s">
        <v>324</v>
      </c>
      <c r="I107" s="4" t="s">
        <v>38</v>
      </c>
    </row>
    <row r="108" customFormat="false" ht="17.15" hidden="false" customHeight="false" outlineLevel="0" collapsed="false">
      <c r="A108" s="0" t="s">
        <v>325</v>
      </c>
      <c r="B108" s="4" t="s">
        <v>326</v>
      </c>
      <c r="C108" s="0" t="s">
        <v>201</v>
      </c>
      <c r="E108" s="7" t="n">
        <v>308.85</v>
      </c>
      <c r="G108" s="8" t="s">
        <v>259</v>
      </c>
      <c r="H108" s="8" t="s">
        <v>327</v>
      </c>
      <c r="I108" s="8" t="s">
        <v>328</v>
      </c>
    </row>
    <row r="109" customFormat="false" ht="17.15" hidden="false" customHeight="false" outlineLevel="0" collapsed="false">
      <c r="A109" s="0" t="s">
        <v>329</v>
      </c>
      <c r="B109" s="4" t="s">
        <v>330</v>
      </c>
      <c r="C109" s="0" t="s">
        <v>127</v>
      </c>
      <c r="E109" s="7" t="n">
        <v>32.52</v>
      </c>
      <c r="G109" s="8" t="s">
        <v>32</v>
      </c>
      <c r="H109" s="8" t="s">
        <v>331</v>
      </c>
      <c r="I109" s="4" t="s">
        <v>332</v>
      </c>
    </row>
    <row r="110" customFormat="false" ht="17.15" hidden="false" customHeight="false" outlineLevel="0" collapsed="false">
      <c r="A110" s="6" t="s">
        <v>333</v>
      </c>
    </row>
    <row r="111" customFormat="false" ht="17.15" hidden="false" customHeight="false" outlineLevel="0" collapsed="false">
      <c r="A111" s="0" t="s">
        <v>334</v>
      </c>
      <c r="B111" s="4" t="s">
        <v>335</v>
      </c>
      <c r="C111" s="0" t="s">
        <v>98</v>
      </c>
      <c r="E111" s="7" t="n">
        <v>0.3</v>
      </c>
      <c r="G111" s="8" t="s">
        <v>128</v>
      </c>
      <c r="H111" s="8" t="s">
        <v>336</v>
      </c>
      <c r="I111" s="4" t="s">
        <v>337</v>
      </c>
    </row>
    <row r="112" customFormat="false" ht="17.15" hidden="false" customHeight="false" outlineLevel="0" collapsed="false">
      <c r="A112" s="0" t="s">
        <v>338</v>
      </c>
      <c r="B112" s="4" t="s">
        <v>339</v>
      </c>
      <c r="C112" s="0" t="s">
        <v>98</v>
      </c>
      <c r="E112" s="7" t="n">
        <v>0.5</v>
      </c>
      <c r="G112" s="8" t="s">
        <v>128</v>
      </c>
      <c r="H112" s="8" t="s">
        <v>336</v>
      </c>
      <c r="I112" s="4" t="s">
        <v>337</v>
      </c>
    </row>
    <row r="113" customFormat="false" ht="17.15" hidden="false" customHeight="false" outlineLevel="0" collapsed="false">
      <c r="A113" s="0" t="s">
        <v>340</v>
      </c>
      <c r="B113" s="4" t="s">
        <v>341</v>
      </c>
      <c r="C113" s="0" t="s">
        <v>98</v>
      </c>
      <c r="E113" s="7" t="n">
        <v>0.2</v>
      </c>
      <c r="G113" s="8" t="s">
        <v>128</v>
      </c>
      <c r="H113" s="8" t="s">
        <v>336</v>
      </c>
      <c r="I113" s="4" t="s">
        <v>337</v>
      </c>
    </row>
    <row r="115" customFormat="false" ht="17.15" hidden="false" customHeight="false" outlineLevel="0" collapsed="false">
      <c r="A115" s="6" t="s">
        <v>342</v>
      </c>
    </row>
    <row r="116" customFormat="false" ht="17.15" hidden="false" customHeight="false" outlineLevel="0" collapsed="false">
      <c r="A116" s="0" t="s">
        <v>343</v>
      </c>
      <c r="B116" s="4" t="s">
        <v>344</v>
      </c>
      <c r="C116" s="0" t="s">
        <v>98</v>
      </c>
      <c r="E116" s="10" t="n">
        <v>0.1</v>
      </c>
      <c r="G116" s="8" t="s">
        <v>128</v>
      </c>
      <c r="H116" s="8" t="s">
        <v>345</v>
      </c>
      <c r="I116" s="8" t="s">
        <v>346</v>
      </c>
    </row>
    <row r="117" customFormat="false" ht="17.15" hidden="false" customHeight="false" outlineLevel="0" collapsed="false">
      <c r="A117" s="0" t="s">
        <v>347</v>
      </c>
      <c r="B117" s="4" t="s">
        <v>348</v>
      </c>
      <c r="C117" s="0" t="s">
        <v>98</v>
      </c>
      <c r="E117" s="10" t="n">
        <v>0.04</v>
      </c>
      <c r="G117" s="8" t="s">
        <v>128</v>
      </c>
      <c r="H117" s="8" t="s">
        <v>349</v>
      </c>
      <c r="I117" s="4" t="s">
        <v>350</v>
      </c>
    </row>
    <row r="118" customFormat="false" ht="17.15" hidden="false" customHeight="false" outlineLevel="0" collapsed="false">
      <c r="A118" s="0" t="s">
        <v>351</v>
      </c>
      <c r="B118" s="0" t="s">
        <v>352</v>
      </c>
      <c r="C118" s="0" t="s">
        <v>98</v>
      </c>
      <c r="E118" s="11" t="n">
        <f aca="false">AVERAGE(Val!E14/AVERAGE(Val!G13:G14),Val!E15/AVERAGE(Val!G14:G15),Val!E16/AVERAGE(Val!G15:G16))</f>
        <v>0.193538623596448</v>
      </c>
      <c r="G118" s="8" t="s">
        <v>41</v>
      </c>
      <c r="H118" s="8" t="s">
        <v>353</v>
      </c>
      <c r="I118" s="8" t="s">
        <v>354</v>
      </c>
    </row>
    <row r="119" customFormat="false" ht="17.15" hidden="false" customHeight="false" outlineLevel="0" collapsed="false">
      <c r="A119" s="0" t="s">
        <v>355</v>
      </c>
      <c r="B119" s="4" t="s">
        <v>356</v>
      </c>
      <c r="C119" s="0" t="s">
        <v>98</v>
      </c>
      <c r="E119" s="12" t="n">
        <v>0.5</v>
      </c>
      <c r="G119" s="8" t="s">
        <v>128</v>
      </c>
      <c r="H119" s="8" t="s">
        <v>357</v>
      </c>
      <c r="I119" s="8" t="s">
        <v>215</v>
      </c>
    </row>
    <row r="120" customFormat="false" ht="17.15" hidden="false" customHeight="false" outlineLevel="0" collapsed="false">
      <c r="A120" s="0" t="s">
        <v>358</v>
      </c>
      <c r="B120" s="4" t="s">
        <v>359</v>
      </c>
      <c r="C120" s="0" t="s">
        <v>98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41</v>
      </c>
      <c r="H120" s="8" t="s">
        <v>360</v>
      </c>
      <c r="I120" s="8" t="s">
        <v>361</v>
      </c>
    </row>
    <row r="121" customFormat="false" ht="17.15" hidden="false" customHeight="false" outlineLevel="0" collapsed="false">
      <c r="A121" s="0" t="s">
        <v>362</v>
      </c>
      <c r="B121" s="4" t="s">
        <v>363</v>
      </c>
      <c r="C121" s="0" t="s">
        <v>201</v>
      </c>
      <c r="E121" s="13" t="n">
        <v>446.47</v>
      </c>
      <c r="G121" s="8" t="s">
        <v>32</v>
      </c>
      <c r="H121" s="8" t="s">
        <v>364</v>
      </c>
      <c r="I121" s="8" t="s">
        <v>365</v>
      </c>
    </row>
    <row r="122" customFormat="false" ht="17.15" hidden="false" customHeight="false" outlineLevel="0" collapsed="false">
      <c r="A122" s="0" t="s">
        <v>366</v>
      </c>
      <c r="B122" s="4" t="s">
        <v>367</v>
      </c>
      <c r="C122" s="0" t="s">
        <v>201</v>
      </c>
      <c r="E122" s="14" t="n">
        <f aca="false">cons_eps27</f>
        <v>11.3</v>
      </c>
      <c r="G122" s="8" t="s">
        <v>32</v>
      </c>
      <c r="H122" s="4" t="s">
        <v>368</v>
      </c>
      <c r="I122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20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15" t="s">
        <v>377</v>
      </c>
      <c r="I3" s="15" t="s">
        <v>378</v>
      </c>
      <c r="J3" s="5" t="s">
        <v>379</v>
      </c>
      <c r="K3" s="5" t="s">
        <v>25</v>
      </c>
      <c r="L3" s="5" t="s">
        <v>380</v>
      </c>
      <c r="M3" s="5" t="s">
        <v>27</v>
      </c>
    </row>
    <row r="4" customFormat="false" ht="17.15" hidden="false" customHeight="false" outlineLevel="0" collapsed="false">
      <c r="A4" s="0" t="s">
        <v>381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382</v>
      </c>
      <c r="J4" s="16" t="n">
        <v>1724.8</v>
      </c>
      <c r="K4" s="8" t="s">
        <v>383</v>
      </c>
      <c r="L4" s="8" t="s">
        <v>384</v>
      </c>
      <c r="M4" s="8" t="s">
        <v>385</v>
      </c>
    </row>
    <row r="5" customFormat="false" ht="17.15" hidden="false" customHeight="false" outlineLevel="0" collapsed="false">
      <c r="A5" s="4" t="s">
        <v>386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383</v>
      </c>
      <c r="L5" s="8" t="s">
        <v>387</v>
      </c>
      <c r="M5" s="4" t="s">
        <v>388</v>
      </c>
    </row>
    <row r="6" customFormat="false" ht="17.15" hidden="false" customHeight="false" outlineLevel="0" collapsed="false">
      <c r="A6" s="0" t="s">
        <v>389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383</v>
      </c>
      <c r="L6" s="8" t="s">
        <v>390</v>
      </c>
      <c r="M6" s="4" t="s">
        <v>391</v>
      </c>
    </row>
    <row r="7" customFormat="false" ht="17.15" hidden="false" customHeight="false" outlineLevel="0" collapsed="false">
      <c r="A7" s="4" t="s">
        <v>392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41</v>
      </c>
      <c r="L7" s="4" t="s">
        <v>393</v>
      </c>
      <c r="M7" s="4" t="s">
        <v>394</v>
      </c>
    </row>
    <row r="8" customFormat="false" ht="17.15" hidden="false" customHeight="false" outlineLevel="0" collapsed="false">
      <c r="A8" s="0" t="s">
        <v>395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383</v>
      </c>
      <c r="L8" s="4" t="s">
        <v>396</v>
      </c>
      <c r="M8" s="8" t="s">
        <v>397</v>
      </c>
    </row>
    <row r="9" customFormat="false" ht="17.15" hidden="false" customHeight="false" outlineLevel="0" collapsed="false">
      <c r="A9" s="4" t="s">
        <v>398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383</v>
      </c>
      <c r="L9" s="4" t="s">
        <v>399</v>
      </c>
      <c r="M9" s="8" t="s">
        <v>397</v>
      </c>
    </row>
    <row r="10" customFormat="false" ht="17.15" hidden="false" customHeight="false" outlineLevel="0" collapsed="false">
      <c r="A10" s="4" t="s">
        <v>400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259</v>
      </c>
      <c r="L10" s="4" t="s">
        <v>401</v>
      </c>
      <c r="M10" s="8" t="s">
        <v>402</v>
      </c>
    </row>
    <row r="11" customFormat="false" ht="17.15" hidden="false" customHeight="false" outlineLevel="0" collapsed="false">
      <c r="A11" s="4" t="s">
        <v>403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215</v>
      </c>
      <c r="L11" s="8" t="s">
        <v>215</v>
      </c>
      <c r="M11" s="8" t="s">
        <v>215</v>
      </c>
    </row>
    <row r="12" customFormat="false" ht="17.15" hidden="false" customHeight="false" outlineLevel="0" collapsed="false">
      <c r="A12" s="4" t="s">
        <v>404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259</v>
      </c>
      <c r="L12" s="4" t="s">
        <v>405</v>
      </c>
      <c r="M12" s="8" t="s">
        <v>215</v>
      </c>
    </row>
    <row r="13" customFormat="false" ht="17.15" hidden="false" customHeight="false" outlineLevel="0" collapsed="false">
      <c r="A13" s="4" t="s">
        <v>406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41</v>
      </c>
      <c r="L13" s="8" t="s">
        <v>215</v>
      </c>
      <c r="M13" s="4" t="s">
        <v>407</v>
      </c>
    </row>
    <row r="14" customFormat="false" ht="17.15" hidden="false" customHeight="false" outlineLevel="0" collapsed="false">
      <c r="A14" s="4" t="s">
        <v>408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383</v>
      </c>
      <c r="L14" s="4" t="s">
        <v>409</v>
      </c>
      <c r="M14" s="8" t="s">
        <v>215</v>
      </c>
    </row>
    <row r="15" customFormat="false" ht="17.15" hidden="false" customHeight="false" outlineLevel="0" collapsed="false">
      <c r="A15" s="4" t="s">
        <v>410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383</v>
      </c>
      <c r="L15" s="4" t="s">
        <v>411</v>
      </c>
      <c r="M15" s="8" t="s">
        <v>215</v>
      </c>
    </row>
    <row r="16" customFormat="false" ht="17.15" hidden="false" customHeight="false" outlineLevel="0" collapsed="false">
      <c r="A16" s="4" t="s">
        <v>412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383</v>
      </c>
      <c r="L16" s="4" t="s">
        <v>405</v>
      </c>
      <c r="M16" s="8" t="s">
        <v>215</v>
      </c>
    </row>
    <row r="17" customFormat="false" ht="17.15" hidden="false" customHeight="false" outlineLevel="0" collapsed="false">
      <c r="A17" s="4" t="s">
        <v>413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383</v>
      </c>
      <c r="L17" s="4" t="s">
        <v>405</v>
      </c>
      <c r="M17" s="8" t="s">
        <v>215</v>
      </c>
    </row>
    <row r="18" customFormat="false" ht="17.15" hidden="false" customHeight="false" outlineLevel="0" collapsed="false">
      <c r="A18" s="4" t="s">
        <v>414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259</v>
      </c>
      <c r="L18" s="4" t="s">
        <v>405</v>
      </c>
      <c r="M18" s="8" t="s">
        <v>215</v>
      </c>
    </row>
    <row r="19" customFormat="false" ht="17.15" hidden="false" customHeight="false" outlineLevel="0" collapsed="false">
      <c r="A19" s="0" t="s">
        <v>415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259</v>
      </c>
      <c r="L19" s="4" t="s">
        <v>416</v>
      </c>
      <c r="M19" s="8" t="s">
        <v>417</v>
      </c>
    </row>
    <row r="20" customFormat="false" ht="17.15" hidden="false" customHeight="false" outlineLevel="0" collapsed="false">
      <c r="A20" s="4" t="s">
        <v>418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259</v>
      </c>
      <c r="L20" s="4" t="s">
        <v>405</v>
      </c>
      <c r="M20" s="8" t="s">
        <v>215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5" t="s">
        <v>420</v>
      </c>
      <c r="B23" s="15" t="s">
        <v>421</v>
      </c>
      <c r="C23" s="15" t="s">
        <v>375</v>
      </c>
      <c r="D23" s="5" t="s">
        <v>379</v>
      </c>
      <c r="E23" s="15" t="s">
        <v>377</v>
      </c>
      <c r="F23" s="5"/>
      <c r="G23" s="5"/>
      <c r="H23" s="5"/>
      <c r="I23" s="5"/>
      <c r="J23" s="5"/>
      <c r="K23" s="5" t="s">
        <v>25</v>
      </c>
      <c r="L23" s="5" t="s">
        <v>26</v>
      </c>
      <c r="M23" s="5" t="s">
        <v>27</v>
      </c>
    </row>
    <row r="24" customFormat="false" ht="17.15" hidden="false" customHeight="false" outlineLevel="0" collapsed="false">
      <c r="A24" s="4" t="s">
        <v>422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259</v>
      </c>
      <c r="L24" s="8" t="s">
        <v>423</v>
      </c>
      <c r="M24" s="8" t="s">
        <v>424</v>
      </c>
    </row>
    <row r="25" customFormat="false" ht="17.15" hidden="false" customHeight="false" outlineLevel="0" collapsed="false">
      <c r="A25" s="0" t="s">
        <v>395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259</v>
      </c>
      <c r="L25" s="8" t="s">
        <v>423</v>
      </c>
      <c r="M25" s="8" t="s">
        <v>424</v>
      </c>
    </row>
    <row r="26" customFormat="false" ht="17.15" hidden="false" customHeight="false" outlineLevel="0" collapsed="false">
      <c r="A26" s="4" t="s">
        <v>425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259</v>
      </c>
      <c r="L26" s="8" t="s">
        <v>423</v>
      </c>
      <c r="M26" s="8" t="s">
        <v>424</v>
      </c>
    </row>
    <row r="27" customFormat="false" ht="17.15" hidden="false" customHeight="false" outlineLevel="0" collapsed="false">
      <c r="A27" s="4" t="s">
        <v>426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259</v>
      </c>
      <c r="L27" s="8" t="s">
        <v>423</v>
      </c>
      <c r="M27" s="8" t="s">
        <v>424</v>
      </c>
    </row>
    <row r="28" customFormat="false" ht="17.15" hidden="false" customHeight="false" outlineLevel="0" collapsed="false">
      <c r="A28" s="4" t="s">
        <v>427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428</v>
      </c>
    </row>
    <row r="30" customFormat="false" ht="17.15" hidden="false" customHeight="false" outlineLevel="0" collapsed="false">
      <c r="A30" s="6" t="s">
        <v>429</v>
      </c>
    </row>
    <row r="31" customFormat="false" ht="15" hidden="false" customHeight="false" outlineLevel="0" collapsed="false">
      <c r="A31" s="5" t="s">
        <v>20</v>
      </c>
      <c r="B31" s="5" t="s">
        <v>430</v>
      </c>
      <c r="C31" s="5" t="s">
        <v>431</v>
      </c>
      <c r="D31" s="15" t="s">
        <v>432</v>
      </c>
      <c r="E31" s="5"/>
      <c r="F31" s="5"/>
      <c r="G31" s="5"/>
      <c r="H31" s="5"/>
      <c r="I31" s="5"/>
      <c r="J31" s="5"/>
      <c r="K31" s="5" t="s">
        <v>25</v>
      </c>
      <c r="L31" s="5" t="s">
        <v>433</v>
      </c>
      <c r="M31" s="5"/>
    </row>
    <row r="32" customFormat="false" ht="17.15" hidden="false" customHeight="false" outlineLevel="0" collapsed="false">
      <c r="A32" s="0" t="s">
        <v>434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435</v>
      </c>
    </row>
    <row r="33" customFormat="false" ht="17.15" hidden="false" customHeight="false" outlineLevel="0" collapsed="false">
      <c r="A33" s="4" t="s">
        <v>386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436</v>
      </c>
    </row>
    <row r="34" customFormat="false" ht="15" hidden="false" customHeight="false" outlineLevel="0" collapsed="false">
      <c r="A34" s="0" t="s">
        <v>437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38</v>
      </c>
    </row>
    <row r="35" customFormat="false" ht="15" hidden="false" customHeight="false" outlineLevel="0" collapsed="false">
      <c r="A35" s="0" t="s">
        <v>395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38</v>
      </c>
    </row>
    <row r="36" customFormat="false" ht="17.15" hidden="false" customHeight="false" outlineLevel="0" collapsed="false">
      <c r="A36" s="4" t="s">
        <v>425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438</v>
      </c>
    </row>
    <row r="37" customFormat="false" ht="17.15" hidden="false" customHeight="false" outlineLevel="0" collapsed="false">
      <c r="A37" s="4" t="s">
        <v>439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440</v>
      </c>
    </row>
    <row r="39" customFormat="false" ht="17.15" hidden="false" customHeight="false" outlineLevel="0" collapsed="false">
      <c r="A39" s="4" t="s">
        <v>441</v>
      </c>
      <c r="C39" s="9" t="n">
        <f aca="false">q3_rev*(1+q4_eq_q3)</f>
        <v>2500</v>
      </c>
      <c r="L39" s="8" t="s">
        <v>442</v>
      </c>
    </row>
    <row r="40" customFormat="false" ht="15" hidden="false" customHeight="false" outlineLevel="0" collapsed="false">
      <c r="A40" s="4" t="s">
        <v>400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443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444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445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446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412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447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448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449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415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450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451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452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5" t="s">
        <v>20</v>
      </c>
      <c r="B3" s="5" t="s">
        <v>21</v>
      </c>
      <c r="C3" s="15" t="s">
        <v>454</v>
      </c>
      <c r="D3" s="15" t="s">
        <v>455</v>
      </c>
      <c r="E3" s="15" t="s">
        <v>456</v>
      </c>
      <c r="F3" s="15" t="s">
        <v>457</v>
      </c>
      <c r="G3" s="15" t="s">
        <v>458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7.15" hidden="false" customHeight="false" outlineLevel="0" collapsed="false">
      <c r="A5" s="0" t="s">
        <v>460</v>
      </c>
      <c r="B5" s="0" t="s">
        <v>31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461</v>
      </c>
      <c r="B6" s="0" t="s">
        <v>31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3.99150647980462</v>
      </c>
      <c r="F6" s="18" t="n">
        <f aca="false">mm_A_2028</f>
        <v>5.17069526557172</v>
      </c>
      <c r="G6" s="18" t="n">
        <f aca="false">mm_A_2029</f>
        <v>6.33160644779016</v>
      </c>
    </row>
    <row r="7" customFormat="false" ht="17.15" hidden="false" customHeight="false" outlineLevel="0" collapsed="false">
      <c r="A7" s="0" t="s">
        <v>462</v>
      </c>
      <c r="B7" s="0" t="s">
        <v>98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463</v>
      </c>
      <c r="B8" s="0" t="s">
        <v>98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464</v>
      </c>
      <c r="B9" s="0" t="s">
        <v>98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465</v>
      </c>
    </row>
    <row r="10" customFormat="false" ht="17.15" hidden="false" customHeight="false" outlineLevel="0" collapsed="false">
      <c r="A10" s="0" t="s">
        <v>466</v>
      </c>
      <c r="B10" s="0" t="s">
        <v>98</v>
      </c>
      <c r="C10" s="11" t="n">
        <f aca="false">(mk_soc25+mk_mem25)/wfe_A_2025</f>
        <v>0.0769909659485756</v>
      </c>
      <c r="D10" s="11" t="n">
        <f aca="false">(ms_A_2026+mm_A_2026)/wfe_A_2026</f>
        <v>0.0880523802786935</v>
      </c>
      <c r="E10" s="11" t="n">
        <f aca="false">(ms_A_2027+mm_A_2027)/wfe_A_2027</f>
        <v>0.100655189777327</v>
      </c>
      <c r="F10" s="11" t="n">
        <f aca="false">(ms_A_2028+mm_A_2028)/wfe_A_2028</f>
        <v>0.103725344659339</v>
      </c>
      <c r="G10" s="11" t="n">
        <f aca="false">(ms_A_2029+mm_A_2029)/wfe_A_2029</f>
        <v>0.111696683927443</v>
      </c>
      <c r="H10" s="4" t="s">
        <v>467</v>
      </c>
    </row>
    <row r="12" customFormat="false" ht="17.15" hidden="false" customHeight="false" outlineLevel="0" collapsed="false">
      <c r="A12" s="1" t="s">
        <v>468</v>
      </c>
    </row>
    <row r="13" customFormat="false" ht="17.15" hidden="false" customHeight="false" outlineLevel="0" collapsed="false">
      <c r="A13" s="0" t="s">
        <v>460</v>
      </c>
      <c r="B13" s="0" t="s">
        <v>31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461</v>
      </c>
      <c r="B14" s="0" t="s">
        <v>31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3.99150647980462</v>
      </c>
      <c r="F14" s="18" t="n">
        <f aca="false">mm_B_2028</f>
        <v>4.8492815003257</v>
      </c>
      <c r="G14" s="18" t="n">
        <f aca="false">mm_B_2029</f>
        <v>5.89583446540914</v>
      </c>
    </row>
    <row r="15" customFormat="false" ht="17.15" hidden="false" customHeight="false" outlineLevel="0" collapsed="false">
      <c r="A15" s="0" t="s">
        <v>462</v>
      </c>
      <c r="B15" s="0" t="s">
        <v>98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463</v>
      </c>
      <c r="B16" s="0" t="s">
        <v>98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464</v>
      </c>
      <c r="B17" s="0" t="s">
        <v>98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465</v>
      </c>
    </row>
    <row r="18" customFormat="false" ht="17.15" hidden="false" customHeight="false" outlineLevel="0" collapsed="false">
      <c r="A18" s="0" t="s">
        <v>466</v>
      </c>
      <c r="B18" s="0" t="s">
        <v>98</v>
      </c>
      <c r="C18" s="11" t="n">
        <f aca="false">(mk_soc25+mk_mem25)/wfe_B_2025</f>
        <v>0.0769909659485756</v>
      </c>
      <c r="D18" s="11" t="n">
        <f aca="false">(ms_B_2026+mm_B_2026)/wfe_B_2026</f>
        <v>0.0880523802786935</v>
      </c>
      <c r="E18" s="11" t="n">
        <f aca="false">(ms_B_2027+mm_B_2027)/wfe_B_2027</f>
        <v>0.100655189777327</v>
      </c>
      <c r="F18" s="11" t="n">
        <f aca="false">(ms_B_2028+mm_B_2028)/wfe_B_2028</f>
        <v>0.10175967564377</v>
      </c>
      <c r="G18" s="11" t="n">
        <f aca="false">(ms_B_2029+mm_B_2029)/wfe_B_2029</f>
        <v>0.12542400825863</v>
      </c>
      <c r="H18" s="4" t="s">
        <v>467</v>
      </c>
    </row>
    <row r="20" customFormat="false" ht="17.15" hidden="false" customHeight="false" outlineLevel="0" collapsed="false">
      <c r="A20" s="1" t="s">
        <v>469</v>
      </c>
    </row>
    <row r="21" customFormat="false" ht="17.15" hidden="false" customHeight="false" outlineLevel="0" collapsed="false">
      <c r="A21" s="0" t="s">
        <v>460</v>
      </c>
      <c r="B21" s="0" t="s">
        <v>31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461</v>
      </c>
      <c r="B22" s="0" t="s">
        <v>31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3.99150647980462</v>
      </c>
      <c r="F22" s="18" t="n">
        <f aca="false">mm_C_2028</f>
        <v>3.72997394923451</v>
      </c>
      <c r="G22" s="18" t="n">
        <f aca="false">mm_C_2029</f>
        <v>4.40250457885175</v>
      </c>
    </row>
    <row r="23" customFormat="false" ht="17.15" hidden="false" customHeight="false" outlineLevel="0" collapsed="false">
      <c r="A23" s="0" t="s">
        <v>462</v>
      </c>
      <c r="B23" s="0" t="s">
        <v>98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463</v>
      </c>
      <c r="B24" s="0" t="s">
        <v>98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464</v>
      </c>
      <c r="B25" s="0" t="s">
        <v>98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465</v>
      </c>
    </row>
    <row r="26" customFormat="false" ht="17.15" hidden="false" customHeight="false" outlineLevel="0" collapsed="false">
      <c r="A26" s="0" t="s">
        <v>466</v>
      </c>
      <c r="B26" s="0" t="s">
        <v>98</v>
      </c>
      <c r="C26" s="11" t="n">
        <f aca="false">(mk_soc25+mk_mem25)/wfe_C_2025</f>
        <v>0.0769909659485756</v>
      </c>
      <c r="D26" s="11" t="n">
        <f aca="false">(ms_C_2026+mm_C_2026)/wfe_C_2026</f>
        <v>0.0880523802786935</v>
      </c>
      <c r="E26" s="11" t="n">
        <f aca="false">(ms_C_2027+mm_C_2027)/wfe_C_2027</f>
        <v>0.100655189777327</v>
      </c>
      <c r="F26" s="11" t="n">
        <f aca="false">(ms_C_2028+mm_C_2028)/wfe_C_2028</f>
        <v>0.103541308553797</v>
      </c>
      <c r="G26" s="11" t="n">
        <f aca="false">(ms_C_2029+mm_C_2029)/wfe_C_2029</f>
        <v>0.115919323967898</v>
      </c>
      <c r="H26" s="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470</v>
      </c>
    </row>
    <row r="3" customFormat="false" ht="15" hidden="false" customHeight="false" outlineLevel="0" collapsed="false">
      <c r="A3" s="5" t="s">
        <v>471</v>
      </c>
      <c r="B3" s="5" t="s">
        <v>21</v>
      </c>
      <c r="C3" s="15" t="s">
        <v>472</v>
      </c>
      <c r="D3" s="15" t="s">
        <v>432</v>
      </c>
      <c r="E3" s="15" t="s">
        <v>473</v>
      </c>
      <c r="F3" s="15" t="s">
        <v>474</v>
      </c>
      <c r="G3" s="15" t="s">
        <v>475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4" t="s">
        <v>400</v>
      </c>
      <c r="B5" s="0" t="s">
        <v>196</v>
      </c>
      <c r="C5" s="20" t="n">
        <f aca="false">C61</f>
        <v>3190.1</v>
      </c>
      <c r="D5" s="20" t="n">
        <f aca="false">D61</f>
        <v>5111.6</v>
      </c>
      <c r="E5" s="20" t="n">
        <f aca="false">E61</f>
        <v>6958.96914523867</v>
      </c>
      <c r="F5" s="20" t="n">
        <f aca="false">F61</f>
        <v>8000.97215891378</v>
      </c>
      <c r="G5" s="20" t="n">
        <f aca="false">G61</f>
        <v>9060.66378455651</v>
      </c>
    </row>
    <row r="6" customFormat="false" ht="17.15" hidden="false" customHeight="false" outlineLevel="0" collapsed="false">
      <c r="A6" s="0" t="s">
        <v>476</v>
      </c>
      <c r="B6" s="0" t="s">
        <v>196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477</v>
      </c>
      <c r="B7" s="0" t="s">
        <v>196</v>
      </c>
      <c r="C7" s="20" t="n">
        <f aca="false">C51</f>
        <v>504.9</v>
      </c>
      <c r="D7" s="20" t="n">
        <f aca="false">D51</f>
        <v>871.08</v>
      </c>
      <c r="E7" s="20" t="n">
        <f aca="false">E51</f>
        <v>1264.33507797389</v>
      </c>
      <c r="F7" s="20" t="n">
        <f aca="false">F51</f>
        <v>1637.85062979426</v>
      </c>
      <c r="G7" s="20" t="n">
        <f aca="false">G51</f>
        <v>2005.57663437856</v>
      </c>
    </row>
    <row r="8" customFormat="false" ht="17.15" hidden="false" customHeight="false" outlineLevel="0" collapsed="false">
      <c r="A8" s="4" t="s">
        <v>478</v>
      </c>
      <c r="B8" s="0" t="s">
        <v>196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479</v>
      </c>
      <c r="B9" s="0" t="s">
        <v>98</v>
      </c>
      <c r="C9" s="11" t="n">
        <f aca="false">C71</f>
        <v>0.582225705329154</v>
      </c>
      <c r="D9" s="11" t="n">
        <f aca="false">D71</f>
        <v>0.594365646092145</v>
      </c>
      <c r="E9" s="11" t="n">
        <f aca="false">E71</f>
        <v>0.600140940959489</v>
      </c>
      <c r="F9" s="11" t="n">
        <f aca="false">F71</f>
        <v>0.595296697214342</v>
      </c>
      <c r="G9" s="11" t="n">
        <f aca="false">G71</f>
        <v>0.591716820200892</v>
      </c>
    </row>
    <row r="10" customFormat="false" ht="15" hidden="false" customHeight="false" outlineLevel="0" collapsed="false">
      <c r="A10" s="4" t="s">
        <v>480</v>
      </c>
      <c r="B10" s="0" t="s">
        <v>196</v>
      </c>
      <c r="C10" s="20" t="n">
        <f aca="false">C63</f>
        <v>653.2</v>
      </c>
      <c r="D10" s="20" t="n">
        <f aca="false">D63</f>
        <v>1629.93073654536</v>
      </c>
      <c r="E10" s="20" t="n">
        <f aca="false">E63</f>
        <v>2514.52879496834</v>
      </c>
      <c r="F10" s="20" t="n">
        <f aca="false">F63</f>
        <v>3006.74059733587</v>
      </c>
      <c r="G10" s="20" t="n">
        <f aca="false">G63</f>
        <v>3502.04562107711</v>
      </c>
    </row>
    <row r="11" customFormat="false" ht="15" hidden="false" customHeight="false" outlineLevel="0" collapsed="false">
      <c r="A11" s="4" t="s">
        <v>481</v>
      </c>
      <c r="B11" s="0" t="s">
        <v>98</v>
      </c>
      <c r="C11" s="11" t="n">
        <f aca="false">C64</f>
        <v>0.204758471521269</v>
      </c>
      <c r="D11" s="11" t="n">
        <f aca="false">D64</f>
        <v>0.318868991420565</v>
      </c>
      <c r="E11" s="11" t="n">
        <f aca="false">E64</f>
        <v>0.361336390848749</v>
      </c>
      <c r="F11" s="11" t="n">
        <f aca="false">F64</f>
        <v>0.375796907877763</v>
      </c>
      <c r="G11" s="11" t="n">
        <f aca="false">G64</f>
        <v>0.386510933894953</v>
      </c>
    </row>
    <row r="12" customFormat="false" ht="15" hidden="false" customHeight="false" outlineLevel="0" collapsed="false">
      <c r="A12" s="4" t="s">
        <v>482</v>
      </c>
      <c r="B12" s="0" t="s">
        <v>196</v>
      </c>
      <c r="C12" s="20" t="n">
        <f aca="false">C67</f>
        <v>554</v>
      </c>
      <c r="D12" s="20" t="n">
        <f aca="false">D67</f>
        <v>1385.276</v>
      </c>
      <c r="E12" s="20" t="n">
        <f aca="false">E67</f>
        <v>2144.87574133212</v>
      </c>
      <c r="F12" s="20" t="n">
        <f aca="false">F67</f>
        <v>2567.31288041451</v>
      </c>
      <c r="G12" s="20" t="n">
        <f aca="false">G67</f>
        <v>2992.40475386405</v>
      </c>
    </row>
    <row r="13" customFormat="false" ht="15" hidden="false" customHeight="false" outlineLevel="0" collapsed="false">
      <c r="A13" s="0" t="s">
        <v>483</v>
      </c>
      <c r="B13" s="0" t="s">
        <v>201</v>
      </c>
      <c r="C13" s="18" t="n">
        <f aca="false">C69</f>
        <v>3.47</v>
      </c>
      <c r="D13" s="18" t="n">
        <f aca="false">D69</f>
        <v>8.78424857324033</v>
      </c>
      <c r="E13" s="18" t="n">
        <f aca="false">E69</f>
        <v>13.7383712927123</v>
      </c>
      <c r="F13" s="18" t="n">
        <f aca="false">F69</f>
        <v>16.6102709642527</v>
      </c>
      <c r="G13" s="18" t="n">
        <f aca="false">G69</f>
        <v>19.5561364528184</v>
      </c>
    </row>
    <row r="15" customFormat="false" ht="17.15" hidden="false" customHeight="false" outlineLevel="0" collapsed="false">
      <c r="A15" s="1" t="s">
        <v>468</v>
      </c>
    </row>
    <row r="16" customFormat="false" ht="15" hidden="false" customHeight="false" outlineLevel="0" collapsed="false">
      <c r="A16" s="4" t="s">
        <v>400</v>
      </c>
      <c r="B16" s="0" t="s">
        <v>196</v>
      </c>
      <c r="C16" s="20" t="n">
        <f aca="false">C91</f>
        <v>3190.1</v>
      </c>
      <c r="D16" s="20" t="n">
        <f aca="false">D91</f>
        <v>5111.6</v>
      </c>
      <c r="E16" s="20" t="n">
        <f aca="false">E91</f>
        <v>6947.14404523867</v>
      </c>
      <c r="F16" s="20" t="n">
        <f aca="false">F91</f>
        <v>7081.7701876497</v>
      </c>
      <c r="G16" s="20" t="n">
        <f aca="false">G91</f>
        <v>8205.98597224243</v>
      </c>
    </row>
    <row r="17" customFormat="false" ht="17.15" hidden="false" customHeight="false" outlineLevel="0" collapsed="false">
      <c r="A17" s="0" t="s">
        <v>476</v>
      </c>
      <c r="B17" s="0" t="s">
        <v>196</v>
      </c>
      <c r="C17" s="20" t="n">
        <f aca="false">C79</f>
        <v>1889.7</v>
      </c>
      <c r="D17" s="20" t="n">
        <f aca="false">D79</f>
        <v>3249.32</v>
      </c>
      <c r="E17" s="20" t="n">
        <f aca="false">E79</f>
        <v>4553.28927199682</v>
      </c>
      <c r="F17" s="20" t="n">
        <f aca="false">F79</f>
        <v>4362.80965855081</v>
      </c>
      <c r="G17" s="20" t="n">
        <f aca="false">G79</f>
        <v>5044.21100364449</v>
      </c>
    </row>
    <row r="18" customFormat="false" ht="15" hidden="false" customHeight="false" outlineLevel="0" collapsed="false">
      <c r="A18" s="4" t="s">
        <v>477</v>
      </c>
      <c r="B18" s="0" t="s">
        <v>196</v>
      </c>
      <c r="C18" s="20" t="n">
        <f aca="false">C81</f>
        <v>504.9</v>
      </c>
      <c r="D18" s="20" t="n">
        <f aca="false">D81</f>
        <v>871.08</v>
      </c>
      <c r="E18" s="20" t="n">
        <f aca="false">E81</f>
        <v>1264.33507797389</v>
      </c>
      <c r="F18" s="20" t="n">
        <f aca="false">F81</f>
        <v>1536.04077429226</v>
      </c>
      <c r="G18" s="20" t="n">
        <f aca="false">G81</f>
        <v>1867.54308586494</v>
      </c>
    </row>
    <row r="19" customFormat="false" ht="17.15" hidden="false" customHeight="false" outlineLevel="0" collapsed="false">
      <c r="A19" s="4" t="s">
        <v>478</v>
      </c>
      <c r="B19" s="0" t="s">
        <v>196</v>
      </c>
      <c r="C19" s="20" t="n">
        <f aca="false">C88</f>
        <v>308.3</v>
      </c>
      <c r="D19" s="20" t="n">
        <f aca="false">D88</f>
        <v>401.52</v>
      </c>
      <c r="E19" s="20" t="n">
        <f aca="false">E88</f>
        <v>441.672</v>
      </c>
      <c r="F19" s="20" t="n">
        <f aca="false">F88</f>
        <v>485.8392</v>
      </c>
      <c r="G19" s="20" t="n">
        <f aca="false">G88</f>
        <v>534.42312</v>
      </c>
    </row>
    <row r="20" customFormat="false" ht="15" hidden="false" customHeight="false" outlineLevel="0" collapsed="false">
      <c r="A20" s="4" t="s">
        <v>479</v>
      </c>
      <c r="B20" s="0" t="s">
        <v>98</v>
      </c>
      <c r="C20" s="11" t="n">
        <f aca="false">C101</f>
        <v>0.582225705329154</v>
      </c>
      <c r="D20" s="11" t="n">
        <f aca="false">D101</f>
        <v>0.594365646092145</v>
      </c>
      <c r="E20" s="11" t="n">
        <f aca="false">E101</f>
        <v>0.600486206837982</v>
      </c>
      <c r="F20" s="11" t="n">
        <f aca="false">F101</f>
        <v>0.588285216577344</v>
      </c>
      <c r="G20" s="11" t="n">
        <f aca="false">G101</f>
        <v>0.58786265322457</v>
      </c>
    </row>
    <row r="21" customFormat="false" ht="15" hidden="false" customHeight="false" outlineLevel="0" collapsed="false">
      <c r="A21" s="4" t="s">
        <v>480</v>
      </c>
      <c r="B21" s="0" t="s">
        <v>196</v>
      </c>
      <c r="C21" s="20" t="n">
        <f aca="false">C93</f>
        <v>653.2</v>
      </c>
      <c r="D21" s="20" t="n">
        <f aca="false">D93</f>
        <v>1629.93073654536</v>
      </c>
      <c r="E21" s="20" t="n">
        <f aca="false">E93</f>
        <v>2508.82133675476</v>
      </c>
      <c r="F21" s="20" t="n">
        <f aca="false">F93</f>
        <v>2563.08203708442</v>
      </c>
      <c r="G21" s="20" t="n">
        <f aca="false">G93</f>
        <v>3089.53004828231</v>
      </c>
    </row>
    <row r="22" customFormat="false" ht="15" hidden="false" customHeight="false" outlineLevel="0" collapsed="false">
      <c r="A22" s="4" t="s">
        <v>481</v>
      </c>
      <c r="B22" s="0" t="s">
        <v>98</v>
      </c>
      <c r="C22" s="11" t="n">
        <f aca="false">C94</f>
        <v>0.204758471521269</v>
      </c>
      <c r="D22" s="11" t="n">
        <f aca="false">D94</f>
        <v>0.318868991420565</v>
      </c>
      <c r="E22" s="11" t="n">
        <f aca="false">E94</f>
        <v>0.361129885952807</v>
      </c>
      <c r="F22" s="11" t="n">
        <f aca="false">F94</f>
        <v>0.361926745597355</v>
      </c>
      <c r="G22" s="11" t="n">
        <f aca="false">G94</f>
        <v>0.376497115487761</v>
      </c>
    </row>
    <row r="23" customFormat="false" ht="15" hidden="false" customHeight="false" outlineLevel="0" collapsed="false">
      <c r="A23" s="4" t="s">
        <v>482</v>
      </c>
      <c r="B23" s="0" t="s">
        <v>196</v>
      </c>
      <c r="C23" s="20" t="n">
        <f aca="false">C97</f>
        <v>554</v>
      </c>
      <c r="D23" s="20" t="n">
        <f aca="false">D97</f>
        <v>1385.276</v>
      </c>
      <c r="E23" s="20" t="n">
        <f aca="false">E97</f>
        <v>2139.97735753153</v>
      </c>
      <c r="F23" s="20" t="n">
        <f aca="false">F97</f>
        <v>2186.54620228823</v>
      </c>
      <c r="G23" s="20" t="n">
        <f aca="false">G97</f>
        <v>2638.36631439515</v>
      </c>
    </row>
    <row r="24" customFormat="false" ht="15" hidden="false" customHeight="false" outlineLevel="0" collapsed="false">
      <c r="A24" s="0" t="s">
        <v>483</v>
      </c>
      <c r="B24" s="0" t="s">
        <v>201</v>
      </c>
      <c r="C24" s="18" t="n">
        <f aca="false">C99</f>
        <v>3.47</v>
      </c>
      <c r="D24" s="18" t="n">
        <f aca="false">D99</f>
        <v>8.78424857324033</v>
      </c>
      <c r="E24" s="18" t="n">
        <f aca="false">E99</f>
        <v>13.70699613466</v>
      </c>
      <c r="F24" s="18" t="n">
        <f aca="false">F99</f>
        <v>14.1467466520876</v>
      </c>
      <c r="G24" s="18" t="n">
        <f aca="false">G99</f>
        <v>17.2424039863611</v>
      </c>
    </row>
    <row r="26" customFormat="false" ht="17.15" hidden="false" customHeight="false" outlineLevel="0" collapsed="false">
      <c r="A26" s="1" t="s">
        <v>469</v>
      </c>
    </row>
    <row r="27" customFormat="false" ht="15" hidden="false" customHeight="false" outlineLevel="0" collapsed="false">
      <c r="A27" s="4" t="s">
        <v>400</v>
      </c>
      <c r="B27" s="0" t="s">
        <v>196</v>
      </c>
      <c r="C27" s="20" t="n">
        <f aca="false">C121</f>
        <v>3190.1</v>
      </c>
      <c r="D27" s="20" t="n">
        <f aca="false">D121</f>
        <v>5111.6</v>
      </c>
      <c r="E27" s="20" t="n">
        <f aca="false">E121</f>
        <v>6935.31894523867</v>
      </c>
      <c r="F27" s="20" t="n">
        <f aca="false">F121</f>
        <v>6522.53289805538</v>
      </c>
      <c r="G27" s="20" t="n">
        <f aca="false">G121</f>
        <v>7915.26566715332</v>
      </c>
    </row>
    <row r="28" customFormat="false" ht="17.15" hidden="false" customHeight="false" outlineLevel="0" collapsed="false">
      <c r="A28" s="0" t="s">
        <v>476</v>
      </c>
      <c r="B28" s="0" t="s">
        <v>196</v>
      </c>
      <c r="C28" s="20" t="n">
        <f aca="false">C109</f>
        <v>1889.7</v>
      </c>
      <c r="D28" s="20" t="n">
        <f aca="false">D109</f>
        <v>3249.32</v>
      </c>
      <c r="E28" s="20" t="n">
        <f aca="false">E109</f>
        <v>4553.28927199682</v>
      </c>
      <c r="F28" s="20" t="n">
        <f aca="false">F109</f>
        <v>4227.55938560979</v>
      </c>
      <c r="G28" s="20" t="n">
        <f aca="false">G109</f>
        <v>5328.49893925505</v>
      </c>
    </row>
    <row r="29" customFormat="false" ht="15" hidden="false" customHeight="false" outlineLevel="0" collapsed="false">
      <c r="A29" s="4" t="s">
        <v>477</v>
      </c>
      <c r="B29" s="0" t="s">
        <v>196</v>
      </c>
      <c r="C29" s="20" t="n">
        <f aca="false">C111</f>
        <v>504.9</v>
      </c>
      <c r="D29" s="20" t="n">
        <f aca="false">D111</f>
        <v>871.08</v>
      </c>
      <c r="E29" s="20" t="n">
        <f aca="false">E111</f>
        <v>1264.33507797389</v>
      </c>
      <c r="F29" s="20" t="n">
        <f aca="false">F111</f>
        <v>1181.49298461789</v>
      </c>
      <c r="G29" s="20" t="n">
        <f aca="false">G111</f>
        <v>1394.52134128952</v>
      </c>
    </row>
    <row r="30" customFormat="false" ht="17.15" hidden="false" customHeight="false" outlineLevel="0" collapsed="false">
      <c r="A30" s="4" t="s">
        <v>478</v>
      </c>
      <c r="B30" s="0" t="s">
        <v>196</v>
      </c>
      <c r="C30" s="20" t="n">
        <f aca="false">C118</f>
        <v>308.3</v>
      </c>
      <c r="D30" s="20" t="n">
        <f aca="false">D118</f>
        <v>401.52</v>
      </c>
      <c r="E30" s="20" t="n">
        <f aca="false">E118</f>
        <v>441.672</v>
      </c>
      <c r="F30" s="20" t="n">
        <f aca="false">F118</f>
        <v>485.8392</v>
      </c>
      <c r="G30" s="20" t="n">
        <f aca="false">G118</f>
        <v>534.42312</v>
      </c>
    </row>
    <row r="31" customFormat="false" ht="15" hidden="false" customHeight="false" outlineLevel="0" collapsed="false">
      <c r="A31" s="4" t="s">
        <v>479</v>
      </c>
      <c r="B31" s="0" t="s">
        <v>98</v>
      </c>
      <c r="C31" s="11" t="n">
        <f aca="false">C131</f>
        <v>0.582225705329154</v>
      </c>
      <c r="D31" s="11" t="n">
        <f aca="false">D131</f>
        <v>0.594365646092145</v>
      </c>
      <c r="E31" s="11" t="n">
        <f aca="false">E131</f>
        <v>0.600832650111076</v>
      </c>
      <c r="F31" s="11" t="n">
        <f aca="false">F131</f>
        <v>0.588231824899232</v>
      </c>
      <c r="G31" s="11" t="n">
        <f aca="false">G131</f>
        <v>0.585996256851265</v>
      </c>
    </row>
    <row r="32" customFormat="false" ht="15" hidden="false" customHeight="false" outlineLevel="0" collapsed="false">
      <c r="A32" s="4" t="s">
        <v>480</v>
      </c>
      <c r="B32" s="0" t="s">
        <v>196</v>
      </c>
      <c r="C32" s="20" t="n">
        <f aca="false">C123</f>
        <v>653.2</v>
      </c>
      <c r="D32" s="20" t="n">
        <f aca="false">D123</f>
        <v>1629.93073654536</v>
      </c>
      <c r="E32" s="20" t="n">
        <f aca="false">E123</f>
        <v>2503.11387854118</v>
      </c>
      <c r="F32" s="20" t="n">
        <f aca="false">F123</f>
        <v>2232.79573689892</v>
      </c>
      <c r="G32" s="20" t="n">
        <f aca="false">G123</f>
        <v>2801.59523020703</v>
      </c>
    </row>
    <row r="33" customFormat="false" ht="15" hidden="false" customHeight="false" outlineLevel="0" collapsed="false">
      <c r="A33" s="4" t="s">
        <v>481</v>
      </c>
      <c r="B33" s="0" t="s">
        <v>98</v>
      </c>
      <c r="C33" s="11" t="n">
        <f aca="false">C124</f>
        <v>0.204758471521269</v>
      </c>
      <c r="D33" s="11" t="n">
        <f aca="false">D124</f>
        <v>0.318868991420565</v>
      </c>
      <c r="E33" s="11" t="n">
        <f aca="false">E124</f>
        <v>0.360922676852469</v>
      </c>
      <c r="F33" s="11" t="n">
        <f aca="false">F124</f>
        <v>0.342320348827156</v>
      </c>
      <c r="G33" s="11" t="n">
        <f aca="false">G124</f>
        <v>0.353948350948353</v>
      </c>
    </row>
    <row r="34" customFormat="false" ht="15" hidden="false" customHeight="false" outlineLevel="0" collapsed="false">
      <c r="A34" s="4" t="s">
        <v>482</v>
      </c>
      <c r="B34" s="0" t="s">
        <v>196</v>
      </c>
      <c r="C34" s="20" t="n">
        <f aca="false">C127</f>
        <v>554</v>
      </c>
      <c r="D34" s="20" t="n">
        <f aca="false">D127</f>
        <v>1385.276</v>
      </c>
      <c r="E34" s="20" t="n">
        <f aca="false">E127</f>
        <v>2135.07897373094</v>
      </c>
      <c r="F34" s="20" t="n">
        <f aca="false">F127</f>
        <v>1903.08042788509</v>
      </c>
      <c r="G34" s="20" t="n">
        <f aca="false">G127</f>
        <v>2391.24838629008</v>
      </c>
    </row>
    <row r="35" customFormat="false" ht="15" hidden="false" customHeight="false" outlineLevel="0" collapsed="false">
      <c r="A35" s="0" t="s">
        <v>483</v>
      </c>
      <c r="B35" s="0" t="s">
        <v>201</v>
      </c>
      <c r="C35" s="18" t="n">
        <f aca="false">C129</f>
        <v>3.47</v>
      </c>
      <c r="D35" s="18" t="n">
        <f aca="false">D129</f>
        <v>8.78424857324033</v>
      </c>
      <c r="E35" s="18" t="n">
        <f aca="false">E129</f>
        <v>13.6756209766078</v>
      </c>
      <c r="F35" s="18" t="n">
        <f aca="false">F129</f>
        <v>12.3127499632354</v>
      </c>
      <c r="G35" s="18" t="n">
        <f aca="false">G129</f>
        <v>15.6274246237865</v>
      </c>
    </row>
    <row r="37" customFormat="false" ht="17.15" hidden="false" customHeight="false" outlineLevel="0" collapsed="false">
      <c r="A37" s="1" t="s">
        <v>484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485</v>
      </c>
    </row>
    <row r="45" customFormat="false" ht="17.15" hidden="false" customHeight="false" outlineLevel="0" collapsed="false">
      <c r="A45" s="5" t="s">
        <v>20</v>
      </c>
      <c r="B45" s="5" t="s">
        <v>21</v>
      </c>
      <c r="C45" s="15" t="s">
        <v>472</v>
      </c>
      <c r="D45" s="15" t="s">
        <v>486</v>
      </c>
      <c r="E45" s="15" t="s">
        <v>473</v>
      </c>
      <c r="F45" s="15" t="s">
        <v>474</v>
      </c>
      <c r="G45" s="15" t="s">
        <v>475</v>
      </c>
      <c r="H45" s="5" t="s">
        <v>433</v>
      </c>
    </row>
    <row r="46" customFormat="false" ht="17.15" hidden="false" customHeight="false" outlineLevel="0" collapsed="false">
      <c r="A46" s="0" t="s">
        <v>487</v>
      </c>
      <c r="B46" s="0" t="s">
        <v>31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488</v>
      </c>
      <c r="B47" s="0" t="s">
        <v>31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3.99150647980462</v>
      </c>
      <c r="F47" s="18" t="n">
        <f aca="false">mm_A_2028</f>
        <v>5.17069526557172</v>
      </c>
      <c r="G47" s="18" t="n">
        <f aca="false">mm_A_2029</f>
        <v>6.33160644779016</v>
      </c>
    </row>
    <row r="48" customFormat="false" ht="17.15" hidden="false" customHeight="false" outlineLevel="0" collapsed="false">
      <c r="A48" s="4" t="s">
        <v>489</v>
      </c>
      <c r="B48" s="0" t="s">
        <v>98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490</v>
      </c>
    </row>
    <row r="49" customFormat="false" ht="17.15" hidden="false" customHeight="false" outlineLevel="0" collapsed="false">
      <c r="A49" s="0" t="s">
        <v>491</v>
      </c>
      <c r="B49" s="0" t="s">
        <v>196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492</v>
      </c>
    </row>
    <row r="50" customFormat="false" ht="15" hidden="false" customHeight="false" outlineLevel="0" collapsed="false">
      <c r="A50" s="4" t="s">
        <v>493</v>
      </c>
      <c r="B50" s="0" t="s">
        <v>98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494</v>
      </c>
      <c r="B51" s="0" t="s">
        <v>196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1264.33507797389</v>
      </c>
      <c r="F51" s="9" t="n">
        <f aca="false">F47*1000*F50</f>
        <v>1637.85062979426</v>
      </c>
      <c r="G51" s="9" t="n">
        <f aca="false">G47*1000*G50</f>
        <v>2005.57663437856</v>
      </c>
    </row>
    <row r="52" customFormat="false" ht="17.15" hidden="false" customHeight="false" outlineLevel="0" collapsed="false">
      <c r="A52" s="0" t="s">
        <v>495</v>
      </c>
      <c r="B52" s="0" t="s">
        <v>196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496</v>
      </c>
    </row>
    <row r="53" customFormat="false" ht="15" hidden="false" customHeight="false" outlineLevel="0" collapsed="false">
      <c r="A53" s="4" t="s">
        <v>497</v>
      </c>
      <c r="B53" s="0" t="s">
        <v>196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6091.59354523868</v>
      </c>
      <c r="F53" s="9" t="n">
        <f aca="false">F49+F51+F52</f>
        <v>7055.37307091378</v>
      </c>
      <c r="G53" s="9" t="n">
        <f aca="false">G49+G51+G52</f>
        <v>8029.69998551651</v>
      </c>
    </row>
    <row r="54" customFormat="false" ht="17.15" hidden="false" customHeight="false" outlineLevel="0" collapsed="false">
      <c r="A54" s="0" t="s">
        <v>498</v>
      </c>
      <c r="B54" s="0" t="s">
        <v>196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439</v>
      </c>
      <c r="B55" s="0" t="s">
        <v>196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6517.29714523868</v>
      </c>
      <c r="F55" s="9" t="n">
        <f aca="false">F53+F54</f>
        <v>7515.13295891378</v>
      </c>
      <c r="G55" s="9" t="n">
        <f aca="false">G53+G54</f>
        <v>8526.24066455651</v>
      </c>
    </row>
    <row r="56" customFormat="false" ht="17.15" hidden="false" customHeight="false" outlineLevel="0" collapsed="false">
      <c r="A56" s="4" t="s">
        <v>499</v>
      </c>
      <c r="B56" s="0" t="s">
        <v>196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2516.09535496834</v>
      </c>
      <c r="F56" s="9" t="n">
        <f aca="false">t_inc*F55-t_fix+0*F55</f>
        <v>2997.70702933587</v>
      </c>
      <c r="G56" s="9" t="n">
        <f aca="false">t_inc*G55-t_fix+0*G55</f>
        <v>3485.72446507711</v>
      </c>
      <c r="H56" s="4" t="s">
        <v>500</v>
      </c>
    </row>
    <row r="57" customFormat="false" ht="15" hidden="false" customHeight="false" outlineLevel="0" collapsed="false">
      <c r="A57" s="4" t="s">
        <v>501</v>
      </c>
      <c r="B57" s="0" t="s">
        <v>98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0.386064237811609</v>
      </c>
      <c r="F57" s="11" t="n">
        <f aca="false">F56/F55</f>
        <v>0.398889420283677</v>
      </c>
      <c r="G57" s="11" t="n">
        <f aca="false">G56/G55</f>
        <v>0.408823138146597</v>
      </c>
    </row>
    <row r="58" customFormat="false" ht="17.15" hidden="false" customHeight="false" outlineLevel="0" collapsed="false">
      <c r="A58" s="4" t="s">
        <v>502</v>
      </c>
      <c r="B58" s="0" t="s">
        <v>196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447</v>
      </c>
      <c r="B59" s="0" t="s">
        <v>196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426</v>
      </c>
      <c r="B60" s="0" t="s">
        <v>196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400</v>
      </c>
      <c r="B61" s="0" t="s">
        <v>196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6958.96914523867</v>
      </c>
      <c r="F61" s="9" t="n">
        <f aca="false">F55+F58</f>
        <v>8000.97215891378</v>
      </c>
      <c r="G61" s="9" t="n">
        <f aca="false">G55+G58</f>
        <v>9060.66378455651</v>
      </c>
    </row>
    <row r="62" customFormat="false" ht="17.15" hidden="false" customHeight="false" outlineLevel="0" collapsed="false">
      <c r="A62" s="4" t="s">
        <v>503</v>
      </c>
      <c r="B62" s="0" t="s">
        <v>196</v>
      </c>
      <c r="C62" s="9" t="n">
        <f aca="false">ROUND(C53+C54+C58-a25_rev,0)</f>
        <v>0</v>
      </c>
      <c r="D62" s="9" t="n">
        <f aca="false">ROUND(D53+D54+D58-f26_rev,0)</f>
        <v>0</v>
      </c>
      <c r="H62" s="8" t="s">
        <v>504</v>
      </c>
    </row>
    <row r="63" customFormat="false" ht="15" hidden="false" customHeight="false" outlineLevel="0" collapsed="false">
      <c r="A63" s="4" t="s">
        <v>480</v>
      </c>
      <c r="B63" s="0" t="s">
        <v>196</v>
      </c>
      <c r="C63" s="9" t="n">
        <f aca="false">C56+C59+C60</f>
        <v>653.2</v>
      </c>
      <c r="D63" s="9" t="n">
        <f aca="false">D56+D59+D60</f>
        <v>1629.93073654536</v>
      </c>
      <c r="E63" s="9" t="n">
        <f aca="false">E56+E59+E60</f>
        <v>2514.52879496834</v>
      </c>
      <c r="F63" s="9" t="n">
        <f aca="false">F56+F59+F60</f>
        <v>3006.74059733587</v>
      </c>
      <c r="G63" s="9" t="n">
        <f aca="false">G56+G59+G60</f>
        <v>3502.04562107711</v>
      </c>
    </row>
    <row r="64" customFormat="false" ht="15" hidden="false" customHeight="false" outlineLevel="0" collapsed="false">
      <c r="A64" s="4" t="s">
        <v>481</v>
      </c>
      <c r="B64" s="0" t="s">
        <v>98</v>
      </c>
      <c r="C64" s="11" t="n">
        <f aca="false">C63/C61</f>
        <v>0.204758471521269</v>
      </c>
      <c r="D64" s="11" t="n">
        <f aca="false">D63/D61</f>
        <v>0.318868991420565</v>
      </c>
      <c r="E64" s="11" t="n">
        <f aca="false">E63/E61</f>
        <v>0.361336390848749</v>
      </c>
      <c r="F64" s="11" t="n">
        <f aca="false">F63/F61</f>
        <v>0.375796907877763</v>
      </c>
      <c r="G64" s="11" t="n">
        <f aca="false">G63/G61</f>
        <v>0.386510933894953</v>
      </c>
    </row>
    <row r="65" customFormat="false" ht="15" hidden="false" customHeight="false" outlineLevel="0" collapsed="false">
      <c r="A65" s="4" t="s">
        <v>412</v>
      </c>
      <c r="B65" s="0" t="s">
        <v>196</v>
      </c>
      <c r="C65" s="9" t="n">
        <f aca="false">a25_tax</f>
        <v>79.3</v>
      </c>
      <c r="D65" s="9" t="n">
        <f aca="false">f26_tax</f>
        <v>231.054736545361</v>
      </c>
      <c r="E65" s="9" t="n">
        <f aca="false">E63*etr</f>
        <v>356.453053636225</v>
      </c>
      <c r="F65" s="9" t="n">
        <f aca="false">F63*etr</f>
        <v>426.227716921361</v>
      </c>
      <c r="G65" s="9" t="n">
        <f aca="false">G63*etr</f>
        <v>496.440867213065</v>
      </c>
    </row>
    <row r="66" customFormat="false" ht="17.15" hidden="false" customHeight="false" outlineLevel="0" collapsed="false">
      <c r="A66" s="4" t="s">
        <v>413</v>
      </c>
      <c r="B66" s="0" t="s">
        <v>196</v>
      </c>
      <c r="C66" s="9" t="n">
        <f aca="false">a25_aff</f>
        <v>-19.9</v>
      </c>
      <c r="D66" s="9" t="n">
        <f aca="false">f26_aff</f>
        <v>-13.2</v>
      </c>
      <c r="E66" s="9" t="n">
        <f aca="false">aff</f>
        <v>-13.2</v>
      </c>
      <c r="F66" s="9" t="n">
        <f aca="false">aff</f>
        <v>-13.2</v>
      </c>
      <c r="G66" s="9" t="n">
        <f aca="false">aff</f>
        <v>-13.2</v>
      </c>
    </row>
    <row r="67" customFormat="false" ht="17.15" hidden="false" customHeight="false" outlineLevel="0" collapsed="false">
      <c r="A67" s="4" t="s">
        <v>482</v>
      </c>
      <c r="B67" s="0" t="s">
        <v>196</v>
      </c>
      <c r="C67" s="9" t="n">
        <f aca="false">a25_ni</f>
        <v>554</v>
      </c>
      <c r="D67" s="9" t="n">
        <f aca="false">f26_ni</f>
        <v>1385.276</v>
      </c>
      <c r="E67" s="9" t="n">
        <f aca="false">E63-E65+E66</f>
        <v>2144.87574133212</v>
      </c>
      <c r="F67" s="9" t="n">
        <f aca="false">F63-F65+F66</f>
        <v>2567.31288041451</v>
      </c>
      <c r="G67" s="9" t="n">
        <f aca="false">G63-G65+G66</f>
        <v>2992.40475386405</v>
      </c>
      <c r="H67" s="8" t="s">
        <v>505</v>
      </c>
    </row>
    <row r="68" customFormat="false" ht="15" hidden="false" customHeight="false" outlineLevel="0" collapsed="false">
      <c r="A68" s="4" t="s">
        <v>506</v>
      </c>
      <c r="B68" s="4" t="s">
        <v>258</v>
      </c>
      <c r="C68" s="9" t="n">
        <f aca="false">a25_dsh</f>
        <v>159.7</v>
      </c>
      <c r="D68" s="9" t="n">
        <f aca="false">sh26</f>
        <v>157.7</v>
      </c>
      <c r="E68" s="9" t="n">
        <f aca="false">sh26*(1-bb)^1</f>
        <v>156.123</v>
      </c>
      <c r="F68" s="9" t="n">
        <f aca="false">sh26*(1-bb)^2</f>
        <v>154.56177</v>
      </c>
      <c r="G68" s="9" t="n">
        <f aca="false">sh26*(1-bb)^3</f>
        <v>153.0161523</v>
      </c>
    </row>
    <row r="69" customFormat="false" ht="17.15" hidden="false" customHeight="false" outlineLevel="0" collapsed="false">
      <c r="A69" s="0" t="s">
        <v>415</v>
      </c>
      <c r="B69" s="0" t="s">
        <v>201</v>
      </c>
      <c r="C69" s="18" t="n">
        <f aca="false">a25_eps</f>
        <v>3.47</v>
      </c>
      <c r="D69" s="18" t="n">
        <f aca="false">D67/D68</f>
        <v>8.78424857324033</v>
      </c>
      <c r="E69" s="18" t="n">
        <f aca="false">E67/E68</f>
        <v>13.7383712927123</v>
      </c>
      <c r="F69" s="18" t="n">
        <f aca="false">F67/F68</f>
        <v>16.6102709642527</v>
      </c>
      <c r="G69" s="18" t="n">
        <f aca="false">G67/G68</f>
        <v>19.5561364528184</v>
      </c>
    </row>
    <row r="70" customFormat="false" ht="17.15" hidden="false" customHeight="false" outlineLevel="0" collapsed="false">
      <c r="A70" s="0" t="s">
        <v>507</v>
      </c>
      <c r="B70" s="0" t="s">
        <v>98</v>
      </c>
      <c r="C70" s="11" t="n">
        <f aca="false">C49/C61</f>
        <v>0.592363875740573</v>
      </c>
      <c r="D70" s="11" t="n">
        <f aca="false">D49/D61</f>
        <v>0.635675717974802</v>
      </c>
      <c r="E70" s="11" t="n">
        <f aca="false">E49/E61</f>
        <v>0.654305138730523</v>
      </c>
      <c r="F70" s="11" t="n">
        <f aca="false">F49/F61</f>
        <v>0.638679017979199</v>
      </c>
      <c r="G70" s="11" t="n">
        <f aca="false">G49/G61</f>
        <v>0.627131376400865</v>
      </c>
    </row>
    <row r="71" customFormat="false" ht="17.15" hidden="false" customHeight="false" outlineLevel="0" collapsed="false">
      <c r="A71" s="4" t="s">
        <v>508</v>
      </c>
      <c r="B71" s="0" t="s">
        <v>98</v>
      </c>
      <c r="C71" s="11" t="n">
        <f aca="false">a25_gp/a25_rev</f>
        <v>0.582225705329154</v>
      </c>
      <c r="D71" s="11" t="n">
        <f aca="false">f26_gm</f>
        <v>0.594365646092145</v>
      </c>
      <c r="E71" s="11" t="n">
        <f aca="false">f26_gm+(Q!J13-a25_gp/a25_rev)/(Q!J4/Q!J10-a25_soc/a25_rev)*(E70-D70)</f>
        <v>0.600140940959489</v>
      </c>
      <c r="F71" s="11" t="n">
        <f aca="false">f26_gm+(Q!J13-a25_gp/a25_rev)/(Q!J4/Q!J10-a25_soc/a25_rev)*(F70-D70)</f>
        <v>0.595296697214342</v>
      </c>
      <c r="G71" s="11" t="n">
        <f aca="false">f26_gm+(Q!J13-a25_gp/a25_rev)/(Q!J4/Q!J10-a25_soc/a25_rev)*(G70-D70)</f>
        <v>0.591716820200892</v>
      </c>
      <c r="H71" s="8" t="s">
        <v>509</v>
      </c>
    </row>
    <row r="74" customFormat="false" ht="17.15" hidden="false" customHeight="false" outlineLevel="0" collapsed="false">
      <c r="A74" s="1" t="s">
        <v>510</v>
      </c>
    </row>
    <row r="75" customFormat="false" ht="17.15" hidden="false" customHeight="false" outlineLevel="0" collapsed="false">
      <c r="A75" s="5" t="s">
        <v>20</v>
      </c>
      <c r="B75" s="5" t="s">
        <v>21</v>
      </c>
      <c r="C75" s="15" t="s">
        <v>472</v>
      </c>
      <c r="D75" s="15" t="s">
        <v>486</v>
      </c>
      <c r="E75" s="15" t="s">
        <v>473</v>
      </c>
      <c r="F75" s="15" t="s">
        <v>474</v>
      </c>
      <c r="G75" s="15" t="s">
        <v>475</v>
      </c>
      <c r="H75" s="5" t="s">
        <v>433</v>
      </c>
    </row>
    <row r="76" customFormat="false" ht="17.15" hidden="false" customHeight="false" outlineLevel="0" collapsed="false">
      <c r="A76" s="0" t="s">
        <v>487</v>
      </c>
      <c r="B76" s="0" t="s">
        <v>31</v>
      </c>
      <c r="C76" s="18" t="n">
        <f aca="false">mk_soc25</f>
        <v>6.9</v>
      </c>
      <c r="D76" s="18" t="n">
        <f aca="false">ms_B_2026</f>
        <v>11</v>
      </c>
      <c r="E76" s="18" t="n">
        <f aca="false">ms_B_2027*m_soc</f>
        <v>15.4143580786026</v>
      </c>
      <c r="F76" s="18" t="n">
        <f aca="false">ms_B_2028*m_soc</f>
        <v>14.7695229291233</v>
      </c>
      <c r="G76" s="18" t="n">
        <f aca="false">ms_B_2029*m_soc</f>
        <v>17.0762870508566</v>
      </c>
    </row>
    <row r="77" customFormat="false" ht="17.15" hidden="false" customHeight="false" outlineLevel="0" collapsed="false">
      <c r="A77" s="4" t="s">
        <v>488</v>
      </c>
      <c r="B77" s="0" t="s">
        <v>31</v>
      </c>
      <c r="C77" s="18" t="n">
        <f aca="false">mk_mem25</f>
        <v>2.1</v>
      </c>
      <c r="D77" s="18" t="n">
        <f aca="false">mm_B_2026</f>
        <v>2.75</v>
      </c>
      <c r="E77" s="18" t="n">
        <f aca="false">mm_B_2027</f>
        <v>3.99150647980462</v>
      </c>
      <c r="F77" s="18" t="n">
        <f aca="false">mm_B_2028</f>
        <v>4.8492815003257</v>
      </c>
      <c r="G77" s="18" t="n">
        <f aca="false">mm_B_2029</f>
        <v>5.89583446540914</v>
      </c>
    </row>
    <row r="78" customFormat="false" ht="17.15" hidden="false" customHeight="false" outlineLevel="0" collapsed="false">
      <c r="A78" s="4" t="s">
        <v>489</v>
      </c>
      <c r="B78" s="0" t="s">
        <v>98</v>
      </c>
      <c r="C78" s="11" t="n">
        <f aca="false">a25_soc/(C76*1000)</f>
        <v>0.273869565217391</v>
      </c>
      <c r="D78" s="11" t="n">
        <f aca="false">f26_soc/(D76*1000)</f>
        <v>0.295392727272727</v>
      </c>
      <c r="E78" s="11" t="n">
        <f aca="false">s_soc</f>
        <v>0.295392727272727</v>
      </c>
      <c r="F78" s="11" t="n">
        <f aca="false">s_soc</f>
        <v>0.295392727272727</v>
      </c>
      <c r="G78" s="11" t="n">
        <f aca="false">s_soc</f>
        <v>0.295392727272727</v>
      </c>
      <c r="H78" s="8" t="s">
        <v>490</v>
      </c>
    </row>
    <row r="79" customFormat="false" ht="17.15" hidden="false" customHeight="false" outlineLevel="0" collapsed="false">
      <c r="A79" s="0" t="s">
        <v>491</v>
      </c>
      <c r="B79" s="0" t="s">
        <v>196</v>
      </c>
      <c r="C79" s="9" t="n">
        <f aca="false">a25_soc</f>
        <v>1889.7</v>
      </c>
      <c r="D79" s="9" t="n">
        <f aca="false">f26_soc</f>
        <v>3249.32</v>
      </c>
      <c r="E79" s="9" t="n">
        <f aca="false">E76*1000*E78</f>
        <v>4553.28927199682</v>
      </c>
      <c r="F79" s="9" t="n">
        <f aca="false">F76*1000*F78</f>
        <v>4362.80965855081</v>
      </c>
      <c r="G79" s="9" t="n">
        <f aca="false">G76*1000*G78</f>
        <v>5044.21100364449</v>
      </c>
      <c r="H79" s="4" t="s">
        <v>492</v>
      </c>
    </row>
    <row r="80" customFormat="false" ht="15" hidden="false" customHeight="false" outlineLevel="0" collapsed="false">
      <c r="A80" s="4" t="s">
        <v>493</v>
      </c>
      <c r="B80" s="0" t="s">
        <v>98</v>
      </c>
      <c r="C80" s="11" t="n">
        <f aca="false">a25_mem/(C77*1000)</f>
        <v>0.240428571428571</v>
      </c>
      <c r="D80" s="11" t="n">
        <f aca="false">f26_mem/(D77*1000)</f>
        <v>0.316756363636364</v>
      </c>
      <c r="E80" s="11" t="n">
        <f aca="false">s_mem</f>
        <v>0.316756363636364</v>
      </c>
      <c r="F80" s="11" t="n">
        <f aca="false">s_mem</f>
        <v>0.316756363636364</v>
      </c>
      <c r="G80" s="11" t="n">
        <f aca="false">s_mem</f>
        <v>0.316756363636364</v>
      </c>
    </row>
    <row r="81" customFormat="false" ht="15" hidden="false" customHeight="false" outlineLevel="0" collapsed="false">
      <c r="A81" s="4" t="s">
        <v>494</v>
      </c>
      <c r="B81" s="0" t="s">
        <v>196</v>
      </c>
      <c r="C81" s="9" t="n">
        <f aca="false">a25_mem</f>
        <v>504.9</v>
      </c>
      <c r="D81" s="9" t="n">
        <f aca="false">f26_mem</f>
        <v>871.08</v>
      </c>
      <c r="E81" s="9" t="n">
        <f aca="false">E77*1000*E80</f>
        <v>1264.33507797389</v>
      </c>
      <c r="F81" s="9" t="n">
        <f aca="false">F77*1000*F80</f>
        <v>1536.04077429226</v>
      </c>
      <c r="G81" s="9" t="n">
        <f aca="false">G77*1000*G80</f>
        <v>1867.54308586494</v>
      </c>
    </row>
    <row r="82" customFormat="false" ht="17.15" hidden="false" customHeight="false" outlineLevel="0" collapsed="false">
      <c r="A82" s="0" t="s">
        <v>495</v>
      </c>
      <c r="B82" s="0" t="s">
        <v>196</v>
      </c>
      <c r="C82" s="9" t="n">
        <f aca="false">a25_ist</f>
        <v>129.2</v>
      </c>
      <c r="D82" s="9" t="n">
        <f aca="false">f26_ist</f>
        <v>195.51</v>
      </c>
      <c r="E82" s="9" t="n">
        <f aca="false">$D82*E76/$D76</f>
        <v>273.969195267963</v>
      </c>
      <c r="F82" s="9" t="n">
        <f aca="false">$D82*F76/$D76</f>
        <v>262.508129806627</v>
      </c>
      <c r="G82" s="9" t="n">
        <f aca="false">$D82*G76/$D76</f>
        <v>303.507716482998</v>
      </c>
      <c r="H82" s="8" t="s">
        <v>496</v>
      </c>
    </row>
    <row r="83" customFormat="false" ht="15" hidden="false" customHeight="false" outlineLevel="0" collapsed="false">
      <c r="A83" s="4" t="s">
        <v>497</v>
      </c>
      <c r="B83" s="0" t="s">
        <v>196</v>
      </c>
      <c r="C83" s="9" t="n">
        <f aca="false">C79+C81+C82</f>
        <v>2523.8</v>
      </c>
      <c r="D83" s="9" t="n">
        <f aca="false">D79+D81+D82</f>
        <v>4315.91</v>
      </c>
      <c r="E83" s="9" t="n">
        <f aca="false">E79+E81+E82</f>
        <v>6091.59354523868</v>
      </c>
      <c r="F83" s="9" t="n">
        <f aca="false">F79+F81+F82</f>
        <v>6161.3585626497</v>
      </c>
      <c r="G83" s="9" t="n">
        <f aca="false">G79+G81+G82</f>
        <v>7215.26180599243</v>
      </c>
    </row>
    <row r="84" customFormat="false" ht="17.15" hidden="false" customHeight="false" outlineLevel="0" collapsed="false">
      <c r="A84" s="0" t="s">
        <v>498</v>
      </c>
      <c r="B84" s="0" t="s">
        <v>196</v>
      </c>
      <c r="C84" s="9" t="n">
        <f aca="false">a25_pt</f>
        <v>358</v>
      </c>
      <c r="D84" s="9" t="n">
        <f aca="false">f26_pt</f>
        <v>394.17</v>
      </c>
      <c r="E84" s="9" t="n">
        <f aca="false">D84*(1+g_pt_B)</f>
        <v>413.8785</v>
      </c>
      <c r="F84" s="9" t="n">
        <f aca="false">E84*(1+g_pt_B)</f>
        <v>434.572425</v>
      </c>
      <c r="G84" s="9" t="n">
        <f aca="false">F84*(1+g_pt_B)</f>
        <v>456.30104625</v>
      </c>
    </row>
    <row r="85" customFormat="false" ht="17.15" hidden="false" customHeight="false" outlineLevel="0" collapsed="false">
      <c r="A85" s="4" t="s">
        <v>439</v>
      </c>
      <c r="B85" s="0" t="s">
        <v>196</v>
      </c>
      <c r="C85" s="9" t="n">
        <f aca="false">C83+C84</f>
        <v>2881.8</v>
      </c>
      <c r="D85" s="9" t="n">
        <f aca="false">D83+D84</f>
        <v>4710.08</v>
      </c>
      <c r="E85" s="9" t="n">
        <f aca="false">E83+E84</f>
        <v>6505.47204523868</v>
      </c>
      <c r="F85" s="9" t="n">
        <f aca="false">F83+F84</f>
        <v>6595.9309876497</v>
      </c>
      <c r="G85" s="9" t="n">
        <f aca="false">G83+G84</f>
        <v>7671.56285224243</v>
      </c>
    </row>
    <row r="86" customFormat="false" ht="17.15" hidden="false" customHeight="false" outlineLevel="0" collapsed="false">
      <c r="A86" s="4" t="s">
        <v>499</v>
      </c>
      <c r="B86" s="0" t="s">
        <v>196</v>
      </c>
      <c r="C86" s="9" t="n">
        <f aca="false">a25_ttest</f>
        <v>761.4</v>
      </c>
      <c r="D86" s="9" t="n">
        <f aca="false">f26_ttest</f>
        <v>1643.83073654536</v>
      </c>
      <c r="E86" s="9" t="n">
        <f aca="false">t_inc*E85-t_fix+0*E85</f>
        <v>2510.38789675476</v>
      </c>
      <c r="F86" s="9" t="n">
        <f aca="false">t_inc*F85-t_fix+0*F85</f>
        <v>2554.04846908442</v>
      </c>
      <c r="G86" s="9" t="n">
        <f aca="false">t_inc*G85-t_fix+0*G85</f>
        <v>3073.20889228231</v>
      </c>
      <c r="H86" s="4" t="s">
        <v>500</v>
      </c>
    </row>
    <row r="87" customFormat="false" ht="15" hidden="false" customHeight="false" outlineLevel="0" collapsed="false">
      <c r="A87" s="4" t="s">
        <v>501</v>
      </c>
      <c r="B87" s="0" t="s">
        <v>98</v>
      </c>
      <c r="C87" s="11" t="n">
        <f aca="false">C86/C85</f>
        <v>0.26420986883198</v>
      </c>
      <c r="D87" s="11" t="n">
        <f aca="false">D86/D85</f>
        <v>0.349002721088678</v>
      </c>
      <c r="E87" s="11" t="n">
        <f aca="false">E86/E85</f>
        <v>0.385888661006868</v>
      </c>
      <c r="F87" s="11" t="n">
        <f aca="false">F86/F85</f>
        <v>0.38721576588152</v>
      </c>
      <c r="G87" s="11" t="n">
        <f aca="false">G86/G85</f>
        <v>0.400597499032938</v>
      </c>
    </row>
    <row r="88" customFormat="false" ht="17.15" hidden="false" customHeight="false" outlineLevel="0" collapsed="false">
      <c r="A88" s="4" t="s">
        <v>502</v>
      </c>
      <c r="B88" s="0" t="s">
        <v>196</v>
      </c>
      <c r="C88" s="9" t="n">
        <f aca="false">a25_rob</f>
        <v>308.3</v>
      </c>
      <c r="D88" s="9" t="n">
        <f aca="false">f26_rob</f>
        <v>401.52</v>
      </c>
      <c r="E88" s="9" t="n">
        <f aca="false">D88*(1+g_rob)</f>
        <v>441.672</v>
      </c>
      <c r="F88" s="9" t="n">
        <f aca="false">E88*(1+g_rob)</f>
        <v>485.8392</v>
      </c>
      <c r="G88" s="9" t="n">
        <f aca="false">F88*(1+g_rob)</f>
        <v>534.42312</v>
      </c>
    </row>
    <row r="89" customFormat="false" ht="15" hidden="false" customHeight="false" outlineLevel="0" collapsed="false">
      <c r="A89" s="4" t="s">
        <v>447</v>
      </c>
      <c r="B89" s="0" t="s">
        <v>196</v>
      </c>
      <c r="C89" s="9" t="n">
        <f aca="false">a25_trob</f>
        <v>-99.4</v>
      </c>
      <c r="D89" s="9" t="n">
        <f aca="false">f26_trob</f>
        <v>-3.5</v>
      </c>
      <c r="E89" s="9" t="n">
        <f aca="false">E88*rm_2027</f>
        <v>8.83344</v>
      </c>
      <c r="F89" s="9" t="n">
        <f aca="false">F88*rm_2028</f>
        <v>19.433568</v>
      </c>
      <c r="G89" s="9" t="n">
        <f aca="false">G88*rm_2029</f>
        <v>26.721156</v>
      </c>
    </row>
    <row r="90" customFormat="false" ht="15" hidden="false" customHeight="false" outlineLevel="0" collapsed="false">
      <c r="A90" s="4" t="s">
        <v>426</v>
      </c>
      <c r="B90" s="0" t="s">
        <v>196</v>
      </c>
      <c r="C90" s="9" t="n">
        <f aca="false">a25_corp</f>
        <v>-8.8</v>
      </c>
      <c r="D90" s="9" t="n">
        <f aca="false">f26_corp</f>
        <v>-10.4</v>
      </c>
      <c r="E90" s="9" t="n">
        <f aca="false">corp</f>
        <v>-10.4</v>
      </c>
      <c r="F90" s="9" t="n">
        <f aca="false">corp</f>
        <v>-10.4</v>
      </c>
      <c r="G90" s="9" t="n">
        <f aca="false">corp</f>
        <v>-10.4</v>
      </c>
    </row>
    <row r="91" customFormat="false" ht="15" hidden="false" customHeight="false" outlineLevel="0" collapsed="false">
      <c r="A91" s="4" t="s">
        <v>400</v>
      </c>
      <c r="B91" s="0" t="s">
        <v>196</v>
      </c>
      <c r="C91" s="9" t="n">
        <f aca="false">C85+C88</f>
        <v>3190.1</v>
      </c>
      <c r="D91" s="9" t="n">
        <f aca="false">D85+D88</f>
        <v>5111.6</v>
      </c>
      <c r="E91" s="9" t="n">
        <f aca="false">E85+E88</f>
        <v>6947.14404523867</v>
      </c>
      <c r="F91" s="9" t="n">
        <f aca="false">F85+F88</f>
        <v>7081.7701876497</v>
      </c>
      <c r="G91" s="9" t="n">
        <f aca="false">G85+G88</f>
        <v>8205.98597224243</v>
      </c>
    </row>
    <row r="92" customFormat="false" ht="17.15" hidden="false" customHeight="false" outlineLevel="0" collapsed="false">
      <c r="A92" s="4" t="s">
        <v>503</v>
      </c>
      <c r="B92" s="0" t="s">
        <v>196</v>
      </c>
      <c r="C92" s="9" t="n">
        <f aca="false">ROUND(C83+C84+C88-a25_rev,0)</f>
        <v>0</v>
      </c>
      <c r="D92" s="9" t="n">
        <f aca="false">ROUND(D83+D84+D88-f26_rev,0)</f>
        <v>0</v>
      </c>
      <c r="H92" s="8" t="s">
        <v>504</v>
      </c>
    </row>
    <row r="93" customFormat="false" ht="15" hidden="false" customHeight="false" outlineLevel="0" collapsed="false">
      <c r="A93" s="4" t="s">
        <v>480</v>
      </c>
      <c r="B93" s="0" t="s">
        <v>196</v>
      </c>
      <c r="C93" s="9" t="n">
        <f aca="false">C86+C89+C90</f>
        <v>653.2</v>
      </c>
      <c r="D93" s="9" t="n">
        <f aca="false">D86+D89+D90</f>
        <v>1629.93073654536</v>
      </c>
      <c r="E93" s="9" t="n">
        <f aca="false">E86+E89+E90</f>
        <v>2508.82133675476</v>
      </c>
      <c r="F93" s="9" t="n">
        <f aca="false">F86+F89+F90</f>
        <v>2563.08203708442</v>
      </c>
      <c r="G93" s="9" t="n">
        <f aca="false">G86+G89+G90</f>
        <v>3089.53004828231</v>
      </c>
    </row>
    <row r="94" customFormat="false" ht="15" hidden="false" customHeight="false" outlineLevel="0" collapsed="false">
      <c r="A94" s="4" t="s">
        <v>481</v>
      </c>
      <c r="B94" s="0" t="s">
        <v>98</v>
      </c>
      <c r="C94" s="11" t="n">
        <f aca="false">C93/C91</f>
        <v>0.204758471521269</v>
      </c>
      <c r="D94" s="11" t="n">
        <f aca="false">D93/D91</f>
        <v>0.318868991420565</v>
      </c>
      <c r="E94" s="11" t="n">
        <f aca="false">E93/E91</f>
        <v>0.361129885952807</v>
      </c>
      <c r="F94" s="11" t="n">
        <f aca="false">F93/F91</f>
        <v>0.361926745597355</v>
      </c>
      <c r="G94" s="11" t="n">
        <f aca="false">G93/G91</f>
        <v>0.376497115487761</v>
      </c>
    </row>
    <row r="95" customFormat="false" ht="15" hidden="false" customHeight="false" outlineLevel="0" collapsed="false">
      <c r="A95" s="4" t="s">
        <v>412</v>
      </c>
      <c r="B95" s="0" t="s">
        <v>196</v>
      </c>
      <c r="C95" s="9" t="n">
        <f aca="false">a25_tax</f>
        <v>79.3</v>
      </c>
      <c r="D95" s="9" t="n">
        <f aca="false">f26_tax</f>
        <v>231.054736545361</v>
      </c>
      <c r="E95" s="9" t="n">
        <f aca="false">E93*etr</f>
        <v>355.643979223237</v>
      </c>
      <c r="F95" s="9" t="n">
        <f aca="false">F93*etr</f>
        <v>363.335834796198</v>
      </c>
      <c r="G95" s="9" t="n">
        <f aca="false">G93*etr</f>
        <v>437.963733887154</v>
      </c>
    </row>
    <row r="96" customFormat="false" ht="17.15" hidden="false" customHeight="false" outlineLevel="0" collapsed="false">
      <c r="A96" s="4" t="s">
        <v>413</v>
      </c>
      <c r="B96" s="0" t="s">
        <v>196</v>
      </c>
      <c r="C96" s="9" t="n">
        <f aca="false">a25_aff</f>
        <v>-19.9</v>
      </c>
      <c r="D96" s="9" t="n">
        <f aca="false">f26_aff</f>
        <v>-13.2</v>
      </c>
      <c r="E96" s="9" t="n">
        <f aca="false">aff</f>
        <v>-13.2</v>
      </c>
      <c r="F96" s="9" t="n">
        <f aca="false">aff</f>
        <v>-13.2</v>
      </c>
      <c r="G96" s="9" t="n">
        <f aca="false">aff</f>
        <v>-13.2</v>
      </c>
    </row>
    <row r="97" customFormat="false" ht="17.15" hidden="false" customHeight="false" outlineLevel="0" collapsed="false">
      <c r="A97" s="4" t="s">
        <v>482</v>
      </c>
      <c r="B97" s="0" t="s">
        <v>196</v>
      </c>
      <c r="C97" s="9" t="n">
        <f aca="false">a25_ni</f>
        <v>554</v>
      </c>
      <c r="D97" s="9" t="n">
        <f aca="false">f26_ni</f>
        <v>1385.276</v>
      </c>
      <c r="E97" s="9" t="n">
        <f aca="false">E93-E95+E96</f>
        <v>2139.97735753153</v>
      </c>
      <c r="F97" s="9" t="n">
        <f aca="false">F93-F95+F96</f>
        <v>2186.54620228823</v>
      </c>
      <c r="G97" s="9" t="n">
        <f aca="false">G93-G95+G96</f>
        <v>2638.36631439515</v>
      </c>
      <c r="H97" s="8" t="s">
        <v>505</v>
      </c>
    </row>
    <row r="98" customFormat="false" ht="15" hidden="false" customHeight="false" outlineLevel="0" collapsed="false">
      <c r="A98" s="4" t="s">
        <v>506</v>
      </c>
      <c r="B98" s="4" t="s">
        <v>258</v>
      </c>
      <c r="C98" s="9" t="n">
        <f aca="false">a25_dsh</f>
        <v>159.7</v>
      </c>
      <c r="D98" s="9" t="n">
        <f aca="false">sh26</f>
        <v>157.7</v>
      </c>
      <c r="E98" s="9" t="n">
        <f aca="false">sh26*(1-bb)^1</f>
        <v>156.123</v>
      </c>
      <c r="F98" s="9" t="n">
        <f aca="false">sh26*(1-bb)^2</f>
        <v>154.56177</v>
      </c>
      <c r="G98" s="9" t="n">
        <f aca="false">sh26*(1-bb)^3</f>
        <v>153.0161523</v>
      </c>
    </row>
    <row r="99" customFormat="false" ht="17.15" hidden="false" customHeight="false" outlineLevel="0" collapsed="false">
      <c r="A99" s="0" t="s">
        <v>415</v>
      </c>
      <c r="B99" s="0" t="s">
        <v>201</v>
      </c>
      <c r="C99" s="18" t="n">
        <f aca="false">a25_eps</f>
        <v>3.47</v>
      </c>
      <c r="D99" s="18" t="n">
        <f aca="false">D97/D98</f>
        <v>8.78424857324033</v>
      </c>
      <c r="E99" s="18" t="n">
        <f aca="false">E97/E98</f>
        <v>13.70699613466</v>
      </c>
      <c r="F99" s="18" t="n">
        <f aca="false">F97/F98</f>
        <v>14.1467466520876</v>
      </c>
      <c r="G99" s="18" t="n">
        <f aca="false">G97/G98</f>
        <v>17.2424039863611</v>
      </c>
    </row>
    <row r="100" customFormat="false" ht="17.15" hidden="false" customHeight="false" outlineLevel="0" collapsed="false">
      <c r="A100" s="0" t="s">
        <v>507</v>
      </c>
      <c r="B100" s="0" t="s">
        <v>98</v>
      </c>
      <c r="C100" s="11" t="n">
        <f aca="false">C79/C91</f>
        <v>0.592363875740573</v>
      </c>
      <c r="D100" s="11" t="n">
        <f aca="false">D79/D91</f>
        <v>0.635675717974802</v>
      </c>
      <c r="E100" s="11" t="n">
        <f aca="false">E79/E91</f>
        <v>0.655418865989612</v>
      </c>
      <c r="F100" s="11" t="n">
        <f aca="false">F79/F91</f>
        <v>0.616062021633993</v>
      </c>
      <c r="G100" s="11" t="n">
        <f aca="false">G79/G91</f>
        <v>0.614698955214771</v>
      </c>
    </row>
    <row r="101" customFormat="false" ht="17.15" hidden="false" customHeight="false" outlineLevel="0" collapsed="false">
      <c r="A101" s="4" t="s">
        <v>508</v>
      </c>
      <c r="B101" s="0" t="s">
        <v>98</v>
      </c>
      <c r="C101" s="11" t="n">
        <f aca="false">a25_gp/a25_rev</f>
        <v>0.582225705329154</v>
      </c>
      <c r="D101" s="11" t="n">
        <f aca="false">f26_gm</f>
        <v>0.594365646092145</v>
      </c>
      <c r="E101" s="11" t="n">
        <f aca="false">f26_gm+(Q!J13-a25_gp/a25_rev)/(Q!J4/Q!J10-a25_soc/a25_rev)*(E100-D100)</f>
        <v>0.600486206837982</v>
      </c>
      <c r="F101" s="11" t="n">
        <f aca="false">f26_gm+(Q!J13-a25_gp/a25_rev)/(Q!J4/Q!J10-a25_soc/a25_rev)*(F100-D100)</f>
        <v>0.588285216577344</v>
      </c>
      <c r="G101" s="11" t="n">
        <f aca="false">f26_gm+(Q!J13-a25_gp/a25_rev)/(Q!J4/Q!J10-a25_soc/a25_rev)*(G100-D100)</f>
        <v>0.58786265322457</v>
      </c>
      <c r="H101" s="8" t="s">
        <v>509</v>
      </c>
    </row>
    <row r="104" customFormat="false" ht="17.15" hidden="false" customHeight="false" outlineLevel="0" collapsed="false">
      <c r="A104" s="1" t="s">
        <v>511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ms_C_2026</f>
        <v>11</v>
      </c>
      <c r="E106" s="18" t="n">
        <f aca="false">ms_C_2027*m_soc</f>
        <v>15.4143580786026</v>
      </c>
      <c r="F106" s="18" t="n">
        <f aca="false">ms_C_2028*m_soc</f>
        <v>12.2398621968425</v>
      </c>
      <c r="G106" s="18" t="n">
        <f aca="false">ms_C_2029*m_soc</f>
        <v>13.4764718006046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mm_C_2026</f>
        <v>2.75</v>
      </c>
      <c r="E107" s="18" t="n">
        <f aca="false">mm_C_2027</f>
        <v>3.99150647980462</v>
      </c>
      <c r="F107" s="18" t="n">
        <f aca="false">mm_C_2028</f>
        <v>3.72997394923451</v>
      </c>
      <c r="G107" s="18" t="n">
        <f aca="false">mm_C_2029</f>
        <v>4.40250457885175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(s_soc+adv_sh26-as_C_2027)</f>
        <v>0.295392727272727</v>
      </c>
      <c r="F108" s="11" t="n">
        <f aca="false">(s_soc+adv_sh26-as_C_2028)</f>
        <v>0.345392727272727</v>
      </c>
      <c r="G108" s="11" t="n">
        <f aca="false">(s_soc+adv_sh26-as_C_2029)</f>
        <v>0.395392727272727</v>
      </c>
      <c r="H108" s="8" t="s">
        <v>512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4553.28927199682</v>
      </c>
      <c r="F109" s="9" t="n">
        <f aca="false">F106*1000*F108</f>
        <v>4227.55938560979</v>
      </c>
      <c r="G109" s="9" t="n">
        <f aca="false">G106*1000*G108</f>
        <v>5328.49893925505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1181.49298461789</v>
      </c>
      <c r="G111" s="9" t="n">
        <f aca="false">G107*1000*G110</f>
        <v>1394.52134128952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273.969195267963</v>
      </c>
      <c r="F112" s="9" t="n">
        <f aca="false">$D112*F106/$D106</f>
        <v>217.546859827698</v>
      </c>
      <c r="G112" s="9" t="n">
        <f aca="false">$D112*G106/$D106</f>
        <v>239.525909248746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6091.59354523868</v>
      </c>
      <c r="F113" s="9" t="n">
        <f aca="false">F109+F111+F112</f>
        <v>5626.59923005537</v>
      </c>
      <c r="G113" s="9" t="n">
        <f aca="false">G109+G111+G112</f>
        <v>6962.54618979332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D114*(1+g_pt_C)</f>
        <v>402.0534</v>
      </c>
      <c r="F114" s="9" t="n">
        <f aca="false">E114*(1+g_pt_C)</f>
        <v>410.094468</v>
      </c>
      <c r="G114" s="9" t="n">
        <f aca="false">F114*(1+g_pt_C)</f>
        <v>418.29635736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6493.64694523868</v>
      </c>
      <c r="F115" s="9" t="n">
        <f aca="false">F113+F114</f>
        <v>6036.69369805538</v>
      </c>
      <c r="G115" s="9" t="n">
        <f aca="false">G113+G114</f>
        <v>7380.84254715332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2504.68043854118</v>
      </c>
      <c r="F116" s="9" t="n">
        <f aca="false">t_inc*F115-t_fix+gm_adj_C28*F115</f>
        <v>2223.76216889892</v>
      </c>
      <c r="G116" s="9" t="n">
        <f aca="false">t_inc*G115-t_fix+gm_adj_C29*G115</f>
        <v>2785.27407420703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0.38571244474227</v>
      </c>
      <c r="F117" s="11" t="n">
        <f aca="false">F116/F115</f>
        <v>0.368374192915448</v>
      </c>
      <c r="G117" s="11" t="n">
        <f aca="false">G116/G115</f>
        <v>0.377365328743027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6935.31894523867</v>
      </c>
      <c r="F121" s="9" t="n">
        <f aca="false">F115+F118</f>
        <v>6522.53289805538</v>
      </c>
      <c r="G121" s="9" t="n">
        <f aca="false">G115+G118</f>
        <v>7915.26566715332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2503.11387854118</v>
      </c>
      <c r="F123" s="9" t="n">
        <f aca="false">F116+F119+F120</f>
        <v>2232.79573689892</v>
      </c>
      <c r="G123" s="9" t="n">
        <f aca="false">G116+G119+G120</f>
        <v>2801.59523020703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0.360922676852469</v>
      </c>
      <c r="F124" s="11" t="n">
        <f aca="false">F123/F121</f>
        <v>0.342320348827156</v>
      </c>
      <c r="G124" s="11" t="n">
        <f aca="false">G123/G121</f>
        <v>0.353948350948353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354.834904810248</v>
      </c>
      <c r="F125" s="9" t="n">
        <f aca="false">F123*etr</f>
        <v>316.515309013825</v>
      </c>
      <c r="G125" s="9" t="n">
        <f aca="false">G123*etr</f>
        <v>397.146843916954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2135.07897373094</v>
      </c>
      <c r="F127" s="9" t="n">
        <f aca="false">F123-F125+F126</f>
        <v>1903.08042788509</v>
      </c>
      <c r="G127" s="9" t="n">
        <f aca="false">G123-G125+G126</f>
        <v>2391.24838629008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13.6756209766078</v>
      </c>
      <c r="F129" s="18" t="n">
        <f aca="false">F127/F128</f>
        <v>12.3127499632354</v>
      </c>
      <c r="G129" s="18" t="n">
        <f aca="false">G127/G128</f>
        <v>15.6274246237865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0.656536391181086</v>
      </c>
      <c r="F130" s="11" t="n">
        <f aca="false">F109/F121</f>
        <v>0.648146885831759</v>
      </c>
      <c r="G130" s="11" t="n">
        <f aca="false">G109/G121</f>
        <v>0.673192684026665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0.600832650111076</v>
      </c>
      <c r="F131" s="11" t="n">
        <f aca="false">f26_gm+(Q!J13-a25_gp/a25_rev)/(Q!J4/Q!J10-a25_soc/a25_rev)*(F130-D130)+gm_adj_C28</f>
        <v>0.588231824899232</v>
      </c>
      <c r="G131" s="11" t="n">
        <f aca="false">f26_gm+(Q!J13-a25_gp/a25_rev)/(Q!J4/Q!J10-a25_soc/a25_rev)*(G130-D130)+gm_adj_C29</f>
        <v>0.585996256851265</v>
      </c>
      <c r="H131" s="8" t="s">
        <v>509</v>
      </c>
    </row>
    <row r="134" customFormat="false" ht="17.15" hidden="false" customHeight="false" outlineLevel="0" collapsed="false">
      <c r="A134" s="1" t="s">
        <v>513</v>
      </c>
    </row>
    <row r="135" customFormat="false" ht="17.15" hidden="false" customHeight="false" outlineLevel="0" collapsed="false">
      <c r="A135" s="4" t="s">
        <v>514</v>
      </c>
    </row>
    <row r="136" customFormat="false" ht="17.15" hidden="false" customHeight="false" outlineLevel="0" collapsed="false">
      <c r="A136" s="5" t="s">
        <v>515</v>
      </c>
      <c r="B136" s="5" t="s">
        <v>21</v>
      </c>
      <c r="C136" s="15" t="s">
        <v>472</v>
      </c>
      <c r="D136" s="15" t="s">
        <v>432</v>
      </c>
      <c r="E136" s="15" t="s">
        <v>473</v>
      </c>
      <c r="F136" s="15" t="s">
        <v>474</v>
      </c>
      <c r="G136" s="15" t="s">
        <v>475</v>
      </c>
      <c r="H136" s="15" t="s">
        <v>516</v>
      </c>
      <c r="I136" s="15" t="s">
        <v>517</v>
      </c>
      <c r="J136" s="15" t="s">
        <v>518</v>
      </c>
      <c r="K136" s="5" t="s">
        <v>433</v>
      </c>
    </row>
    <row r="137" customFormat="false" ht="17.15" hidden="false" customHeight="false" outlineLevel="0" collapsed="false">
      <c r="A137" s="1" t="s">
        <v>519</v>
      </c>
    </row>
    <row r="138" customFormat="false" ht="17.15" hidden="false" customHeight="false" outlineLevel="0" collapsed="false">
      <c r="A138" s="4" t="s">
        <v>400</v>
      </c>
      <c r="B138" s="0" t="s">
        <v>196</v>
      </c>
      <c r="C138" s="20" t="n">
        <f aca="false">C5</f>
        <v>3190.1</v>
      </c>
      <c r="D138" s="20" t="n">
        <f aca="false">D5</f>
        <v>5111.6</v>
      </c>
      <c r="E138" s="20" t="n">
        <f aca="false">E5</f>
        <v>6958.96914523867</v>
      </c>
      <c r="F138" s="20" t="n">
        <f aca="false">F5</f>
        <v>8000.97215891378</v>
      </c>
      <c r="G138" s="20" t="n">
        <f aca="false">G5</f>
        <v>9060.66378455651</v>
      </c>
      <c r="H138" s="22" t="n">
        <f aca="false">G138*(1+H139)</f>
        <v>10041.9056354887</v>
      </c>
      <c r="I138" s="22" t="n">
        <f aca="false">H138*(1+I139)</f>
        <v>10886.9164580908</v>
      </c>
      <c r="J138" s="22" t="n">
        <f aca="false">I138*(1+J139)</f>
        <v>11540.1314455762</v>
      </c>
      <c r="K138" s="8" t="s">
        <v>520</v>
      </c>
    </row>
    <row r="139" customFormat="false" ht="15" hidden="false" customHeight="false" outlineLevel="0" collapsed="false">
      <c r="A139" s="4" t="s">
        <v>521</v>
      </c>
      <c r="B139" s="0" t="s">
        <v>98</v>
      </c>
      <c r="D139" s="11" t="n">
        <f aca="false">D138/C138-1</f>
        <v>0.602332215291057</v>
      </c>
      <c r="E139" s="11" t="n">
        <f aca="false">E138/D138-1</f>
        <v>0.361407219899576</v>
      </c>
      <c r="F139" s="11" t="n">
        <f aca="false">F138/E138-1</f>
        <v>0.149735254163045</v>
      </c>
      <c r="G139" s="11" t="n">
        <f aca="false">G138/F138-1</f>
        <v>0.132445358463364</v>
      </c>
      <c r="H139" s="23" t="n">
        <f aca="false">$G139+((tp_g+0.02)-$G139)*1/3</f>
        <v>0.108296905642243</v>
      </c>
      <c r="I139" s="23" t="n">
        <f aca="false">$G139+((tp_g+0.02)-$G139)*2/3</f>
        <v>0.0841484528211213</v>
      </c>
      <c r="J139" s="23" t="n">
        <f aca="false">$G139+((tp_g+0.02)-$G139)*3/3</f>
        <v>0.06</v>
      </c>
    </row>
    <row r="140" customFormat="false" ht="17.15" hidden="false" customHeight="false" outlineLevel="0" collapsed="false">
      <c r="A140" s="4" t="s">
        <v>522</v>
      </c>
      <c r="B140" s="0" t="s">
        <v>98</v>
      </c>
      <c r="C140" s="11" t="n">
        <f aca="false">C141/C138</f>
        <v>0.173662267640513</v>
      </c>
      <c r="D140" s="11" t="n">
        <f aca="false">D141/D138</f>
        <v>0.271006338524141</v>
      </c>
      <c r="E140" s="11" t="n">
        <f aca="false">E141/E138</f>
        <v>0.308217452408112</v>
      </c>
      <c r="F140" s="11" t="n">
        <f aca="false">F141/F138</f>
        <v>0.320875117351121</v>
      </c>
      <c r="G140" s="11" t="n">
        <f aca="false">G141/G138</f>
        <v>0.33026330355227</v>
      </c>
      <c r="H140" s="23" t="n">
        <f aca="false">$G140+($G140-$G140)*1/3</f>
        <v>0.33026330355227</v>
      </c>
      <c r="I140" s="23" t="n">
        <f aca="false">$G140+($G140-$G140)*2/3</f>
        <v>0.33026330355227</v>
      </c>
      <c r="J140" s="23" t="n">
        <f aca="false">$G140+($G140-$G140)*3/3</f>
        <v>0.33026330355227</v>
      </c>
    </row>
    <row r="141" customFormat="false" ht="15" hidden="false" customHeight="false" outlineLevel="0" collapsed="false">
      <c r="A141" s="4" t="s">
        <v>523</v>
      </c>
      <c r="B141" s="0" t="s">
        <v>196</v>
      </c>
      <c r="C141" s="20" t="n">
        <f aca="false">C12</f>
        <v>554</v>
      </c>
      <c r="D141" s="20" t="n">
        <f aca="false">D12</f>
        <v>1385.276</v>
      </c>
      <c r="E141" s="20" t="n">
        <f aca="false">E12</f>
        <v>2144.87574133212</v>
      </c>
      <c r="F141" s="20" t="n">
        <f aca="false">F12</f>
        <v>2567.31288041451</v>
      </c>
      <c r="G141" s="20" t="n">
        <f aca="false">G12</f>
        <v>2992.40475386405</v>
      </c>
      <c r="H141" s="22" t="n">
        <f aca="false">H138*H140</f>
        <v>3316.47292913666</v>
      </c>
      <c r="I141" s="22" t="n">
        <f aca="false">I138*I140</f>
        <v>3595.54899494664</v>
      </c>
      <c r="J141" s="22" t="n">
        <f aca="false">J138*J140</f>
        <v>3811.28193464344</v>
      </c>
    </row>
    <row r="142" customFormat="false" ht="17.15" hidden="false" customHeight="false" outlineLevel="0" collapsed="false">
      <c r="A142" s="0" t="s">
        <v>524</v>
      </c>
      <c r="B142" s="0" t="s">
        <v>201</v>
      </c>
      <c r="C142" s="14" t="n">
        <f aca="false">C13</f>
        <v>3.47</v>
      </c>
      <c r="D142" s="14" t="n">
        <f aca="false">D13</f>
        <v>8.78424857324033</v>
      </c>
      <c r="E142" s="14" t="n">
        <f aca="false">E13</f>
        <v>13.7383712927123</v>
      </c>
      <c r="F142" s="14" t="n">
        <f aca="false">F13</f>
        <v>16.6102709642527</v>
      </c>
      <c r="G142" s="14" t="n">
        <f aca="false">G13</f>
        <v>19.5561364528184</v>
      </c>
      <c r="H142" s="24" t="n">
        <f aca="false">$G142*H141/$G141</f>
        <v>21.6740055169761</v>
      </c>
      <c r="I142" s="24" t="n">
        <f aca="false">$G142*I141/$G141</f>
        <v>23.4978395476661</v>
      </c>
      <c r="J142" s="24" t="n">
        <f aca="false">$G142*J141/$G141</f>
        <v>24.9077099205261</v>
      </c>
    </row>
    <row r="144" customFormat="false" ht="17.15" hidden="false" customHeight="false" outlineLevel="0" collapsed="false">
      <c r="A144" s="1" t="s">
        <v>525</v>
      </c>
    </row>
    <row r="145" customFormat="false" ht="17.15" hidden="false" customHeight="false" outlineLevel="0" collapsed="false">
      <c r="A145" s="4" t="s">
        <v>400</v>
      </c>
      <c r="B145" s="0" t="s">
        <v>196</v>
      </c>
      <c r="C145" s="20" t="n">
        <f aca="false">C16</f>
        <v>3190.1</v>
      </c>
      <c r="D145" s="20" t="n">
        <f aca="false">D16</f>
        <v>5111.6</v>
      </c>
      <c r="E145" s="20" t="n">
        <f aca="false">E16</f>
        <v>6947.14404523867</v>
      </c>
      <c r="F145" s="20" t="n">
        <f aca="false">F16</f>
        <v>7081.7701876497</v>
      </c>
      <c r="G145" s="20" t="n">
        <f aca="false">G16</f>
        <v>8205.98597224243</v>
      </c>
      <c r="H145" s="22" t="n">
        <f aca="false">G145*(1+H146)</f>
        <v>9183.85420003166</v>
      </c>
      <c r="I145" s="22" t="n">
        <f aca="false">H145*(1+I146)</f>
        <v>9914.72934537662</v>
      </c>
      <c r="J145" s="22" t="n">
        <f aca="false">I145*(1+J146)</f>
        <v>10311.3185191917</v>
      </c>
      <c r="K145" s="8" t="s">
        <v>520</v>
      </c>
    </row>
    <row r="146" customFormat="false" ht="15" hidden="false" customHeight="false" outlineLevel="0" collapsed="false">
      <c r="A146" s="4" t="s">
        <v>521</v>
      </c>
      <c r="B146" s="0" t="s">
        <v>98</v>
      </c>
      <c r="D146" s="11" t="n">
        <f aca="false">D145/C145-1</f>
        <v>0.602332215291057</v>
      </c>
      <c r="E146" s="11" t="n">
        <f aca="false">E145/D145-1</f>
        <v>0.359093834658164</v>
      </c>
      <c r="F146" s="11" t="n">
        <f aca="false">F145/E145-1</f>
        <v>0.0193786312093658</v>
      </c>
      <c r="G146" s="11" t="n">
        <f aca="false">G145/F145-1</f>
        <v>0.158747849026973</v>
      </c>
      <c r="H146" s="23" t="n">
        <f aca="false">$G146+((tp_g)-$G146)*1/3</f>
        <v>0.119165232684649</v>
      </c>
      <c r="I146" s="23" t="n">
        <f aca="false">$G146+((tp_g)-$G146)*2/3</f>
        <v>0.0795826163423243</v>
      </c>
      <c r="J146" s="23" t="n">
        <f aca="false">$G146+((tp_g)-$G146)*3/3</f>
        <v>0.04</v>
      </c>
    </row>
    <row r="147" customFormat="false" ht="17.15" hidden="false" customHeight="false" outlineLevel="0" collapsed="false">
      <c r="A147" s="4" t="s">
        <v>522</v>
      </c>
      <c r="B147" s="0" t="s">
        <v>98</v>
      </c>
      <c r="C147" s="11" t="n">
        <f aca="false">C148/C145</f>
        <v>0.173662267640513</v>
      </c>
      <c r="D147" s="11" t="n">
        <f aca="false">D148/D145</f>
        <v>0.271006338524141</v>
      </c>
      <c r="E147" s="11" t="n">
        <f aca="false">E148/E145</f>
        <v>0.308036992409592</v>
      </c>
      <c r="F147" s="11" t="n">
        <f aca="false">F148/F145</f>
        <v>0.308757011926407</v>
      </c>
      <c r="G147" s="11" t="n">
        <f aca="false">G148/G145</f>
        <v>0.32151728303213</v>
      </c>
      <c r="H147" s="23" t="n">
        <f aca="false">$G147+(($G147+nim10)/2-$G147)*1/3</f>
        <v>0.297936241526097</v>
      </c>
      <c r="I147" s="23" t="n">
        <f aca="false">$G147+(($G147+nim10)/2-$G147)*2/3</f>
        <v>0.274355200020065</v>
      </c>
      <c r="J147" s="23" t="n">
        <f aca="false">$G147+(($G147+nim10)/2-$G147)*3/3</f>
        <v>0.250774158514033</v>
      </c>
    </row>
    <row r="148" customFormat="false" ht="15" hidden="false" customHeight="false" outlineLevel="0" collapsed="false">
      <c r="A148" s="4" t="s">
        <v>523</v>
      </c>
      <c r="B148" s="0" t="s">
        <v>196</v>
      </c>
      <c r="C148" s="20" t="n">
        <f aca="false">C23</f>
        <v>554</v>
      </c>
      <c r="D148" s="20" t="n">
        <f aca="false">D23</f>
        <v>1385.276</v>
      </c>
      <c r="E148" s="20" t="n">
        <f aca="false">E23</f>
        <v>2139.97735753153</v>
      </c>
      <c r="F148" s="20" t="n">
        <f aca="false">F23</f>
        <v>2186.54620228823</v>
      </c>
      <c r="G148" s="20" t="n">
        <f aca="false">G23</f>
        <v>2638.36631439515</v>
      </c>
      <c r="H148" s="22" t="n">
        <f aca="false">H145*H147</f>
        <v>2736.2030030811</v>
      </c>
      <c r="I148" s="22" t="n">
        <f aca="false">I145*I147</f>
        <v>2720.15755269561</v>
      </c>
      <c r="J148" s="22" t="n">
        <f aca="false">J145*J147</f>
        <v>2585.81222482046</v>
      </c>
    </row>
    <row r="149" customFormat="false" ht="17.15" hidden="false" customHeight="false" outlineLevel="0" collapsed="false">
      <c r="A149" s="0" t="s">
        <v>524</v>
      </c>
      <c r="B149" s="0" t="s">
        <v>201</v>
      </c>
      <c r="C149" s="14" t="n">
        <f aca="false">C24</f>
        <v>3.47</v>
      </c>
      <c r="D149" s="14" t="n">
        <f aca="false">D24</f>
        <v>8.78424857324033</v>
      </c>
      <c r="E149" s="14" t="n">
        <f aca="false">E24</f>
        <v>13.70699613466</v>
      </c>
      <c r="F149" s="14" t="n">
        <f aca="false">F24</f>
        <v>14.1467466520876</v>
      </c>
      <c r="G149" s="14" t="n">
        <f aca="false">G24</f>
        <v>17.2424039863611</v>
      </c>
      <c r="H149" s="24" t="n">
        <f aca="false">$G149*H148/$G148</f>
        <v>17.8817919674033</v>
      </c>
      <c r="I149" s="24" t="n">
        <f aca="false">$G149*I148/$G148</f>
        <v>17.7769308129153</v>
      </c>
      <c r="J149" s="24" t="n">
        <f aca="false">$G149*J148/$G148</f>
        <v>16.8989494635231</v>
      </c>
    </row>
    <row r="151" customFormat="false" ht="17.15" hidden="false" customHeight="false" outlineLevel="0" collapsed="false">
      <c r="A151" s="1" t="s">
        <v>526</v>
      </c>
    </row>
    <row r="152" customFormat="false" ht="17.15" hidden="false" customHeight="false" outlineLevel="0" collapsed="false">
      <c r="A152" s="4" t="s">
        <v>400</v>
      </c>
      <c r="B152" s="0" t="s">
        <v>196</v>
      </c>
      <c r="C152" s="20" t="n">
        <f aca="false">C27</f>
        <v>3190.1</v>
      </c>
      <c r="D152" s="20" t="n">
        <f aca="false">D27</f>
        <v>5111.6</v>
      </c>
      <c r="E152" s="20" t="n">
        <f aca="false">E27</f>
        <v>6935.31894523867</v>
      </c>
      <c r="F152" s="20" t="n">
        <f aca="false">F27</f>
        <v>6522.53289805538</v>
      </c>
      <c r="G152" s="20" t="n">
        <f aca="false">G27</f>
        <v>7915.26566715332</v>
      </c>
      <c r="H152" s="22" t="n">
        <f aca="false">G152*(1+H153)</f>
        <v>9094.77939883154</v>
      </c>
      <c r="I152" s="22" t="n">
        <f aca="false">H152*(1+I153)</f>
        <v>9863.36819936387</v>
      </c>
      <c r="J152" s="22" t="n">
        <f aca="false">I152*(1+J153)</f>
        <v>10060.6355633511</v>
      </c>
      <c r="K152" s="8" t="s">
        <v>520</v>
      </c>
    </row>
    <row r="153" customFormat="false" ht="15" hidden="false" customHeight="false" outlineLevel="0" collapsed="false">
      <c r="A153" s="4" t="s">
        <v>521</v>
      </c>
      <c r="B153" s="0" t="s">
        <v>98</v>
      </c>
      <c r="D153" s="11" t="n">
        <f aca="false">D152/C152-1</f>
        <v>0.602332215291057</v>
      </c>
      <c r="E153" s="11" t="n">
        <f aca="false">E152/D152-1</f>
        <v>0.356780449416753</v>
      </c>
      <c r="F153" s="11" t="n">
        <f aca="false">F152/E152-1</f>
        <v>-0.059519403569275</v>
      </c>
      <c r="G153" s="11" t="n">
        <f aca="false">G152/F152-1</f>
        <v>0.213526369412897</v>
      </c>
      <c r="H153" s="23" t="n">
        <f aca="false">$G153+((tp_g-0.02)-$G153)*1/3</f>
        <v>0.149017579608598</v>
      </c>
      <c r="I153" s="23" t="n">
        <f aca="false">$G153+((tp_g-0.02)-$G153)*2/3</f>
        <v>0.084508789804299</v>
      </c>
      <c r="J153" s="23" t="n">
        <f aca="false">$G153+((tp_g-0.02)-$G153)*3/3</f>
        <v>0.02</v>
      </c>
    </row>
    <row r="154" customFormat="false" ht="17.15" hidden="false" customHeight="false" outlineLevel="0" collapsed="false">
      <c r="A154" s="4" t="s">
        <v>522</v>
      </c>
      <c r="B154" s="0" t="s">
        <v>98</v>
      </c>
      <c r="C154" s="11" t="n">
        <f aca="false">C155/C152</f>
        <v>0.173662267640513</v>
      </c>
      <c r="D154" s="11" t="n">
        <f aca="false">D155/D152</f>
        <v>0.271006338524141</v>
      </c>
      <c r="E154" s="11" t="n">
        <f aca="false">E155/E152</f>
        <v>0.307855917022639</v>
      </c>
      <c r="F154" s="11" t="n">
        <f aca="false">F155/F152</f>
        <v>0.291770153961581</v>
      </c>
      <c r="G154" s="11" t="n">
        <f aca="false">G155/G152</f>
        <v>0.302105890925841</v>
      </c>
      <c r="H154" s="23" t="n">
        <f aca="false">$G154+(nim10-$G154)*1/3</f>
        <v>0.261414271949206</v>
      </c>
      <c r="I154" s="23" t="n">
        <f aca="false">$G154+(nim10-$G154)*2/3</f>
        <v>0.220722652972571</v>
      </c>
      <c r="J154" s="23" t="n">
        <f aca="false">$G154+(nim10-$G154)*3/3</f>
        <v>0.180031033995936</v>
      </c>
    </row>
    <row r="155" customFormat="false" ht="15" hidden="false" customHeight="false" outlineLevel="0" collapsed="false">
      <c r="A155" s="4" t="s">
        <v>523</v>
      </c>
      <c r="B155" s="0" t="s">
        <v>196</v>
      </c>
      <c r="C155" s="20" t="n">
        <f aca="false">C34</f>
        <v>554</v>
      </c>
      <c r="D155" s="20" t="n">
        <f aca="false">D34</f>
        <v>1385.276</v>
      </c>
      <c r="E155" s="20" t="n">
        <f aca="false">E34</f>
        <v>2135.07897373094</v>
      </c>
      <c r="F155" s="20" t="n">
        <f aca="false">F34</f>
        <v>1903.08042788509</v>
      </c>
      <c r="G155" s="20" t="n">
        <f aca="false">G34</f>
        <v>2391.24838629008</v>
      </c>
      <c r="H155" s="22" t="n">
        <f aca="false">H152*H154</f>
        <v>2377.50513508419</v>
      </c>
      <c r="I155" s="22" t="n">
        <f aca="false">I152*I154</f>
        <v>2177.06879620888</v>
      </c>
      <c r="J155" s="22" t="n">
        <f aca="false">J152*J154</f>
        <v>1811.22662312639</v>
      </c>
    </row>
    <row r="156" customFormat="false" ht="17.15" hidden="false" customHeight="false" outlineLevel="0" collapsed="false">
      <c r="A156" s="0" t="s">
        <v>524</v>
      </c>
      <c r="B156" s="0" t="s">
        <v>201</v>
      </c>
      <c r="C156" s="14" t="n">
        <f aca="false">C35</f>
        <v>3.47</v>
      </c>
      <c r="D156" s="14" t="n">
        <f aca="false">D35</f>
        <v>8.78424857324033</v>
      </c>
      <c r="E156" s="14" t="n">
        <f aca="false">E35</f>
        <v>13.6756209766078</v>
      </c>
      <c r="F156" s="14" t="n">
        <f aca="false">F35</f>
        <v>12.3127499632354</v>
      </c>
      <c r="G156" s="14" t="n">
        <f aca="false">G35</f>
        <v>15.6274246237865</v>
      </c>
      <c r="H156" s="24" t="n">
        <f aca="false">$G156*H155/$G155</f>
        <v>15.5376089344013</v>
      </c>
      <c r="I156" s="24" t="n">
        <f aca="false">$G156*I155/$G155</f>
        <v>14.2277057910891</v>
      </c>
      <c r="J156" s="24" t="n">
        <f aca="false">$G156*J155/$G155</f>
        <v>11.8368328826838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7.15" hidden="false" customHeight="false" outlineLevel="0" collapsed="false">
      <c r="A4" s="6" t="s">
        <v>530</v>
      </c>
    </row>
    <row r="5" customFormat="false" ht="17.15" hidden="false" customHeight="false" outlineLevel="0" collapsed="false">
      <c r="A5" s="5" t="s">
        <v>531</v>
      </c>
      <c r="B5" s="5" t="s">
        <v>532</v>
      </c>
      <c r="C5" s="5" t="s">
        <v>533</v>
      </c>
      <c r="D5" s="5" t="s">
        <v>534</v>
      </c>
      <c r="E5" s="5" t="s">
        <v>535</v>
      </c>
      <c r="F5" s="5" t="s">
        <v>536</v>
      </c>
      <c r="G5" s="5" t="s">
        <v>537</v>
      </c>
      <c r="H5" s="5" t="s">
        <v>433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538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539</v>
      </c>
    </row>
    <row r="17" customFormat="false" ht="17.15" hidden="false" customHeight="false" outlineLevel="0" collapsed="false">
      <c r="A17" s="1" t="s">
        <v>540</v>
      </c>
    </row>
    <row r="18" customFormat="false" ht="17.15" hidden="false" customHeight="false" outlineLevel="0" collapsed="false">
      <c r="A18" s="6" t="s">
        <v>541</v>
      </c>
    </row>
    <row r="19" customFormat="false" ht="17.15" hidden="false" customHeight="false" outlineLevel="0" collapsed="false">
      <c r="A19" s="5" t="s">
        <v>542</v>
      </c>
      <c r="B19" s="5" t="s">
        <v>543</v>
      </c>
      <c r="C19" s="5" t="s">
        <v>544</v>
      </c>
      <c r="D19" s="5"/>
      <c r="E19" s="15" t="s">
        <v>545</v>
      </c>
      <c r="F19" s="5"/>
      <c r="G19" s="15" t="s">
        <v>546</v>
      </c>
      <c r="H19" s="5" t="s">
        <v>547</v>
      </c>
      <c r="I19" s="5"/>
      <c r="J19" s="5" t="s">
        <v>25</v>
      </c>
      <c r="K19" s="5" t="s">
        <v>548</v>
      </c>
    </row>
    <row r="20" customFormat="false" ht="17.15" hidden="false" customHeight="false" outlineLevel="0" collapsed="false">
      <c r="A20" s="0" t="s">
        <v>549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383</v>
      </c>
      <c r="K20" s="8" t="s">
        <v>550</v>
      </c>
    </row>
    <row r="21" customFormat="false" ht="17.15" hidden="false" customHeight="false" outlineLevel="0" collapsed="false">
      <c r="A21" s="0" t="s">
        <v>551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383</v>
      </c>
      <c r="K21" s="4" t="s">
        <v>552</v>
      </c>
    </row>
    <row r="22" customFormat="false" ht="17.15" hidden="false" customHeight="false" outlineLevel="0" collapsed="false">
      <c r="A22" s="0" t="s">
        <v>553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383</v>
      </c>
      <c r="K22" s="4" t="s">
        <v>552</v>
      </c>
    </row>
    <row r="23" customFormat="false" ht="17.15" hidden="false" customHeight="false" outlineLevel="0" collapsed="false">
      <c r="A23" s="0" t="s">
        <v>554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383</v>
      </c>
      <c r="K23" s="4" t="s">
        <v>552</v>
      </c>
    </row>
    <row r="24" customFormat="false" ht="17.15" hidden="false" customHeight="false" outlineLevel="0" collapsed="false">
      <c r="A24" s="0" t="s">
        <v>555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383</v>
      </c>
      <c r="K24" s="4" t="s">
        <v>552</v>
      </c>
    </row>
    <row r="25" customFormat="false" ht="17.15" hidden="false" customHeight="false" outlineLevel="0" collapsed="false">
      <c r="A25" s="0" t="s">
        <v>556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383</v>
      </c>
      <c r="K25" s="4" t="s">
        <v>552</v>
      </c>
    </row>
    <row r="26" customFormat="false" ht="17.15" hidden="false" customHeight="false" outlineLevel="0" collapsed="false">
      <c r="A26" s="0" t="s">
        <v>557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383</v>
      </c>
      <c r="K26" s="4" t="s">
        <v>552</v>
      </c>
    </row>
    <row r="27" customFormat="false" ht="17.15" hidden="false" customHeight="false" outlineLevel="0" collapsed="false">
      <c r="A27" s="0" t="s">
        <v>558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383</v>
      </c>
      <c r="K27" s="4" t="s">
        <v>552</v>
      </c>
    </row>
    <row r="28" customFormat="false" ht="17.15" hidden="false" customHeight="false" outlineLevel="0" collapsed="false">
      <c r="A28" s="0" t="s">
        <v>559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383</v>
      </c>
      <c r="K28" s="4" t="s">
        <v>552</v>
      </c>
    </row>
    <row r="29" customFormat="false" ht="17.15" hidden="false" customHeight="false" outlineLevel="0" collapsed="false">
      <c r="A29" s="0" t="s">
        <v>560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383</v>
      </c>
      <c r="K29" s="8" t="s">
        <v>561</v>
      </c>
    </row>
    <row r="31" customFormat="false" ht="17.15" hidden="false" customHeight="false" outlineLevel="0" collapsed="false">
      <c r="A31" s="4" t="s">
        <v>562</v>
      </c>
    </row>
    <row r="33" customFormat="false" ht="17.15" hidden="false" customHeight="false" outlineLevel="0" collapsed="false">
      <c r="A33" s="6" t="s">
        <v>563</v>
      </c>
    </row>
    <row r="34" customFormat="false" ht="17.15" hidden="false" customHeight="false" outlineLevel="0" collapsed="false">
      <c r="A34" s="5" t="s">
        <v>564</v>
      </c>
      <c r="B34" s="15" t="s">
        <v>545</v>
      </c>
      <c r="C34" s="5"/>
      <c r="D34" s="15" t="s">
        <v>565</v>
      </c>
      <c r="E34" s="5" t="s">
        <v>566</v>
      </c>
    </row>
    <row r="35" customFormat="false" ht="17.15" hidden="false" customHeight="false" outlineLevel="0" collapsed="false">
      <c r="A35" s="0" t="s">
        <v>567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568</v>
      </c>
    </row>
    <row r="36" customFormat="false" ht="15" hidden="false" customHeight="false" outlineLevel="0" collapsed="false">
      <c r="A36" s="4" t="s">
        <v>569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570</v>
      </c>
    </row>
    <row r="37" customFormat="false" ht="17.15" hidden="false" customHeight="false" outlineLevel="0" collapsed="false">
      <c r="A37" s="0" t="s">
        <v>571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572</v>
      </c>
    </row>
    <row r="38" customFormat="false" ht="15" hidden="false" customHeight="false" outlineLevel="0" collapsed="false">
      <c r="A38" s="4" t="s">
        <v>573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574</v>
      </c>
    </row>
    <row r="41" customFormat="false" ht="17.15" hidden="false" customHeight="false" outlineLevel="0" collapsed="false">
      <c r="A41" s="4" t="s">
        <v>575</v>
      </c>
    </row>
    <row r="42" customFormat="false" ht="17.15" hidden="false" customHeight="false" outlineLevel="0" collapsed="false">
      <c r="A42" s="5" t="s">
        <v>576</v>
      </c>
      <c r="B42" s="5" t="s">
        <v>577</v>
      </c>
      <c r="C42" s="15" t="s">
        <v>578</v>
      </c>
      <c r="D42" s="5" t="s">
        <v>579</v>
      </c>
      <c r="E42" s="5" t="s">
        <v>580</v>
      </c>
      <c r="F42" s="5" t="s">
        <v>581</v>
      </c>
    </row>
    <row r="43" customFormat="false" ht="15" hidden="false" customHeight="false" outlineLevel="0" collapsed="false">
      <c r="A43" s="0" t="s">
        <v>582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583</v>
      </c>
    </row>
    <row r="44" customFormat="false" ht="15" hidden="false" customHeight="false" outlineLevel="0" collapsed="false">
      <c r="A44" s="0" t="s">
        <v>584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583</v>
      </c>
    </row>
    <row r="45" customFormat="false" ht="15" hidden="false" customHeight="false" outlineLevel="0" collapsed="false">
      <c r="A45" s="0" t="s">
        <v>585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583</v>
      </c>
    </row>
    <row r="47" customFormat="false" ht="17.15" hidden="false" customHeight="false" outlineLevel="0" collapsed="false">
      <c r="A47" s="6" t="s">
        <v>586</v>
      </c>
    </row>
    <row r="48" customFormat="false" ht="17.15" hidden="false" customHeight="false" outlineLevel="0" collapsed="false">
      <c r="A48" s="5" t="s">
        <v>576</v>
      </c>
      <c r="B48" s="15" t="s">
        <v>587</v>
      </c>
      <c r="C48" s="15" t="s">
        <v>483</v>
      </c>
      <c r="D48" s="5" t="s">
        <v>588</v>
      </c>
      <c r="E48" s="5" t="s">
        <v>580</v>
      </c>
      <c r="F48" s="5" t="s">
        <v>589</v>
      </c>
      <c r="G48" s="5" t="s">
        <v>590</v>
      </c>
      <c r="H48" s="5" t="s">
        <v>591</v>
      </c>
    </row>
    <row r="49" customFormat="false" ht="15" hidden="false" customHeight="false" outlineLevel="0" collapsed="false">
      <c r="A49" s="27" t="s">
        <v>582</v>
      </c>
      <c r="B49" s="27" t="s">
        <v>473</v>
      </c>
      <c r="C49" s="28" t="n">
        <f aca="false">PL!E13</f>
        <v>13.7383712927123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399.00900783409</v>
      </c>
      <c r="G49" s="31" t="n">
        <f aca="false">F49/px-1</f>
        <v>0.291918432359042</v>
      </c>
      <c r="H49" s="27"/>
    </row>
    <row r="50" customFormat="false" ht="17.15" hidden="false" customHeight="false" outlineLevel="0" collapsed="false">
      <c r="A50" s="0" t="s">
        <v>582</v>
      </c>
      <c r="B50" s="0" t="s">
        <v>473</v>
      </c>
      <c r="C50" s="18" t="n">
        <f aca="false">PL!E13</f>
        <v>13.7383712927123</v>
      </c>
      <c r="D50" s="4" t="s">
        <v>592</v>
      </c>
      <c r="E50" s="25" t="n">
        <f aca="false">pe_peak</f>
        <v>25.5509615384615</v>
      </c>
      <c r="F50" s="14" t="n">
        <f aca="false">C50*E50</f>
        <v>351.028596501195</v>
      </c>
      <c r="G50" s="32" t="n">
        <f aca="false">F50/px-1</f>
        <v>0.136566606770909</v>
      </c>
    </row>
    <row r="51" customFormat="false" ht="15" hidden="false" customHeight="false" outlineLevel="0" collapsed="false">
      <c r="A51" s="0" t="s">
        <v>582</v>
      </c>
      <c r="B51" s="0" t="s">
        <v>473</v>
      </c>
      <c r="C51" s="18" t="n">
        <f aca="false">PL!E13</f>
        <v>13.7383712927123</v>
      </c>
      <c r="D51" s="4" t="s">
        <v>593</v>
      </c>
      <c r="E51" s="25" t="n">
        <f aca="false">pe_mid</f>
        <v>29.0433996383364</v>
      </c>
      <c r="F51" s="14" t="n">
        <f aca="false">C51*E51</f>
        <v>399.00900783409</v>
      </c>
      <c r="G51" s="32" t="n">
        <f aca="false">F51/px-1</f>
        <v>0.291918432359042</v>
      </c>
    </row>
    <row r="52" customFormat="false" ht="17.15" hidden="false" customHeight="false" outlineLevel="0" collapsed="false">
      <c r="A52" s="0" t="s">
        <v>582</v>
      </c>
      <c r="B52" s="0" t="s">
        <v>473</v>
      </c>
      <c r="C52" s="18" t="n">
        <f aca="false">PL!E13</f>
        <v>13.7383712927123</v>
      </c>
      <c r="D52" s="4" t="s">
        <v>594</v>
      </c>
      <c r="E52" s="25" t="n">
        <f aca="false">pe_trough</f>
        <v>37.7331325301205</v>
      </c>
      <c r="F52" s="14" t="n">
        <f aca="false">C52*E52</f>
        <v>518.391784735915</v>
      </c>
      <c r="G52" s="32" t="n">
        <f aca="false">F52/px-1</f>
        <v>0.678458101783762</v>
      </c>
    </row>
    <row r="53" customFormat="false" ht="17.15" hidden="false" customHeight="false" outlineLevel="0" collapsed="false">
      <c r="A53" s="0" t="s">
        <v>582</v>
      </c>
      <c r="B53" s="0" t="s">
        <v>474</v>
      </c>
      <c r="C53" s="18" t="n">
        <f aca="false">PL!F13</f>
        <v>16.6102709642527</v>
      </c>
      <c r="D53" s="4" t="s">
        <v>592</v>
      </c>
      <c r="E53" s="25" t="n">
        <f aca="false">pe_peak</f>
        <v>25.5509615384615</v>
      </c>
      <c r="F53" s="14" t="n">
        <f aca="false">C53*E53</f>
        <v>424.408394551046</v>
      </c>
      <c r="G53" s="32" t="n">
        <f aca="false">F53/px-1</f>
        <v>0.374157016516257</v>
      </c>
    </row>
    <row r="54" customFormat="false" ht="15" hidden="false" customHeight="false" outlineLevel="0" collapsed="false">
      <c r="A54" s="0" t="s">
        <v>582</v>
      </c>
      <c r="B54" s="0" t="s">
        <v>474</v>
      </c>
      <c r="C54" s="18" t="n">
        <f aca="false">PL!F13</f>
        <v>16.6102709642527</v>
      </c>
      <c r="D54" s="4" t="s">
        <v>593</v>
      </c>
      <c r="E54" s="25" t="n">
        <f aca="false">pe_mid</f>
        <v>29.0433996383364</v>
      </c>
      <c r="F54" s="14" t="n">
        <f aca="false">C54*E54</f>
        <v>482.418737715846</v>
      </c>
      <c r="G54" s="32" t="n">
        <f aca="false">F54/px-1</f>
        <v>0.561983933028481</v>
      </c>
    </row>
    <row r="55" customFormat="false" ht="17.15" hidden="false" customHeight="false" outlineLevel="0" collapsed="false">
      <c r="A55" s="0" t="s">
        <v>582</v>
      </c>
      <c r="B55" s="0" t="s">
        <v>474</v>
      </c>
      <c r="C55" s="18" t="n">
        <f aca="false">PL!F13</f>
        <v>16.6102709642527</v>
      </c>
      <c r="D55" s="4" t="s">
        <v>594</v>
      </c>
      <c r="E55" s="25" t="n">
        <f aca="false">pe_trough</f>
        <v>37.7331325301205</v>
      </c>
      <c r="F55" s="14" t="n">
        <f aca="false">C55*E55</f>
        <v>626.75755565536</v>
      </c>
      <c r="G55" s="32" t="n">
        <f aca="false">F55/px-1</f>
        <v>1.02932671411805</v>
      </c>
    </row>
    <row r="56" customFormat="false" ht="15" hidden="false" customHeight="false" outlineLevel="0" collapsed="false">
      <c r="A56" s="27" t="s">
        <v>584</v>
      </c>
      <c r="B56" s="27" t="s">
        <v>473</v>
      </c>
      <c r="C56" s="28" t="n">
        <f aca="false">PL!E24</f>
        <v>13.70699613466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398.097766580063</v>
      </c>
      <c r="G56" s="31" t="n">
        <f aca="false">F56/px-1</f>
        <v>0.288967999287883</v>
      </c>
      <c r="H56" s="27"/>
    </row>
    <row r="57" customFormat="false" ht="17.15" hidden="false" customHeight="false" outlineLevel="0" collapsed="false">
      <c r="A57" s="0" t="s">
        <v>584</v>
      </c>
      <c r="B57" s="0" t="s">
        <v>473</v>
      </c>
      <c r="C57" s="18" t="n">
        <f aca="false">PL!E24</f>
        <v>13.70699613466</v>
      </c>
      <c r="D57" s="4" t="s">
        <v>592</v>
      </c>
      <c r="E57" s="25" t="n">
        <f aca="false">pe_peak</f>
        <v>25.5509615384615</v>
      </c>
      <c r="F57" s="14" t="n">
        <f aca="false">C57*E57</f>
        <v>350.226931044539</v>
      </c>
      <c r="G57" s="32" t="n">
        <f aca="false">F57/px-1</f>
        <v>0.133970960157161</v>
      </c>
    </row>
    <row r="58" customFormat="false" ht="15" hidden="false" customHeight="false" outlineLevel="0" collapsed="false">
      <c r="A58" s="0" t="s">
        <v>584</v>
      </c>
      <c r="B58" s="0" t="s">
        <v>473</v>
      </c>
      <c r="C58" s="18" t="n">
        <f aca="false">PL!E24</f>
        <v>13.70699613466</v>
      </c>
      <c r="D58" s="4" t="s">
        <v>593</v>
      </c>
      <c r="E58" s="25" t="n">
        <f aca="false">pe_mid</f>
        <v>29.0433996383364</v>
      </c>
      <c r="F58" s="14" t="n">
        <f aca="false">C58*E58</f>
        <v>398.097766580063</v>
      </c>
      <c r="G58" s="32" t="n">
        <f aca="false">F58/px-1</f>
        <v>0.288967999287883</v>
      </c>
    </row>
    <row r="59" customFormat="false" ht="17.15" hidden="false" customHeight="false" outlineLevel="0" collapsed="false">
      <c r="A59" s="0" t="s">
        <v>584</v>
      </c>
      <c r="B59" s="0" t="s">
        <v>473</v>
      </c>
      <c r="C59" s="18" t="n">
        <f aca="false">PL!E24</f>
        <v>13.70699613466</v>
      </c>
      <c r="D59" s="4" t="s">
        <v>594</v>
      </c>
      <c r="E59" s="25" t="n">
        <f aca="false">pe_trough</f>
        <v>37.7331325301205</v>
      </c>
      <c r="F59" s="14" t="n">
        <f aca="false">C59*E59</f>
        <v>517.207901738976</v>
      </c>
      <c r="G59" s="32" t="n">
        <f aca="false">F59/px-1</f>
        <v>0.674624904448683</v>
      </c>
    </row>
    <row r="60" customFormat="false" ht="17.15" hidden="false" customHeight="false" outlineLevel="0" collapsed="false">
      <c r="A60" s="0" t="s">
        <v>584</v>
      </c>
      <c r="B60" s="0" t="s">
        <v>474</v>
      </c>
      <c r="C60" s="18" t="n">
        <f aca="false">PL!F24</f>
        <v>14.1467466520876</v>
      </c>
      <c r="D60" s="4" t="s">
        <v>592</v>
      </c>
      <c r="E60" s="25" t="n">
        <f aca="false">pe_peak</f>
        <v>25.5509615384615</v>
      </c>
      <c r="F60" s="14" t="n">
        <f aca="false">C60*E60</f>
        <v>361.462979601849</v>
      </c>
      <c r="G60" s="32" t="n">
        <f aca="false">F60/px-1</f>
        <v>0.170351237176133</v>
      </c>
    </row>
    <row r="61" customFormat="false" ht="15" hidden="false" customHeight="false" outlineLevel="0" collapsed="false">
      <c r="A61" s="0" t="s">
        <v>584</v>
      </c>
      <c r="B61" s="0" t="s">
        <v>474</v>
      </c>
      <c r="C61" s="18" t="n">
        <f aca="false">PL!F24</f>
        <v>14.1467466520876</v>
      </c>
      <c r="D61" s="4" t="s">
        <v>593</v>
      </c>
      <c r="E61" s="25" t="n">
        <f aca="false">pe_mid</f>
        <v>29.0433996383364</v>
      </c>
      <c r="F61" s="14" t="n">
        <f aca="false">C61*E61</f>
        <v>410.869616598876</v>
      </c>
      <c r="G61" s="32" t="n">
        <f aca="false">F61/px-1</f>
        <v>0.33032092147928</v>
      </c>
    </row>
    <row r="62" customFormat="false" ht="17.15" hidden="false" customHeight="false" outlineLevel="0" collapsed="false">
      <c r="A62" s="0" t="s">
        <v>584</v>
      </c>
      <c r="B62" s="0" t="s">
        <v>474</v>
      </c>
      <c r="C62" s="18" t="n">
        <f aca="false">PL!F24</f>
        <v>14.1467466520876</v>
      </c>
      <c r="D62" s="4" t="s">
        <v>594</v>
      </c>
      <c r="E62" s="25" t="n">
        <f aca="false">pe_trough</f>
        <v>37.7331325301205</v>
      </c>
      <c r="F62" s="14" t="n">
        <f aca="false">C62*E62</f>
        <v>533.801066293258</v>
      </c>
      <c r="G62" s="32" t="n">
        <f aca="false">F62/px-1</f>
        <v>0.728350546521801</v>
      </c>
    </row>
    <row r="63" customFormat="false" ht="15" hidden="false" customHeight="false" outlineLevel="0" collapsed="false">
      <c r="A63" s="27" t="s">
        <v>585</v>
      </c>
      <c r="B63" s="27" t="s">
        <v>473</v>
      </c>
      <c r="C63" s="28" t="n">
        <f aca="false">PL!E35</f>
        <v>13.6756209766078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349.425265587883</v>
      </c>
      <c r="G63" s="31" t="n">
        <f aca="false">F63/px-1</f>
        <v>0.131375313543413</v>
      </c>
      <c r="H63" s="27"/>
    </row>
    <row r="64" customFormat="false" ht="17.15" hidden="false" customHeight="false" outlineLevel="0" collapsed="false">
      <c r="A64" s="0" t="s">
        <v>585</v>
      </c>
      <c r="B64" s="0" t="s">
        <v>473</v>
      </c>
      <c r="C64" s="18" t="n">
        <f aca="false">PL!E35</f>
        <v>13.6756209766078</v>
      </c>
      <c r="D64" s="4" t="s">
        <v>592</v>
      </c>
      <c r="E64" s="25" t="n">
        <f aca="false">pe_peak</f>
        <v>25.5509615384615</v>
      </c>
      <c r="F64" s="14" t="n">
        <f aca="false">C64*E64</f>
        <v>349.425265587883</v>
      </c>
      <c r="G64" s="32" t="n">
        <f aca="false">F64/px-1</f>
        <v>0.131375313543413</v>
      </c>
    </row>
    <row r="65" customFormat="false" ht="15" hidden="false" customHeight="false" outlineLevel="0" collapsed="false">
      <c r="A65" s="0" t="s">
        <v>585</v>
      </c>
      <c r="B65" s="0" t="s">
        <v>473</v>
      </c>
      <c r="C65" s="18" t="n">
        <f aca="false">PL!E35</f>
        <v>13.6756209766078</v>
      </c>
      <c r="D65" s="4" t="s">
        <v>593</v>
      </c>
      <c r="E65" s="25" t="n">
        <f aca="false">pe_mid</f>
        <v>29.0433996383364</v>
      </c>
      <c r="F65" s="14" t="n">
        <f aca="false">C65*E65</f>
        <v>397.186525326035</v>
      </c>
      <c r="G65" s="32" t="n">
        <f aca="false">F65/px-1</f>
        <v>0.286017566216725</v>
      </c>
    </row>
    <row r="66" customFormat="false" ht="17.15" hidden="false" customHeight="false" outlineLevel="0" collapsed="false">
      <c r="A66" s="0" t="s">
        <v>585</v>
      </c>
      <c r="B66" s="0" t="s">
        <v>473</v>
      </c>
      <c r="C66" s="18" t="n">
        <f aca="false">PL!E35</f>
        <v>13.6756209766078</v>
      </c>
      <c r="D66" s="4" t="s">
        <v>594</v>
      </c>
      <c r="E66" s="25" t="n">
        <f aca="false">pe_trough</f>
        <v>37.7331325301205</v>
      </c>
      <c r="F66" s="14" t="n">
        <f aca="false">C66*E66</f>
        <v>516.024018742037</v>
      </c>
      <c r="G66" s="32" t="n">
        <f aca="false">F66/px-1</f>
        <v>0.670791707113606</v>
      </c>
    </row>
    <row r="67" customFormat="false" ht="17.15" hidden="false" customHeight="false" outlineLevel="0" collapsed="false">
      <c r="A67" s="0" t="s">
        <v>585</v>
      </c>
      <c r="B67" s="0" t="s">
        <v>474</v>
      </c>
      <c r="C67" s="18" t="n">
        <f aca="false">PL!F35</f>
        <v>12.3127499632354</v>
      </c>
      <c r="D67" s="4" t="s">
        <v>592</v>
      </c>
      <c r="E67" s="25" t="n">
        <f aca="false">pe_peak</f>
        <v>25.5509615384615</v>
      </c>
      <c r="F67" s="14" t="n">
        <f aca="false">C67*E67</f>
        <v>314.602600743321</v>
      </c>
      <c r="G67" s="32" t="n">
        <f aca="false">F67/px-1</f>
        <v>0.0186258725702471</v>
      </c>
    </row>
    <row r="68" customFormat="false" ht="15" hidden="false" customHeight="false" outlineLevel="0" collapsed="false">
      <c r="A68" s="0" t="s">
        <v>585</v>
      </c>
      <c r="B68" s="0" t="s">
        <v>474</v>
      </c>
      <c r="C68" s="18" t="n">
        <f aca="false">PL!F35</f>
        <v>12.3127499632354</v>
      </c>
      <c r="D68" s="4" t="s">
        <v>593</v>
      </c>
      <c r="E68" s="25" t="n">
        <f aca="false">pe_mid</f>
        <v>29.0433996383364</v>
      </c>
      <c r="F68" s="14" t="n">
        <f aca="false">C68*E68</f>
        <v>357.604117829156</v>
      </c>
      <c r="G68" s="32" t="n">
        <f aca="false">F68/px-1</f>
        <v>0.157856946184737</v>
      </c>
    </row>
    <row r="69" customFormat="false" ht="17.15" hidden="false" customHeight="false" outlineLevel="0" collapsed="false">
      <c r="A69" s="0" t="s">
        <v>585</v>
      </c>
      <c r="B69" s="0" t="s">
        <v>474</v>
      </c>
      <c r="C69" s="18" t="n">
        <f aca="false">PL!F35</f>
        <v>12.3127499632354</v>
      </c>
      <c r="D69" s="4" t="s">
        <v>594</v>
      </c>
      <c r="E69" s="25" t="n">
        <f aca="false">pe_trough</f>
        <v>37.7331325301205</v>
      </c>
      <c r="F69" s="14" t="n">
        <f aca="false">C69*E69</f>
        <v>464.598626172997</v>
      </c>
      <c r="G69" s="32" t="n">
        <f aca="false">F69/px-1</f>
        <v>0.50428566026549</v>
      </c>
    </row>
    <row r="71" customFormat="false" ht="17.15" hidden="false" customHeight="false" outlineLevel="0" collapsed="false">
      <c r="A71" s="6" t="s">
        <v>595</v>
      </c>
    </row>
    <row r="72" customFormat="false" ht="17.15" hidden="false" customHeight="false" outlineLevel="0" collapsed="false">
      <c r="A72" s="5" t="s">
        <v>20</v>
      </c>
      <c r="B72" s="15" t="s">
        <v>596</v>
      </c>
      <c r="C72" s="15" t="s">
        <v>597</v>
      </c>
      <c r="D72" s="15" t="s">
        <v>598</v>
      </c>
      <c r="E72" s="5" t="s">
        <v>591</v>
      </c>
    </row>
    <row r="73" customFormat="false" ht="17.15" hidden="false" customHeight="false" outlineLevel="0" collapsed="false">
      <c r="A73" s="4" t="s">
        <v>599</v>
      </c>
      <c r="B73" s="14" t="n">
        <f aca="false">px</f>
        <v>308.85</v>
      </c>
      <c r="E73" s="8" t="s">
        <v>600</v>
      </c>
    </row>
    <row r="74" customFormat="false" ht="17.15" hidden="false" customHeight="false" outlineLevel="0" collapsed="false">
      <c r="A74" s="4" t="s">
        <v>601</v>
      </c>
      <c r="B74" s="25" t="n">
        <f aca="false">sa_fpe</f>
        <v>32.52</v>
      </c>
      <c r="E74" s="4" t="s">
        <v>602</v>
      </c>
    </row>
    <row r="75" customFormat="false" ht="17.15" hidden="false" customHeight="false" outlineLevel="0" collapsed="false">
      <c r="A75" s="4" t="s">
        <v>603</v>
      </c>
      <c r="B75" s="25" t="n">
        <f aca="false">px/f26_eps</f>
        <v>35.1595241670252</v>
      </c>
      <c r="E75" s="8" t="s">
        <v>604</v>
      </c>
    </row>
    <row r="76" customFormat="false" ht="17.15" hidden="false" customHeight="false" outlineLevel="0" collapsed="false">
      <c r="A76" s="4" t="s">
        <v>605</v>
      </c>
      <c r="B76" s="25" t="n">
        <f aca="false">px/PL!E13</f>
        <v>22.4808307636753</v>
      </c>
      <c r="C76" s="25" t="n">
        <f aca="false">px/PL!E24</f>
        <v>22.5322891292739</v>
      </c>
      <c r="D76" s="25" t="n">
        <f aca="false">px/PL!E35</f>
        <v>22.5839836105643</v>
      </c>
    </row>
    <row r="77" customFormat="false" ht="17.15" hidden="false" customHeight="false" outlineLevel="0" collapsed="false">
      <c r="A77" s="4" t="s">
        <v>606</v>
      </c>
      <c r="B77" s="25" t="n">
        <f aca="false">px/PL!F13</f>
        <v>18.5939170206604</v>
      </c>
      <c r="C77" s="25" t="n">
        <f aca="false">px/PL!F24</f>
        <v>21.8318746773079</v>
      </c>
      <c r="D77" s="25" t="n">
        <f aca="false">px/PL!F35</f>
        <v>25.0837547194733</v>
      </c>
    </row>
    <row r="78" customFormat="false" ht="17.15" hidden="false" customHeight="false" outlineLevel="0" collapsed="false">
      <c r="A78" s="4" t="s">
        <v>607</v>
      </c>
      <c r="B78" s="25" t="n">
        <f aca="false">px/cons_eps27</f>
        <v>27.3318584070796</v>
      </c>
      <c r="E78" s="8" t="s">
        <v>608</v>
      </c>
    </row>
    <row r="80" customFormat="false" ht="15" hidden="false" customHeight="false" outlineLevel="0" collapsed="false">
      <c r="A80" s="1" t="s">
        <v>609</v>
      </c>
    </row>
    <row r="81" customFormat="false" ht="15" hidden="false" customHeight="false" outlineLevel="0" collapsed="false">
      <c r="A81" s="5" t="s">
        <v>20</v>
      </c>
      <c r="B81" s="5" t="s">
        <v>610</v>
      </c>
      <c r="C81" s="5"/>
      <c r="D81" s="5"/>
      <c r="E81" s="5" t="s">
        <v>433</v>
      </c>
    </row>
    <row r="82" customFormat="false" ht="17.15" hidden="false" customHeight="false" outlineLevel="0" collapsed="false">
      <c r="A82" s="4" t="s">
        <v>611</v>
      </c>
      <c r="B82" s="14" t="n">
        <f aca="false">tp_wA*B84+tp_wB*B85+tp_wC*B86</f>
        <v>388.636638757835</v>
      </c>
      <c r="E82" s="4" t="s">
        <v>612</v>
      </c>
    </row>
    <row r="83" customFormat="false" ht="17.15" hidden="false" customHeight="false" outlineLevel="0" collapsed="false">
      <c r="A83" s="4" t="s">
        <v>613</v>
      </c>
      <c r="B83" s="11" t="n">
        <f aca="false">B82/px-1</f>
        <v>0.258334592060337</v>
      </c>
      <c r="E83" s="4" t="s">
        <v>614</v>
      </c>
    </row>
    <row r="84" customFormat="false" ht="17.15" hidden="false" customHeight="false" outlineLevel="0" collapsed="false">
      <c r="A84" s="4" t="s">
        <v>615</v>
      </c>
      <c r="B84" s="14" t="n">
        <f aca="false">F49</f>
        <v>399.00900783409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616</v>
      </c>
      <c r="B85" s="14" t="n">
        <f aca="false">F56</f>
        <v>398.097766580063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617</v>
      </c>
      <c r="B86" s="14" t="n">
        <f aca="false">F63</f>
        <v>349.425265587883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618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619</v>
      </c>
      <c r="B88" s="0" t="s">
        <v>620</v>
      </c>
    </row>
    <row r="91" customFormat="false" ht="17.15" hidden="false" customHeight="false" outlineLevel="0" collapsed="false">
      <c r="A91" s="6" t="s">
        <v>621</v>
      </c>
    </row>
    <row r="92" customFormat="false" ht="17.15" hidden="false" customHeight="false" outlineLevel="0" collapsed="false">
      <c r="A92" s="6" t="s">
        <v>622</v>
      </c>
    </row>
    <row r="93" customFormat="false" ht="17.15" hidden="false" customHeight="false" outlineLevel="0" collapsed="false">
      <c r="A93" s="5" t="s">
        <v>20</v>
      </c>
      <c r="B93" s="15" t="s">
        <v>596</v>
      </c>
      <c r="C93" s="15" t="s">
        <v>597</v>
      </c>
      <c r="D93" s="15" t="s">
        <v>598</v>
      </c>
      <c r="E93" s="5" t="s">
        <v>433</v>
      </c>
    </row>
    <row r="94" customFormat="false" ht="17.15" hidden="false" customHeight="false" outlineLevel="0" collapsed="false">
      <c r="A94" s="4" t="s">
        <v>623</v>
      </c>
      <c r="E94" s="0" t="s">
        <v>624</v>
      </c>
    </row>
    <row r="95" customFormat="false" ht="15" hidden="false" customHeight="false" outlineLevel="0" collapsed="false">
      <c r="A95" s="0" t="s">
        <v>625</v>
      </c>
      <c r="B95" s="14" t="n">
        <f aca="false">PL!E142</f>
        <v>13.7383712927123</v>
      </c>
      <c r="C95" s="14" t="n">
        <f aca="false">PL!E149</f>
        <v>13.70699613466</v>
      </c>
      <c r="D95" s="14" t="n">
        <f aca="false">PL!E156</f>
        <v>13.6756209766078</v>
      </c>
    </row>
    <row r="96" customFormat="false" ht="15" hidden="false" customHeight="false" outlineLevel="0" collapsed="false">
      <c r="A96" s="0" t="s">
        <v>626</v>
      </c>
      <c r="B96" s="14" t="n">
        <f aca="false">PL!F142</f>
        <v>16.6102709642527</v>
      </c>
      <c r="C96" s="14" t="n">
        <f aca="false">PL!F149</f>
        <v>14.1467466520876</v>
      </c>
      <c r="D96" s="14" t="n">
        <f aca="false">PL!F156</f>
        <v>12.3127499632354</v>
      </c>
    </row>
    <row r="97" customFormat="false" ht="15" hidden="false" customHeight="false" outlineLevel="0" collapsed="false">
      <c r="A97" s="0" t="s">
        <v>627</v>
      </c>
      <c r="B97" s="14" t="n">
        <f aca="false">PL!G142</f>
        <v>19.5561364528184</v>
      </c>
      <c r="C97" s="14" t="n">
        <f aca="false">PL!G149</f>
        <v>17.2424039863611</v>
      </c>
      <c r="D97" s="14" t="n">
        <f aca="false">PL!G156</f>
        <v>15.6274246237865</v>
      </c>
    </row>
    <row r="98" customFormat="false" ht="15" hidden="false" customHeight="false" outlineLevel="0" collapsed="false">
      <c r="A98" s="0" t="s">
        <v>628</v>
      </c>
      <c r="B98" s="14" t="n">
        <f aca="false">PL!H142</f>
        <v>21.6740055169761</v>
      </c>
      <c r="C98" s="14" t="n">
        <f aca="false">PL!H149</f>
        <v>17.8817919674033</v>
      </c>
      <c r="D98" s="14" t="n">
        <f aca="false">PL!H156</f>
        <v>15.5376089344013</v>
      </c>
    </row>
    <row r="99" customFormat="false" ht="15" hidden="false" customHeight="false" outlineLevel="0" collapsed="false">
      <c r="A99" s="0" t="s">
        <v>629</v>
      </c>
      <c r="B99" s="14" t="n">
        <f aca="false">PL!I142</f>
        <v>23.4978395476661</v>
      </c>
      <c r="C99" s="14" t="n">
        <f aca="false">PL!I149</f>
        <v>17.7769308129153</v>
      </c>
      <c r="D99" s="14" t="n">
        <f aca="false">PL!I156</f>
        <v>14.2277057910891</v>
      </c>
    </row>
    <row r="100" customFormat="false" ht="15" hidden="false" customHeight="false" outlineLevel="0" collapsed="false">
      <c r="A100" s="0" t="s">
        <v>630</v>
      </c>
      <c r="B100" s="14" t="n">
        <f aca="false">PL!J142</f>
        <v>24.9077099205261</v>
      </c>
      <c r="C100" s="14" t="n">
        <f aca="false">PL!J149</f>
        <v>16.8989494635231</v>
      </c>
      <c r="D100" s="14" t="n">
        <f aca="false">PL!J156</f>
        <v>11.8368328826838</v>
      </c>
    </row>
    <row r="101" customFormat="false" ht="17.15" hidden="false" customHeight="false" outlineLevel="0" collapsed="false">
      <c r="A101" s="4" t="s">
        <v>631</v>
      </c>
      <c r="E101" s="4" t="s">
        <v>632</v>
      </c>
    </row>
    <row r="102" customFormat="false" ht="17.15" hidden="false" customHeight="false" outlineLevel="0" collapsed="false">
      <c r="A102" s="4" t="s">
        <v>633</v>
      </c>
      <c r="B102" s="11" t="n">
        <f aca="false">MIN(tp_g/tp_roe,0.8)</f>
        <v>0.206677092441274</v>
      </c>
      <c r="E102" s="8" t="s">
        <v>634</v>
      </c>
    </row>
    <row r="103" customFormat="false" ht="15" hidden="false" customHeight="false" outlineLevel="0" collapsed="false">
      <c r="A103" s="0" t="s">
        <v>625</v>
      </c>
      <c r="B103" s="14" t="n">
        <f aca="false">B95*(1-$B$102)</f>
        <v>10.8989646590558</v>
      </c>
      <c r="C103" s="14" t="n">
        <f aca="false">C95*(1-$B$102)</f>
        <v>10.8740740274447</v>
      </c>
      <c r="D103" s="14" t="n">
        <f aca="false">D95*(1-$B$102)</f>
        <v>10.8491833958336</v>
      </c>
    </row>
    <row r="104" customFormat="false" ht="15" hidden="false" customHeight="false" outlineLevel="0" collapsed="false">
      <c r="A104" s="0" t="s">
        <v>626</v>
      </c>
      <c r="B104" s="14" t="n">
        <f aca="false">B96*(1-$B$102)</f>
        <v>13.1773084566993</v>
      </c>
      <c r="C104" s="14" t="n">
        <f aca="false">C96*(1-$B$102)</f>
        <v>11.2229381865308</v>
      </c>
      <c r="D104" s="14" t="n">
        <f aca="false">D96*(1-$B$102)</f>
        <v>9.76798660087748</v>
      </c>
    </row>
    <row r="105" customFormat="false" ht="15" hidden="false" customHeight="false" outlineLevel="0" collapsed="false">
      <c r="A105" s="0" t="s">
        <v>627</v>
      </c>
      <c r="B105" s="14" t="n">
        <f aca="false">B97*(1-$B$102)</f>
        <v>15.5143310313651</v>
      </c>
      <c r="C105" s="14" t="n">
        <f aca="false">C97*(1-$B$102)</f>
        <v>13.6787940637621</v>
      </c>
      <c r="D105" s="14" t="n">
        <f aca="false">D97*(1-$B$102)</f>
        <v>12.3975939401971</v>
      </c>
    </row>
    <row r="106" customFormat="false" ht="15" hidden="false" customHeight="false" outlineLevel="0" collapsed="false">
      <c r="A106" s="0" t="s">
        <v>628</v>
      </c>
      <c r="B106" s="14" t="n">
        <f aca="false">B98*(1-$B$102)</f>
        <v>17.1944850751714</v>
      </c>
      <c r="C106" s="14" t="n">
        <f aca="false">C98*(1-$B$102)</f>
        <v>14.1860351959406</v>
      </c>
      <c r="D106" s="14" t="n">
        <f aca="false">D98*(1-$B$102)</f>
        <v>12.3263410963497</v>
      </c>
    </row>
    <row r="107" customFormat="false" ht="15" hidden="false" customHeight="false" outlineLevel="0" collapsed="false">
      <c r="A107" s="0" t="s">
        <v>629</v>
      </c>
      <c r="B107" s="14" t="n">
        <f aca="false">B99*(1-$B$102)</f>
        <v>18.6413743913029</v>
      </c>
      <c r="C107" s="14" t="n">
        <f aca="false">C99*(1-$B$102)</f>
        <v>14.1028464399723</v>
      </c>
      <c r="D107" s="14" t="n">
        <f aca="false">D99*(1-$B$102)</f>
        <v>11.2871649260769</v>
      </c>
    </row>
    <row r="108" customFormat="false" ht="15" hidden="false" customHeight="false" outlineLevel="0" collapsed="false">
      <c r="A108" s="0" t="s">
        <v>630</v>
      </c>
      <c r="B108" s="14" t="n">
        <f aca="false">B100*(1-$B$102)</f>
        <v>19.7598568547811</v>
      </c>
      <c r="C108" s="14" t="n">
        <f aca="false">C100*(1-$B$102)</f>
        <v>13.4063237230901</v>
      </c>
      <c r="D108" s="14" t="n">
        <f aca="false">D100*(1-$B$102)</f>
        <v>9.39043067877745</v>
      </c>
    </row>
    <row r="109" customFormat="false" ht="17.15" hidden="false" customHeight="false" outlineLevel="0" collapsed="false">
      <c r="A109" s="0" t="s">
        <v>635</v>
      </c>
      <c r="B109" s="14" t="n">
        <f aca="false">MAX(0,SUMPRODUCT(B103:B108,1/(1+tp_r)^{1;2;3;4;5;6})+B108*(1+tp_g)/(tp_r-tp_g)/(1+tp_r)^6)</f>
        <v>260.26213299813</v>
      </c>
      <c r="C109" s="14" t="n">
        <f aca="false">MAX(0,SUMPRODUCT(C103:C108,1/(1+tp_r)^{1;2;3;4;5;6})+C108*(1+tp_g)/(tp_r-tp_g)/(1+tp_r)^6)</f>
        <v>186.621639853638</v>
      </c>
      <c r="D109" s="14" t="n">
        <f aca="false">MAX(0,SUMPRODUCT(D103:D108,1/(1+tp_r)^{1;2;3;4;5;6})+D108*(1+tp_g)/(tp_r-tp_g)/(1+tp_r)^6)</f>
        <v>139.856248241198</v>
      </c>
      <c r="E109" s="8" t="s">
        <v>636</v>
      </c>
    </row>
    <row r="110" customFormat="false" ht="17.15" hidden="false" customHeight="false" outlineLevel="0" collapsed="false">
      <c r="A110" s="0" t="s">
        <v>637</v>
      </c>
      <c r="B110" s="14" t="n">
        <f aca="false">B109*(1+tp_r)</f>
        <v>286.288346297943</v>
      </c>
      <c r="C110" s="14" t="n">
        <f aca="false">C109*(1+tp_r)</f>
        <v>205.283803839002</v>
      </c>
      <c r="D110" s="14" t="n">
        <f aca="false">D109*(1+tp_r)</f>
        <v>153.841873065318</v>
      </c>
    </row>
    <row r="111" customFormat="false" ht="17.15" hidden="false" customHeight="false" outlineLevel="0" collapsed="false">
      <c r="A111" s="0" t="s">
        <v>638</v>
      </c>
      <c r="B111" s="30" t="n">
        <f aca="false">tp_wA*B110+tp_wB*C110+tp_wC*D110</f>
        <v>219.296780421947</v>
      </c>
      <c r="E111" s="8" t="s">
        <v>639</v>
      </c>
    </row>
    <row r="113" customFormat="false" ht="17.15" hidden="false" customHeight="false" outlineLevel="0" collapsed="false">
      <c r="A113" s="6" t="s">
        <v>640</v>
      </c>
    </row>
    <row r="114" customFormat="false" ht="17.15" hidden="false" customHeight="false" outlineLevel="0" collapsed="false">
      <c r="A114" s="5" t="s">
        <v>641</v>
      </c>
      <c r="B114" s="5" t="s">
        <v>642</v>
      </c>
      <c r="C114" s="5" t="s">
        <v>643</v>
      </c>
      <c r="D114" s="5" t="s">
        <v>644</v>
      </c>
      <c r="E114" s="5" t="s">
        <v>645</v>
      </c>
      <c r="F114" s="5" t="s">
        <v>25</v>
      </c>
    </row>
    <row r="115" customFormat="false" ht="17.15" hidden="false" customHeight="false" outlineLevel="0" collapsed="false">
      <c r="A115" s="0" t="s">
        <v>646</v>
      </c>
      <c r="B115" s="0" t="s">
        <v>647</v>
      </c>
      <c r="C115" s="26" t="n">
        <v>37.69</v>
      </c>
      <c r="D115" s="8" t="s">
        <v>648</v>
      </c>
      <c r="E115" s="8" t="s">
        <v>649</v>
      </c>
      <c r="F115" s="8" t="s">
        <v>32</v>
      </c>
    </row>
    <row r="116" customFormat="false" ht="17.15" hidden="false" customHeight="false" outlineLevel="0" collapsed="false">
      <c r="A116" s="4" t="s">
        <v>650</v>
      </c>
      <c r="B116" s="0" t="s">
        <v>651</v>
      </c>
      <c r="C116" s="26" t="n">
        <v>26.65</v>
      </c>
      <c r="D116" s="8" t="s">
        <v>652</v>
      </c>
      <c r="E116" s="8" t="s">
        <v>649</v>
      </c>
      <c r="F116" s="8" t="s">
        <v>32</v>
      </c>
    </row>
    <row r="117" customFormat="false" ht="17.15" hidden="false" customHeight="false" outlineLevel="0" collapsed="false">
      <c r="A117" s="0" t="s">
        <v>653</v>
      </c>
      <c r="B117" s="0" t="s">
        <v>654</v>
      </c>
      <c r="C117" s="26" t="n">
        <v>33.89</v>
      </c>
      <c r="D117" s="8" t="s">
        <v>652</v>
      </c>
      <c r="E117" s="8" t="s">
        <v>655</v>
      </c>
      <c r="F117" s="8" t="s">
        <v>32</v>
      </c>
    </row>
    <row r="118" customFormat="false" ht="17.15" hidden="false" customHeight="false" outlineLevel="0" collapsed="false">
      <c r="A118" s="0" t="s">
        <v>656</v>
      </c>
      <c r="B118" s="0" t="s">
        <v>657</v>
      </c>
      <c r="C118" s="26" t="n">
        <v>28.17</v>
      </c>
      <c r="D118" s="8" t="s">
        <v>652</v>
      </c>
      <c r="E118" s="8" t="s">
        <v>649</v>
      </c>
      <c r="F118" s="8" t="s">
        <v>32</v>
      </c>
    </row>
    <row r="119" customFormat="false" ht="17.15" hidden="false" customHeight="false" outlineLevel="0" collapsed="false">
      <c r="A119" s="4" t="s">
        <v>658</v>
      </c>
      <c r="B119" s="0" t="s">
        <v>659</v>
      </c>
      <c r="C119" s="26" t="n">
        <v>21.39</v>
      </c>
      <c r="D119" s="8" t="s">
        <v>652</v>
      </c>
      <c r="E119" s="8" t="s">
        <v>649</v>
      </c>
      <c r="F119" s="8" t="s">
        <v>32</v>
      </c>
    </row>
    <row r="120" customFormat="false" ht="17.15" hidden="false" customHeight="false" outlineLevel="0" collapsed="false">
      <c r="A120" s="4" t="s">
        <v>660</v>
      </c>
      <c r="B120" s="25" t="n">
        <f aca="false">MEDIAN(C115:C119)</f>
        <v>28.17</v>
      </c>
      <c r="E120" s="4" t="s">
        <v>661</v>
      </c>
    </row>
    <row r="121" customFormat="false" ht="17.15" hidden="false" customHeight="false" outlineLevel="0" collapsed="false">
      <c r="A121" s="0" t="s">
        <v>662</v>
      </c>
      <c r="B121" s="14" t="n">
        <f aca="false">tp_wA*(2/12*B95+10/12*B96)+tp_wB*(2/12*C95+10/12*C96)+tp_wC*(2/12*D95+10/12*D96)</f>
        <v>14.3841927817164</v>
      </c>
      <c r="E121" s="4" t="s">
        <v>663</v>
      </c>
    </row>
    <row r="122" customFormat="false" ht="17.15" hidden="false" customHeight="false" outlineLevel="0" collapsed="false">
      <c r="A122" s="0" t="s">
        <v>664</v>
      </c>
      <c r="B122" s="30" t="n">
        <f aca="false">B120*B121</f>
        <v>405.202710660952</v>
      </c>
      <c r="E122" s="4" t="s">
        <v>665</v>
      </c>
    </row>
    <row r="124" customFormat="false" ht="17.15" hidden="false" customHeight="false" outlineLevel="0" collapsed="false">
      <c r="A124" s="6" t="s">
        <v>666</v>
      </c>
    </row>
    <row r="125" customFormat="false" ht="15" hidden="false" customHeight="false" outlineLevel="0" collapsed="false">
      <c r="A125" s="5" t="s">
        <v>20</v>
      </c>
      <c r="B125" s="5" t="s">
        <v>610</v>
      </c>
      <c r="C125" s="5"/>
      <c r="D125" s="5"/>
      <c r="E125" s="5" t="s">
        <v>433</v>
      </c>
    </row>
    <row r="126" customFormat="false" ht="17.15" hidden="false" customHeight="false" outlineLevel="0" collapsed="false">
      <c r="A126" s="4" t="s">
        <v>667</v>
      </c>
      <c r="B126" s="30" t="n">
        <f aca="false">tp_w_dcf*B111+(1-tp_w_dcf)*tp_comp_adj</f>
        <v>356.366566588699</v>
      </c>
      <c r="E126" s="8" t="s">
        <v>668</v>
      </c>
    </row>
    <row r="127" customFormat="false" ht="17.15" hidden="false" customHeight="false" outlineLevel="0" collapsed="false">
      <c r="A127" s="0" t="s">
        <v>669</v>
      </c>
      <c r="B127" s="14" t="n">
        <f aca="false">B122</f>
        <v>405.202710660952</v>
      </c>
      <c r="E127" s="4" t="s">
        <v>670</v>
      </c>
    </row>
    <row r="128" customFormat="false" ht="17.15" hidden="false" customHeight="false" outlineLevel="0" collapsed="false">
      <c r="A128" s="4" t="s">
        <v>671</v>
      </c>
      <c r="B128" s="14" t="n">
        <f aca="false">cons_tp</f>
        <v>446.47</v>
      </c>
      <c r="E128" s="8" t="s">
        <v>364</v>
      </c>
    </row>
    <row r="129" customFormat="false" ht="17.15" hidden="false" customHeight="false" outlineLevel="0" collapsed="false">
      <c r="A129" s="4" t="s">
        <v>672</v>
      </c>
      <c r="B129" s="11" t="n">
        <f aca="false">B126/px-1</f>
        <v>0.153849980860286</v>
      </c>
      <c r="E129" s="4" t="s">
        <v>614</v>
      </c>
    </row>
    <row r="130" customFormat="false" ht="17.15" hidden="false" customHeight="false" outlineLevel="0" collapsed="false">
      <c r="A130" s="4" t="s">
        <v>673</v>
      </c>
      <c r="B130" s="11" t="n">
        <f aca="false">B127/px-1</f>
        <v>0.311972513067677</v>
      </c>
    </row>
    <row r="131" customFormat="false" ht="17.15" hidden="false" customHeight="false" outlineLevel="0" collapsed="false">
      <c r="A131" s="4" t="s">
        <v>674</v>
      </c>
      <c r="B131" s="11" t="n">
        <f aca="false">B121/cons_feps-1</f>
        <v>0.272937414311189</v>
      </c>
      <c r="E131" s="4" t="s">
        <v>675</v>
      </c>
    </row>
    <row r="132" customFormat="false" ht="17.15" hidden="false" customHeight="false" outlineLevel="0" collapsed="false">
      <c r="A132" s="4" t="s">
        <v>676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677</v>
      </c>
      <c r="B133" s="33" t="str">
        <f aca="false">TEXT(D110,"#,##0.00")&amp;"～"&amp;TEXT(B110,"#,##0.00")</f>
        <v>153.84～286.29</v>
      </c>
      <c r="E133" s="8" t="s">
        <v>678</v>
      </c>
    </row>
    <row r="134" customFormat="false" ht="17.15" hidden="false" customHeight="false" outlineLevel="0" collapsed="false">
      <c r="A134" s="4" t="s">
        <v>679</v>
      </c>
      <c r="B134" s="32" t="n">
        <f aca="false">IF(px/B96&lt;MIN(E20:E29),0,IF(px/B96&gt;MAX(E20:E29),1,PERCENTRANK(E20:E29,px/B96)))</f>
        <v>0.0946</v>
      </c>
      <c r="C134" s="32" t="n">
        <f aca="false">IF(px/C96&lt;MIN(E20:E29),0,IF(px/C96&gt;MAX(E20:E29),1,PERCENTRANK(E20:E29,px/C96)))</f>
        <v>0.159</v>
      </c>
      <c r="D134" s="32" t="n">
        <f aca="false">IF(px/D96&lt;MIN(E20:E29),0,IF(px/D96&gt;MAX(E20:E29),1,PERCENTRANK(E20:E29,px/D96)))</f>
        <v>0.239</v>
      </c>
      <c r="E134" s="4" t="s">
        <v>680</v>
      </c>
    </row>
    <row r="135" customFormat="false" ht="17.15" hidden="false" customHeight="false" outlineLevel="0" collapsed="false">
      <c r="A135" s="4" t="s">
        <v>681</v>
      </c>
      <c r="B135" s="0" t="s">
        <v>682</v>
      </c>
    </row>
    <row r="137" customFormat="false" ht="17.15" hidden="false" customHeight="false" outlineLevel="0" collapsed="false">
      <c r="A137" s="4" t="s">
        <v>683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684</v>
      </c>
    </row>
    <row r="138" customFormat="false" ht="17.15" hidden="false" customHeight="false" outlineLevel="0" collapsed="false">
      <c r="A138" s="4" t="s">
        <v>685</v>
      </c>
      <c r="B138" s="0" t="str">
        <f aca="false">IF(B129&gt;0.5,"強力買進",IF(B129&gt;0.25,"買進",IF(B129&gt;=-0.25,"中立",IF(B129&gt;=-0.5,"放空","強力放空"))))</f>
        <v>中立</v>
      </c>
      <c r="E138" s="4" t="s">
        <v>686</v>
      </c>
    </row>
    <row r="141" customFormat="false" ht="17.15" hidden="false" customHeight="false" outlineLevel="0" collapsed="false">
      <c r="A141" s="6" t="s">
        <v>687</v>
      </c>
    </row>
    <row r="142" customFormat="false" ht="17.15" hidden="false" customHeight="false" outlineLevel="0" collapsed="false">
      <c r="A142" s="4" t="s">
        <v>688</v>
      </c>
    </row>
    <row r="143" customFormat="false" ht="17.15" hidden="false" customHeight="false" outlineLevel="0" collapsed="false">
      <c r="A143" s="5" t="s">
        <v>689</v>
      </c>
      <c r="B143" s="5" t="s">
        <v>642</v>
      </c>
      <c r="C143" s="5" t="s">
        <v>690</v>
      </c>
      <c r="D143" s="15" t="s">
        <v>691</v>
      </c>
      <c r="E143" s="15" t="s">
        <v>692</v>
      </c>
      <c r="F143" s="15" t="s">
        <v>693</v>
      </c>
      <c r="G143" s="15" t="s">
        <v>694</v>
      </c>
      <c r="H143" s="15" t="s">
        <v>695</v>
      </c>
      <c r="I143" s="15" t="s">
        <v>696</v>
      </c>
      <c r="J143" s="15" t="s">
        <v>697</v>
      </c>
      <c r="K143" s="15" t="s">
        <v>698</v>
      </c>
      <c r="L143" s="15" t="s">
        <v>699</v>
      </c>
      <c r="M143" s="15" t="s">
        <v>700</v>
      </c>
      <c r="N143" s="5" t="s">
        <v>701</v>
      </c>
      <c r="O143" s="15" t="s">
        <v>702</v>
      </c>
      <c r="P143" s="5" t="s">
        <v>703</v>
      </c>
      <c r="Q143" s="5" t="s">
        <v>645</v>
      </c>
    </row>
    <row r="144" customFormat="false" ht="17.15" hidden="false" customHeight="false" outlineLevel="0" collapsed="false">
      <c r="A144" s="4" t="s">
        <v>704</v>
      </c>
      <c r="B144" s="0" t="s">
        <v>705</v>
      </c>
      <c r="C144" s="4" t="s">
        <v>706</v>
      </c>
      <c r="D144" s="17" t="n">
        <v>17.063</v>
      </c>
      <c r="E144" s="17" t="n">
        <v>17.1795</v>
      </c>
      <c r="F144" s="17" t="n">
        <v>17.9435</v>
      </c>
      <c r="G144" s="17" t="n">
        <v>19.976</v>
      </c>
      <c r="H144" s="17" t="n">
        <v>23.2035</v>
      </c>
      <c r="I144" s="17" t="n">
        <v>20.8505</v>
      </c>
      <c r="J144" s="17" t="n">
        <v>27.7495</v>
      </c>
      <c r="K144" s="17" t="n">
        <v>32.015</v>
      </c>
      <c r="L144" s="17" t="n">
        <v>26.7775</v>
      </c>
      <c r="M144" s="17" t="n">
        <v>39.7645</v>
      </c>
      <c r="N144" s="8" t="n">
        <f aca="false">COUNT(D144:M144)</f>
        <v>10</v>
      </c>
      <c r="O144" s="18" t="n">
        <f aca="false">IF(N144&gt;0,MEDIAN(D144:M144),"")</f>
        <v>22.027</v>
      </c>
      <c r="P144" s="18" t="n">
        <f aca="false">IF(N144&gt;=7,O144,"")</f>
        <v>22.027</v>
      </c>
      <c r="Q144" s="8" t="s">
        <v>707</v>
      </c>
    </row>
    <row r="145" customFormat="false" ht="17.15" hidden="false" customHeight="false" outlineLevel="0" collapsed="false">
      <c r="A145" s="0" t="s">
        <v>646</v>
      </c>
      <c r="B145" s="0" t="s">
        <v>647</v>
      </c>
      <c r="C145" s="4" t="s">
        <v>708</v>
      </c>
      <c r="D145" s="17" t="n">
        <v>22.23</v>
      </c>
      <c r="E145" s="17" t="n">
        <v>17.0615</v>
      </c>
      <c r="F145" s="17" t="n">
        <v>16.77</v>
      </c>
      <c r="G145" s="17" t="n">
        <v>20.9025</v>
      </c>
      <c r="H145" s="17" t="n">
        <v>27.204</v>
      </c>
      <c r="I145" s="17" t="n">
        <v>15.2445</v>
      </c>
      <c r="J145" s="17" t="n">
        <v>23.799</v>
      </c>
      <c r="K145" s="17" t="n">
        <v>41.1</v>
      </c>
      <c r="L145" s="17" t="n">
        <v>33.0075</v>
      </c>
      <c r="M145" s="17" t="n">
        <v>38.411</v>
      </c>
      <c r="N145" s="8" t="n">
        <f aca="false">COUNT(D145:M145)</f>
        <v>10</v>
      </c>
      <c r="O145" s="18" t="n">
        <f aca="false">IF(N145&gt;0,MEDIAN(D145:M145),"")</f>
        <v>23.0145</v>
      </c>
      <c r="P145" s="18" t="n">
        <f aca="false">IF(N145&gt;=7,O145,"")</f>
        <v>23.0145</v>
      </c>
      <c r="Q145" s="8" t="s">
        <v>709</v>
      </c>
    </row>
    <row r="146" customFormat="false" ht="17.15" hidden="false" customHeight="false" outlineLevel="0" collapsed="false">
      <c r="A146" s="4" t="s">
        <v>650</v>
      </c>
      <c r="B146" s="0" t="s">
        <v>651</v>
      </c>
      <c r="C146" s="4" t="s">
        <v>708</v>
      </c>
      <c r="D146" s="17" t="n">
        <v>14.9505</v>
      </c>
      <c r="E146" s="17" t="n">
        <v>12.9745</v>
      </c>
      <c r="F146" s="17" t="n">
        <v>13.1095</v>
      </c>
      <c r="G146" s="17" t="n">
        <v>16.7925</v>
      </c>
      <c r="H146" s="17" t="n">
        <v>19.551</v>
      </c>
      <c r="I146" s="17" t="n">
        <v>15.3265</v>
      </c>
      <c r="J146" s="17" t="n">
        <v>19.384</v>
      </c>
      <c r="K146" s="17" t="n">
        <v>25.5595</v>
      </c>
      <c r="L146" s="17" t="n">
        <v>22.843</v>
      </c>
      <c r="M146" s="17" t="n">
        <v>33.323</v>
      </c>
      <c r="N146" s="8" t="n">
        <f aca="false">COUNT(D146:M146)</f>
        <v>10</v>
      </c>
      <c r="O146" s="18" t="n">
        <f aca="false">IF(N146&gt;0,MEDIAN(D146:M146),"")</f>
        <v>18.08825</v>
      </c>
      <c r="P146" s="18" t="n">
        <f aca="false">IF(N146&gt;=7,O146,"")</f>
        <v>18.08825</v>
      </c>
      <c r="Q146" s="8" t="s">
        <v>710</v>
      </c>
    </row>
    <row r="147" customFormat="false" ht="17.15" hidden="false" customHeight="false" outlineLevel="0" collapsed="false">
      <c r="A147" s="0" t="s">
        <v>653</v>
      </c>
      <c r="B147" s="0" t="s">
        <v>654</v>
      </c>
      <c r="C147" s="4" t="s">
        <v>708</v>
      </c>
      <c r="D147" s="17" t="n">
        <v>14.348</v>
      </c>
      <c r="E147" s="17" t="n">
        <v>13.1595</v>
      </c>
      <c r="F147" s="17" t="n">
        <v>14.213</v>
      </c>
      <c r="G147" s="17" t="n">
        <v>19.2795</v>
      </c>
      <c r="H147" s="17" t="n">
        <v>11.91</v>
      </c>
      <c r="I147" s="17" t="n">
        <v>10.4</v>
      </c>
      <c r="J147" s="17" t="n">
        <v>16.4895</v>
      </c>
      <c r="K147" s="17" t="n">
        <v>36.1015</v>
      </c>
      <c r="L147" s="17" t="n">
        <v>49.838</v>
      </c>
      <c r="M147" s="17" t="n">
        <v>43.1865</v>
      </c>
      <c r="N147" s="8" t="n">
        <f aca="false">COUNT(D147:M147)</f>
        <v>10</v>
      </c>
      <c r="O147" s="18" t="n">
        <f aca="false">IF(N147&gt;0,MEDIAN(D147:M147),"")</f>
        <v>15.41875</v>
      </c>
      <c r="P147" s="18" t="n">
        <f aca="false">IF(N147&gt;=7,O147,"")</f>
        <v>15.41875</v>
      </c>
      <c r="Q147" s="8" t="s">
        <v>711</v>
      </c>
    </row>
    <row r="148" customFormat="false" ht="17.15" hidden="false" customHeight="false" outlineLevel="0" collapsed="false">
      <c r="A148" s="0" t="s">
        <v>656</v>
      </c>
      <c r="B148" s="0" t="s">
        <v>657</v>
      </c>
      <c r="C148" s="4" t="s">
        <v>708</v>
      </c>
      <c r="D148" s="17" t="n">
        <v>13.11</v>
      </c>
      <c r="E148" s="17" t="n">
        <v>11.4445</v>
      </c>
      <c r="F148" s="17" t="n">
        <v>17.0315</v>
      </c>
      <c r="G148" s="17" t="n">
        <v>21.322</v>
      </c>
      <c r="H148" s="17" t="n">
        <v>24.026</v>
      </c>
      <c r="I148" s="17" t="n">
        <v>20.6985</v>
      </c>
      <c r="J148" s="17" t="n">
        <v>32.431</v>
      </c>
      <c r="K148" s="17" t="n">
        <v>35.799</v>
      </c>
      <c r="L148" s="17" t="n">
        <v>23.8575</v>
      </c>
      <c r="M148" s="17" t="n">
        <v>41.8845</v>
      </c>
      <c r="N148" s="8" t="n">
        <f aca="false">COUNT(D148:M148)</f>
        <v>10</v>
      </c>
      <c r="O148" s="18" t="n">
        <f aca="false">IF(N148&gt;0,MEDIAN(D148:M148),"")</f>
        <v>22.58975</v>
      </c>
      <c r="P148" s="18" t="n">
        <f aca="false">IF(N148&gt;=7,O148,"")</f>
        <v>22.58975</v>
      </c>
      <c r="Q148" s="8" t="s">
        <v>712</v>
      </c>
    </row>
    <row r="149" customFormat="false" ht="17.15" hidden="false" customHeight="false" outlineLevel="0" collapsed="false">
      <c r="A149" s="4" t="s">
        <v>658</v>
      </c>
      <c r="B149" s="0" t="s">
        <v>659</v>
      </c>
      <c r="C149" s="4" t="s">
        <v>708</v>
      </c>
      <c r="D149" s="17" t="n">
        <v>13.7225</v>
      </c>
      <c r="E149" s="17" t="n">
        <v>10.8895</v>
      </c>
      <c r="F149" s="17" t="n">
        <v>12.359</v>
      </c>
      <c r="G149" s="17" t="n">
        <v>13.5995</v>
      </c>
      <c r="H149" s="17" t="n">
        <v>19.002</v>
      </c>
      <c r="I149" s="17" t="n">
        <v>13.6035</v>
      </c>
      <c r="J149" s="17" t="n">
        <v>17.242</v>
      </c>
      <c r="K149" s="17" t="n">
        <v>21.6845</v>
      </c>
      <c r="L149" s="17" t="n">
        <v>17.552</v>
      </c>
      <c r="M149" s="17" t="n">
        <v>29.4305</v>
      </c>
      <c r="N149" s="8" t="n">
        <f aca="false">COUNT(D149:M149)</f>
        <v>10</v>
      </c>
      <c r="O149" s="18" t="n">
        <f aca="false">IF(N149&gt;0,MEDIAN(D149:M149),"")</f>
        <v>15.48225</v>
      </c>
      <c r="P149" s="18" t="n">
        <f aca="false">IF(N149&gt;=7,O149,"")</f>
        <v>15.48225</v>
      </c>
      <c r="Q149" s="8" t="s">
        <v>713</v>
      </c>
    </row>
    <row r="151" customFormat="false" ht="17.15" hidden="false" customHeight="false" outlineLevel="0" collapsed="false">
      <c r="A151" s="4" t="s">
        <v>714</v>
      </c>
      <c r="B151" s="18" t="n">
        <f aca="false">P144</f>
        <v>22.027</v>
      </c>
      <c r="E151" s="4" t="s">
        <v>715</v>
      </c>
    </row>
    <row r="152" customFormat="false" ht="15" hidden="false" customHeight="false" outlineLevel="0" collapsed="false">
      <c r="A152" s="4" t="s">
        <v>716</v>
      </c>
      <c r="B152" s="34" t="n">
        <f aca="false">COUNT(P145:P149)</f>
        <v>5</v>
      </c>
    </row>
    <row r="153" customFormat="false" ht="17.15" hidden="false" customHeight="false" outlineLevel="0" collapsed="false">
      <c r="A153" s="4" t="s">
        <v>717</v>
      </c>
      <c r="B153" s="18" t="n">
        <f aca="false">IF(B152&gt;0,MEDIAN(P145:P149),"")</f>
        <v>18.08825</v>
      </c>
    </row>
    <row r="154" customFormat="false" ht="17.15" hidden="false" customHeight="false" outlineLevel="0" collapsed="false">
      <c r="A154" s="4" t="s">
        <v>718</v>
      </c>
      <c r="B154" s="18" t="n">
        <f aca="false">IF(AND(ISNUMBER(B151),B152&gt;=2),B151/B153,"")</f>
        <v>1.2177518554863</v>
      </c>
      <c r="E154" s="4" t="s">
        <v>719</v>
      </c>
    </row>
    <row r="155" customFormat="false" ht="17.15" hidden="false" customHeight="false" outlineLevel="0" collapsed="false">
      <c r="A155" s="4" t="s">
        <v>720</v>
      </c>
      <c r="B155" s="17" t="n">
        <v>0.5</v>
      </c>
      <c r="E155" s="8" t="s">
        <v>721</v>
      </c>
    </row>
    <row r="156" customFormat="false" ht="17.15" hidden="false" customHeight="false" outlineLevel="0" collapsed="false">
      <c r="A156" s="4" t="s">
        <v>722</v>
      </c>
      <c r="B156" s="17" t="n">
        <v>2</v>
      </c>
      <c r="E156" s="8" t="s">
        <v>723</v>
      </c>
    </row>
    <row r="157" customFormat="false" ht="17.15" hidden="false" customHeight="false" outlineLevel="0" collapsed="false">
      <c r="A157" s="1" t="s">
        <v>724</v>
      </c>
      <c r="B157" s="28" t="n">
        <f aca="false">IF(ISNUMBER(B154),MIN(MAX(B154,B155),B156),1)</f>
        <v>1.2177518554863</v>
      </c>
      <c r="E157" s="4" t="s">
        <v>725</v>
      </c>
    </row>
    <row r="158" customFormat="false" ht="17.15" hidden="false" customHeight="false" outlineLevel="0" collapsed="false">
      <c r="A158" s="6" t="s">
        <v>726</v>
      </c>
      <c r="B158" s="30" t="n">
        <f aca="false">Val!$B$122*B157</f>
        <v>493.436352755451</v>
      </c>
      <c r="E158" s="4" t="s">
        <v>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728</v>
      </c>
    </row>
    <row r="3" customFormat="false" ht="17.15" hidden="false" customHeight="false" outlineLevel="0" collapsed="false">
      <c r="A3" s="5" t="s">
        <v>20</v>
      </c>
      <c r="B3" s="5" t="s">
        <v>729</v>
      </c>
      <c r="C3" s="5" t="s">
        <v>730</v>
      </c>
      <c r="D3" s="5" t="s">
        <v>731</v>
      </c>
      <c r="E3" s="5" t="s">
        <v>732</v>
      </c>
      <c r="F3" s="5" t="s">
        <v>733</v>
      </c>
      <c r="G3" s="5" t="s">
        <v>734</v>
      </c>
      <c r="H3" s="5" t="s">
        <v>735</v>
      </c>
      <c r="I3" s="5" t="s">
        <v>736</v>
      </c>
      <c r="J3" s="5" t="s">
        <v>433</v>
      </c>
    </row>
    <row r="4" customFormat="false" ht="17.15" hidden="false" customHeight="false" outlineLevel="0" collapsed="false">
      <c r="A4" s="6" t="s">
        <v>737</v>
      </c>
    </row>
    <row r="5" customFormat="false" ht="17.15" hidden="false" customHeight="false" outlineLevel="0" collapsed="false">
      <c r="A5" s="4" t="s">
        <v>738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739</v>
      </c>
      <c r="J5" s="4" t="s">
        <v>740</v>
      </c>
    </row>
    <row r="6" customFormat="false" ht="15" hidden="false" customHeight="false" outlineLevel="0" collapsed="false">
      <c r="A6" s="4" t="s">
        <v>741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742</v>
      </c>
    </row>
    <row r="7" customFormat="false" ht="17.15" hidden="false" customHeight="false" outlineLevel="0" collapsed="false">
      <c r="A7" s="0" t="s">
        <v>743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742</v>
      </c>
      <c r="J7" s="4" t="s">
        <v>744</v>
      </c>
    </row>
    <row r="8" customFormat="false" ht="17.15" hidden="false" customHeight="false" outlineLevel="0" collapsed="false">
      <c r="A8" s="6" t="s">
        <v>745</v>
      </c>
    </row>
    <row r="9" customFormat="false" ht="17.15" hidden="false" customHeight="false" outlineLevel="0" collapsed="false">
      <c r="A9" s="0" t="s">
        <v>743</v>
      </c>
      <c r="B9" s="18" t="n">
        <f aca="false">cons_eps27</f>
        <v>11.3</v>
      </c>
      <c r="C9" s="18" t="n">
        <f aca="false">PL!E13</f>
        <v>13.7383712927123</v>
      </c>
      <c r="D9" s="11" t="n">
        <f aca="false">C9/B9-1</f>
        <v>0.215785070151528</v>
      </c>
      <c r="E9" s="18" t="n">
        <f aca="false">PL!E24</f>
        <v>13.70699613466</v>
      </c>
      <c r="F9" s="11" t="n">
        <f aca="false">E9/B9-1</f>
        <v>0.213008507492038</v>
      </c>
      <c r="G9" s="18" t="n">
        <f aca="false">PL!E35</f>
        <v>13.6756209766078</v>
      </c>
      <c r="H9" s="11" t="n">
        <f aca="false">G9/B9-1</f>
        <v>0.210231944832547</v>
      </c>
      <c r="I9" s="8" t="s">
        <v>746</v>
      </c>
      <c r="J9" s="4" t="s">
        <v>747</v>
      </c>
    </row>
    <row r="10" customFormat="false" ht="17.15" hidden="false" customHeight="false" outlineLevel="0" collapsed="false">
      <c r="A10" s="6" t="s">
        <v>748</v>
      </c>
    </row>
    <row r="11" customFormat="false" ht="17.15" hidden="false" customHeight="false" outlineLevel="0" collapsed="false">
      <c r="A11" s="4" t="s">
        <v>749</v>
      </c>
      <c r="B11" s="9" t="n">
        <f aca="false">tm_rev</f>
        <v>6000</v>
      </c>
      <c r="C11" s="9" t="n">
        <f aca="false">PL!E5</f>
        <v>6958.96914523867</v>
      </c>
      <c r="D11" s="11" t="n">
        <f aca="false">C11/B11-1</f>
        <v>0.159828190873112</v>
      </c>
      <c r="E11" s="9" t="n">
        <f aca="false">PL!E16</f>
        <v>6947.14404523867</v>
      </c>
      <c r="F11" s="11" t="n">
        <f aca="false">E11/B11-1</f>
        <v>0.157857340873112</v>
      </c>
      <c r="G11" s="9" t="n">
        <f aca="false">PL!E27</f>
        <v>6935.31894523867</v>
      </c>
      <c r="H11" s="11" t="n">
        <f aca="false">G11/B11-1</f>
        <v>0.155886490873112</v>
      </c>
      <c r="I11" s="4" t="s">
        <v>750</v>
      </c>
      <c r="J11" s="4" t="s">
        <v>751</v>
      </c>
    </row>
    <row r="12" customFormat="false" ht="17.15" hidden="false" customHeight="false" outlineLevel="0" collapsed="false">
      <c r="A12" s="0" t="s">
        <v>752</v>
      </c>
      <c r="B12" s="18" t="n">
        <f aca="false">tm_eps_hi</f>
        <v>11</v>
      </c>
      <c r="C12" s="18" t="n">
        <f aca="false">PL!E13</f>
        <v>13.7383712927123</v>
      </c>
      <c r="D12" s="11" t="n">
        <f aca="false">C12/B12-1</f>
        <v>0.248942844792025</v>
      </c>
      <c r="E12" s="18" t="n">
        <f aca="false">PL!E24</f>
        <v>13.70699613466</v>
      </c>
      <c r="F12" s="11" t="n">
        <f aca="false">E12/B12-1</f>
        <v>0.246090557696366</v>
      </c>
      <c r="G12" s="18" t="n">
        <f aca="false">PL!E35</f>
        <v>13.6756209766078</v>
      </c>
      <c r="H12" s="11" t="n">
        <f aca="false">G12/B12-1</f>
        <v>0.243238270600707</v>
      </c>
      <c r="I12" s="4" t="s">
        <v>38</v>
      </c>
    </row>
    <row r="13" customFormat="false" ht="17.15" hidden="false" customHeight="false" outlineLevel="0" collapsed="false">
      <c r="A13" s="6" t="s">
        <v>753</v>
      </c>
    </row>
    <row r="14" customFormat="false" ht="17.15" hidden="false" customHeight="false" outlineLevel="0" collapsed="false">
      <c r="A14" s="0" t="s">
        <v>754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PL!C78</f>
        <v>0.273869565217391</v>
      </c>
      <c r="F14" s="11" t="n">
        <f aca="false">E14-B14</f>
        <v>-0.0661304347826087</v>
      </c>
      <c r="G14" s="11" t="n">
        <f aca="false">PL!C108</f>
        <v>0.273869565217391</v>
      </c>
      <c r="H14" s="11" t="n">
        <f aca="false">G14-B14</f>
        <v>-0.0661304347826087</v>
      </c>
      <c r="I14" s="8" t="s">
        <v>755</v>
      </c>
      <c r="J14" s="4" t="s">
        <v>756</v>
      </c>
    </row>
    <row r="15" customFormat="false" ht="17.15" hidden="false" customHeight="false" outlineLevel="0" collapsed="false">
      <c r="A15" s="0" t="s">
        <v>757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PL!D78</f>
        <v>0.295392727272727</v>
      </c>
      <c r="F15" s="11" t="n">
        <f aca="false">E15-B15</f>
        <v>-0.0746072727272727</v>
      </c>
      <c r="G15" s="11" t="n">
        <f aca="false">PL!D108</f>
        <v>0.295392727272727</v>
      </c>
      <c r="H15" s="11" t="n">
        <f aca="false">G15-B15</f>
        <v>-0.0746072727272727</v>
      </c>
      <c r="I15" s="8" t="s">
        <v>758</v>
      </c>
      <c r="J15" s="4" t="s">
        <v>759</v>
      </c>
    </row>
    <row r="16" customFormat="false" ht="17.15" hidden="false" customHeight="false" outlineLevel="0" collapsed="false">
      <c r="A16" s="0" t="s">
        <v>760</v>
      </c>
      <c r="B16" s="11" t="n">
        <f aca="false">tw_hi</f>
        <v>0.09</v>
      </c>
      <c r="C16" s="11" t="n">
        <f aca="false">Units!D10</f>
        <v>0.0880523802786935</v>
      </c>
      <c r="D16" s="11" t="n">
        <f aca="false">C16-B16</f>
        <v>-0.00194761972130647</v>
      </c>
      <c r="E16" s="11" t="n">
        <f aca="false">Units!D18</f>
        <v>0.0880523802786935</v>
      </c>
      <c r="F16" s="11" t="n">
        <f aca="false">E16-B16</f>
        <v>-0.00194761972130647</v>
      </c>
      <c r="G16" s="11" t="n">
        <f aca="false">Units!D26</f>
        <v>0.0880523802786935</v>
      </c>
      <c r="H16" s="11" t="n">
        <f aca="false">G16-B16</f>
        <v>-0.00194761972130647</v>
      </c>
      <c r="I16" s="4" t="s">
        <v>761</v>
      </c>
    </row>
    <row r="17" customFormat="false" ht="17.15" hidden="false" customHeight="false" outlineLevel="0" collapsed="false">
      <c r="A17" s="0" t="s">
        <v>762</v>
      </c>
      <c r="B17" s="11" t="n">
        <f aca="false">tw_hi</f>
        <v>0.09</v>
      </c>
      <c r="C17" s="11" t="n">
        <f aca="false">Units!E10</f>
        <v>0.100655189777327</v>
      </c>
      <c r="D17" s="11" t="n">
        <f aca="false">C17-B17</f>
        <v>0.0106551897773269</v>
      </c>
      <c r="E17" s="11" t="n">
        <f aca="false">Units!E18</f>
        <v>0.100655189777327</v>
      </c>
      <c r="F17" s="11" t="n">
        <f aca="false">E17-B17</f>
        <v>0.0106551897773269</v>
      </c>
      <c r="G17" s="11" t="n">
        <f aca="false">Units!E26</f>
        <v>0.100655189777327</v>
      </c>
      <c r="H17" s="11" t="n">
        <f aca="false">G17-B17</f>
        <v>0.0106551897773269</v>
      </c>
      <c r="I17" s="4" t="s">
        <v>761</v>
      </c>
      <c r="J17" s="4" t="s">
        <v>763</v>
      </c>
    </row>
    <row r="18" customFormat="false" ht="17.15" hidden="false" customHeight="false" outlineLevel="0" collapsed="false">
      <c r="A18" s="0" t="s">
        <v>764</v>
      </c>
      <c r="B18" s="11" t="n">
        <f aca="false">tw_hi</f>
        <v>0.09</v>
      </c>
      <c r="C18" s="11" t="n">
        <f aca="false">Units!F10</f>
        <v>0.103725344659339</v>
      </c>
      <c r="D18" s="11" t="n">
        <f aca="false">C18-B18</f>
        <v>0.013725344659339</v>
      </c>
      <c r="E18" s="11" t="n">
        <f aca="false">Units!F18</f>
        <v>0.10175967564377</v>
      </c>
      <c r="F18" s="11" t="n">
        <f aca="false">E18-B18</f>
        <v>0.01175967564377</v>
      </c>
      <c r="G18" s="11" t="n">
        <f aca="false">Units!F26</f>
        <v>0.103541308553797</v>
      </c>
      <c r="H18" s="11" t="n">
        <f aca="false">G18-B18</f>
        <v>0.0135413085537974</v>
      </c>
      <c r="I18" s="4" t="s">
        <v>761</v>
      </c>
    </row>
    <row r="19" customFormat="false" ht="17.15" hidden="false" customHeight="false" outlineLevel="0" collapsed="false">
      <c r="A19" s="6" t="s">
        <v>765</v>
      </c>
    </row>
    <row r="20" customFormat="false" ht="17.15" hidden="false" customHeight="false" outlineLevel="0" collapsed="false">
      <c r="A20" s="4" t="s">
        <v>766</v>
      </c>
      <c r="C20" s="11" t="n">
        <f aca="false">Q!J10/PL!D5</f>
        <v>0.510896783785899</v>
      </c>
      <c r="J20" s="4" t="s">
        <v>767</v>
      </c>
    </row>
    <row r="21" customFormat="false" ht="17.15" hidden="false" customHeight="false" outlineLevel="0" collapsed="false">
      <c r="A21" s="4" t="s">
        <v>768</v>
      </c>
      <c r="C21" s="11" t="n">
        <f aca="false">(Q!G10+Q!H10)/2/1250-1</f>
        <v>0.0446</v>
      </c>
      <c r="J21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770</v>
      </c>
    </row>
    <row r="3" customFormat="false" ht="17.15" hidden="false" customHeight="false" outlineLevel="0" collapsed="false">
      <c r="A3" s="5" t="s">
        <v>771</v>
      </c>
      <c r="B3" s="5" t="s">
        <v>772</v>
      </c>
      <c r="C3" s="15" t="s">
        <v>773</v>
      </c>
      <c r="D3" s="15" t="s">
        <v>774</v>
      </c>
      <c r="E3" s="5" t="s">
        <v>775</v>
      </c>
      <c r="F3" s="15" t="s">
        <v>776</v>
      </c>
      <c r="G3" s="15" t="s">
        <v>777</v>
      </c>
      <c r="H3" s="5" t="s">
        <v>775</v>
      </c>
    </row>
    <row r="4" customFormat="false" ht="17.15" hidden="false" customHeight="false" outlineLevel="0" collapsed="false">
      <c r="A4" s="4" t="s">
        <v>778</v>
      </c>
      <c r="B4" s="0" t="s">
        <v>779</v>
      </c>
      <c r="C4" s="20" t="n">
        <f aca="false">PL!E61</f>
        <v>6958.96914523867</v>
      </c>
      <c r="D4" s="18" t="n">
        <f aca="false">PL!E69</f>
        <v>13.7383712927123</v>
      </c>
      <c r="E4" s="11" t="n">
        <f aca="false">D4/D$4-1</f>
        <v>0</v>
      </c>
      <c r="F4" s="20" t="n">
        <f aca="false">PL!F61</f>
        <v>8000.97215891378</v>
      </c>
      <c r="G4" s="18" t="n">
        <f aca="false">PL!F69</f>
        <v>16.6102709642527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780</v>
      </c>
      <c r="B5" s="0" t="s">
        <v>781</v>
      </c>
      <c r="C5" s="20" t="n">
        <f aca="false">E57</f>
        <v>6188.25124130855</v>
      </c>
      <c r="D5" s="18" t="n">
        <f aca="false">E65</f>
        <v>11.6934502307759</v>
      </c>
      <c r="E5" s="11" t="n">
        <f aca="false">D5/D$4-1</f>
        <v>-0.148847415633693</v>
      </c>
      <c r="F5" s="20" t="n">
        <f aca="false">F57</f>
        <v>7136.01297584357</v>
      </c>
      <c r="G5" s="18" t="n">
        <f aca="false">F65</f>
        <v>14.2921210438455</v>
      </c>
      <c r="H5" s="11" t="n">
        <f aca="false">G5/G$4-1</f>
        <v>-0.139561234455244</v>
      </c>
    </row>
    <row r="6" customFormat="false" ht="17.15" hidden="false" customHeight="false" outlineLevel="0" collapsed="false">
      <c r="A6" s="4" t="s">
        <v>782</v>
      </c>
      <c r="C6" s="20" t="n">
        <f aca="false">E89</f>
        <v>7729.6870491688</v>
      </c>
      <c r="D6" s="18" t="n">
        <f aca="false">E97</f>
        <v>15.7832923546486</v>
      </c>
      <c r="E6" s="11" t="n">
        <f aca="false">D6/D$4-1</f>
        <v>0.148847415633693</v>
      </c>
      <c r="F6" s="20" t="n">
        <f aca="false">F89</f>
        <v>8865.93134198398</v>
      </c>
      <c r="G6" s="18" t="n">
        <f aca="false">F97</f>
        <v>18.9284208846599</v>
      </c>
      <c r="H6" s="11" t="n">
        <f aca="false">G6/G$4-1</f>
        <v>0.139561234455244</v>
      </c>
    </row>
    <row r="7" customFormat="false" ht="17.15" hidden="false" customHeight="false" outlineLevel="0" collapsed="false">
      <c r="A7" s="0" t="s">
        <v>783</v>
      </c>
      <c r="B7" s="4" t="s">
        <v>784</v>
      </c>
      <c r="C7" s="20" t="n">
        <f aca="false">E121</f>
        <v>6234.88037514896</v>
      </c>
      <c r="D7" s="18" t="n">
        <f aca="false">E129</f>
        <v>11.8171698140422</v>
      </c>
      <c r="E7" s="11" t="n">
        <f aca="false">D7/D$4-1</f>
        <v>-0.139842011672023</v>
      </c>
      <c r="F7" s="20" t="n">
        <f aca="false">F121</f>
        <v>7188.34379274585</v>
      </c>
      <c r="G7" s="18" t="n">
        <f aca="false">F129</f>
        <v>14.4323712214392</v>
      </c>
      <c r="H7" s="11" t="n">
        <f aca="false">G7/G$4-1</f>
        <v>-0.131117652896852</v>
      </c>
    </row>
    <row r="8" customFormat="false" ht="17.15" hidden="false" customHeight="false" outlineLevel="0" collapsed="false">
      <c r="A8" s="4" t="s">
        <v>785</v>
      </c>
      <c r="C8" s="20" t="n">
        <f aca="false">E153</f>
        <v>6759.39382124844</v>
      </c>
      <c r="D8" s="18" t="n">
        <f aca="false">E161</f>
        <v>13.2088444951781</v>
      </c>
      <c r="E8" s="11" t="n">
        <f aca="false">D8/D$4-1</f>
        <v>-0.0385436371060298</v>
      </c>
      <c r="F8" s="20" t="n">
        <f aca="false">F153</f>
        <v>7742.43739563519</v>
      </c>
      <c r="G8" s="18" t="n">
        <f aca="false">F161</f>
        <v>15.9173800710785</v>
      </c>
      <c r="H8" s="11" t="n">
        <f aca="false">G8/G$4-1</f>
        <v>-0.0417146050576411</v>
      </c>
    </row>
    <row r="9" customFormat="false" ht="17.15" hidden="false" customHeight="false" outlineLevel="0" collapsed="false">
      <c r="A9" s="4" t="s">
        <v>786</v>
      </c>
      <c r="C9" s="20" t="n">
        <f aca="false">E185</f>
        <v>7158.54446922891</v>
      </c>
      <c r="D9" s="18" t="n">
        <f aca="false">E193</f>
        <v>14.2678980902465</v>
      </c>
      <c r="E9" s="11" t="n">
        <f aca="false">D9/D$4-1</f>
        <v>0.0385436371060297</v>
      </c>
      <c r="F9" s="20" t="n">
        <f aca="false">F185</f>
        <v>8259.50692219236</v>
      </c>
      <c r="G9" s="18" t="n">
        <f aca="false">F193</f>
        <v>17.3031618574269</v>
      </c>
      <c r="H9" s="11" t="n">
        <f aca="false">G9/G$4-1</f>
        <v>0.0417146050576411</v>
      </c>
    </row>
    <row r="10" customFormat="false" ht="17.15" hidden="false" customHeight="false" outlineLevel="0" collapsed="false">
      <c r="A10" s="4" t="s">
        <v>787</v>
      </c>
      <c r="B10" s="4" t="s">
        <v>788</v>
      </c>
      <c r="C10" s="20" t="n">
        <f aca="false">E217</f>
        <v>6958.96914523867</v>
      </c>
      <c r="D10" s="18" t="n">
        <f aca="false">E225</f>
        <v>12.9172087603935</v>
      </c>
      <c r="E10" s="11" t="n">
        <f aca="false">D10/D$4-1</f>
        <v>-0.0597714616109085</v>
      </c>
      <c r="F10" s="20" t="n">
        <f aca="false">F217</f>
        <v>8000.97215891378</v>
      </c>
      <c r="G10" s="18" t="n">
        <f aca="false">F225</f>
        <v>15.3228379027746</v>
      </c>
      <c r="H10" s="11" t="n">
        <f aca="false">G10/G$4-1</f>
        <v>-0.0775082516262874</v>
      </c>
    </row>
    <row r="11" customFormat="false" ht="17.15" hidden="false" customHeight="false" outlineLevel="0" collapsed="false">
      <c r="A11" s="4" t="s">
        <v>789</v>
      </c>
      <c r="B11" s="4" t="s">
        <v>38</v>
      </c>
      <c r="C11" s="20" t="n">
        <f aca="false">E249</f>
        <v>6958.96914523867</v>
      </c>
      <c r="D11" s="18" t="n">
        <f aca="false">E257</f>
        <v>14.5067562316426</v>
      </c>
      <c r="E11" s="11" t="n">
        <f aca="false">D11/D$4-1</f>
        <v>0.0559298422323138</v>
      </c>
      <c r="F11" s="20" t="n">
        <f aca="false">F249</f>
        <v>8000.97215891378</v>
      </c>
      <c r="G11" s="18" t="n">
        <f aca="false">F257</f>
        <v>17.8149583865191</v>
      </c>
      <c r="H11" s="11" t="n">
        <f aca="false">G11/G$4-1</f>
        <v>0.0725266568413574</v>
      </c>
    </row>
    <row r="12" customFormat="false" ht="17.15" hidden="false" customHeight="false" outlineLevel="0" collapsed="false">
      <c r="A12" s="0" t="s">
        <v>790</v>
      </c>
      <c r="B12" s="0" t="s">
        <v>791</v>
      </c>
      <c r="C12" s="20" t="n">
        <f aca="false">E281</f>
        <v>6943.20234523868</v>
      </c>
      <c r="D12" s="18" t="n">
        <f aca="false">E289</f>
        <v>13.6965377486426</v>
      </c>
      <c r="E12" s="11" t="n">
        <f aca="false">D12/D$4-1</f>
        <v>-0.00304501481131569</v>
      </c>
      <c r="F12" s="20" t="n">
        <f aca="false">F281</f>
        <v>7967.54654291378</v>
      </c>
      <c r="G12" s="18" t="n">
        <f aca="false">F289</f>
        <v>16.5206880213965</v>
      </c>
      <c r="H12" s="11" t="n">
        <f aca="false">G12/G$4-1</f>
        <v>-0.00539322585700375</v>
      </c>
    </row>
    <row r="13" customFormat="false" ht="17.15" hidden="false" customHeight="false" outlineLevel="0" collapsed="false">
      <c r="A13" s="0" t="s">
        <v>792</v>
      </c>
      <c r="B13" s="0" t="s">
        <v>793</v>
      </c>
      <c r="C13" s="20" t="n">
        <f aca="false">E313</f>
        <v>6974.73594523868</v>
      </c>
      <c r="D13" s="18" t="n">
        <f aca="false">E321</f>
        <v>13.7802048367819</v>
      </c>
      <c r="E13" s="11" t="n">
        <f aca="false">D13/D$4-1</f>
        <v>0.00304501481131547</v>
      </c>
      <c r="F13" s="20" t="n">
        <f aca="false">F313</f>
        <v>8035.65911891378</v>
      </c>
      <c r="G13" s="18" t="n">
        <f aca="false">F321</f>
        <v>16.7032343955186</v>
      </c>
      <c r="H13" s="11" t="n">
        <f aca="false">G13/G$4-1</f>
        <v>0.00559674381387154</v>
      </c>
    </row>
    <row r="14" customFormat="false" ht="17.15" hidden="false" customHeight="false" outlineLevel="0" collapsed="false">
      <c r="A14" s="4" t="s">
        <v>794</v>
      </c>
      <c r="B14" s="4" t="s">
        <v>795</v>
      </c>
      <c r="C14" s="20" t="n">
        <f aca="false">E345</f>
        <v>6918.81714523867</v>
      </c>
      <c r="D14" s="18" t="n">
        <f aca="false">E353</f>
        <v>13.7339568045147</v>
      </c>
      <c r="E14" s="11" t="n">
        <f aca="false">D14/D$4-1</f>
        <v>-0.000321325439789466</v>
      </c>
      <c r="F14" s="20" t="n">
        <f aca="false">F345</f>
        <v>7916.65295891378</v>
      </c>
      <c r="G14" s="18" t="n">
        <f aca="false">F353</f>
        <v>16.5915428325052</v>
      </c>
      <c r="H14" s="11" t="n">
        <f aca="false">G14/G$4-1</f>
        <v>-0.00112750308455511</v>
      </c>
    </row>
    <row r="15" customFormat="false" ht="17.15" hidden="false" customHeight="false" outlineLevel="0" collapsed="false">
      <c r="A15" s="4" t="s">
        <v>796</v>
      </c>
      <c r="C15" s="20" t="n">
        <f aca="false">E377</f>
        <v>6999.12114523867</v>
      </c>
      <c r="D15" s="18" t="n">
        <f aca="false">E385</f>
        <v>13.7427857809099</v>
      </c>
      <c r="E15" s="11" t="n">
        <f aca="false">D15/D$4-1</f>
        <v>0.000321325439789577</v>
      </c>
      <c r="F15" s="20" t="n">
        <f aca="false">F377</f>
        <v>8093.32175891378</v>
      </c>
      <c r="G15" s="18" t="n">
        <f aca="false">F385</f>
        <v>16.6307827275952</v>
      </c>
      <c r="H15" s="11" t="n">
        <f aca="false">G15/G$4-1</f>
        <v>0.00123488433070351</v>
      </c>
    </row>
    <row r="16" customFormat="false" ht="17.15" hidden="false" customHeight="false" outlineLevel="0" collapsed="false">
      <c r="A16" s="4" t="s">
        <v>797</v>
      </c>
      <c r="B16" s="4" t="s">
        <v>798</v>
      </c>
      <c r="C16" s="20" t="n">
        <f aca="false">E409</f>
        <v>6958.96914523867</v>
      </c>
      <c r="D16" s="18" t="n">
        <f aca="false">E417</f>
        <v>13.5684134971038</v>
      </c>
      <c r="E16" s="11" t="n">
        <f aca="false">D16/D$4-1</f>
        <v>-0.0123710294318998</v>
      </c>
      <c r="F16" s="20" t="n">
        <f aca="false">F409</f>
        <v>8000.97215891378</v>
      </c>
      <c r="G16" s="18" t="n">
        <f aca="false">F417</f>
        <v>16.4214289691322</v>
      </c>
      <c r="H16" s="11" t="n">
        <f aca="false">G16/G$4-1</f>
        <v>-0.0113689894359325</v>
      </c>
    </row>
    <row r="17" customFormat="false" ht="17.15" hidden="false" customHeight="false" outlineLevel="0" collapsed="false">
      <c r="A17" s="4" t="s">
        <v>799</v>
      </c>
      <c r="B17" s="4" t="s">
        <v>800</v>
      </c>
      <c r="C17" s="20" t="n">
        <f aca="false">E441</f>
        <v>6958.96914523867</v>
      </c>
      <c r="D17" s="18" t="n">
        <f aca="false">E449</f>
        <v>13.8597697181469</v>
      </c>
      <c r="E17" s="11" t="n">
        <f aca="false">D17/D$4-1</f>
        <v>0.00883644959421415</v>
      </c>
      <c r="F17" s="20" t="n">
        <f aca="false">F441</f>
        <v>8000.97215891378</v>
      </c>
      <c r="G17" s="18" t="n">
        <f aca="false">F449</f>
        <v>16.7451581036246</v>
      </c>
      <c r="H17" s="11" t="n">
        <f aca="false">G17/G$4-1</f>
        <v>0.0081207067399518</v>
      </c>
    </row>
    <row r="18" customFormat="false" ht="17.15" hidden="false" customHeight="false" outlineLevel="0" collapsed="false">
      <c r="A18" s="4" t="s">
        <v>801</v>
      </c>
      <c r="C18" s="20" t="n">
        <f aca="false">E473</f>
        <v>6958.96914523867</v>
      </c>
      <c r="D18" s="18" t="n">
        <f aca="false">E481</f>
        <v>14.0887975479087</v>
      </c>
      <c r="E18" s="11" t="n">
        <f aca="false">D18/D$4-1</f>
        <v>0.0255071178184174</v>
      </c>
      <c r="F18" s="20" t="n">
        <f aca="false">F473</f>
        <v>8000.97215891378</v>
      </c>
      <c r="G18" s="18" t="n">
        <f aca="false">F481</f>
        <v>17.0335246914911</v>
      </c>
      <c r="H18" s="11" t="n">
        <f aca="false">G18/G$4-1</f>
        <v>0.0254814462779833</v>
      </c>
    </row>
    <row r="19" customFormat="false" ht="17.15" hidden="false" customHeight="false" outlineLevel="0" collapsed="false">
      <c r="A19" s="4" t="s">
        <v>802</v>
      </c>
      <c r="C19" s="20" t="n">
        <f aca="false">E505</f>
        <v>6958.96914523867</v>
      </c>
      <c r="D19" s="18" t="n">
        <f aca="false">E513</f>
        <v>13.2834937826184</v>
      </c>
      <c r="E19" s="11" t="n">
        <f aca="false">D19/D$4-1</f>
        <v>-0.0331100026635048</v>
      </c>
      <c r="F19" s="20" t="n">
        <f aca="false">F505</f>
        <v>8000.97215891378</v>
      </c>
      <c r="G19" s="18" t="n">
        <f aca="false">F513</f>
        <v>16.0608583596628</v>
      </c>
      <c r="H19" s="11" t="n">
        <f aca="false">G19/G$4-1</f>
        <v>-0.0330766792289166</v>
      </c>
    </row>
    <row r="20" customFormat="false" ht="17.15" hidden="false" customHeight="false" outlineLevel="0" collapsed="false">
      <c r="A20" s="4" t="s">
        <v>803</v>
      </c>
      <c r="C20" s="20" t="n">
        <f aca="false">E537</f>
        <v>6958.96914523867</v>
      </c>
      <c r="D20" s="18" t="n">
        <f aca="false">E545</f>
        <v>13.6009875797852</v>
      </c>
      <c r="E20" s="11" t="n">
        <f aca="false">D20/D$4-1</f>
        <v>-0.0099999999999999</v>
      </c>
      <c r="F20" s="20" t="n">
        <f aca="false">F537</f>
        <v>8000.97215891378</v>
      </c>
      <c r="G20" s="18" t="n">
        <f aca="false">F545</f>
        <v>16.2797265720641</v>
      </c>
      <c r="H20" s="11" t="n">
        <f aca="false">G20/G$4-1</f>
        <v>-0.0198999999999999</v>
      </c>
    </row>
    <row r="21" customFormat="false" ht="17.15" hidden="false" customHeight="false" outlineLevel="0" collapsed="false">
      <c r="A21" s="4" t="s">
        <v>804</v>
      </c>
      <c r="C21" s="20" t="n">
        <f aca="false">E569</f>
        <v>6958.96914523867</v>
      </c>
      <c r="D21" s="18" t="n">
        <f aca="false">E577</f>
        <v>13.8785587548828</v>
      </c>
      <c r="E21" s="11" t="n">
        <f aca="false">D21/D$4-1</f>
        <v>0.0102040816326532</v>
      </c>
      <c r="F21" s="20" t="n">
        <f aca="false">F569</f>
        <v>8000.97215891378</v>
      </c>
      <c r="G21" s="18" t="n">
        <f aca="false">F577</f>
        <v>16.9509856018993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805</v>
      </c>
      <c r="B22" s="0" t="s">
        <v>806</v>
      </c>
      <c r="C22" s="20" t="n">
        <f aca="false">PL!E91</f>
        <v>6947.14404523867</v>
      </c>
      <c r="D22" s="18" t="n">
        <f aca="false">PL!E99</f>
        <v>13.70699613466</v>
      </c>
      <c r="E22" s="11" t="n">
        <f aca="false">D22/D$4-1</f>
        <v>-0.00228376110848683</v>
      </c>
      <c r="F22" s="20" t="n">
        <f aca="false">PL!F91</f>
        <v>7081.7701876497</v>
      </c>
      <c r="G22" s="18" t="n">
        <f aca="false">PL!F99</f>
        <v>14.1467466520876</v>
      </c>
      <c r="H22" s="11" t="n">
        <f aca="false">G22/G$4-1</f>
        <v>-0.148313312736858</v>
      </c>
    </row>
    <row r="23" customFormat="false" ht="17.15" hidden="false" customHeight="false" outlineLevel="0" collapsed="false">
      <c r="A23" s="4" t="s">
        <v>807</v>
      </c>
      <c r="B23" s="0" t="s">
        <v>808</v>
      </c>
      <c r="C23" s="20" t="n">
        <f aca="false">PL!E121</f>
        <v>6935.31894523867</v>
      </c>
      <c r="D23" s="18" t="n">
        <f aca="false">PL!E129</f>
        <v>13.6756209766078</v>
      </c>
      <c r="E23" s="11" t="n">
        <f aca="false">D23/D$4-1</f>
        <v>-0.00456752221697332</v>
      </c>
      <c r="F23" s="20" t="n">
        <f aca="false">PL!F121</f>
        <v>6522.53289805538</v>
      </c>
      <c r="G23" s="18" t="n">
        <f aca="false">PL!F129</f>
        <v>12.3127499632354</v>
      </c>
      <c r="H23" s="11" t="n">
        <f aca="false">G23/G$4-1</f>
        <v>-0.258726724583008</v>
      </c>
    </row>
    <row r="25" customFormat="false" ht="17.15" hidden="false" customHeight="false" outlineLevel="0" collapsed="false">
      <c r="A25" s="4" t="s">
        <v>809</v>
      </c>
    </row>
    <row r="40" customFormat="false" ht="17.15" hidden="false" customHeight="false" outlineLevel="0" collapsed="false">
      <c r="A40" s="1" t="s">
        <v>810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5" t="s">
        <v>472</v>
      </c>
      <c r="D41" s="15" t="s">
        <v>486</v>
      </c>
      <c r="E41" s="15" t="s">
        <v>473</v>
      </c>
      <c r="F41" s="15" t="s">
        <v>474</v>
      </c>
      <c r="G41" s="15" t="s">
        <v>475</v>
      </c>
      <c r="H41" s="5" t="s">
        <v>433</v>
      </c>
    </row>
    <row r="42" customFormat="false" ht="17.15" hidden="false" customHeight="false" outlineLevel="0" collapsed="false">
      <c r="A42" s="0" t="s">
        <v>487</v>
      </c>
      <c r="B42" s="0" t="s">
        <v>31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488</v>
      </c>
      <c r="B43" s="0" t="s">
        <v>31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3.99150647980462</v>
      </c>
      <c r="F43" s="18" t="n">
        <f aca="false">mm_A_2028</f>
        <v>5.17069526557172</v>
      </c>
      <c r="G43" s="18" t="n">
        <f aca="false">mm_A_2029</f>
        <v>6.33160644779016</v>
      </c>
    </row>
    <row r="44" customFormat="false" ht="17.15" hidden="false" customHeight="false" outlineLevel="0" collapsed="false">
      <c r="A44" s="4" t="s">
        <v>489</v>
      </c>
      <c r="B44" s="0" t="s">
        <v>98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490</v>
      </c>
    </row>
    <row r="45" customFormat="false" ht="17.15" hidden="false" customHeight="false" outlineLevel="0" collapsed="false">
      <c r="A45" s="0" t="s">
        <v>491</v>
      </c>
      <c r="B45" s="0" t="s">
        <v>196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492</v>
      </c>
    </row>
    <row r="46" customFormat="false" ht="15" hidden="false" customHeight="false" outlineLevel="0" collapsed="false">
      <c r="A46" s="4" t="s">
        <v>493</v>
      </c>
      <c r="B46" s="0" t="s">
        <v>98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494</v>
      </c>
      <c r="B47" s="0" t="s">
        <v>196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1264.33507797389</v>
      </c>
      <c r="F47" s="9" t="n">
        <f aca="false">F43*1000*F46</f>
        <v>1637.85062979426</v>
      </c>
      <c r="G47" s="9" t="n">
        <f aca="false">G43*1000*G46</f>
        <v>2005.57663437856</v>
      </c>
    </row>
    <row r="48" customFormat="false" ht="17.15" hidden="false" customHeight="false" outlineLevel="0" collapsed="false">
      <c r="A48" s="0" t="s">
        <v>495</v>
      </c>
      <c r="B48" s="0" t="s">
        <v>196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496</v>
      </c>
    </row>
    <row r="49" customFormat="false" ht="15" hidden="false" customHeight="false" outlineLevel="0" collapsed="false">
      <c r="A49" s="4" t="s">
        <v>497</v>
      </c>
      <c r="B49" s="0" t="s">
        <v>196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5320.87564130855</v>
      </c>
      <c r="F49" s="9" t="n">
        <f aca="false">F45+F47+F48</f>
        <v>6190.41388784357</v>
      </c>
      <c r="G49" s="9" t="n">
        <f aca="false">G45+G47+G48</f>
        <v>7067.89117546612</v>
      </c>
    </row>
    <row r="50" customFormat="false" ht="17.15" hidden="false" customHeight="false" outlineLevel="0" collapsed="false">
      <c r="A50" s="0" t="s">
        <v>498</v>
      </c>
      <c r="B50" s="0" t="s">
        <v>196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439</v>
      </c>
      <c r="B51" s="0" t="s">
        <v>196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5746.57924130855</v>
      </c>
      <c r="F51" s="9" t="n">
        <f aca="false">F49+F50</f>
        <v>6650.17377584357</v>
      </c>
      <c r="G51" s="9" t="n">
        <f aca="false">G49+G50</f>
        <v>7564.43185450612</v>
      </c>
    </row>
    <row r="52" customFormat="false" ht="17.15" hidden="false" customHeight="false" outlineLevel="0" collapsed="false">
      <c r="A52" s="4" t="s">
        <v>499</v>
      </c>
      <c r="B52" s="0" t="s">
        <v>196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2144.10355522555</v>
      </c>
      <c r="F52" s="9" t="n">
        <f aca="false">t_inc*F51-t_fix+0*F51</f>
        <v>2580.22908886815</v>
      </c>
      <c r="G52" s="9" t="n">
        <f aca="false">t_inc*G51-t_fix+0*G51</f>
        <v>3021.50144854323</v>
      </c>
      <c r="H52" s="4" t="s">
        <v>500</v>
      </c>
    </row>
    <row r="53" customFormat="false" ht="15" hidden="false" customHeight="false" outlineLevel="0" collapsed="false">
      <c r="A53" s="4" t="s">
        <v>501</v>
      </c>
      <c r="B53" s="0" t="s">
        <v>98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0.373109543119659</v>
      </c>
      <c r="F53" s="11" t="n">
        <f aca="false">F52/F51</f>
        <v>0.387994235314678</v>
      </c>
      <c r="G53" s="11" t="n">
        <f aca="false">G52/G51</f>
        <v>0.399435345133465</v>
      </c>
    </row>
    <row r="54" customFormat="false" ht="17.15" hidden="false" customHeight="false" outlineLevel="0" collapsed="false">
      <c r="A54" s="4" t="s">
        <v>502</v>
      </c>
      <c r="B54" s="0" t="s">
        <v>196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447</v>
      </c>
      <c r="B55" s="0" t="s">
        <v>196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426</v>
      </c>
      <c r="B56" s="0" t="s">
        <v>196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400</v>
      </c>
      <c r="B57" s="0" t="s">
        <v>196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6188.25124130855</v>
      </c>
      <c r="F57" s="9" t="n">
        <f aca="false">F51+F54</f>
        <v>7136.01297584357</v>
      </c>
      <c r="G57" s="9" t="n">
        <f aca="false">G51+G54</f>
        <v>8098.85497450612</v>
      </c>
    </row>
    <row r="58" customFormat="false" ht="17.15" hidden="false" customHeight="false" outlineLevel="0" collapsed="false">
      <c r="A58" s="4" t="s">
        <v>503</v>
      </c>
      <c r="B58" s="0" t="s">
        <v>196</v>
      </c>
      <c r="C58" s="9" t="n">
        <f aca="false">ROUND(C49+C50+C54-a25_rev,0)</f>
        <v>0</v>
      </c>
      <c r="D58" s="9" t="n">
        <f aca="false">ROUND(D49+D50+D54-f26_rev,0)</f>
        <v>0</v>
      </c>
      <c r="H58" s="8" t="s">
        <v>504</v>
      </c>
    </row>
    <row r="59" customFormat="false" ht="15" hidden="false" customHeight="false" outlineLevel="0" collapsed="false">
      <c r="A59" s="4" t="s">
        <v>480</v>
      </c>
      <c r="B59" s="0" t="s">
        <v>196</v>
      </c>
      <c r="C59" s="9" t="n">
        <f aca="false">C52+C55+C56</f>
        <v>653.2</v>
      </c>
      <c r="D59" s="9" t="n">
        <f aca="false">D52+D55+D56</f>
        <v>1629.93073654536</v>
      </c>
      <c r="E59" s="9" t="n">
        <f aca="false">E52+E55+E56</f>
        <v>2142.53699522555</v>
      </c>
      <c r="F59" s="9" t="n">
        <f aca="false">F52+F55+F56</f>
        <v>2589.26265686815</v>
      </c>
      <c r="G59" s="9" t="n">
        <f aca="false">G52+G55+G56</f>
        <v>3037.82260454323</v>
      </c>
    </row>
    <row r="60" customFormat="false" ht="15" hidden="false" customHeight="false" outlineLevel="0" collapsed="false">
      <c r="A60" s="4" t="s">
        <v>481</v>
      </c>
      <c r="B60" s="0" t="s">
        <v>98</v>
      </c>
      <c r="C60" s="11" t="n">
        <f aca="false">C59/C57</f>
        <v>0.204758471521269</v>
      </c>
      <c r="D60" s="11" t="n">
        <f aca="false">D59/D57</f>
        <v>0.318868991420565</v>
      </c>
      <c r="E60" s="11" t="n">
        <f aca="false">E59/E57</f>
        <v>0.346226568973708</v>
      </c>
      <c r="F60" s="11" t="n">
        <f aca="false">F59/F57</f>
        <v>0.362844443477496</v>
      </c>
      <c r="G60" s="11" t="n">
        <f aca="false">G59/G57</f>
        <v>0.375092851286484</v>
      </c>
    </row>
    <row r="61" customFormat="false" ht="15" hidden="false" customHeight="false" outlineLevel="0" collapsed="false">
      <c r="A61" s="4" t="s">
        <v>412</v>
      </c>
      <c r="B61" s="0" t="s">
        <v>196</v>
      </c>
      <c r="C61" s="9" t="n">
        <f aca="false">a25_tax</f>
        <v>79.3</v>
      </c>
      <c r="D61" s="9" t="n">
        <f aca="false">f26_tax</f>
        <v>231.054736545361</v>
      </c>
      <c r="E61" s="9" t="n">
        <f aca="false">E59*etr</f>
        <v>303.720464846116</v>
      </c>
      <c r="F61" s="9" t="n">
        <f aca="false">F59*etr</f>
        <v>367.047131277142</v>
      </c>
      <c r="G61" s="9" t="n">
        <f aca="false">G59*etr</f>
        <v>430.633821319281</v>
      </c>
    </row>
    <row r="62" customFormat="false" ht="17.15" hidden="false" customHeight="false" outlineLevel="0" collapsed="false">
      <c r="A62" s="4" t="s">
        <v>413</v>
      </c>
      <c r="B62" s="0" t="s">
        <v>196</v>
      </c>
      <c r="C62" s="9" t="n">
        <f aca="false">a25_aff</f>
        <v>-19.9</v>
      </c>
      <c r="D62" s="9" t="n">
        <f aca="false">f26_aff</f>
        <v>-13.2</v>
      </c>
      <c r="E62" s="9" t="n">
        <f aca="false">aff</f>
        <v>-13.2</v>
      </c>
      <c r="F62" s="9" t="n">
        <f aca="false">aff</f>
        <v>-13.2</v>
      </c>
      <c r="G62" s="9" t="n">
        <f aca="false">aff</f>
        <v>-13.2</v>
      </c>
    </row>
    <row r="63" customFormat="false" ht="17.15" hidden="false" customHeight="false" outlineLevel="0" collapsed="false">
      <c r="A63" s="4" t="s">
        <v>482</v>
      </c>
      <c r="B63" s="0" t="s">
        <v>196</v>
      </c>
      <c r="C63" s="9" t="n">
        <f aca="false">a25_ni</f>
        <v>554</v>
      </c>
      <c r="D63" s="9" t="n">
        <f aca="false">f26_ni</f>
        <v>1385.276</v>
      </c>
      <c r="E63" s="9" t="n">
        <f aca="false">E59-E61+E62</f>
        <v>1825.61653037943</v>
      </c>
      <c r="F63" s="9" t="n">
        <f aca="false">F59-F61+F62</f>
        <v>2209.01552559101</v>
      </c>
      <c r="G63" s="9" t="n">
        <f aca="false">G59-G61+G62</f>
        <v>2593.98878322394</v>
      </c>
      <c r="H63" s="8" t="s">
        <v>505</v>
      </c>
    </row>
    <row r="64" customFormat="false" ht="15" hidden="false" customHeight="false" outlineLevel="0" collapsed="false">
      <c r="A64" s="4" t="s">
        <v>506</v>
      </c>
      <c r="B64" s="4" t="s">
        <v>258</v>
      </c>
      <c r="C64" s="9" t="n">
        <f aca="false">a25_dsh</f>
        <v>159.7</v>
      </c>
      <c r="D64" s="9" t="n">
        <f aca="false">sh26</f>
        <v>157.7</v>
      </c>
      <c r="E64" s="9" t="n">
        <f aca="false">sh26*(1-bb)^1</f>
        <v>156.123</v>
      </c>
      <c r="F64" s="9" t="n">
        <f aca="false">sh26*(1-bb)^2</f>
        <v>154.56177</v>
      </c>
      <c r="G64" s="9" t="n">
        <f aca="false">sh26*(1-bb)^3</f>
        <v>153.0161523</v>
      </c>
    </row>
    <row r="65" customFormat="false" ht="17.15" hidden="false" customHeight="false" outlineLevel="0" collapsed="false">
      <c r="A65" s="0" t="s">
        <v>415</v>
      </c>
      <c r="B65" s="0" t="s">
        <v>201</v>
      </c>
      <c r="C65" s="18" t="n">
        <f aca="false">a25_eps</f>
        <v>3.47</v>
      </c>
      <c r="D65" s="18" t="n">
        <f aca="false">D63/D64</f>
        <v>8.78424857324033</v>
      </c>
      <c r="E65" s="18" t="n">
        <f aca="false">E63/E64</f>
        <v>11.6934502307759</v>
      </c>
      <c r="F65" s="18" t="n">
        <f aca="false">F63/F64</f>
        <v>14.2921210438455</v>
      </c>
      <c r="G65" s="18" t="n">
        <f aca="false">G63/G64</f>
        <v>16.9523853804547</v>
      </c>
    </row>
    <row r="66" customFormat="false" ht="17.15" hidden="false" customHeight="false" outlineLevel="0" collapsed="false">
      <c r="A66" s="0" t="s">
        <v>507</v>
      </c>
      <c r="B66" s="0" t="s">
        <v>98</v>
      </c>
      <c r="C66" s="11" t="n">
        <f aca="false">C45/C57</f>
        <v>0.592363875740573</v>
      </c>
      <c r="D66" s="11" t="n">
        <f aca="false">D45/D57</f>
        <v>0.635675717974802</v>
      </c>
      <c r="E66" s="11" t="n">
        <f aca="false">E45/E57</f>
        <v>0.611250451955929</v>
      </c>
      <c r="F66" s="11" t="n">
        <f aca="false">F45/F57</f>
        <v>0.594883147302844</v>
      </c>
      <c r="G66" s="11" t="n">
        <f aca="false">G45/G57</f>
        <v>0.582850014616031</v>
      </c>
    </row>
    <row r="67" customFormat="false" ht="17.15" hidden="false" customHeight="false" outlineLevel="0" collapsed="false">
      <c r="A67" s="4" t="s">
        <v>508</v>
      </c>
      <c r="B67" s="0" t="s">
        <v>98</v>
      </c>
      <c r="C67" s="11" t="n">
        <f aca="false">a25_gp/a25_rev</f>
        <v>0.582225705329154</v>
      </c>
      <c r="D67" s="11" t="n">
        <f aca="false">f26_gm</f>
        <v>0.594365646092145</v>
      </c>
      <c r="E67" s="11" t="n">
        <f aca="false">f26_gm+(Q!J13-a25_gp/a25_rev)/(Q!J4/Q!J10-a25_soc/a25_rev)*(E66-D66)</f>
        <v>0.586793584924919</v>
      </c>
      <c r="F67" s="11" t="n">
        <f aca="false">f26_gm+(Q!J13-a25_gp/a25_rev)/(Q!J4/Q!J10-a25_soc/a25_rev)*(F66-D66)</f>
        <v>0.581719567230289</v>
      </c>
      <c r="G67" s="11" t="n">
        <f aca="false">f26_gm+(Q!J13-a25_gp/a25_rev)/(Q!J4/Q!J10-a25_soc/a25_rev)*(G66-D66)</f>
        <v>0.577989183427407</v>
      </c>
      <c r="H67" s="8" t="s">
        <v>509</v>
      </c>
    </row>
    <row r="72" customFormat="false" ht="17.15" hidden="false" customHeight="false" outlineLevel="0" collapsed="false">
      <c r="A72" s="1" t="s">
        <v>811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5" t="s">
        <v>472</v>
      </c>
      <c r="D73" s="15" t="s">
        <v>486</v>
      </c>
      <c r="E73" s="15" t="s">
        <v>473</v>
      </c>
      <c r="F73" s="15" t="s">
        <v>474</v>
      </c>
      <c r="G73" s="15" t="s">
        <v>475</v>
      </c>
      <c r="H73" s="5" t="s">
        <v>433</v>
      </c>
    </row>
    <row r="74" customFormat="false" ht="17.15" hidden="false" customHeight="false" outlineLevel="0" collapsed="false">
      <c r="A74" s="0" t="s">
        <v>487</v>
      </c>
      <c r="B74" s="0" t="s">
        <v>31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488</v>
      </c>
      <c r="B75" s="0" t="s">
        <v>31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3.99150647980462</v>
      </c>
      <c r="F75" s="18" t="n">
        <f aca="false">mm_A_2028</f>
        <v>5.17069526557172</v>
      </c>
      <c r="G75" s="18" t="n">
        <f aca="false">mm_A_2029</f>
        <v>6.33160644779016</v>
      </c>
    </row>
    <row r="76" customFormat="false" ht="17.15" hidden="false" customHeight="false" outlineLevel="0" collapsed="false">
      <c r="A76" s="4" t="s">
        <v>489</v>
      </c>
      <c r="B76" s="0" t="s">
        <v>98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490</v>
      </c>
    </row>
    <row r="77" customFormat="false" ht="17.15" hidden="false" customHeight="false" outlineLevel="0" collapsed="false">
      <c r="A77" s="0" t="s">
        <v>491</v>
      </c>
      <c r="B77" s="0" t="s">
        <v>196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492</v>
      </c>
    </row>
    <row r="78" customFormat="false" ht="15" hidden="false" customHeight="false" outlineLevel="0" collapsed="false">
      <c r="A78" s="4" t="s">
        <v>493</v>
      </c>
      <c r="B78" s="0" t="s">
        <v>98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494</v>
      </c>
      <c r="B79" s="0" t="s">
        <v>196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1264.33507797389</v>
      </c>
      <c r="F79" s="9" t="n">
        <f aca="false">F75*1000*F78</f>
        <v>1637.85062979426</v>
      </c>
      <c r="G79" s="9" t="n">
        <f aca="false">G75*1000*G78</f>
        <v>2005.57663437856</v>
      </c>
    </row>
    <row r="80" customFormat="false" ht="17.15" hidden="false" customHeight="false" outlineLevel="0" collapsed="false">
      <c r="A80" s="0" t="s">
        <v>495</v>
      </c>
      <c r="B80" s="0" t="s">
        <v>196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496</v>
      </c>
    </row>
    <row r="81" customFormat="false" ht="15" hidden="false" customHeight="false" outlineLevel="0" collapsed="false">
      <c r="A81" s="4" t="s">
        <v>497</v>
      </c>
      <c r="B81" s="0" t="s">
        <v>196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6862.31144916881</v>
      </c>
      <c r="F81" s="9" t="n">
        <f aca="false">F77+F79+F80</f>
        <v>7920.33225398398</v>
      </c>
      <c r="G81" s="9" t="n">
        <f aca="false">G77+G79+G80</f>
        <v>8991.50879556689</v>
      </c>
    </row>
    <row r="82" customFormat="false" ht="17.15" hidden="false" customHeight="false" outlineLevel="0" collapsed="false">
      <c r="A82" s="0" t="s">
        <v>498</v>
      </c>
      <c r="B82" s="0" t="s">
        <v>196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439</v>
      </c>
      <c r="B83" s="0" t="s">
        <v>196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7288.01504916881</v>
      </c>
      <c r="F83" s="9" t="n">
        <f aca="false">F81+F82</f>
        <v>8380.09214198398</v>
      </c>
      <c r="G83" s="9" t="n">
        <f aca="false">G81+G82</f>
        <v>9488.04947460689</v>
      </c>
    </row>
    <row r="84" customFormat="false" ht="17.15" hidden="false" customHeight="false" outlineLevel="0" collapsed="false">
      <c r="A84" s="4" t="s">
        <v>499</v>
      </c>
      <c r="B84" s="0" t="s">
        <v>196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2888.08715471114</v>
      </c>
      <c r="F84" s="9" t="n">
        <f aca="false">t_inc*F83-t_fix+0*F83</f>
        <v>3415.18496980358</v>
      </c>
      <c r="G84" s="9" t="n">
        <f aca="false">t_inc*G83-t_fix+0*G83</f>
        <v>3949.947481611</v>
      </c>
      <c r="H84" s="4" t="s">
        <v>500</v>
      </c>
    </row>
    <row r="85" customFormat="false" ht="15" hidden="false" customHeight="false" outlineLevel="0" collapsed="false">
      <c r="A85" s="4" t="s">
        <v>501</v>
      </c>
      <c r="B85" s="0" t="s">
        <v>98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0.396278977914642</v>
      </c>
      <c r="F85" s="11" t="n">
        <f aca="false">F84/F83</f>
        <v>0.407535491488646</v>
      </c>
      <c r="G85" s="11" t="n">
        <f aca="false">G84/G83</f>
        <v>0.416307639645256</v>
      </c>
    </row>
    <row r="86" customFormat="false" ht="17.15" hidden="false" customHeight="false" outlineLevel="0" collapsed="false">
      <c r="A86" s="4" t="s">
        <v>502</v>
      </c>
      <c r="B86" s="0" t="s">
        <v>196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447</v>
      </c>
      <c r="B87" s="0" t="s">
        <v>196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426</v>
      </c>
      <c r="B88" s="0" t="s">
        <v>196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400</v>
      </c>
      <c r="B89" s="0" t="s">
        <v>196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7729.6870491688</v>
      </c>
      <c r="F89" s="9" t="n">
        <f aca="false">F83+F86</f>
        <v>8865.93134198398</v>
      </c>
      <c r="G89" s="9" t="n">
        <f aca="false">G83+G86</f>
        <v>10022.4725946069</v>
      </c>
    </row>
    <row r="90" customFormat="false" ht="17.15" hidden="false" customHeight="false" outlineLevel="0" collapsed="false">
      <c r="A90" s="4" t="s">
        <v>503</v>
      </c>
      <c r="B90" s="0" t="s">
        <v>196</v>
      </c>
      <c r="C90" s="9" t="n">
        <f aca="false">ROUND(C81+C82+C86-a25_rev,0)</f>
        <v>0</v>
      </c>
      <c r="D90" s="9" t="n">
        <f aca="false">ROUND(D81+D82+D86-f26_rev,0)</f>
        <v>0</v>
      </c>
      <c r="H90" s="8" t="s">
        <v>504</v>
      </c>
    </row>
    <row r="91" customFormat="false" ht="15" hidden="false" customHeight="false" outlineLevel="0" collapsed="false">
      <c r="A91" s="4" t="s">
        <v>480</v>
      </c>
      <c r="B91" s="0" t="s">
        <v>196</v>
      </c>
      <c r="C91" s="9" t="n">
        <f aca="false">C84+C87+C88</f>
        <v>653.2</v>
      </c>
      <c r="D91" s="9" t="n">
        <f aca="false">D84+D87+D88</f>
        <v>1629.93073654536</v>
      </c>
      <c r="E91" s="9" t="n">
        <f aca="false">E84+E87+E88</f>
        <v>2886.52059471114</v>
      </c>
      <c r="F91" s="9" t="n">
        <f aca="false">F84+F87+F88</f>
        <v>3424.21853780358</v>
      </c>
      <c r="G91" s="9" t="n">
        <f aca="false">G84+G87+G88</f>
        <v>3966.268637611</v>
      </c>
    </row>
    <row r="92" customFormat="false" ht="15" hidden="false" customHeight="false" outlineLevel="0" collapsed="false">
      <c r="A92" s="4" t="s">
        <v>481</v>
      </c>
      <c r="B92" s="0" t="s">
        <v>98</v>
      </c>
      <c r="C92" s="11" t="n">
        <f aca="false">C91/C89</f>
        <v>0.204758471521269</v>
      </c>
      <c r="D92" s="11" t="n">
        <f aca="false">D91/D89</f>
        <v>0.318868991420565</v>
      </c>
      <c r="E92" s="11" t="n">
        <f aca="false">E91/E89</f>
        <v>0.3734330479811</v>
      </c>
      <c r="F92" s="11" t="n">
        <f aca="false">F91/F89</f>
        <v>0.386222090575915</v>
      </c>
      <c r="G92" s="11" t="n">
        <f aca="false">G91/G89</f>
        <v>0.395737538833008</v>
      </c>
    </row>
    <row r="93" customFormat="false" ht="15" hidden="false" customHeight="false" outlineLevel="0" collapsed="false">
      <c r="A93" s="4" t="s">
        <v>412</v>
      </c>
      <c r="B93" s="0" t="s">
        <v>196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409.185642426335</v>
      </c>
      <c r="F93" s="9" t="n">
        <f aca="false">F91*etr</f>
        <v>485.40830256558</v>
      </c>
      <c r="G93" s="9" t="n">
        <f aca="false">G91*etr</f>
        <v>562.24791310685</v>
      </c>
    </row>
    <row r="94" customFormat="false" ht="17.15" hidden="false" customHeight="false" outlineLevel="0" collapsed="false">
      <c r="A94" s="4" t="s">
        <v>413</v>
      </c>
      <c r="B94" s="0" t="s">
        <v>196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482</v>
      </c>
      <c r="B95" s="0" t="s">
        <v>196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2464.13495228481</v>
      </c>
      <c r="F95" s="9" t="n">
        <f aca="false">F91-F93+F94</f>
        <v>2925.610235238</v>
      </c>
      <c r="G95" s="9" t="n">
        <f aca="false">G91-G93+G94</f>
        <v>3390.82072450415</v>
      </c>
      <c r="H95" s="8" t="s">
        <v>505</v>
      </c>
    </row>
    <row r="96" customFormat="false" ht="15" hidden="false" customHeight="false" outlineLevel="0" collapsed="false">
      <c r="A96" s="4" t="s">
        <v>506</v>
      </c>
      <c r="B96" s="4" t="s">
        <v>258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415</v>
      </c>
      <c r="B97" s="0" t="s">
        <v>201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15.7832923546486</v>
      </c>
      <c r="F97" s="18" t="n">
        <f aca="false">F95/F96</f>
        <v>18.9284208846599</v>
      </c>
      <c r="G97" s="18" t="n">
        <f aca="false">G95/G96</f>
        <v>22.1598875251822</v>
      </c>
    </row>
    <row r="98" customFormat="false" ht="17.15" hidden="false" customHeight="false" outlineLevel="0" collapsed="false">
      <c r="A98" s="0" t="s">
        <v>507</v>
      </c>
      <c r="B98" s="0" t="s">
        <v>98</v>
      </c>
      <c r="C98" s="11" t="n">
        <f aca="false">C77/C89</f>
        <v>0.592363875740573</v>
      </c>
      <c r="D98" s="11" t="n">
        <f aca="false">D77/D89</f>
        <v>0.635675717974802</v>
      </c>
      <c r="E98" s="11" t="n">
        <f aca="false">E77/E89</f>
        <v>0.688773962265323</v>
      </c>
      <c r="F98" s="11" t="n">
        <f aca="false">F77/F89</f>
        <v>0.673929449025837</v>
      </c>
      <c r="G98" s="11" t="n">
        <f aca="false">G77/G89</f>
        <v>0.662913796735144</v>
      </c>
    </row>
    <row r="99" customFormat="false" ht="17.15" hidden="false" customHeight="false" outlineLevel="0" collapsed="false">
      <c r="A99" s="4" t="s">
        <v>508</v>
      </c>
      <c r="B99" s="0" t="s">
        <v>98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0.610826598997611</v>
      </c>
      <c r="F99" s="11" t="n">
        <f aca="false">f26_gm+(Q!J13-a25_gp/a25_rev)/(Q!J4/Q!J10-a25_soc/a25_rev)*(F98-D98)</f>
        <v>0.606224660899568</v>
      </c>
      <c r="G99" s="11" t="n">
        <f aca="false">f26_gm+(Q!J13-a25_gp/a25_rev)/(Q!J4/Q!J10-a25_soc/a25_rev)*(G98-D98)</f>
        <v>0.602809705546469</v>
      </c>
      <c r="H99" s="8" t="s">
        <v>509</v>
      </c>
    </row>
    <row r="104" customFormat="false" ht="17.15" hidden="false" customHeight="false" outlineLevel="0" collapsed="false">
      <c r="A104" s="1" t="s">
        <v>812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3.99150647980462</v>
      </c>
      <c r="F107" s="18" t="n">
        <f aca="false">mm_A_2028</f>
        <v>5.17069526557172</v>
      </c>
      <c r="G107" s="18" t="n">
        <f aca="false">mm_A_2029</f>
        <v>6.33160644779016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490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1637.85062979426</v>
      </c>
      <c r="G111" s="9" t="n">
        <f aca="false">G107*1000*G110</f>
        <v>2005.57663437856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5367.50477514896</v>
      </c>
      <c r="F113" s="9" t="n">
        <f aca="false">F109+F111+F112</f>
        <v>6242.74470474585</v>
      </c>
      <c r="G113" s="9" t="n">
        <f aca="false">G109+G111+G112</f>
        <v>7126.08148284581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5793.20837514896</v>
      </c>
      <c r="F115" s="9" t="n">
        <f aca="false">F113+F114</f>
        <v>6702.50459274585</v>
      </c>
      <c r="G115" s="9" t="n">
        <f aca="false">G113+G114</f>
        <v>7622.62216188581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2166.60939728435</v>
      </c>
      <c r="F116" s="9" t="n">
        <f aca="false">t_inc*F115-t_fix+0*F115</f>
        <v>2605.48688379185</v>
      </c>
      <c r="G116" s="9" t="n">
        <f aca="false">t_inc*G115-t_fix+0*G115</f>
        <v>3049.58736306445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0.373991276850738</v>
      </c>
      <c r="F117" s="11" t="n">
        <f aca="false">F116/F115</f>
        <v>0.388733323153822</v>
      </c>
      <c r="G117" s="11" t="n">
        <f aca="false">G116/G115</f>
        <v>0.400070644759597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6234.88037514896</v>
      </c>
      <c r="F121" s="9" t="n">
        <f aca="false">F115+F118</f>
        <v>7188.34379274585</v>
      </c>
      <c r="G121" s="9" t="n">
        <f aca="false">G115+G118</f>
        <v>8157.04528188582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2165.04283728435</v>
      </c>
      <c r="F123" s="9" t="n">
        <f aca="false">F116+F119+F120</f>
        <v>2614.52045179185</v>
      </c>
      <c r="G123" s="9" t="n">
        <f aca="false">G116+G119+G120</f>
        <v>3065.90851906445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0.347246892805481</v>
      </c>
      <c r="F124" s="11" t="n">
        <f aca="false">F123/F121</f>
        <v>0.363716667868655</v>
      </c>
      <c r="G124" s="11" t="n">
        <f aca="false">G123/G121</f>
        <v>0.375860181366512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306.910834406634</v>
      </c>
      <c r="F125" s="9" t="n">
        <f aca="false">F123*etr</f>
        <v>370.627610509149</v>
      </c>
      <c r="G125" s="9" t="n">
        <f aca="false">G123*etr</f>
        <v>434.615207420442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1844.93200287771</v>
      </c>
      <c r="F127" s="9" t="n">
        <f aca="false">F123-F125+F126</f>
        <v>2230.6928412827</v>
      </c>
      <c r="G127" s="9" t="n">
        <f aca="false">G123-G125+G126</f>
        <v>2618.09331164401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11.8171698140422</v>
      </c>
      <c r="F129" s="18" t="n">
        <f aca="false">F127/F128</f>
        <v>14.4323712214392</v>
      </c>
      <c r="G129" s="18" t="n">
        <f aca="false">G127/G128</f>
        <v>17.1099146873791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0.620749019760436</v>
      </c>
      <c r="F130" s="11" t="n">
        <f aca="false">F109/F121</f>
        <v>0.604248379093551</v>
      </c>
      <c r="G130" s="11" t="n">
        <f aca="false">G109/G121</f>
        <v>0.592113001811193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0.589738229882366</v>
      </c>
      <c r="F131" s="11" t="n">
        <f aca="false">f26_gm+(Q!J13-a25_gp/a25_rev)/(Q!J4/Q!J10-a25_soc/a25_rev)*(F130-D130)</f>
        <v>0.584622876774992</v>
      </c>
      <c r="G131" s="11" t="n">
        <f aca="false">f26_gm+(Q!J13-a25_gp/a25_rev)/(Q!J4/Q!J10-a25_soc/a25_rev)*(G130-D130)</f>
        <v>0.580860796190142</v>
      </c>
      <c r="H131" s="8" t="s">
        <v>509</v>
      </c>
    </row>
    <row r="136" customFormat="false" ht="17.15" hidden="false" customHeight="false" outlineLevel="0" collapsed="false">
      <c r="A136" s="1" t="s">
        <v>813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5" t="s">
        <v>472</v>
      </c>
      <c r="D137" s="15" t="s">
        <v>486</v>
      </c>
      <c r="E137" s="15" t="s">
        <v>473</v>
      </c>
      <c r="F137" s="15" t="s">
        <v>474</v>
      </c>
      <c r="G137" s="15" t="s">
        <v>475</v>
      </c>
      <c r="H137" s="5" t="s">
        <v>433</v>
      </c>
    </row>
    <row r="138" customFormat="false" ht="17.15" hidden="false" customHeight="false" outlineLevel="0" collapsed="false">
      <c r="A138" s="0" t="s">
        <v>487</v>
      </c>
      <c r="B138" s="0" t="s">
        <v>31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488</v>
      </c>
      <c r="B139" s="0" t="s">
        <v>31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3.99150647980462</v>
      </c>
      <c r="F139" s="18" t="n">
        <f aca="false">mm_A_2028</f>
        <v>5.17069526557172</v>
      </c>
      <c r="G139" s="18" t="n">
        <f aca="false">mm_A_2029</f>
        <v>6.33160644779016</v>
      </c>
    </row>
    <row r="140" customFormat="false" ht="17.15" hidden="false" customHeight="false" outlineLevel="0" collapsed="false">
      <c r="A140" s="4" t="s">
        <v>489</v>
      </c>
      <c r="B140" s="0" t="s">
        <v>98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490</v>
      </c>
    </row>
    <row r="141" customFormat="false" ht="17.15" hidden="false" customHeight="false" outlineLevel="0" collapsed="false">
      <c r="A141" s="0" t="s">
        <v>491</v>
      </c>
      <c r="B141" s="0" t="s">
        <v>196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492</v>
      </c>
    </row>
    <row r="142" customFormat="false" ht="15" hidden="false" customHeight="false" outlineLevel="0" collapsed="false">
      <c r="A142" s="4" t="s">
        <v>493</v>
      </c>
      <c r="B142" s="0" t="s">
        <v>98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494</v>
      </c>
      <c r="B143" s="0" t="s">
        <v>196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1064.75975398366</v>
      </c>
      <c r="F143" s="9" t="n">
        <f aca="false">F139*1000*F142</f>
        <v>1379.31586651567</v>
      </c>
      <c r="G143" s="9" t="n">
        <f aca="false">G139*1000*G142</f>
        <v>1688.99631198906</v>
      </c>
    </row>
    <row r="144" customFormat="false" ht="17.15" hidden="false" customHeight="false" outlineLevel="0" collapsed="false">
      <c r="A144" s="0" t="s">
        <v>495</v>
      </c>
      <c r="B144" s="0" t="s">
        <v>196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496</v>
      </c>
    </row>
    <row r="145" customFormat="false" ht="15" hidden="false" customHeight="false" outlineLevel="0" collapsed="false">
      <c r="A145" s="4" t="s">
        <v>497</v>
      </c>
      <c r="B145" s="0" t="s">
        <v>196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5892.01822124844</v>
      </c>
      <c r="F145" s="9" t="n">
        <f aca="false">F141+F143+F144</f>
        <v>6796.83830763519</v>
      </c>
      <c r="G145" s="9" t="n">
        <f aca="false">G141+G143+G144</f>
        <v>7713.119663127</v>
      </c>
    </row>
    <row r="146" customFormat="false" ht="17.15" hidden="false" customHeight="false" outlineLevel="0" collapsed="false">
      <c r="A146" s="0" t="s">
        <v>498</v>
      </c>
      <c r="B146" s="0" t="s">
        <v>196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439</v>
      </c>
      <c r="B147" s="0" t="s">
        <v>196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6317.72182124844</v>
      </c>
      <c r="F147" s="9" t="n">
        <f aca="false">F145+F146</f>
        <v>7256.59819563519</v>
      </c>
      <c r="G147" s="9" t="n">
        <f aca="false">G145+G146</f>
        <v>8209.660342167</v>
      </c>
    </row>
    <row r="148" customFormat="false" ht="17.15" hidden="false" customHeight="false" outlineLevel="0" collapsed="false">
      <c r="A148" s="4" t="s">
        <v>499</v>
      </c>
      <c r="B148" s="0" t="s">
        <v>196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2419.76908101415</v>
      </c>
      <c r="F148" s="9" t="n">
        <f aca="false">t_inc*F147-t_fix+0*F147</f>
        <v>2872.92361455121</v>
      </c>
      <c r="G148" s="9" t="n">
        <f aca="false">t_inc*G147-t_fix+0*G147</f>
        <v>3332.92499942528</v>
      </c>
      <c r="H148" s="4" t="s">
        <v>500</v>
      </c>
    </row>
    <row r="149" customFormat="false" ht="15" hidden="false" customHeight="false" outlineLevel="0" collapsed="false">
      <c r="A149" s="4" t="s">
        <v>501</v>
      </c>
      <c r="B149" s="0" t="s">
        <v>98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0.383012919764165</v>
      </c>
      <c r="F149" s="11" t="n">
        <f aca="false">F148/F147</f>
        <v>0.395905014594753</v>
      </c>
      <c r="G149" s="11" t="n">
        <f aca="false">G148/G147</f>
        <v>0.405975991760157</v>
      </c>
    </row>
    <row r="150" customFormat="false" ht="17.15" hidden="false" customHeight="false" outlineLevel="0" collapsed="false">
      <c r="A150" s="4" t="s">
        <v>502</v>
      </c>
      <c r="B150" s="0" t="s">
        <v>196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447</v>
      </c>
      <c r="B151" s="0" t="s">
        <v>196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426</v>
      </c>
      <c r="B152" s="0" t="s">
        <v>196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400</v>
      </c>
      <c r="B153" s="0" t="s">
        <v>196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6759.39382124844</v>
      </c>
      <c r="F153" s="9" t="n">
        <f aca="false">F147+F150</f>
        <v>7742.43739563519</v>
      </c>
      <c r="G153" s="9" t="n">
        <f aca="false">G147+G150</f>
        <v>8744.083462167</v>
      </c>
    </row>
    <row r="154" customFormat="false" ht="17.15" hidden="false" customHeight="false" outlineLevel="0" collapsed="false">
      <c r="A154" s="4" t="s">
        <v>503</v>
      </c>
      <c r="B154" s="0" t="s">
        <v>196</v>
      </c>
      <c r="C154" s="9" t="n">
        <f aca="false">ROUND(C145+C146+C150-a25_rev,0)</f>
        <v>0</v>
      </c>
      <c r="D154" s="9" t="n">
        <f aca="false">ROUND(D145+D146+D150-f26_rev,0)</f>
        <v>0</v>
      </c>
      <c r="H154" s="8" t="s">
        <v>504</v>
      </c>
    </row>
    <row r="155" customFormat="false" ht="15" hidden="false" customHeight="false" outlineLevel="0" collapsed="false">
      <c r="A155" s="4" t="s">
        <v>480</v>
      </c>
      <c r="B155" s="0" t="s">
        <v>196</v>
      </c>
      <c r="C155" s="9" t="n">
        <f aca="false">C148+C151+C152</f>
        <v>653.2</v>
      </c>
      <c r="D155" s="9" t="n">
        <f aca="false">D148+D151+D152</f>
        <v>1629.93073654536</v>
      </c>
      <c r="E155" s="9" t="n">
        <f aca="false">E148+E151+E152</f>
        <v>2418.20252101415</v>
      </c>
      <c r="F155" s="9" t="n">
        <f aca="false">F148+F151+F152</f>
        <v>2881.95718255121</v>
      </c>
      <c r="G155" s="9" t="n">
        <f aca="false">G148+G151+G152</f>
        <v>3349.24615542528</v>
      </c>
    </row>
    <row r="156" customFormat="false" ht="15" hidden="false" customHeight="false" outlineLevel="0" collapsed="false">
      <c r="A156" s="4" t="s">
        <v>481</v>
      </c>
      <c r="B156" s="0" t="s">
        <v>98</v>
      </c>
      <c r="C156" s="11" t="n">
        <f aca="false">C155/C153</f>
        <v>0.204758471521269</v>
      </c>
      <c r="D156" s="11" t="n">
        <f aca="false">D155/D153</f>
        <v>0.318868991420565</v>
      </c>
      <c r="E156" s="11" t="n">
        <f aca="false">E155/E153</f>
        <v>0.357754346759975</v>
      </c>
      <c r="F156" s="11" t="n">
        <f aca="false">F155/F153</f>
        <v>0.37222867106112</v>
      </c>
      <c r="G156" s="11" t="n">
        <f aca="false">G155/G153</f>
        <v>0.383029984779589</v>
      </c>
    </row>
    <row r="157" customFormat="false" ht="15" hidden="false" customHeight="false" outlineLevel="0" collapsed="false">
      <c r="A157" s="4" t="s">
        <v>412</v>
      </c>
      <c r="B157" s="0" t="s">
        <v>196</v>
      </c>
      <c r="C157" s="9" t="n">
        <f aca="false">a25_tax</f>
        <v>79.3</v>
      </c>
      <c r="D157" s="9" t="n">
        <f aca="false">f26_tax</f>
        <v>231.054736545361</v>
      </c>
      <c r="E157" s="9" t="n">
        <f aca="false">E155*etr</f>
        <v>342.79809189346</v>
      </c>
      <c r="F157" s="9" t="n">
        <f aca="false">F155*etr</f>
        <v>408.538745002585</v>
      </c>
      <c r="G157" s="9" t="n">
        <f aca="false">G155*etr</f>
        <v>474.780412882787</v>
      </c>
    </row>
    <row r="158" customFormat="false" ht="17.15" hidden="false" customHeight="false" outlineLevel="0" collapsed="false">
      <c r="A158" s="4" t="s">
        <v>413</v>
      </c>
      <c r="B158" s="0" t="s">
        <v>196</v>
      </c>
      <c r="C158" s="9" t="n">
        <f aca="false">a25_aff</f>
        <v>-19.9</v>
      </c>
      <c r="D158" s="9" t="n">
        <f aca="false">f26_aff</f>
        <v>-13.2</v>
      </c>
      <c r="E158" s="9" t="n">
        <f aca="false">aff</f>
        <v>-13.2</v>
      </c>
      <c r="F158" s="9" t="n">
        <f aca="false">aff</f>
        <v>-13.2</v>
      </c>
      <c r="G158" s="9" t="n">
        <f aca="false">aff</f>
        <v>-13.2</v>
      </c>
    </row>
    <row r="159" customFormat="false" ht="17.15" hidden="false" customHeight="false" outlineLevel="0" collapsed="false">
      <c r="A159" s="4" t="s">
        <v>482</v>
      </c>
      <c r="B159" s="0" t="s">
        <v>196</v>
      </c>
      <c r="C159" s="9" t="n">
        <f aca="false">a25_ni</f>
        <v>554</v>
      </c>
      <c r="D159" s="9" t="n">
        <f aca="false">f26_ni</f>
        <v>1385.276</v>
      </c>
      <c r="E159" s="9" t="n">
        <f aca="false">E155-E157+E158</f>
        <v>2062.20442912069</v>
      </c>
      <c r="F159" s="9" t="n">
        <f aca="false">F155-F157+F158</f>
        <v>2460.21843754862</v>
      </c>
      <c r="G159" s="9" t="n">
        <f aca="false">G155-G157+G158</f>
        <v>2861.26574254249</v>
      </c>
      <c r="H159" s="8" t="s">
        <v>505</v>
      </c>
    </row>
    <row r="160" customFormat="false" ht="15" hidden="false" customHeight="false" outlineLevel="0" collapsed="false">
      <c r="A160" s="4" t="s">
        <v>506</v>
      </c>
      <c r="B160" s="4" t="s">
        <v>258</v>
      </c>
      <c r="C160" s="9" t="n">
        <f aca="false">a25_dsh</f>
        <v>159.7</v>
      </c>
      <c r="D160" s="9" t="n">
        <f aca="false">sh26</f>
        <v>157.7</v>
      </c>
      <c r="E160" s="9" t="n">
        <f aca="false">sh26*(1-bb)^1</f>
        <v>156.123</v>
      </c>
      <c r="F160" s="9" t="n">
        <f aca="false">sh26*(1-bb)^2</f>
        <v>154.56177</v>
      </c>
      <c r="G160" s="9" t="n">
        <f aca="false">sh26*(1-bb)^3</f>
        <v>153.0161523</v>
      </c>
    </row>
    <row r="161" customFormat="false" ht="17.15" hidden="false" customHeight="false" outlineLevel="0" collapsed="false">
      <c r="A161" s="0" t="s">
        <v>415</v>
      </c>
      <c r="B161" s="0" t="s">
        <v>201</v>
      </c>
      <c r="C161" s="18" t="n">
        <f aca="false">a25_eps</f>
        <v>3.47</v>
      </c>
      <c r="D161" s="18" t="n">
        <f aca="false">D159/D160</f>
        <v>8.78424857324033</v>
      </c>
      <c r="E161" s="18" t="n">
        <f aca="false">E159/E160</f>
        <v>13.2088444951781</v>
      </c>
      <c r="F161" s="18" t="n">
        <f aca="false">F159/F160</f>
        <v>15.9173800710785</v>
      </c>
      <c r="G161" s="18" t="n">
        <f aca="false">G159/G160</f>
        <v>18.6991092086328</v>
      </c>
    </row>
    <row r="162" customFormat="false" ht="17.15" hidden="false" customHeight="false" outlineLevel="0" collapsed="false">
      <c r="A162" s="0" t="s">
        <v>507</v>
      </c>
      <c r="B162" s="0" t="s">
        <v>98</v>
      </c>
      <c r="C162" s="11" t="n">
        <f aca="false">C141/C153</f>
        <v>0.592363875740573</v>
      </c>
      <c r="D162" s="11" t="n">
        <f aca="false">D141/D153</f>
        <v>0.635675717974802</v>
      </c>
      <c r="E162" s="11" t="n">
        <f aca="false">E141/E153</f>
        <v>0.673623906582179</v>
      </c>
      <c r="F162" s="11" t="n">
        <f aca="false">F141/F153</f>
        <v>0.660005729489626</v>
      </c>
      <c r="G162" s="11" t="n">
        <f aca="false">G141/G153</f>
        <v>0.649836723871595</v>
      </c>
    </row>
    <row r="163" customFormat="false" ht="17.15" hidden="false" customHeight="false" outlineLevel="0" collapsed="false">
      <c r="A163" s="4" t="s">
        <v>508</v>
      </c>
      <c r="B163" s="0" t="s">
        <v>98</v>
      </c>
      <c r="C163" s="11" t="n">
        <f aca="false">a25_gp/a25_rev</f>
        <v>0.582225705329154</v>
      </c>
      <c r="D163" s="11" t="n">
        <f aca="false">f26_gm</f>
        <v>0.594365646092145</v>
      </c>
      <c r="E163" s="11" t="n">
        <f aca="false">f26_gm+(Q!J13-a25_gp/a25_rev)/(Q!J4/Q!J10-a25_soc/a25_rev)*(E162-D162)</f>
        <v>0.606129939881145</v>
      </c>
      <c r="F163" s="11" t="n">
        <f aca="false">f26_gm+(Q!J13-a25_gp/a25_rev)/(Q!J4/Q!J10-a25_soc/a25_rev)*(F162-D162)</f>
        <v>0.601908177471219</v>
      </c>
      <c r="G163" s="11" t="n">
        <f aca="false">f26_gm+(Q!J13-a25_gp/a25_rev)/(Q!J4/Q!J10-a25_soc/a25_rev)*(G162-D162)</f>
        <v>0.598755690514061</v>
      </c>
      <c r="H163" s="8" t="s">
        <v>509</v>
      </c>
    </row>
    <row r="168" customFormat="false" ht="17.15" hidden="false" customHeight="false" outlineLevel="0" collapsed="false">
      <c r="A168" s="1" t="s">
        <v>814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5" t="s">
        <v>472</v>
      </c>
      <c r="D169" s="15" t="s">
        <v>486</v>
      </c>
      <c r="E169" s="15" t="s">
        <v>473</v>
      </c>
      <c r="F169" s="15" t="s">
        <v>474</v>
      </c>
      <c r="G169" s="15" t="s">
        <v>475</v>
      </c>
      <c r="H169" s="5" t="s">
        <v>433</v>
      </c>
    </row>
    <row r="170" customFormat="false" ht="17.15" hidden="false" customHeight="false" outlineLevel="0" collapsed="false">
      <c r="A170" s="0" t="s">
        <v>487</v>
      </c>
      <c r="B170" s="0" t="s">
        <v>31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488</v>
      </c>
      <c r="B171" s="0" t="s">
        <v>31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3.99150647980462</v>
      </c>
      <c r="F171" s="18" t="n">
        <f aca="false">mm_A_2028</f>
        <v>5.17069526557172</v>
      </c>
      <c r="G171" s="18" t="n">
        <f aca="false">mm_A_2029</f>
        <v>6.33160644779016</v>
      </c>
    </row>
    <row r="172" customFormat="false" ht="17.15" hidden="false" customHeight="false" outlineLevel="0" collapsed="false">
      <c r="A172" s="4" t="s">
        <v>489</v>
      </c>
      <c r="B172" s="0" t="s">
        <v>98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490</v>
      </c>
    </row>
    <row r="173" customFormat="false" ht="17.15" hidden="false" customHeight="false" outlineLevel="0" collapsed="false">
      <c r="A173" s="0" t="s">
        <v>491</v>
      </c>
      <c r="B173" s="0" t="s">
        <v>196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492</v>
      </c>
    </row>
    <row r="174" customFormat="false" ht="15" hidden="false" customHeight="false" outlineLevel="0" collapsed="false">
      <c r="A174" s="4" t="s">
        <v>493</v>
      </c>
      <c r="B174" s="0" t="s">
        <v>98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494</v>
      </c>
      <c r="B175" s="0" t="s">
        <v>196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1463.91040196413</v>
      </c>
      <c r="F175" s="9" t="n">
        <f aca="false">F171*1000*F174</f>
        <v>1896.38539307285</v>
      </c>
      <c r="G175" s="9" t="n">
        <f aca="false">G171*1000*G174</f>
        <v>2322.15695676807</v>
      </c>
    </row>
    <row r="176" customFormat="false" ht="17.15" hidden="false" customHeight="false" outlineLevel="0" collapsed="false">
      <c r="A176" s="0" t="s">
        <v>495</v>
      </c>
      <c r="B176" s="0" t="s">
        <v>196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496</v>
      </c>
    </row>
    <row r="177" customFormat="false" ht="15" hidden="false" customHeight="false" outlineLevel="0" collapsed="false">
      <c r="A177" s="4" t="s">
        <v>497</v>
      </c>
      <c r="B177" s="0" t="s">
        <v>196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6291.16886922891</v>
      </c>
      <c r="F177" s="9" t="n">
        <f aca="false">F173+F175+F176</f>
        <v>7313.90783419236</v>
      </c>
      <c r="G177" s="9" t="n">
        <f aca="false">G173+G175+G176</f>
        <v>8346.28030790601</v>
      </c>
    </row>
    <row r="178" customFormat="false" ht="17.15" hidden="false" customHeight="false" outlineLevel="0" collapsed="false">
      <c r="A178" s="0" t="s">
        <v>498</v>
      </c>
      <c r="B178" s="0" t="s">
        <v>196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439</v>
      </c>
      <c r="B179" s="0" t="s">
        <v>196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6716.87246922891</v>
      </c>
      <c r="F179" s="9" t="n">
        <f aca="false">F177+F178</f>
        <v>7773.66772219236</v>
      </c>
      <c r="G179" s="9" t="n">
        <f aca="false">G177+G178</f>
        <v>8842.82098694601</v>
      </c>
    </row>
    <row r="180" customFormat="false" ht="17.15" hidden="false" customHeight="false" outlineLevel="0" collapsed="false">
      <c r="A180" s="4" t="s">
        <v>499</v>
      </c>
      <c r="B180" s="0" t="s">
        <v>196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2612.42162892254</v>
      </c>
      <c r="F180" s="9" t="n">
        <f aca="false">t_inc*F179-t_fix+0*F179</f>
        <v>3122.49044412053</v>
      </c>
      <c r="G180" s="9" t="n">
        <f aca="false">t_inc*G179-t_fix+0*G179</f>
        <v>3638.52393072895</v>
      </c>
      <c r="H180" s="4" t="s">
        <v>500</v>
      </c>
    </row>
    <row r="181" customFormat="false" ht="15" hidden="false" customHeight="false" outlineLevel="0" collapsed="false">
      <c r="A181" s="4" t="s">
        <v>501</v>
      </c>
      <c r="B181" s="0" t="s">
        <v>98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0.388934231056265</v>
      </c>
      <c r="F181" s="11" t="n">
        <f aca="false">F180/F179</f>
        <v>0.401675316685637</v>
      </c>
      <c r="G181" s="11" t="n">
        <f aca="false">G180/G179</f>
        <v>0.411466424130968</v>
      </c>
    </row>
    <row r="182" customFormat="false" ht="17.15" hidden="false" customHeight="false" outlineLevel="0" collapsed="false">
      <c r="A182" s="4" t="s">
        <v>502</v>
      </c>
      <c r="B182" s="0" t="s">
        <v>196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447</v>
      </c>
      <c r="B183" s="0" t="s">
        <v>196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426</v>
      </c>
      <c r="B184" s="0" t="s">
        <v>196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400</v>
      </c>
      <c r="B185" s="0" t="s">
        <v>196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7158.54446922891</v>
      </c>
      <c r="F185" s="9" t="n">
        <f aca="false">F179+F182</f>
        <v>8259.50692219236</v>
      </c>
      <c r="G185" s="9" t="n">
        <f aca="false">G179+G182</f>
        <v>9377.24410694601</v>
      </c>
    </row>
    <row r="186" customFormat="false" ht="17.15" hidden="false" customHeight="false" outlineLevel="0" collapsed="false">
      <c r="A186" s="4" t="s">
        <v>503</v>
      </c>
      <c r="B186" s="0" t="s">
        <v>196</v>
      </c>
      <c r="C186" s="9" t="n">
        <f aca="false">ROUND(C177+C178+C182-a25_rev,0)</f>
        <v>0</v>
      </c>
      <c r="D186" s="9" t="n">
        <f aca="false">ROUND(D177+D178+D182-f26_rev,0)</f>
        <v>0</v>
      </c>
      <c r="H186" s="8" t="s">
        <v>504</v>
      </c>
    </row>
    <row r="187" customFormat="false" ht="15" hidden="false" customHeight="false" outlineLevel="0" collapsed="false">
      <c r="A187" s="4" t="s">
        <v>480</v>
      </c>
      <c r="B187" s="0" t="s">
        <v>196</v>
      </c>
      <c r="C187" s="9" t="n">
        <f aca="false">C180+C183+C184</f>
        <v>653.2</v>
      </c>
      <c r="D187" s="9" t="n">
        <f aca="false">D180+D183+D184</f>
        <v>1629.93073654536</v>
      </c>
      <c r="E187" s="9" t="n">
        <f aca="false">E180+E183+E184</f>
        <v>2610.85506892254</v>
      </c>
      <c r="F187" s="9" t="n">
        <f aca="false">F180+F183+F184</f>
        <v>3131.52401212053</v>
      </c>
      <c r="G187" s="9" t="n">
        <f aca="false">G180+G183+G184</f>
        <v>3654.84508672895</v>
      </c>
    </row>
    <row r="188" customFormat="false" ht="15" hidden="false" customHeight="false" outlineLevel="0" collapsed="false">
      <c r="A188" s="4" t="s">
        <v>481</v>
      </c>
      <c r="B188" s="0" t="s">
        <v>98</v>
      </c>
      <c r="C188" s="11" t="n">
        <f aca="false">C187/C185</f>
        <v>0.204758471521269</v>
      </c>
      <c r="D188" s="11" t="n">
        <f aca="false">D187/D185</f>
        <v>0.318868991420565</v>
      </c>
      <c r="E188" s="11" t="n">
        <f aca="false">E187/E185</f>
        <v>0.364718705058736</v>
      </c>
      <c r="F188" s="11" t="n">
        <f aca="false">F187/F185</f>
        <v>0.379141762531427</v>
      </c>
      <c r="G188" s="11" t="n">
        <f aca="false">G187/G185</f>
        <v>0.389756845939597</v>
      </c>
    </row>
    <row r="189" customFormat="false" ht="15" hidden="false" customHeight="false" outlineLevel="0" collapsed="false">
      <c r="A189" s="4" t="s">
        <v>412</v>
      </c>
      <c r="B189" s="0" t="s">
        <v>196</v>
      </c>
      <c r="C189" s="9" t="n">
        <f aca="false">a25_tax</f>
        <v>79.3</v>
      </c>
      <c r="D189" s="9" t="n">
        <f aca="false">f26_tax</f>
        <v>231.054736545361</v>
      </c>
      <c r="E189" s="9" t="n">
        <f aca="false">E187*etr</f>
        <v>370.10801537899</v>
      </c>
      <c r="F189" s="9" t="n">
        <f aca="false">F187*etr</f>
        <v>443.916688840137</v>
      </c>
      <c r="G189" s="9" t="n">
        <f aca="false">G187*etr</f>
        <v>518.101321543343</v>
      </c>
    </row>
    <row r="190" customFormat="false" ht="17.15" hidden="false" customHeight="false" outlineLevel="0" collapsed="false">
      <c r="A190" s="4" t="s">
        <v>413</v>
      </c>
      <c r="B190" s="0" t="s">
        <v>196</v>
      </c>
      <c r="C190" s="9" t="n">
        <f aca="false">a25_aff</f>
        <v>-19.9</v>
      </c>
      <c r="D190" s="9" t="n">
        <f aca="false">f26_aff</f>
        <v>-13.2</v>
      </c>
      <c r="E190" s="9" t="n">
        <f aca="false">aff</f>
        <v>-13.2</v>
      </c>
      <c r="F190" s="9" t="n">
        <f aca="false">aff</f>
        <v>-13.2</v>
      </c>
      <c r="G190" s="9" t="n">
        <f aca="false">aff</f>
        <v>-13.2</v>
      </c>
    </row>
    <row r="191" customFormat="false" ht="17.15" hidden="false" customHeight="false" outlineLevel="0" collapsed="false">
      <c r="A191" s="4" t="s">
        <v>482</v>
      </c>
      <c r="B191" s="0" t="s">
        <v>196</v>
      </c>
      <c r="C191" s="9" t="n">
        <f aca="false">a25_ni</f>
        <v>554</v>
      </c>
      <c r="D191" s="9" t="n">
        <f aca="false">f26_ni</f>
        <v>1385.276</v>
      </c>
      <c r="E191" s="9" t="n">
        <f aca="false">E187-E189+E190</f>
        <v>2227.54705354355</v>
      </c>
      <c r="F191" s="9" t="n">
        <f aca="false">F187-F189+F190</f>
        <v>2674.40732328039</v>
      </c>
      <c r="G191" s="9" t="n">
        <f aca="false">G187-G189+G190</f>
        <v>3123.54376518561</v>
      </c>
      <c r="H191" s="8" t="s">
        <v>505</v>
      </c>
    </row>
    <row r="192" customFormat="false" ht="15" hidden="false" customHeight="false" outlineLevel="0" collapsed="false">
      <c r="A192" s="4" t="s">
        <v>506</v>
      </c>
      <c r="B192" s="4" t="s">
        <v>258</v>
      </c>
      <c r="C192" s="9" t="n">
        <f aca="false">a25_dsh</f>
        <v>159.7</v>
      </c>
      <c r="D192" s="9" t="n">
        <f aca="false">sh26</f>
        <v>157.7</v>
      </c>
      <c r="E192" s="9" t="n">
        <f aca="false">sh26*(1-bb)^1</f>
        <v>156.123</v>
      </c>
      <c r="F192" s="9" t="n">
        <f aca="false">sh26*(1-bb)^2</f>
        <v>154.56177</v>
      </c>
      <c r="G192" s="9" t="n">
        <f aca="false">sh26*(1-bb)^3</f>
        <v>153.0161523</v>
      </c>
    </row>
    <row r="193" customFormat="false" ht="17.15" hidden="false" customHeight="false" outlineLevel="0" collapsed="false">
      <c r="A193" s="0" t="s">
        <v>415</v>
      </c>
      <c r="B193" s="0" t="s">
        <v>201</v>
      </c>
      <c r="C193" s="18" t="n">
        <f aca="false">a25_eps</f>
        <v>3.47</v>
      </c>
      <c r="D193" s="18" t="n">
        <f aca="false">D191/D192</f>
        <v>8.78424857324033</v>
      </c>
      <c r="E193" s="18" t="n">
        <f aca="false">E191/E192</f>
        <v>14.2678980902465</v>
      </c>
      <c r="F193" s="18" t="n">
        <f aca="false">F191/F192</f>
        <v>17.3031618574269</v>
      </c>
      <c r="G193" s="18" t="n">
        <f aca="false">G191/G192</f>
        <v>20.4131636970041</v>
      </c>
    </row>
    <row r="194" customFormat="false" ht="17.15" hidden="false" customHeight="false" outlineLevel="0" collapsed="false">
      <c r="A194" s="0" t="s">
        <v>507</v>
      </c>
      <c r="B194" s="0" t="s">
        <v>98</v>
      </c>
      <c r="C194" s="11" t="n">
        <f aca="false">C173/C185</f>
        <v>0.592363875740573</v>
      </c>
      <c r="D194" s="11" t="n">
        <f aca="false">D173/D185</f>
        <v>0.635675717974802</v>
      </c>
      <c r="E194" s="11" t="n">
        <f aca="false">E173/E185</f>
        <v>0.636063558949615</v>
      </c>
      <c r="F194" s="11" t="n">
        <f aca="false">F173/F185</f>
        <v>0.618687421594602</v>
      </c>
      <c r="G194" s="11" t="n">
        <f aca="false">G173/G185</f>
        <v>0.60595911608032</v>
      </c>
    </row>
    <row r="195" customFormat="false" ht="17.15" hidden="false" customHeight="false" outlineLevel="0" collapsed="false">
      <c r="A195" s="4" t="s">
        <v>508</v>
      </c>
      <c r="B195" s="0" t="s">
        <v>98</v>
      </c>
      <c r="C195" s="11" t="n">
        <f aca="false">a25_gp/a25_rev</f>
        <v>0.582225705329154</v>
      </c>
      <c r="D195" s="11" t="n">
        <f aca="false">f26_gm</f>
        <v>0.594365646092145</v>
      </c>
      <c r="E195" s="11" t="n">
        <f aca="false">f26_gm+(Q!J13-a25_gp/a25_rev)/(Q!J4/Q!J10-a25_soc/a25_rev)*(E194-D194)</f>
        <v>0.594485880425813</v>
      </c>
      <c r="F195" s="11" t="n">
        <f aca="false">f26_gm+(Q!J13-a25_gp/a25_rev)/(Q!J4/Q!J10-a25_soc/a25_rev)*(F194-D194)</f>
        <v>0.589099115147571</v>
      </c>
      <c r="G195" s="11" t="n">
        <f aca="false">f26_gm+(Q!J13-a25_gp/a25_rev)/(Q!J4/Q!J10-a25_soc/a25_rev)*(G194-D194)</f>
        <v>0.585153221259053</v>
      </c>
      <c r="H195" s="8" t="s">
        <v>509</v>
      </c>
    </row>
    <row r="200" customFormat="false" ht="17.15" hidden="false" customHeight="false" outlineLevel="0" collapsed="false">
      <c r="A200" s="1" t="s">
        <v>815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5" t="s">
        <v>472</v>
      </c>
      <c r="D201" s="15" t="s">
        <v>486</v>
      </c>
      <c r="E201" s="15" t="s">
        <v>473</v>
      </c>
      <c r="F201" s="15" t="s">
        <v>474</v>
      </c>
      <c r="G201" s="15" t="s">
        <v>475</v>
      </c>
      <c r="H201" s="5" t="s">
        <v>433</v>
      </c>
    </row>
    <row r="202" customFormat="false" ht="17.15" hidden="false" customHeight="false" outlineLevel="0" collapsed="false">
      <c r="A202" s="0" t="s">
        <v>487</v>
      </c>
      <c r="B202" s="0" t="s">
        <v>31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488</v>
      </c>
      <c r="B203" s="0" t="s">
        <v>31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3.99150647980462</v>
      </c>
      <c r="F203" s="18" t="n">
        <f aca="false">mm_A_2028</f>
        <v>5.17069526557172</v>
      </c>
      <c r="G203" s="18" t="n">
        <f aca="false">mm_A_2029</f>
        <v>6.33160644779016</v>
      </c>
    </row>
    <row r="204" customFormat="false" ht="17.15" hidden="false" customHeight="false" outlineLevel="0" collapsed="false">
      <c r="A204" s="4" t="s">
        <v>489</v>
      </c>
      <c r="B204" s="0" t="s">
        <v>98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490</v>
      </c>
    </row>
    <row r="205" customFormat="false" ht="17.15" hidden="false" customHeight="false" outlineLevel="0" collapsed="false">
      <c r="A205" s="0" t="s">
        <v>491</v>
      </c>
      <c r="B205" s="0" t="s">
        <v>196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492</v>
      </c>
    </row>
    <row r="206" customFormat="false" ht="15" hidden="false" customHeight="false" outlineLevel="0" collapsed="false">
      <c r="A206" s="4" t="s">
        <v>493</v>
      </c>
      <c r="B206" s="0" t="s">
        <v>98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494</v>
      </c>
      <c r="B207" s="0" t="s">
        <v>196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1264.33507797389</v>
      </c>
      <c r="F207" s="9" t="n">
        <f aca="false">F203*1000*F206</f>
        <v>1637.85062979426</v>
      </c>
      <c r="G207" s="9" t="n">
        <f aca="false">G203*1000*G206</f>
        <v>2005.57663437856</v>
      </c>
    </row>
    <row r="208" customFormat="false" ht="17.15" hidden="false" customHeight="false" outlineLevel="0" collapsed="false">
      <c r="A208" s="0" t="s">
        <v>495</v>
      </c>
      <c r="B208" s="0" t="s">
        <v>196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496</v>
      </c>
    </row>
    <row r="209" customFormat="false" ht="15" hidden="false" customHeight="false" outlineLevel="0" collapsed="false">
      <c r="A209" s="4" t="s">
        <v>497</v>
      </c>
      <c r="B209" s="0" t="s">
        <v>196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6091.59354523868</v>
      </c>
      <c r="F209" s="9" t="n">
        <f aca="false">F205+F207+F208</f>
        <v>7055.37307091378</v>
      </c>
      <c r="G209" s="9" t="n">
        <f aca="false">G205+G207+G208</f>
        <v>8029.69998551651</v>
      </c>
    </row>
    <row r="210" customFormat="false" ht="17.15" hidden="false" customHeight="false" outlineLevel="0" collapsed="false">
      <c r="A210" s="0" t="s">
        <v>498</v>
      </c>
      <c r="B210" s="0" t="s">
        <v>196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439</v>
      </c>
      <c r="B211" s="0" t="s">
        <v>196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6517.29714523868</v>
      </c>
      <c r="F211" s="9" t="n">
        <f aca="false">F209+F210</f>
        <v>7515.13295891378</v>
      </c>
      <c r="G211" s="9" t="n">
        <f aca="false">G209+G210</f>
        <v>8526.24066455651</v>
      </c>
    </row>
    <row r="212" customFormat="false" ht="17.15" hidden="false" customHeight="false" outlineLevel="0" collapsed="false">
      <c r="A212" s="4" t="s">
        <v>499</v>
      </c>
      <c r="B212" s="0" t="s">
        <v>196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2366.71759464083</v>
      </c>
      <c r="F212" s="9" t="n">
        <f aca="false">t_inc_lo*F211-t_fix_lo+0*F211</f>
        <v>2765.85192011087</v>
      </c>
      <c r="G212" s="9" t="n">
        <f aca="false">t_inc_lo*G211-t_fix_lo+0*G211</f>
        <v>3170.29500236796</v>
      </c>
      <c r="H212" s="4" t="s">
        <v>500</v>
      </c>
    </row>
    <row r="213" customFormat="false" ht="15" hidden="false" customHeight="false" outlineLevel="0" collapsed="false">
      <c r="A213" s="4" t="s">
        <v>501</v>
      </c>
      <c r="B213" s="0" t="s">
        <v>98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0.363144036845071</v>
      </c>
      <c r="F213" s="11" t="n">
        <f aca="false">F212/F211</f>
        <v>0.368037656184149</v>
      </c>
      <c r="G213" s="11" t="n">
        <f aca="false">G212/G211</f>
        <v>0.371827998656764</v>
      </c>
    </row>
    <row r="214" customFormat="false" ht="17.15" hidden="false" customHeight="false" outlineLevel="0" collapsed="false">
      <c r="A214" s="4" t="s">
        <v>502</v>
      </c>
      <c r="B214" s="0" t="s">
        <v>196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447</v>
      </c>
      <c r="B215" s="0" t="s">
        <v>196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426</v>
      </c>
      <c r="B216" s="0" t="s">
        <v>196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400</v>
      </c>
      <c r="B217" s="0" t="s">
        <v>196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6958.96914523867</v>
      </c>
      <c r="F217" s="9" t="n">
        <f aca="false">F211+F214</f>
        <v>8000.97215891378</v>
      </c>
      <c r="G217" s="9" t="n">
        <f aca="false">G211+G214</f>
        <v>9060.66378455651</v>
      </c>
    </row>
    <row r="218" customFormat="false" ht="17.15" hidden="false" customHeight="false" outlineLevel="0" collapsed="false">
      <c r="A218" s="4" t="s">
        <v>503</v>
      </c>
      <c r="B218" s="0" t="s">
        <v>196</v>
      </c>
      <c r="C218" s="9" t="n">
        <f aca="false">ROUND(C209+C210+C214-a25_rev,0)</f>
        <v>0</v>
      </c>
      <c r="D218" s="9" t="n">
        <f aca="false">ROUND(D209+D210+D214-f26_rev,0)</f>
        <v>0</v>
      </c>
      <c r="H218" s="8" t="s">
        <v>504</v>
      </c>
    </row>
    <row r="219" customFormat="false" ht="15" hidden="false" customHeight="false" outlineLevel="0" collapsed="false">
      <c r="A219" s="4" t="s">
        <v>480</v>
      </c>
      <c r="B219" s="0" t="s">
        <v>196</v>
      </c>
      <c r="C219" s="9" t="n">
        <f aca="false">C212+C215+C216</f>
        <v>653.2</v>
      </c>
      <c r="D219" s="9" t="n">
        <f aca="false">D212+D215+D216</f>
        <v>1629.93073654536</v>
      </c>
      <c r="E219" s="9" t="n">
        <f aca="false">E212+E215+E216</f>
        <v>2365.15103464083</v>
      </c>
      <c r="F219" s="9" t="n">
        <f aca="false">F212+F215+F216</f>
        <v>2774.88548811087</v>
      </c>
      <c r="G219" s="9" t="n">
        <f aca="false">G212+G215+G216</f>
        <v>3186.61615836796</v>
      </c>
    </row>
    <row r="220" customFormat="false" ht="15" hidden="false" customHeight="false" outlineLevel="0" collapsed="false">
      <c r="A220" s="4" t="s">
        <v>481</v>
      </c>
      <c r="B220" s="0" t="s">
        <v>98</v>
      </c>
      <c r="C220" s="11" t="n">
        <f aca="false">C219/C217</f>
        <v>0.204758471521269</v>
      </c>
      <c r="D220" s="11" t="n">
        <f aca="false">D219/D217</f>
        <v>0.318868991420565</v>
      </c>
      <c r="E220" s="11" t="n">
        <f aca="false">E219/E217</f>
        <v>0.339870889678979</v>
      </c>
      <c r="F220" s="11" t="n">
        <f aca="false">F219/F217</f>
        <v>0.346818540671887</v>
      </c>
      <c r="G220" s="11" t="n">
        <f aca="false">G219/G217</f>
        <v>0.351697870502535</v>
      </c>
    </row>
    <row r="221" customFormat="false" ht="15" hidden="false" customHeight="false" outlineLevel="0" collapsed="false">
      <c r="A221" s="4" t="s">
        <v>412</v>
      </c>
      <c r="B221" s="0" t="s">
        <v>196</v>
      </c>
      <c r="C221" s="9" t="n">
        <f aca="false">a25_tax</f>
        <v>79.3</v>
      </c>
      <c r="D221" s="9" t="n">
        <f aca="false">f26_tax</f>
        <v>231.054736545361</v>
      </c>
      <c r="E221" s="9" t="n">
        <f aca="false">E219*etr</f>
        <v>335.277651341915</v>
      </c>
      <c r="F221" s="9" t="n">
        <f aca="false">F219*etr</f>
        <v>393.360540434941</v>
      </c>
      <c r="G221" s="9" t="n">
        <f aca="false">G219*etr</f>
        <v>451.726408021149</v>
      </c>
    </row>
    <row r="222" customFormat="false" ht="17.15" hidden="false" customHeight="false" outlineLevel="0" collapsed="false">
      <c r="A222" s="4" t="s">
        <v>413</v>
      </c>
      <c r="B222" s="0" t="s">
        <v>196</v>
      </c>
      <c r="C222" s="9" t="n">
        <f aca="false">a25_aff</f>
        <v>-19.9</v>
      </c>
      <c r="D222" s="9" t="n">
        <f aca="false">f26_aff</f>
        <v>-13.2</v>
      </c>
      <c r="E222" s="9" t="n">
        <f aca="false">aff</f>
        <v>-13.2</v>
      </c>
      <c r="F222" s="9" t="n">
        <f aca="false">aff</f>
        <v>-13.2</v>
      </c>
      <c r="G222" s="9" t="n">
        <f aca="false">aff</f>
        <v>-13.2</v>
      </c>
    </row>
    <row r="223" customFormat="false" ht="17.15" hidden="false" customHeight="false" outlineLevel="0" collapsed="false">
      <c r="A223" s="4" t="s">
        <v>482</v>
      </c>
      <c r="B223" s="0" t="s">
        <v>196</v>
      </c>
      <c r="C223" s="9" t="n">
        <f aca="false">a25_ni</f>
        <v>554</v>
      </c>
      <c r="D223" s="9" t="n">
        <f aca="false">f26_ni</f>
        <v>1385.276</v>
      </c>
      <c r="E223" s="9" t="n">
        <f aca="false">E219-E221+E222</f>
        <v>2016.67338329892</v>
      </c>
      <c r="F223" s="9" t="n">
        <f aca="false">F219-F221+F222</f>
        <v>2368.32494767593</v>
      </c>
      <c r="G223" s="9" t="n">
        <f aca="false">G219-G221+G222</f>
        <v>2721.68975034682</v>
      </c>
      <c r="H223" s="8" t="s">
        <v>505</v>
      </c>
    </row>
    <row r="224" customFormat="false" ht="15" hidden="false" customHeight="false" outlineLevel="0" collapsed="false">
      <c r="A224" s="4" t="s">
        <v>506</v>
      </c>
      <c r="B224" s="4" t="s">
        <v>258</v>
      </c>
      <c r="C224" s="9" t="n">
        <f aca="false">a25_dsh</f>
        <v>159.7</v>
      </c>
      <c r="D224" s="9" t="n">
        <f aca="false">sh26</f>
        <v>157.7</v>
      </c>
      <c r="E224" s="9" t="n">
        <f aca="false">sh26*(1-bb)^1</f>
        <v>156.123</v>
      </c>
      <c r="F224" s="9" t="n">
        <f aca="false">sh26*(1-bb)^2</f>
        <v>154.56177</v>
      </c>
      <c r="G224" s="9" t="n">
        <f aca="false">sh26*(1-bb)^3</f>
        <v>153.0161523</v>
      </c>
    </row>
    <row r="225" customFormat="false" ht="17.15" hidden="false" customHeight="false" outlineLevel="0" collapsed="false">
      <c r="A225" s="0" t="s">
        <v>415</v>
      </c>
      <c r="B225" s="0" t="s">
        <v>201</v>
      </c>
      <c r="C225" s="18" t="n">
        <f aca="false">a25_eps</f>
        <v>3.47</v>
      </c>
      <c r="D225" s="18" t="n">
        <f aca="false">D223/D224</f>
        <v>8.78424857324033</v>
      </c>
      <c r="E225" s="18" t="n">
        <f aca="false">E223/E224</f>
        <v>12.9172087603935</v>
      </c>
      <c r="F225" s="18" t="n">
        <f aca="false">F223/F224</f>
        <v>15.3228379027746</v>
      </c>
      <c r="G225" s="18" t="n">
        <f aca="false">G223/G224</f>
        <v>17.786944119538</v>
      </c>
    </row>
    <row r="226" customFormat="false" ht="17.15" hidden="false" customHeight="false" outlineLevel="0" collapsed="false">
      <c r="A226" s="0" t="s">
        <v>507</v>
      </c>
      <c r="B226" s="0" t="s">
        <v>98</v>
      </c>
      <c r="C226" s="11" t="n">
        <f aca="false">C205/C217</f>
        <v>0.592363875740573</v>
      </c>
      <c r="D226" s="11" t="n">
        <f aca="false">D205/D217</f>
        <v>0.635675717974802</v>
      </c>
      <c r="E226" s="11" t="n">
        <f aca="false">E205/E217</f>
        <v>0.654305138730523</v>
      </c>
      <c r="F226" s="11" t="n">
        <f aca="false">F205/F217</f>
        <v>0.638679017979199</v>
      </c>
      <c r="G226" s="11" t="n">
        <f aca="false">G205/G217</f>
        <v>0.627131376400865</v>
      </c>
    </row>
    <row r="227" customFormat="false" ht="17.15" hidden="false" customHeight="false" outlineLevel="0" collapsed="false">
      <c r="A227" s="4" t="s">
        <v>508</v>
      </c>
      <c r="B227" s="0" t="s">
        <v>98</v>
      </c>
      <c r="C227" s="11" t="n">
        <f aca="false">a25_gp/a25_rev</f>
        <v>0.582225705329154</v>
      </c>
      <c r="D227" s="11" t="n">
        <f aca="false">f26_gm</f>
        <v>0.594365646092145</v>
      </c>
      <c r="E227" s="11" t="n">
        <f aca="false">f26_gm+(Q!J13-a25_gp/a25_rev)/(Q!J4/Q!J10-a25_soc/a25_rev)*(E226-D226)</f>
        <v>0.600140940959489</v>
      </c>
      <c r="F227" s="11" t="n">
        <f aca="false">f26_gm+(Q!J13-a25_gp/a25_rev)/(Q!J4/Q!J10-a25_soc/a25_rev)*(F226-D226)</f>
        <v>0.595296697214342</v>
      </c>
      <c r="G227" s="11" t="n">
        <f aca="false">f26_gm+(Q!J13-a25_gp/a25_rev)/(Q!J4/Q!J10-a25_soc/a25_rev)*(G226-D226)</f>
        <v>0.591716820200892</v>
      </c>
      <c r="H227" s="8" t="s">
        <v>509</v>
      </c>
    </row>
    <row r="232" customFormat="false" ht="17.15" hidden="false" customHeight="false" outlineLevel="0" collapsed="false">
      <c r="A232" s="1" t="s">
        <v>816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5" t="s">
        <v>472</v>
      </c>
      <c r="D233" s="15" t="s">
        <v>486</v>
      </c>
      <c r="E233" s="15" t="s">
        <v>473</v>
      </c>
      <c r="F233" s="15" t="s">
        <v>474</v>
      </c>
      <c r="G233" s="15" t="s">
        <v>475</v>
      </c>
      <c r="H233" s="5" t="s">
        <v>433</v>
      </c>
    </row>
    <row r="234" customFormat="false" ht="17.15" hidden="false" customHeight="false" outlineLevel="0" collapsed="false">
      <c r="A234" s="0" t="s">
        <v>487</v>
      </c>
      <c r="B234" s="0" t="s">
        <v>31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488</v>
      </c>
      <c r="B235" s="0" t="s">
        <v>31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3.99150647980462</v>
      </c>
      <c r="F235" s="18" t="n">
        <f aca="false">mm_A_2028</f>
        <v>5.17069526557172</v>
      </c>
      <c r="G235" s="18" t="n">
        <f aca="false">mm_A_2029</f>
        <v>6.33160644779016</v>
      </c>
    </row>
    <row r="236" customFormat="false" ht="17.15" hidden="false" customHeight="false" outlineLevel="0" collapsed="false">
      <c r="A236" s="4" t="s">
        <v>489</v>
      </c>
      <c r="B236" s="0" t="s">
        <v>98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490</v>
      </c>
    </row>
    <row r="237" customFormat="false" ht="17.15" hidden="false" customHeight="false" outlineLevel="0" collapsed="false">
      <c r="A237" s="0" t="s">
        <v>491</v>
      </c>
      <c r="B237" s="0" t="s">
        <v>196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492</v>
      </c>
    </row>
    <row r="238" customFormat="false" ht="15" hidden="false" customHeight="false" outlineLevel="0" collapsed="false">
      <c r="A238" s="4" t="s">
        <v>493</v>
      </c>
      <c r="B238" s="0" t="s">
        <v>98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494</v>
      </c>
      <c r="B239" s="0" t="s">
        <v>196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1264.33507797389</v>
      </c>
      <c r="F239" s="9" t="n">
        <f aca="false">F235*1000*F238</f>
        <v>1637.85062979426</v>
      </c>
      <c r="G239" s="9" t="n">
        <f aca="false">G235*1000*G238</f>
        <v>2005.57663437856</v>
      </c>
    </row>
    <row r="240" customFormat="false" ht="17.15" hidden="false" customHeight="false" outlineLevel="0" collapsed="false">
      <c r="A240" s="0" t="s">
        <v>495</v>
      </c>
      <c r="B240" s="0" t="s">
        <v>196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496</v>
      </c>
    </row>
    <row r="241" customFormat="false" ht="15" hidden="false" customHeight="false" outlineLevel="0" collapsed="false">
      <c r="A241" s="4" t="s">
        <v>497</v>
      </c>
      <c r="B241" s="0" t="s">
        <v>196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6091.59354523868</v>
      </c>
      <c r="F241" s="9" t="n">
        <f aca="false">F237+F239+F240</f>
        <v>7055.37307091378</v>
      </c>
      <c r="G241" s="9" t="n">
        <f aca="false">G237+G239+G240</f>
        <v>8029.69998551651</v>
      </c>
    </row>
    <row r="242" customFormat="false" ht="17.15" hidden="false" customHeight="false" outlineLevel="0" collapsed="false">
      <c r="A242" s="0" t="s">
        <v>498</v>
      </c>
      <c r="B242" s="0" t="s">
        <v>196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439</v>
      </c>
      <c r="B243" s="0" t="s">
        <v>196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6517.29714523868</v>
      </c>
      <c r="F243" s="9" t="n">
        <f aca="false">F241+F242</f>
        <v>7515.13295891378</v>
      </c>
      <c r="G243" s="9" t="n">
        <f aca="false">G241+G242</f>
        <v>8526.24066455651</v>
      </c>
    </row>
    <row r="244" customFormat="false" ht="17.15" hidden="false" customHeight="false" outlineLevel="0" collapsed="false">
      <c r="A244" s="4" t="s">
        <v>499</v>
      </c>
      <c r="B244" s="0" t="s">
        <v>196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2655.87233787902</v>
      </c>
      <c r="F244" s="9" t="n">
        <f aca="false">t_inc_hi*F243-t_fix_hi+0*F243</f>
        <v>3214.66039353708</v>
      </c>
      <c r="G244" s="9" t="n">
        <f aca="false">t_inc_hi*G243-t_fix_hi+0*G243</f>
        <v>3780.88070869701</v>
      </c>
      <c r="H244" s="4" t="s">
        <v>500</v>
      </c>
    </row>
    <row r="245" customFormat="false" ht="15" hidden="false" customHeight="false" outlineLevel="0" collapsed="false">
      <c r="A245" s="4" t="s">
        <v>501</v>
      </c>
      <c r="B245" s="0" t="s">
        <v>98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0.407511316223983</v>
      </c>
      <c r="F245" s="11" t="n">
        <f aca="false">F244/F243</f>
        <v>0.42775828599601</v>
      </c>
      <c r="G245" s="11" t="n">
        <f aca="false">G244/G243</f>
        <v>0.443440533459733</v>
      </c>
    </row>
    <row r="246" customFormat="false" ht="17.15" hidden="false" customHeight="false" outlineLevel="0" collapsed="false">
      <c r="A246" s="4" t="s">
        <v>502</v>
      </c>
      <c r="B246" s="0" t="s">
        <v>196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447</v>
      </c>
      <c r="B247" s="0" t="s">
        <v>196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426</v>
      </c>
      <c r="B248" s="0" t="s">
        <v>196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400</v>
      </c>
      <c r="B249" s="0" t="s">
        <v>196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6958.96914523867</v>
      </c>
      <c r="F249" s="9" t="n">
        <f aca="false">F243+F246</f>
        <v>8000.97215891378</v>
      </c>
      <c r="G249" s="9" t="n">
        <f aca="false">G243+G246</f>
        <v>9060.66378455651</v>
      </c>
    </row>
    <row r="250" customFormat="false" ht="17.15" hidden="false" customHeight="false" outlineLevel="0" collapsed="false">
      <c r="A250" s="4" t="s">
        <v>503</v>
      </c>
      <c r="B250" s="0" t="s">
        <v>196</v>
      </c>
      <c r="C250" s="9" t="n">
        <f aca="false">ROUND(C241+C242+C246-a25_rev,0)</f>
        <v>0</v>
      </c>
      <c r="D250" s="9" t="n">
        <f aca="false">ROUND(D241+D242+D246-f26_rev,0)</f>
        <v>0</v>
      </c>
      <c r="H250" s="8" t="s">
        <v>504</v>
      </c>
    </row>
    <row r="251" customFormat="false" ht="15" hidden="false" customHeight="false" outlineLevel="0" collapsed="false">
      <c r="A251" s="4" t="s">
        <v>480</v>
      </c>
      <c r="B251" s="0" t="s">
        <v>196</v>
      </c>
      <c r="C251" s="9" t="n">
        <f aca="false">C244+C247+C248</f>
        <v>653.2</v>
      </c>
      <c r="D251" s="9" t="n">
        <f aca="false">D244+D247+D248</f>
        <v>1629.93073654536</v>
      </c>
      <c r="E251" s="9" t="n">
        <f aca="false">E244+E247+E248</f>
        <v>2654.30577787902</v>
      </c>
      <c r="F251" s="9" t="n">
        <f aca="false">F244+F247+F248</f>
        <v>3223.69396153708</v>
      </c>
      <c r="G251" s="9" t="n">
        <f aca="false">G244+G247+G248</f>
        <v>3797.20186469701</v>
      </c>
    </row>
    <row r="252" customFormat="false" ht="15" hidden="false" customHeight="false" outlineLevel="0" collapsed="false">
      <c r="A252" s="4" t="s">
        <v>481</v>
      </c>
      <c r="B252" s="0" t="s">
        <v>98</v>
      </c>
      <c r="C252" s="11" t="n">
        <f aca="false">C251/C249</f>
        <v>0.204758471521269</v>
      </c>
      <c r="D252" s="11" t="n">
        <f aca="false">D251/D249</f>
        <v>0.318868991420565</v>
      </c>
      <c r="E252" s="11" t="n">
        <f aca="false">E251/E249</f>
        <v>0.38142226563759</v>
      </c>
      <c r="F252" s="11" t="n">
        <f aca="false">F251/F249</f>
        <v>0.402912783285416</v>
      </c>
      <c r="G252" s="11" t="n">
        <f aca="false">G251/G249</f>
        <v>0.419086499067449</v>
      </c>
    </row>
    <row r="253" customFormat="false" ht="15" hidden="false" customHeight="false" outlineLevel="0" collapsed="false">
      <c r="A253" s="4" t="s">
        <v>412</v>
      </c>
      <c r="B253" s="0" t="s">
        <v>196</v>
      </c>
      <c r="C253" s="9" t="n">
        <f aca="false">a25_tax</f>
        <v>79.3</v>
      </c>
      <c r="D253" s="9" t="n">
        <f aca="false">f26_tax</f>
        <v>231.054736545361</v>
      </c>
      <c r="E253" s="9" t="n">
        <f aca="false">E251*etr</f>
        <v>376.267474726279</v>
      </c>
      <c r="F253" s="9" t="n">
        <f aca="false">F251*etr</f>
        <v>456.982460840349</v>
      </c>
      <c r="G253" s="9" t="n">
        <f aca="false">G251*etr</f>
        <v>538.281447662426</v>
      </c>
    </row>
    <row r="254" customFormat="false" ht="17.15" hidden="false" customHeight="false" outlineLevel="0" collapsed="false">
      <c r="A254" s="4" t="s">
        <v>413</v>
      </c>
      <c r="B254" s="0" t="s">
        <v>196</v>
      </c>
      <c r="C254" s="9" t="n">
        <f aca="false">a25_aff</f>
        <v>-19.9</v>
      </c>
      <c r="D254" s="9" t="n">
        <f aca="false">f26_aff</f>
        <v>-13.2</v>
      </c>
      <c r="E254" s="9" t="n">
        <f aca="false">aff</f>
        <v>-13.2</v>
      </c>
      <c r="F254" s="9" t="n">
        <f aca="false">aff</f>
        <v>-13.2</v>
      </c>
      <c r="G254" s="9" t="n">
        <f aca="false">aff</f>
        <v>-13.2</v>
      </c>
    </row>
    <row r="255" customFormat="false" ht="17.15" hidden="false" customHeight="false" outlineLevel="0" collapsed="false">
      <c r="A255" s="4" t="s">
        <v>482</v>
      </c>
      <c r="B255" s="0" t="s">
        <v>196</v>
      </c>
      <c r="C255" s="9" t="n">
        <f aca="false">a25_ni</f>
        <v>554</v>
      </c>
      <c r="D255" s="9" t="n">
        <f aca="false">f26_ni</f>
        <v>1385.276</v>
      </c>
      <c r="E255" s="9" t="n">
        <f aca="false">E251-E253+E254</f>
        <v>2264.83830315274</v>
      </c>
      <c r="F255" s="9" t="n">
        <f aca="false">F251-F253+F254</f>
        <v>2753.51150069673</v>
      </c>
      <c r="G255" s="9" t="n">
        <f aca="false">G251-G253+G254</f>
        <v>3245.72041703458</v>
      </c>
      <c r="H255" s="8" t="s">
        <v>505</v>
      </c>
    </row>
    <row r="256" customFormat="false" ht="15" hidden="false" customHeight="false" outlineLevel="0" collapsed="false">
      <c r="A256" s="4" t="s">
        <v>506</v>
      </c>
      <c r="B256" s="4" t="s">
        <v>258</v>
      </c>
      <c r="C256" s="9" t="n">
        <f aca="false">a25_dsh</f>
        <v>159.7</v>
      </c>
      <c r="D256" s="9" t="n">
        <f aca="false">sh26</f>
        <v>157.7</v>
      </c>
      <c r="E256" s="9" t="n">
        <f aca="false">sh26*(1-bb)^1</f>
        <v>156.123</v>
      </c>
      <c r="F256" s="9" t="n">
        <f aca="false">sh26*(1-bb)^2</f>
        <v>154.56177</v>
      </c>
      <c r="G256" s="9" t="n">
        <f aca="false">sh26*(1-bb)^3</f>
        <v>153.0161523</v>
      </c>
    </row>
    <row r="257" customFormat="false" ht="17.15" hidden="false" customHeight="false" outlineLevel="0" collapsed="false">
      <c r="A257" s="0" t="s">
        <v>415</v>
      </c>
      <c r="B257" s="0" t="s">
        <v>201</v>
      </c>
      <c r="C257" s="18" t="n">
        <f aca="false">a25_eps</f>
        <v>3.47</v>
      </c>
      <c r="D257" s="18" t="n">
        <f aca="false">D255/D256</f>
        <v>8.78424857324033</v>
      </c>
      <c r="E257" s="18" t="n">
        <f aca="false">E255/E256</f>
        <v>14.5067562316426</v>
      </c>
      <c r="F257" s="18" t="n">
        <f aca="false">F255/F256</f>
        <v>17.8149583865191</v>
      </c>
      <c r="G257" s="18" t="n">
        <f aca="false">G255/G256</f>
        <v>21.2116196117067</v>
      </c>
    </row>
    <row r="258" customFormat="false" ht="17.15" hidden="false" customHeight="false" outlineLevel="0" collapsed="false">
      <c r="A258" s="0" t="s">
        <v>507</v>
      </c>
      <c r="B258" s="0" t="s">
        <v>98</v>
      </c>
      <c r="C258" s="11" t="n">
        <f aca="false">C237/C249</f>
        <v>0.592363875740573</v>
      </c>
      <c r="D258" s="11" t="n">
        <f aca="false">D237/D249</f>
        <v>0.635675717974802</v>
      </c>
      <c r="E258" s="11" t="n">
        <f aca="false">E237/E249</f>
        <v>0.654305138730523</v>
      </c>
      <c r="F258" s="11" t="n">
        <f aca="false">F237/F249</f>
        <v>0.638679017979199</v>
      </c>
      <c r="G258" s="11" t="n">
        <f aca="false">G237/G249</f>
        <v>0.627131376400865</v>
      </c>
    </row>
    <row r="259" customFormat="false" ht="17.15" hidden="false" customHeight="false" outlineLevel="0" collapsed="false">
      <c r="A259" s="4" t="s">
        <v>508</v>
      </c>
      <c r="B259" s="0" t="s">
        <v>98</v>
      </c>
      <c r="C259" s="11" t="n">
        <f aca="false">a25_gp/a25_rev</f>
        <v>0.582225705329154</v>
      </c>
      <c r="D259" s="11" t="n">
        <f aca="false">f26_gm</f>
        <v>0.594365646092145</v>
      </c>
      <c r="E259" s="11" t="n">
        <f aca="false">f26_gm+(Q!J13-a25_gp/a25_rev)/(Q!J4/Q!J10-a25_soc/a25_rev)*(E258-D258)</f>
        <v>0.600140940959489</v>
      </c>
      <c r="F259" s="11" t="n">
        <f aca="false">f26_gm+(Q!J13-a25_gp/a25_rev)/(Q!J4/Q!J10-a25_soc/a25_rev)*(F258-D258)</f>
        <v>0.595296697214342</v>
      </c>
      <c r="G259" s="11" t="n">
        <f aca="false">f26_gm+(Q!J13-a25_gp/a25_rev)/(Q!J4/Q!J10-a25_soc/a25_rev)*(G258-D258)</f>
        <v>0.591716820200892</v>
      </c>
      <c r="H259" s="8" t="s">
        <v>509</v>
      </c>
    </row>
    <row r="264" customFormat="false" ht="17.15" hidden="false" customHeight="false" outlineLevel="0" collapsed="false">
      <c r="A264" s="1" t="s">
        <v>817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5" t="s">
        <v>472</v>
      </c>
      <c r="D265" s="15" t="s">
        <v>486</v>
      </c>
      <c r="E265" s="15" t="s">
        <v>473</v>
      </c>
      <c r="F265" s="15" t="s">
        <v>474</v>
      </c>
      <c r="G265" s="15" t="s">
        <v>475</v>
      </c>
      <c r="H265" s="5" t="s">
        <v>433</v>
      </c>
    </row>
    <row r="266" customFormat="false" ht="17.15" hidden="false" customHeight="false" outlineLevel="0" collapsed="false">
      <c r="A266" s="0" t="s">
        <v>487</v>
      </c>
      <c r="B266" s="0" t="s">
        <v>31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488</v>
      </c>
      <c r="B267" s="0" t="s">
        <v>31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3.99150647980462</v>
      </c>
      <c r="F267" s="18" t="n">
        <f aca="false">mm_A_2028</f>
        <v>5.17069526557172</v>
      </c>
      <c r="G267" s="18" t="n">
        <f aca="false">mm_A_2029</f>
        <v>6.33160644779016</v>
      </c>
    </row>
    <row r="268" customFormat="false" ht="17.15" hidden="false" customHeight="false" outlineLevel="0" collapsed="false">
      <c r="A268" s="4" t="s">
        <v>489</v>
      </c>
      <c r="B268" s="0" t="s">
        <v>98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490</v>
      </c>
    </row>
    <row r="269" customFormat="false" ht="17.15" hidden="false" customHeight="false" outlineLevel="0" collapsed="false">
      <c r="A269" s="0" t="s">
        <v>491</v>
      </c>
      <c r="B269" s="0" t="s">
        <v>196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492</v>
      </c>
    </row>
    <row r="270" customFormat="false" ht="15" hidden="false" customHeight="false" outlineLevel="0" collapsed="false">
      <c r="A270" s="4" t="s">
        <v>493</v>
      </c>
      <c r="B270" s="0" t="s">
        <v>98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494</v>
      </c>
      <c r="B271" s="0" t="s">
        <v>196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1264.33507797389</v>
      </c>
      <c r="F271" s="9" t="n">
        <f aca="false">F267*1000*F270</f>
        <v>1637.85062979426</v>
      </c>
      <c r="G271" s="9" t="n">
        <f aca="false">G267*1000*G270</f>
        <v>2005.57663437856</v>
      </c>
    </row>
    <row r="272" customFormat="false" ht="17.15" hidden="false" customHeight="false" outlineLevel="0" collapsed="false">
      <c r="A272" s="0" t="s">
        <v>495</v>
      </c>
      <c r="B272" s="0" t="s">
        <v>196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496</v>
      </c>
    </row>
    <row r="273" customFormat="false" ht="15" hidden="false" customHeight="false" outlineLevel="0" collapsed="false">
      <c r="A273" s="4" t="s">
        <v>497</v>
      </c>
      <c r="B273" s="0" t="s">
        <v>196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6091.59354523868</v>
      </c>
      <c r="F273" s="9" t="n">
        <f aca="false">F269+F271+F272</f>
        <v>7055.37307091378</v>
      </c>
      <c r="G273" s="9" t="n">
        <f aca="false">G269+G271+G272</f>
        <v>8029.69998551651</v>
      </c>
    </row>
    <row r="274" customFormat="false" ht="17.15" hidden="false" customHeight="false" outlineLevel="0" collapsed="false">
      <c r="A274" s="0" t="s">
        <v>498</v>
      </c>
      <c r="B274" s="0" t="s">
        <v>196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439</v>
      </c>
      <c r="B275" s="0" t="s">
        <v>196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6501.53034523867</v>
      </c>
      <c r="F275" s="9" t="n">
        <f aca="false">F273+F274</f>
        <v>7481.70734291378</v>
      </c>
      <c r="G275" s="9" t="n">
        <f aca="false">G273+G274</f>
        <v>8473.08762839651</v>
      </c>
    </row>
    <row r="276" customFormat="false" ht="17.15" hidden="false" customHeight="false" outlineLevel="0" collapsed="false">
      <c r="A276" s="4" t="s">
        <v>499</v>
      </c>
      <c r="B276" s="0" t="s">
        <v>196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2508.48541068357</v>
      </c>
      <c r="F276" s="9" t="n">
        <f aca="false">t_inc*F275-t_fix+0*F275</f>
        <v>2981.57394745215</v>
      </c>
      <c r="G276" s="9" t="n">
        <f aca="false">t_inc*G275-t_fix+0*G275</f>
        <v>3460.06982090429</v>
      </c>
      <c r="H276" s="4" t="s">
        <v>500</v>
      </c>
    </row>
    <row r="277" customFormat="false" ht="15" hidden="false" customHeight="false" outlineLevel="0" collapsed="false">
      <c r="A277" s="4" t="s">
        <v>501</v>
      </c>
      <c r="B277" s="0" t="s">
        <v>98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0.385829993475403</v>
      </c>
      <c r="F277" s="11" t="n">
        <f aca="false">F276/F275</f>
        <v>0.398515179864142</v>
      </c>
      <c r="G277" s="11" t="n">
        <f aca="false">G276/G275</f>
        <v>0.408359971317692</v>
      </c>
    </row>
    <row r="278" customFormat="false" ht="17.15" hidden="false" customHeight="false" outlineLevel="0" collapsed="false">
      <c r="A278" s="4" t="s">
        <v>502</v>
      </c>
      <c r="B278" s="0" t="s">
        <v>196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447</v>
      </c>
      <c r="B279" s="0" t="s">
        <v>196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426</v>
      </c>
      <c r="B280" s="0" t="s">
        <v>196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400</v>
      </c>
      <c r="B281" s="0" t="s">
        <v>196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6943.20234523868</v>
      </c>
      <c r="F281" s="9" t="n">
        <f aca="false">F275+F278</f>
        <v>7967.54654291378</v>
      </c>
      <c r="G281" s="9" t="n">
        <f aca="false">G275+G278</f>
        <v>9007.51074839651</v>
      </c>
    </row>
    <row r="282" customFormat="false" ht="17.15" hidden="false" customHeight="false" outlineLevel="0" collapsed="false">
      <c r="A282" s="4" t="s">
        <v>503</v>
      </c>
      <c r="B282" s="0" t="s">
        <v>196</v>
      </c>
      <c r="C282" s="9" t="n">
        <f aca="false">ROUND(C273+C274+C278-a25_rev,0)</f>
        <v>0</v>
      </c>
      <c r="D282" s="9" t="n">
        <f aca="false">ROUND(D273+D274+D278-f26_rev,0)</f>
        <v>0</v>
      </c>
      <c r="H282" s="8" t="s">
        <v>504</v>
      </c>
    </row>
    <row r="283" customFormat="false" ht="15" hidden="false" customHeight="false" outlineLevel="0" collapsed="false">
      <c r="A283" s="4" t="s">
        <v>480</v>
      </c>
      <c r="B283" s="0" t="s">
        <v>196</v>
      </c>
      <c r="C283" s="9" t="n">
        <f aca="false">C276+C279+C280</f>
        <v>653.2</v>
      </c>
      <c r="D283" s="9" t="n">
        <f aca="false">D276+D279+D280</f>
        <v>1629.93073654536</v>
      </c>
      <c r="E283" s="9" t="n">
        <f aca="false">E276+E279+E280</f>
        <v>2506.91885068357</v>
      </c>
      <c r="F283" s="9" t="n">
        <f aca="false">F276+F279+F280</f>
        <v>2990.60751545215</v>
      </c>
      <c r="G283" s="9" t="n">
        <f aca="false">G276+G279+G280</f>
        <v>3476.39097690429</v>
      </c>
    </row>
    <row r="284" customFormat="false" ht="15" hidden="false" customHeight="false" outlineLevel="0" collapsed="false">
      <c r="A284" s="4" t="s">
        <v>481</v>
      </c>
      <c r="B284" s="0" t="s">
        <v>98</v>
      </c>
      <c r="C284" s="11" t="n">
        <f aca="false">C283/C281</f>
        <v>0.204758471521269</v>
      </c>
      <c r="D284" s="11" t="n">
        <f aca="false">D283/D281</f>
        <v>0.318868991420565</v>
      </c>
      <c r="E284" s="11" t="n">
        <f aca="false">E283/E281</f>
        <v>0.361060894675308</v>
      </c>
      <c r="F284" s="11" t="n">
        <f aca="false">F283/F281</f>
        <v>0.375348609430083</v>
      </c>
      <c r="G284" s="11" t="n">
        <f aca="false">G283/G281</f>
        <v>0.385943583528129</v>
      </c>
    </row>
    <row r="285" customFormat="false" ht="15" hidden="false" customHeight="false" outlineLevel="0" collapsed="false">
      <c r="A285" s="4" t="s">
        <v>412</v>
      </c>
      <c r="B285" s="0" t="s">
        <v>196</v>
      </c>
      <c r="C285" s="9" t="n">
        <f aca="false">a25_tax</f>
        <v>79.3</v>
      </c>
      <c r="D285" s="9" t="n">
        <f aca="false">f26_tax</f>
        <v>231.054736545361</v>
      </c>
      <c r="E285" s="9" t="n">
        <f aca="false">E283*etr</f>
        <v>355.374287752241</v>
      </c>
      <c r="F285" s="9" t="n">
        <f aca="false">F283*etr</f>
        <v>423.940733247314</v>
      </c>
      <c r="G285" s="9" t="n">
        <f aca="false">G283*etr</f>
        <v>492.804131664976</v>
      </c>
    </row>
    <row r="286" customFormat="false" ht="17.15" hidden="false" customHeight="false" outlineLevel="0" collapsed="false">
      <c r="A286" s="4" t="s">
        <v>413</v>
      </c>
      <c r="B286" s="0" t="s">
        <v>196</v>
      </c>
      <c r="C286" s="9" t="n">
        <f aca="false">a25_aff</f>
        <v>-19.9</v>
      </c>
      <c r="D286" s="9" t="n">
        <f aca="false">f26_aff</f>
        <v>-13.2</v>
      </c>
      <c r="E286" s="9" t="n">
        <f aca="false">aff</f>
        <v>-13.2</v>
      </c>
      <c r="F286" s="9" t="n">
        <f aca="false">aff</f>
        <v>-13.2</v>
      </c>
      <c r="G286" s="9" t="n">
        <f aca="false">aff</f>
        <v>-13.2</v>
      </c>
    </row>
    <row r="287" customFormat="false" ht="17.15" hidden="false" customHeight="false" outlineLevel="0" collapsed="false">
      <c r="A287" s="4" t="s">
        <v>482</v>
      </c>
      <c r="B287" s="0" t="s">
        <v>196</v>
      </c>
      <c r="C287" s="9" t="n">
        <f aca="false">a25_ni</f>
        <v>554</v>
      </c>
      <c r="D287" s="9" t="n">
        <f aca="false">f26_ni</f>
        <v>1385.276</v>
      </c>
      <c r="E287" s="9" t="n">
        <f aca="false">E283-E285+E286</f>
        <v>2138.34456293133</v>
      </c>
      <c r="F287" s="9" t="n">
        <f aca="false">F283-F285+F286</f>
        <v>2553.46678220484</v>
      </c>
      <c r="G287" s="9" t="n">
        <f aca="false">G283-G285+G286</f>
        <v>2970.38684523931</v>
      </c>
      <c r="H287" s="8" t="s">
        <v>505</v>
      </c>
    </row>
    <row r="288" customFormat="false" ht="15" hidden="false" customHeight="false" outlineLevel="0" collapsed="false">
      <c r="A288" s="4" t="s">
        <v>506</v>
      </c>
      <c r="B288" s="4" t="s">
        <v>258</v>
      </c>
      <c r="C288" s="9" t="n">
        <f aca="false">a25_dsh</f>
        <v>159.7</v>
      </c>
      <c r="D288" s="9" t="n">
        <f aca="false">sh26</f>
        <v>157.7</v>
      </c>
      <c r="E288" s="9" t="n">
        <f aca="false">sh26*(1-bb)^1</f>
        <v>156.123</v>
      </c>
      <c r="F288" s="9" t="n">
        <f aca="false">sh26*(1-bb)^2</f>
        <v>154.56177</v>
      </c>
      <c r="G288" s="9" t="n">
        <f aca="false">sh26*(1-bb)^3</f>
        <v>153.0161523</v>
      </c>
    </row>
    <row r="289" customFormat="false" ht="17.15" hidden="false" customHeight="false" outlineLevel="0" collapsed="false">
      <c r="A289" s="0" t="s">
        <v>415</v>
      </c>
      <c r="B289" s="0" t="s">
        <v>201</v>
      </c>
      <c r="C289" s="18" t="n">
        <f aca="false">a25_eps</f>
        <v>3.47</v>
      </c>
      <c r="D289" s="18" t="n">
        <f aca="false">D287/D288</f>
        <v>8.78424857324033</v>
      </c>
      <c r="E289" s="18" t="n">
        <f aca="false">E287/E288</f>
        <v>13.6965377486426</v>
      </c>
      <c r="F289" s="18" t="n">
        <f aca="false">F287/F288</f>
        <v>16.5206880213965</v>
      </c>
      <c r="G289" s="18" t="n">
        <f aca="false">G287/G288</f>
        <v>19.4122437441483</v>
      </c>
    </row>
    <row r="290" customFormat="false" ht="17.15" hidden="false" customHeight="false" outlineLevel="0" collapsed="false">
      <c r="A290" s="0" t="s">
        <v>507</v>
      </c>
      <c r="B290" s="0" t="s">
        <v>98</v>
      </c>
      <c r="C290" s="11" t="n">
        <f aca="false">C269/C281</f>
        <v>0.592363875740573</v>
      </c>
      <c r="D290" s="11" t="n">
        <f aca="false">D269/D281</f>
        <v>0.635675717974802</v>
      </c>
      <c r="E290" s="11" t="n">
        <f aca="false">E269/E281</f>
        <v>0.655790951436012</v>
      </c>
      <c r="F290" s="11" t="n">
        <f aca="false">F269/F281</f>
        <v>0.641358417401248</v>
      </c>
      <c r="G290" s="11" t="n">
        <f aca="false">G269/G281</f>
        <v>0.630832058826678</v>
      </c>
    </row>
    <row r="291" customFormat="false" ht="17.15" hidden="false" customHeight="false" outlineLevel="0" collapsed="false">
      <c r="A291" s="4" t="s">
        <v>508</v>
      </c>
      <c r="B291" s="0" t="s">
        <v>98</v>
      </c>
      <c r="C291" s="11" t="n">
        <f aca="false">a25_gp/a25_rev</f>
        <v>0.582225705329154</v>
      </c>
      <c r="D291" s="11" t="n">
        <f aca="false">f26_gm</f>
        <v>0.594365646092145</v>
      </c>
      <c r="E291" s="11" t="n">
        <f aca="false">f26_gm+(Q!J13-a25_gp/a25_rev)/(Q!J4/Q!J10-a25_soc/a25_rev)*(E290-D290)</f>
        <v>0.600601556810318</v>
      </c>
      <c r="F291" s="11" t="n">
        <f aca="false">f26_gm+(Q!J13-a25_gp/a25_rev)/(Q!J4/Q!J10-a25_soc/a25_rev)*(F290-D290)</f>
        <v>0.596127336123228</v>
      </c>
      <c r="G291" s="11" t="n">
        <f aca="false">f26_gm+(Q!J13-a25_gp/a25_rev)/(Q!J4/Q!J10-a25_soc/a25_rev)*(G290-D290)</f>
        <v>0.592864066403537</v>
      </c>
      <c r="H291" s="8" t="s">
        <v>509</v>
      </c>
    </row>
    <row r="296" customFormat="false" ht="17.15" hidden="false" customHeight="false" outlineLevel="0" collapsed="false">
      <c r="A296" s="1" t="s">
        <v>818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5" t="s">
        <v>472</v>
      </c>
      <c r="D297" s="15" t="s">
        <v>486</v>
      </c>
      <c r="E297" s="15" t="s">
        <v>473</v>
      </c>
      <c r="F297" s="15" t="s">
        <v>474</v>
      </c>
      <c r="G297" s="15" t="s">
        <v>475</v>
      </c>
      <c r="H297" s="5" t="s">
        <v>433</v>
      </c>
    </row>
    <row r="298" customFormat="false" ht="17.15" hidden="false" customHeight="false" outlineLevel="0" collapsed="false">
      <c r="A298" s="0" t="s">
        <v>487</v>
      </c>
      <c r="B298" s="0" t="s">
        <v>31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488</v>
      </c>
      <c r="B299" s="0" t="s">
        <v>31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3.99150647980462</v>
      </c>
      <c r="F299" s="18" t="n">
        <f aca="false">mm_A_2028</f>
        <v>5.17069526557172</v>
      </c>
      <c r="G299" s="18" t="n">
        <f aca="false">mm_A_2029</f>
        <v>6.33160644779016</v>
      </c>
    </row>
    <row r="300" customFormat="false" ht="17.15" hidden="false" customHeight="false" outlineLevel="0" collapsed="false">
      <c r="A300" s="4" t="s">
        <v>489</v>
      </c>
      <c r="B300" s="0" t="s">
        <v>98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490</v>
      </c>
    </row>
    <row r="301" customFormat="false" ht="17.15" hidden="false" customHeight="false" outlineLevel="0" collapsed="false">
      <c r="A301" s="0" t="s">
        <v>491</v>
      </c>
      <c r="B301" s="0" t="s">
        <v>196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492</v>
      </c>
    </row>
    <row r="302" customFormat="false" ht="15" hidden="false" customHeight="false" outlineLevel="0" collapsed="false">
      <c r="A302" s="4" t="s">
        <v>493</v>
      </c>
      <c r="B302" s="0" t="s">
        <v>98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494</v>
      </c>
      <c r="B303" s="0" t="s">
        <v>196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1264.33507797389</v>
      </c>
      <c r="F303" s="9" t="n">
        <f aca="false">F299*1000*F302</f>
        <v>1637.85062979426</v>
      </c>
      <c r="G303" s="9" t="n">
        <f aca="false">G299*1000*G302</f>
        <v>2005.57663437856</v>
      </c>
    </row>
    <row r="304" customFormat="false" ht="17.15" hidden="false" customHeight="false" outlineLevel="0" collapsed="false">
      <c r="A304" s="0" t="s">
        <v>495</v>
      </c>
      <c r="B304" s="0" t="s">
        <v>196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496</v>
      </c>
    </row>
    <row r="305" customFormat="false" ht="15" hidden="false" customHeight="false" outlineLevel="0" collapsed="false">
      <c r="A305" s="4" t="s">
        <v>497</v>
      </c>
      <c r="B305" s="0" t="s">
        <v>196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6091.59354523868</v>
      </c>
      <c r="F305" s="9" t="n">
        <f aca="false">F301+F303+F304</f>
        <v>7055.37307091378</v>
      </c>
      <c r="G305" s="9" t="n">
        <f aca="false">G301+G303+G304</f>
        <v>8029.69998551651</v>
      </c>
    </row>
    <row r="306" customFormat="false" ht="17.15" hidden="false" customHeight="false" outlineLevel="0" collapsed="false">
      <c r="A306" s="0" t="s">
        <v>498</v>
      </c>
      <c r="B306" s="0" t="s">
        <v>196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439</v>
      </c>
      <c r="B307" s="0" t="s">
        <v>196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6533.06394523868</v>
      </c>
      <c r="F307" s="9" t="n">
        <f aca="false">F305+F306</f>
        <v>7549.81991891378</v>
      </c>
      <c r="G307" s="9" t="n">
        <f aca="false">G305+G306</f>
        <v>8583.48045527651</v>
      </c>
    </row>
    <row r="308" customFormat="false" ht="17.15" hidden="false" customHeight="false" outlineLevel="0" collapsed="false">
      <c r="A308" s="4" t="s">
        <v>499</v>
      </c>
      <c r="B308" s="0" t="s">
        <v>196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2523.70529925312</v>
      </c>
      <c r="F308" s="9" t="n">
        <f aca="false">t_inc*F307-t_fix+0*F307</f>
        <v>3014.44890676237</v>
      </c>
      <c r="G308" s="9" t="n">
        <f aca="false">t_inc*G307-t_fix+0*G307</f>
        <v>3513.35160680855</v>
      </c>
      <c r="H308" s="4" t="s">
        <v>500</v>
      </c>
    </row>
    <row r="309" customFormat="false" ht="15" hidden="false" customHeight="false" outlineLevel="0" collapsed="false">
      <c r="A309" s="4" t="s">
        <v>501</v>
      </c>
      <c r="B309" s="0" t="s">
        <v>98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0.386297351504175</v>
      </c>
      <c r="F309" s="11" t="n">
        <f aca="false">F308/F307</f>
        <v>0.39927427927262</v>
      </c>
      <c r="G309" s="11" t="n">
        <f aca="false">G308/G307</f>
        <v>0.409315501458245</v>
      </c>
    </row>
    <row r="310" customFormat="false" ht="17.15" hidden="false" customHeight="false" outlineLevel="0" collapsed="false">
      <c r="A310" s="4" t="s">
        <v>502</v>
      </c>
      <c r="B310" s="0" t="s">
        <v>196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447</v>
      </c>
      <c r="B311" s="0" t="s">
        <v>196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426</v>
      </c>
      <c r="B312" s="0" t="s">
        <v>196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400</v>
      </c>
      <c r="B313" s="0" t="s">
        <v>196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6974.73594523868</v>
      </c>
      <c r="F313" s="9" t="n">
        <f aca="false">F307+F310</f>
        <v>8035.65911891378</v>
      </c>
      <c r="G313" s="9" t="n">
        <f aca="false">G307+G310</f>
        <v>9117.90357527651</v>
      </c>
    </row>
    <row r="314" customFormat="false" ht="17.15" hidden="false" customHeight="false" outlineLevel="0" collapsed="false">
      <c r="A314" s="4" t="s">
        <v>503</v>
      </c>
      <c r="B314" s="0" t="s">
        <v>196</v>
      </c>
      <c r="C314" s="9" t="n">
        <f aca="false">ROUND(C305+C306+C310-a25_rev,0)</f>
        <v>0</v>
      </c>
      <c r="D314" s="9" t="n">
        <f aca="false">ROUND(D305+D306+D310-f26_rev,0)</f>
        <v>0</v>
      </c>
      <c r="H314" s="8" t="s">
        <v>504</v>
      </c>
    </row>
    <row r="315" customFormat="false" ht="15" hidden="false" customHeight="false" outlineLevel="0" collapsed="false">
      <c r="A315" s="4" t="s">
        <v>480</v>
      </c>
      <c r="B315" s="0" t="s">
        <v>196</v>
      </c>
      <c r="C315" s="9" t="n">
        <f aca="false">C308+C311+C312</f>
        <v>653.2</v>
      </c>
      <c r="D315" s="9" t="n">
        <f aca="false">D308+D311+D312</f>
        <v>1629.93073654536</v>
      </c>
      <c r="E315" s="9" t="n">
        <f aca="false">E308+E311+E312</f>
        <v>2522.13873925312</v>
      </c>
      <c r="F315" s="9" t="n">
        <f aca="false">F308+F311+F312</f>
        <v>3023.48247476237</v>
      </c>
      <c r="G315" s="9" t="n">
        <f aca="false">G308+G311+G312</f>
        <v>3529.67276280855</v>
      </c>
    </row>
    <row r="316" customFormat="false" ht="15" hidden="false" customHeight="false" outlineLevel="0" collapsed="false">
      <c r="A316" s="4" t="s">
        <v>481</v>
      </c>
      <c r="B316" s="0" t="s">
        <v>98</v>
      </c>
      <c r="C316" s="11" t="n">
        <f aca="false">C315/C313</f>
        <v>0.204758471521269</v>
      </c>
      <c r="D316" s="11" t="n">
        <f aca="false">D315/D313</f>
        <v>0.318868991420565</v>
      </c>
      <c r="E316" s="11" t="n">
        <f aca="false">E315/E313</f>
        <v>0.361610641471648</v>
      </c>
      <c r="F316" s="11" t="n">
        <f aca="false">F315/F313</f>
        <v>0.376258179947667</v>
      </c>
      <c r="G316" s="11" t="n">
        <f aca="false">G315/G313</f>
        <v>0.387114508688091</v>
      </c>
    </row>
    <row r="317" customFormat="false" ht="15" hidden="false" customHeight="false" outlineLevel="0" collapsed="false">
      <c r="A317" s="4" t="s">
        <v>412</v>
      </c>
      <c r="B317" s="0" t="s">
        <v>196</v>
      </c>
      <c r="C317" s="9" t="n">
        <f aca="false">a25_tax</f>
        <v>79.3</v>
      </c>
      <c r="D317" s="9" t="n">
        <f aca="false">f26_tax</f>
        <v>231.054736545361</v>
      </c>
      <c r="E317" s="9" t="n">
        <f aca="false">E315*etr</f>
        <v>357.53181952021</v>
      </c>
      <c r="F317" s="9" t="n">
        <f aca="false">F315*etr</f>
        <v>428.601001866127</v>
      </c>
      <c r="G317" s="9" t="n">
        <f aca="false">G315*etr</f>
        <v>500.357218878283</v>
      </c>
    </row>
    <row r="318" customFormat="false" ht="17.15" hidden="false" customHeight="false" outlineLevel="0" collapsed="false">
      <c r="A318" s="4" t="s">
        <v>413</v>
      </c>
      <c r="B318" s="0" t="s">
        <v>196</v>
      </c>
      <c r="C318" s="9" t="n">
        <f aca="false">a25_aff</f>
        <v>-19.9</v>
      </c>
      <c r="D318" s="9" t="n">
        <f aca="false">f26_aff</f>
        <v>-13.2</v>
      </c>
      <c r="E318" s="9" t="n">
        <f aca="false">aff</f>
        <v>-13.2</v>
      </c>
      <c r="F318" s="9" t="n">
        <f aca="false">aff</f>
        <v>-13.2</v>
      </c>
      <c r="G318" s="9" t="n">
        <f aca="false">aff</f>
        <v>-13.2</v>
      </c>
    </row>
    <row r="319" customFormat="false" ht="17.15" hidden="false" customHeight="false" outlineLevel="0" collapsed="false">
      <c r="A319" s="4" t="s">
        <v>482</v>
      </c>
      <c r="B319" s="0" t="s">
        <v>196</v>
      </c>
      <c r="C319" s="9" t="n">
        <f aca="false">a25_ni</f>
        <v>554</v>
      </c>
      <c r="D319" s="9" t="n">
        <f aca="false">f26_ni</f>
        <v>1385.276</v>
      </c>
      <c r="E319" s="9" t="n">
        <f aca="false">E315-E317+E318</f>
        <v>2151.40691973291</v>
      </c>
      <c r="F319" s="9" t="n">
        <f aca="false">F315-F317+F318</f>
        <v>2581.68147289624</v>
      </c>
      <c r="G319" s="9" t="n">
        <f aca="false">G315-G317+G318</f>
        <v>3016.11554393027</v>
      </c>
      <c r="H319" s="8" t="s">
        <v>505</v>
      </c>
    </row>
    <row r="320" customFormat="false" ht="15" hidden="false" customHeight="false" outlineLevel="0" collapsed="false">
      <c r="A320" s="4" t="s">
        <v>506</v>
      </c>
      <c r="B320" s="4" t="s">
        <v>258</v>
      </c>
      <c r="C320" s="9" t="n">
        <f aca="false">a25_dsh</f>
        <v>159.7</v>
      </c>
      <c r="D320" s="9" t="n">
        <f aca="false">sh26</f>
        <v>157.7</v>
      </c>
      <c r="E320" s="9" t="n">
        <f aca="false">sh26*(1-bb)^1</f>
        <v>156.123</v>
      </c>
      <c r="F320" s="9" t="n">
        <f aca="false">sh26*(1-bb)^2</f>
        <v>154.56177</v>
      </c>
      <c r="G320" s="9" t="n">
        <f aca="false">sh26*(1-bb)^3</f>
        <v>153.0161523</v>
      </c>
    </row>
    <row r="321" customFormat="false" ht="17.15" hidden="false" customHeight="false" outlineLevel="0" collapsed="false">
      <c r="A321" s="0" t="s">
        <v>415</v>
      </c>
      <c r="B321" s="0" t="s">
        <v>201</v>
      </c>
      <c r="C321" s="18" t="n">
        <f aca="false">a25_eps</f>
        <v>3.47</v>
      </c>
      <c r="D321" s="18" t="n">
        <f aca="false">D319/D320</f>
        <v>8.78424857324033</v>
      </c>
      <c r="E321" s="18" t="n">
        <f aca="false">E319/E320</f>
        <v>13.7802048367819</v>
      </c>
      <c r="F321" s="18" t="n">
        <f aca="false">F319/F320</f>
        <v>16.7032343955186</v>
      </c>
      <c r="G321" s="18" t="n">
        <f aca="false">G319/G320</f>
        <v>19.7110925781021</v>
      </c>
    </row>
    <row r="322" customFormat="false" ht="17.15" hidden="false" customHeight="false" outlineLevel="0" collapsed="false">
      <c r="A322" s="0" t="s">
        <v>507</v>
      </c>
      <c r="B322" s="0" t="s">
        <v>98</v>
      </c>
      <c r="C322" s="11" t="n">
        <f aca="false">C301/C313</f>
        <v>0.592363875740573</v>
      </c>
      <c r="D322" s="11" t="n">
        <f aca="false">D301/D313</f>
        <v>0.635675717974802</v>
      </c>
      <c r="E322" s="11" t="n">
        <f aca="false">E301/E313</f>
        <v>0.652826043558701</v>
      </c>
      <c r="F322" s="11" t="n">
        <f aca="false">F301/F313</f>
        <v>0.635922077543866</v>
      </c>
      <c r="G322" s="11" t="n">
        <f aca="false">G301/G313</f>
        <v>0.623194411237462</v>
      </c>
    </row>
    <row r="323" customFormat="false" ht="17.15" hidden="false" customHeight="false" outlineLevel="0" collapsed="false">
      <c r="A323" s="4" t="s">
        <v>508</v>
      </c>
      <c r="B323" s="0" t="s">
        <v>98</v>
      </c>
      <c r="C323" s="11" t="n">
        <f aca="false">a25_gp/a25_rev</f>
        <v>0.582225705329154</v>
      </c>
      <c r="D323" s="11" t="n">
        <f aca="false">f26_gm</f>
        <v>0.594365646092145</v>
      </c>
      <c r="E323" s="11" t="n">
        <f aca="false">f26_gm+(Q!J13-a25_gp/a25_rev)/(Q!J4/Q!J10-a25_soc/a25_rev)*(E322-D322)</f>
        <v>0.599682407606995</v>
      </c>
      <c r="F323" s="11" t="n">
        <f aca="false">f26_gm+(Q!J13-a25_gp/a25_rev)/(Q!J4/Q!J10-a25_soc/a25_rev)*(F322-D322)</f>
        <v>0.594442019865296</v>
      </c>
      <c r="G323" s="11" t="n">
        <f aca="false">f26_gm+(Q!J13-a25_gp/a25_rev)/(Q!J4/Q!J10-a25_soc/a25_rev)*(G322-D322)</f>
        <v>0.590496324137206</v>
      </c>
      <c r="H323" s="8" t="s">
        <v>509</v>
      </c>
    </row>
    <row r="328" customFormat="false" ht="17.15" hidden="false" customHeight="false" outlineLevel="0" collapsed="false">
      <c r="A328" s="1" t="s">
        <v>819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5" t="s">
        <v>472</v>
      </c>
      <c r="D329" s="15" t="s">
        <v>486</v>
      </c>
      <c r="E329" s="15" t="s">
        <v>473</v>
      </c>
      <c r="F329" s="15" t="s">
        <v>474</v>
      </c>
      <c r="G329" s="15" t="s">
        <v>475</v>
      </c>
      <c r="H329" s="5" t="s">
        <v>433</v>
      </c>
    </row>
    <row r="330" customFormat="false" ht="17.15" hidden="false" customHeight="false" outlineLevel="0" collapsed="false">
      <c r="A330" s="0" t="s">
        <v>487</v>
      </c>
      <c r="B330" s="0" t="s">
        <v>31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488</v>
      </c>
      <c r="B331" s="0" t="s">
        <v>31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3.99150647980462</v>
      </c>
      <c r="F331" s="18" t="n">
        <f aca="false">mm_A_2028</f>
        <v>5.17069526557172</v>
      </c>
      <c r="G331" s="18" t="n">
        <f aca="false">mm_A_2029</f>
        <v>6.33160644779016</v>
      </c>
    </row>
    <row r="332" customFormat="false" ht="17.15" hidden="false" customHeight="false" outlineLevel="0" collapsed="false">
      <c r="A332" s="4" t="s">
        <v>489</v>
      </c>
      <c r="B332" s="0" t="s">
        <v>98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490</v>
      </c>
    </row>
    <row r="333" customFormat="false" ht="17.15" hidden="false" customHeight="false" outlineLevel="0" collapsed="false">
      <c r="A333" s="0" t="s">
        <v>491</v>
      </c>
      <c r="B333" s="0" t="s">
        <v>196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492</v>
      </c>
    </row>
    <row r="334" customFormat="false" ht="15" hidden="false" customHeight="false" outlineLevel="0" collapsed="false">
      <c r="A334" s="4" t="s">
        <v>493</v>
      </c>
      <c r="B334" s="0" t="s">
        <v>98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494</v>
      </c>
      <c r="B335" s="0" t="s">
        <v>196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1264.33507797389</v>
      </c>
      <c r="F335" s="9" t="n">
        <f aca="false">F331*1000*F334</f>
        <v>1637.85062979426</v>
      </c>
      <c r="G335" s="9" t="n">
        <f aca="false">G331*1000*G334</f>
        <v>2005.57663437856</v>
      </c>
    </row>
    <row r="336" customFormat="false" ht="17.15" hidden="false" customHeight="false" outlineLevel="0" collapsed="false">
      <c r="A336" s="0" t="s">
        <v>495</v>
      </c>
      <c r="B336" s="0" t="s">
        <v>196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496</v>
      </c>
    </row>
    <row r="337" customFormat="false" ht="15" hidden="false" customHeight="false" outlineLevel="0" collapsed="false">
      <c r="A337" s="4" t="s">
        <v>497</v>
      </c>
      <c r="B337" s="0" t="s">
        <v>196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6091.59354523868</v>
      </c>
      <c r="F337" s="9" t="n">
        <f aca="false">F333+F335+F336</f>
        <v>7055.37307091378</v>
      </c>
      <c r="G337" s="9" t="n">
        <f aca="false">G333+G335+G336</f>
        <v>8029.69998551651</v>
      </c>
    </row>
    <row r="338" customFormat="false" ht="17.15" hidden="false" customHeight="false" outlineLevel="0" collapsed="false">
      <c r="A338" s="0" t="s">
        <v>498</v>
      </c>
      <c r="B338" s="0" t="s">
        <v>196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439</v>
      </c>
      <c r="B339" s="0" t="s">
        <v>196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6517.29714523868</v>
      </c>
      <c r="F339" s="9" t="n">
        <f aca="false">F337+F338</f>
        <v>7515.13295891378</v>
      </c>
      <c r="G339" s="9" t="n">
        <f aca="false">G337+G338</f>
        <v>8526.24066455651</v>
      </c>
    </row>
    <row r="340" customFormat="false" ht="17.15" hidden="false" customHeight="false" outlineLevel="0" collapsed="false">
      <c r="A340" s="4" t="s">
        <v>499</v>
      </c>
      <c r="B340" s="0" t="s">
        <v>196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2516.09535496834</v>
      </c>
      <c r="F340" s="9" t="n">
        <f aca="false">t_inc*F339-t_fix+0*F339</f>
        <v>2997.70702933587</v>
      </c>
      <c r="G340" s="9" t="n">
        <f aca="false">t_inc*G339-t_fix+0*G339</f>
        <v>3485.72446507711</v>
      </c>
      <c r="H340" s="4" t="s">
        <v>500</v>
      </c>
    </row>
    <row r="341" customFormat="false" ht="15" hidden="false" customHeight="false" outlineLevel="0" collapsed="false">
      <c r="A341" s="4" t="s">
        <v>501</v>
      </c>
      <c r="B341" s="0" t="s">
        <v>98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0.386064237811609</v>
      </c>
      <c r="F341" s="11" t="n">
        <f aca="false">F340/F339</f>
        <v>0.398889420283677</v>
      </c>
      <c r="G341" s="11" t="n">
        <f aca="false">G340/G339</f>
        <v>0.408823138146597</v>
      </c>
    </row>
    <row r="342" customFormat="false" ht="17.15" hidden="false" customHeight="false" outlineLevel="0" collapsed="false">
      <c r="A342" s="4" t="s">
        <v>502</v>
      </c>
      <c r="B342" s="0" t="s">
        <v>196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447</v>
      </c>
      <c r="B343" s="0" t="s">
        <v>196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426</v>
      </c>
      <c r="B344" s="0" t="s">
        <v>196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400</v>
      </c>
      <c r="B345" s="0" t="s">
        <v>196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6918.81714523867</v>
      </c>
      <c r="F345" s="9" t="n">
        <f aca="false">F339+F342</f>
        <v>7916.65295891378</v>
      </c>
      <c r="G345" s="9" t="n">
        <f aca="false">G339+G342</f>
        <v>8927.76066455651</v>
      </c>
    </row>
    <row r="346" customFormat="false" ht="17.15" hidden="false" customHeight="false" outlineLevel="0" collapsed="false">
      <c r="A346" s="4" t="s">
        <v>503</v>
      </c>
      <c r="B346" s="0" t="s">
        <v>196</v>
      </c>
      <c r="C346" s="9" t="n">
        <f aca="false">ROUND(C337+C338+C342-a25_rev,0)</f>
        <v>0</v>
      </c>
      <c r="D346" s="9" t="n">
        <f aca="false">ROUND(D337+D338+D342-f26_rev,0)</f>
        <v>0</v>
      </c>
      <c r="H346" s="8" t="s">
        <v>504</v>
      </c>
    </row>
    <row r="347" customFormat="false" ht="15" hidden="false" customHeight="false" outlineLevel="0" collapsed="false">
      <c r="A347" s="4" t="s">
        <v>480</v>
      </c>
      <c r="B347" s="0" t="s">
        <v>196</v>
      </c>
      <c r="C347" s="9" t="n">
        <f aca="false">C340+C343+C344</f>
        <v>653.2</v>
      </c>
      <c r="D347" s="9" t="n">
        <f aca="false">D340+D343+D344</f>
        <v>1629.93073654536</v>
      </c>
      <c r="E347" s="9" t="n">
        <f aca="false">E340+E343+E344</f>
        <v>2513.72575496834</v>
      </c>
      <c r="F347" s="9" t="n">
        <f aca="false">F340+F343+F344</f>
        <v>3003.36782933587</v>
      </c>
      <c r="G347" s="9" t="n">
        <f aca="false">G340+G343+G344</f>
        <v>3495.40046507711</v>
      </c>
    </row>
    <row r="348" customFormat="false" ht="15" hidden="false" customHeight="false" outlineLevel="0" collapsed="false">
      <c r="A348" s="4" t="s">
        <v>481</v>
      </c>
      <c r="B348" s="0" t="s">
        <v>98</v>
      </c>
      <c r="C348" s="11" t="n">
        <f aca="false">C347/C345</f>
        <v>0.204758471521269</v>
      </c>
      <c r="D348" s="11" t="n">
        <f aca="false">D347/D345</f>
        <v>0.318868991420565</v>
      </c>
      <c r="E348" s="11" t="n">
        <f aca="false">E347/E345</f>
        <v>0.363317269729872</v>
      </c>
      <c r="F348" s="11" t="n">
        <f aca="false">F347/F345</f>
        <v>0.379373435329664</v>
      </c>
      <c r="G348" s="11" t="n">
        <f aca="false">G347/G345</f>
        <v>0.391520404321989</v>
      </c>
    </row>
    <row r="349" customFormat="false" ht="15" hidden="false" customHeight="false" outlineLevel="0" collapsed="false">
      <c r="A349" s="4" t="s">
        <v>412</v>
      </c>
      <c r="B349" s="0" t="s">
        <v>196</v>
      </c>
      <c r="C349" s="9" t="n">
        <f aca="false">a25_tax</f>
        <v>79.3</v>
      </c>
      <c r="D349" s="9" t="n">
        <f aca="false">f26_tax</f>
        <v>231.054736545361</v>
      </c>
      <c r="E349" s="9" t="n">
        <f aca="false">E347*etr</f>
        <v>356.339216777103</v>
      </c>
      <c r="F349" s="9" t="n">
        <f aca="false">F347*etr</f>
        <v>425.749602113047</v>
      </c>
      <c r="G349" s="9" t="n">
        <f aca="false">G347*etr</f>
        <v>495.498867203827</v>
      </c>
    </row>
    <row r="350" customFormat="false" ht="17.15" hidden="false" customHeight="false" outlineLevel="0" collapsed="false">
      <c r="A350" s="4" t="s">
        <v>413</v>
      </c>
      <c r="B350" s="0" t="s">
        <v>196</v>
      </c>
      <c r="C350" s="9" t="n">
        <f aca="false">a25_aff</f>
        <v>-19.9</v>
      </c>
      <c r="D350" s="9" t="n">
        <f aca="false">f26_aff</f>
        <v>-13.2</v>
      </c>
      <c r="E350" s="9" t="n">
        <f aca="false">aff</f>
        <v>-13.2</v>
      </c>
      <c r="F350" s="9" t="n">
        <f aca="false">aff</f>
        <v>-13.2</v>
      </c>
      <c r="G350" s="9" t="n">
        <f aca="false">aff</f>
        <v>-13.2</v>
      </c>
    </row>
    <row r="351" customFormat="false" ht="17.15" hidden="false" customHeight="false" outlineLevel="0" collapsed="false">
      <c r="A351" s="4" t="s">
        <v>482</v>
      </c>
      <c r="B351" s="0" t="s">
        <v>196</v>
      </c>
      <c r="C351" s="9" t="n">
        <f aca="false">a25_ni</f>
        <v>554</v>
      </c>
      <c r="D351" s="9" t="n">
        <f aca="false">f26_ni</f>
        <v>1385.276</v>
      </c>
      <c r="E351" s="9" t="n">
        <f aca="false">E347-E349+E350</f>
        <v>2144.18653819124</v>
      </c>
      <c r="F351" s="9" t="n">
        <f aca="false">F347-F349+F350</f>
        <v>2564.41822722282</v>
      </c>
      <c r="G351" s="9" t="n">
        <f aca="false">G347-G349+G350</f>
        <v>2986.70159787329</v>
      </c>
      <c r="H351" s="8" t="s">
        <v>505</v>
      </c>
    </row>
    <row r="352" customFormat="false" ht="15" hidden="false" customHeight="false" outlineLevel="0" collapsed="false">
      <c r="A352" s="4" t="s">
        <v>506</v>
      </c>
      <c r="B352" s="4" t="s">
        <v>258</v>
      </c>
      <c r="C352" s="9" t="n">
        <f aca="false">a25_dsh</f>
        <v>159.7</v>
      </c>
      <c r="D352" s="9" t="n">
        <f aca="false">sh26</f>
        <v>157.7</v>
      </c>
      <c r="E352" s="9" t="n">
        <f aca="false">sh26*(1-bb)^1</f>
        <v>156.123</v>
      </c>
      <c r="F352" s="9" t="n">
        <f aca="false">sh26*(1-bb)^2</f>
        <v>154.56177</v>
      </c>
      <c r="G352" s="9" t="n">
        <f aca="false">sh26*(1-bb)^3</f>
        <v>153.0161523</v>
      </c>
    </row>
    <row r="353" customFormat="false" ht="17.15" hidden="false" customHeight="false" outlineLevel="0" collapsed="false">
      <c r="A353" s="0" t="s">
        <v>415</v>
      </c>
      <c r="B353" s="0" t="s">
        <v>201</v>
      </c>
      <c r="C353" s="18" t="n">
        <f aca="false">a25_eps</f>
        <v>3.47</v>
      </c>
      <c r="D353" s="18" t="n">
        <f aca="false">D351/D352</f>
        <v>8.78424857324033</v>
      </c>
      <c r="E353" s="18" t="n">
        <f aca="false">E351/E352</f>
        <v>13.7339568045147</v>
      </c>
      <c r="F353" s="18" t="n">
        <f aca="false">F351/F352</f>
        <v>16.5915428325052</v>
      </c>
      <c r="G353" s="18" t="n">
        <f aca="false">G351/G352</f>
        <v>19.5188648582512</v>
      </c>
    </row>
    <row r="354" customFormat="false" ht="17.15" hidden="false" customHeight="false" outlineLevel="0" collapsed="false">
      <c r="A354" s="0" t="s">
        <v>507</v>
      </c>
      <c r="B354" s="0" t="s">
        <v>98</v>
      </c>
      <c r="C354" s="11" t="n">
        <f aca="false">C333/C345</f>
        <v>0.592363875740573</v>
      </c>
      <c r="D354" s="11" t="n">
        <f aca="false">D333/D345</f>
        <v>0.635675717974802</v>
      </c>
      <c r="E354" s="11" t="n">
        <f aca="false">E333/E345</f>
        <v>0.658102270433647</v>
      </c>
      <c r="F354" s="11" t="n">
        <f aca="false">F333/F345</f>
        <v>0.645481501823354</v>
      </c>
      <c r="G354" s="11" t="n">
        <f aca="false">G333/G345</f>
        <v>0.636467168399016</v>
      </c>
    </row>
    <row r="355" customFormat="false" ht="17.15" hidden="false" customHeight="false" outlineLevel="0" collapsed="false">
      <c r="A355" s="4" t="s">
        <v>508</v>
      </c>
      <c r="B355" s="0" t="s">
        <v>98</v>
      </c>
      <c r="C355" s="11" t="n">
        <f aca="false">a25_gp/a25_rev</f>
        <v>0.582225705329154</v>
      </c>
      <c r="D355" s="11" t="n">
        <f aca="false">f26_gm</f>
        <v>0.594365646092145</v>
      </c>
      <c r="E355" s="11" t="n">
        <f aca="false">f26_gm+(Q!J13-a25_gp/a25_rev)/(Q!J4/Q!J10-a25_soc/a25_rev)*(E354-D354)</f>
        <v>0.601318087341185</v>
      </c>
      <c r="F355" s="11" t="n">
        <f aca="false">f26_gm+(Q!J13-a25_gp/a25_rev)/(Q!J4/Q!J10-a25_soc/a25_rev)*(F354-D354)</f>
        <v>0.597405530899805</v>
      </c>
      <c r="G355" s="11" t="n">
        <f aca="false">f26_gm+(Q!J13-a25_gp/a25_rev)/(Q!J4/Q!J10-a25_soc/a25_rev)*(G354-D354)</f>
        <v>0.594611003134248</v>
      </c>
      <c r="H355" s="8" t="s">
        <v>509</v>
      </c>
    </row>
    <row r="360" customFormat="false" ht="17.15" hidden="false" customHeight="false" outlineLevel="0" collapsed="false">
      <c r="A360" s="1" t="s">
        <v>820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5" t="s">
        <v>472</v>
      </c>
      <c r="D361" s="15" t="s">
        <v>486</v>
      </c>
      <c r="E361" s="15" t="s">
        <v>473</v>
      </c>
      <c r="F361" s="15" t="s">
        <v>474</v>
      </c>
      <c r="G361" s="15" t="s">
        <v>475</v>
      </c>
      <c r="H361" s="5" t="s">
        <v>433</v>
      </c>
    </row>
    <row r="362" customFormat="false" ht="17.15" hidden="false" customHeight="false" outlineLevel="0" collapsed="false">
      <c r="A362" s="0" t="s">
        <v>487</v>
      </c>
      <c r="B362" s="0" t="s">
        <v>31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488</v>
      </c>
      <c r="B363" s="0" t="s">
        <v>31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3.99150647980462</v>
      </c>
      <c r="F363" s="18" t="n">
        <f aca="false">mm_A_2028</f>
        <v>5.17069526557172</v>
      </c>
      <c r="G363" s="18" t="n">
        <f aca="false">mm_A_2029</f>
        <v>6.33160644779016</v>
      </c>
    </row>
    <row r="364" customFormat="false" ht="17.15" hidden="false" customHeight="false" outlineLevel="0" collapsed="false">
      <c r="A364" s="4" t="s">
        <v>489</v>
      </c>
      <c r="B364" s="0" t="s">
        <v>98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490</v>
      </c>
    </row>
    <row r="365" customFormat="false" ht="17.15" hidden="false" customHeight="false" outlineLevel="0" collapsed="false">
      <c r="A365" s="0" t="s">
        <v>491</v>
      </c>
      <c r="B365" s="0" t="s">
        <v>196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492</v>
      </c>
    </row>
    <row r="366" customFormat="false" ht="15" hidden="false" customHeight="false" outlineLevel="0" collapsed="false">
      <c r="A366" s="4" t="s">
        <v>493</v>
      </c>
      <c r="B366" s="0" t="s">
        <v>98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494</v>
      </c>
      <c r="B367" s="0" t="s">
        <v>196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1264.33507797389</v>
      </c>
      <c r="F367" s="9" t="n">
        <f aca="false">F363*1000*F366</f>
        <v>1637.85062979426</v>
      </c>
      <c r="G367" s="9" t="n">
        <f aca="false">G363*1000*G366</f>
        <v>2005.57663437856</v>
      </c>
    </row>
    <row r="368" customFormat="false" ht="17.15" hidden="false" customHeight="false" outlineLevel="0" collapsed="false">
      <c r="A368" s="0" t="s">
        <v>495</v>
      </c>
      <c r="B368" s="0" t="s">
        <v>196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496</v>
      </c>
    </row>
    <row r="369" customFormat="false" ht="15" hidden="false" customHeight="false" outlineLevel="0" collapsed="false">
      <c r="A369" s="4" t="s">
        <v>497</v>
      </c>
      <c r="B369" s="0" t="s">
        <v>196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6091.59354523868</v>
      </c>
      <c r="F369" s="9" t="n">
        <f aca="false">F365+F367+F368</f>
        <v>7055.37307091378</v>
      </c>
      <c r="G369" s="9" t="n">
        <f aca="false">G365+G367+G368</f>
        <v>8029.69998551651</v>
      </c>
    </row>
    <row r="370" customFormat="false" ht="17.15" hidden="false" customHeight="false" outlineLevel="0" collapsed="false">
      <c r="A370" s="0" t="s">
        <v>498</v>
      </c>
      <c r="B370" s="0" t="s">
        <v>196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439</v>
      </c>
      <c r="B371" s="0" t="s">
        <v>196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6517.29714523868</v>
      </c>
      <c r="F371" s="9" t="n">
        <f aca="false">F369+F370</f>
        <v>7515.13295891378</v>
      </c>
      <c r="G371" s="9" t="n">
        <f aca="false">G369+G370</f>
        <v>8526.24066455651</v>
      </c>
    </row>
    <row r="372" customFormat="false" ht="17.15" hidden="false" customHeight="false" outlineLevel="0" collapsed="false">
      <c r="A372" s="4" t="s">
        <v>499</v>
      </c>
      <c r="B372" s="0" t="s">
        <v>196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2516.09535496834</v>
      </c>
      <c r="F372" s="9" t="n">
        <f aca="false">t_inc*F371-t_fix+0*F371</f>
        <v>2997.70702933587</v>
      </c>
      <c r="G372" s="9" t="n">
        <f aca="false">t_inc*G371-t_fix+0*G371</f>
        <v>3485.72446507711</v>
      </c>
      <c r="H372" s="4" t="s">
        <v>500</v>
      </c>
    </row>
    <row r="373" customFormat="false" ht="15" hidden="false" customHeight="false" outlineLevel="0" collapsed="false">
      <c r="A373" s="4" t="s">
        <v>501</v>
      </c>
      <c r="B373" s="0" t="s">
        <v>98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0.386064237811609</v>
      </c>
      <c r="F373" s="11" t="n">
        <f aca="false">F372/F371</f>
        <v>0.398889420283677</v>
      </c>
      <c r="G373" s="11" t="n">
        <f aca="false">G372/G371</f>
        <v>0.408823138146597</v>
      </c>
    </row>
    <row r="374" customFormat="false" ht="17.15" hidden="false" customHeight="false" outlineLevel="0" collapsed="false">
      <c r="A374" s="4" t="s">
        <v>502</v>
      </c>
      <c r="B374" s="0" t="s">
        <v>196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447</v>
      </c>
      <c r="B375" s="0" t="s">
        <v>196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426</v>
      </c>
      <c r="B376" s="0" t="s">
        <v>196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400</v>
      </c>
      <c r="B377" s="0" t="s">
        <v>196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6999.12114523867</v>
      </c>
      <c r="F377" s="9" t="n">
        <f aca="false">F371+F374</f>
        <v>8093.32175891378</v>
      </c>
      <c r="G377" s="9" t="n">
        <f aca="false">G371+G374</f>
        <v>9220.06722455651</v>
      </c>
    </row>
    <row r="378" customFormat="false" ht="17.15" hidden="false" customHeight="false" outlineLevel="0" collapsed="false">
      <c r="A378" s="4" t="s">
        <v>503</v>
      </c>
      <c r="B378" s="0" t="s">
        <v>196</v>
      </c>
      <c r="C378" s="9" t="n">
        <f aca="false">ROUND(C369+C370+C374-a25_rev,0)</f>
        <v>0</v>
      </c>
      <c r="D378" s="9" t="n">
        <f aca="false">ROUND(D369+D370+D374-f26_rev,0)</f>
        <v>0</v>
      </c>
      <c r="H378" s="8" t="s">
        <v>504</v>
      </c>
    </row>
    <row r="379" customFormat="false" ht="15" hidden="false" customHeight="false" outlineLevel="0" collapsed="false">
      <c r="A379" s="4" t="s">
        <v>480</v>
      </c>
      <c r="B379" s="0" t="s">
        <v>196</v>
      </c>
      <c r="C379" s="9" t="n">
        <f aca="false">C372+C375+C376</f>
        <v>653.2</v>
      </c>
      <c r="D379" s="9" t="n">
        <f aca="false">D372+D375+D376</f>
        <v>1629.93073654536</v>
      </c>
      <c r="E379" s="9" t="n">
        <f aca="false">E372+E375+E376</f>
        <v>2515.33183496834</v>
      </c>
      <c r="F379" s="9" t="n">
        <f aca="false">F372+F375+F376</f>
        <v>3010.43458133587</v>
      </c>
      <c r="G379" s="9" t="n">
        <f aca="false">G372+G375+G376</f>
        <v>3510.01579307711</v>
      </c>
    </row>
    <row r="380" customFormat="false" ht="15" hidden="false" customHeight="false" outlineLevel="0" collapsed="false">
      <c r="A380" s="4" t="s">
        <v>481</v>
      </c>
      <c r="B380" s="0" t="s">
        <v>98</v>
      </c>
      <c r="C380" s="11" t="n">
        <f aca="false">C379/C377</f>
        <v>0.204758471521269</v>
      </c>
      <c r="D380" s="11" t="n">
        <f aca="false">D379/D377</f>
        <v>0.318868991420565</v>
      </c>
      <c r="E380" s="11" t="n">
        <f aca="false">E379/E377</f>
        <v>0.359378239463602</v>
      </c>
      <c r="F380" s="11" t="n">
        <f aca="false">F379/F377</f>
        <v>0.37196526605658</v>
      </c>
      <c r="G380" s="11" t="n">
        <f aca="false">G379/G377</f>
        <v>0.380693080385425</v>
      </c>
    </row>
    <row r="381" customFormat="false" ht="15" hidden="false" customHeight="false" outlineLevel="0" collapsed="false">
      <c r="A381" s="4" t="s">
        <v>412</v>
      </c>
      <c r="B381" s="0" t="s">
        <v>196</v>
      </c>
      <c r="C381" s="9" t="n">
        <f aca="false">a25_tax</f>
        <v>79.3</v>
      </c>
      <c r="D381" s="9" t="n">
        <f aca="false">f26_tax</f>
        <v>231.054736545361</v>
      </c>
      <c r="E381" s="9" t="n">
        <f aca="false">E379*etr</f>
        <v>356.566890495348</v>
      </c>
      <c r="F381" s="9" t="n">
        <f aca="false">F379*etr</f>
        <v>426.751366473324</v>
      </c>
      <c r="G381" s="9" t="n">
        <f aca="false">G379*etr</f>
        <v>497.570698039855</v>
      </c>
    </row>
    <row r="382" customFormat="false" ht="17.15" hidden="false" customHeight="false" outlineLevel="0" collapsed="false">
      <c r="A382" s="4" t="s">
        <v>413</v>
      </c>
      <c r="B382" s="0" t="s">
        <v>196</v>
      </c>
      <c r="C382" s="9" t="n">
        <f aca="false">a25_aff</f>
        <v>-19.9</v>
      </c>
      <c r="D382" s="9" t="n">
        <f aca="false">f26_aff</f>
        <v>-13.2</v>
      </c>
      <c r="E382" s="9" t="n">
        <f aca="false">aff</f>
        <v>-13.2</v>
      </c>
      <c r="F382" s="9" t="n">
        <f aca="false">aff</f>
        <v>-13.2</v>
      </c>
      <c r="G382" s="9" t="n">
        <f aca="false">aff</f>
        <v>-13.2</v>
      </c>
    </row>
    <row r="383" customFormat="false" ht="17.15" hidden="false" customHeight="false" outlineLevel="0" collapsed="false">
      <c r="A383" s="4" t="s">
        <v>482</v>
      </c>
      <c r="B383" s="0" t="s">
        <v>196</v>
      </c>
      <c r="C383" s="9" t="n">
        <f aca="false">a25_ni</f>
        <v>554</v>
      </c>
      <c r="D383" s="9" t="n">
        <f aca="false">f26_ni</f>
        <v>1385.276</v>
      </c>
      <c r="E383" s="9" t="n">
        <f aca="false">E379-E381+E382</f>
        <v>2145.564944473</v>
      </c>
      <c r="F383" s="9" t="n">
        <f aca="false">F379-F381+F382</f>
        <v>2570.48321486255</v>
      </c>
      <c r="G383" s="9" t="n">
        <f aca="false">G379-G381+G382</f>
        <v>2999.24509503726</v>
      </c>
      <c r="H383" s="8" t="s">
        <v>505</v>
      </c>
    </row>
    <row r="384" customFormat="false" ht="15" hidden="false" customHeight="false" outlineLevel="0" collapsed="false">
      <c r="A384" s="4" t="s">
        <v>506</v>
      </c>
      <c r="B384" s="4" t="s">
        <v>258</v>
      </c>
      <c r="C384" s="9" t="n">
        <f aca="false">a25_dsh</f>
        <v>159.7</v>
      </c>
      <c r="D384" s="9" t="n">
        <f aca="false">sh26</f>
        <v>157.7</v>
      </c>
      <c r="E384" s="9" t="n">
        <f aca="false">sh26*(1-bb)^1</f>
        <v>156.123</v>
      </c>
      <c r="F384" s="9" t="n">
        <f aca="false">sh26*(1-bb)^2</f>
        <v>154.56177</v>
      </c>
      <c r="G384" s="9" t="n">
        <f aca="false">sh26*(1-bb)^3</f>
        <v>153.0161523</v>
      </c>
    </row>
    <row r="385" customFormat="false" ht="17.15" hidden="false" customHeight="false" outlineLevel="0" collapsed="false">
      <c r="A385" s="0" t="s">
        <v>415</v>
      </c>
      <c r="B385" s="0" t="s">
        <v>201</v>
      </c>
      <c r="C385" s="18" t="n">
        <f aca="false">a25_eps</f>
        <v>3.47</v>
      </c>
      <c r="D385" s="18" t="n">
        <f aca="false">D383/D384</f>
        <v>8.78424857324033</v>
      </c>
      <c r="E385" s="18" t="n">
        <f aca="false">E383/E384</f>
        <v>13.7427857809099</v>
      </c>
      <c r="F385" s="18" t="n">
        <f aca="false">F383/F384</f>
        <v>16.6307827275952</v>
      </c>
      <c r="G385" s="18" t="n">
        <f aca="false">G383/G384</f>
        <v>19.6008398456982</v>
      </c>
    </row>
    <row r="386" customFormat="false" ht="17.15" hidden="false" customHeight="false" outlineLevel="0" collapsed="false">
      <c r="A386" s="0" t="s">
        <v>507</v>
      </c>
      <c r="B386" s="0" t="s">
        <v>98</v>
      </c>
      <c r="C386" s="11" t="n">
        <f aca="false">C365/C377</f>
        <v>0.592363875740573</v>
      </c>
      <c r="D386" s="11" t="n">
        <f aca="false">D365/D377</f>
        <v>0.635675717974802</v>
      </c>
      <c r="E386" s="11" t="n">
        <f aca="false">E365/E377</f>
        <v>0.650551573192058</v>
      </c>
      <c r="F386" s="11" t="n">
        <f aca="false">F365/F377</f>
        <v>0.631391311695458</v>
      </c>
      <c r="G386" s="11" t="n">
        <f aca="false">G365/G377</f>
        <v>0.616289058628606</v>
      </c>
    </row>
    <row r="387" customFormat="false" ht="17.15" hidden="false" customHeight="false" outlineLevel="0" collapsed="false">
      <c r="A387" s="4" t="s">
        <v>508</v>
      </c>
      <c r="B387" s="0" t="s">
        <v>98</v>
      </c>
      <c r="C387" s="11" t="n">
        <f aca="false">a25_gp/a25_rev</f>
        <v>0.582225705329154</v>
      </c>
      <c r="D387" s="11" t="n">
        <f aca="false">f26_gm</f>
        <v>0.594365646092145</v>
      </c>
      <c r="E387" s="11" t="n">
        <f aca="false">f26_gm+(Q!J13-a25_gp/a25_rev)/(Q!J4/Q!J10-a25_soc/a25_rev)*(E386-D386)</f>
        <v>0.598977300496762</v>
      </c>
      <c r="F387" s="11" t="n">
        <f aca="false">f26_gm+(Q!J13-a25_gp/a25_rev)/(Q!J4/Q!J10-a25_soc/a25_rev)*(F386-D386)</f>
        <v>0.593037440029318</v>
      </c>
      <c r="G387" s="11" t="n">
        <f aca="false">f26_gm+(Q!J13-a25_gp/a25_rev)/(Q!J4/Q!J10-a25_soc/a25_rev)*(G386-D386)</f>
        <v>0.588355600171493</v>
      </c>
      <c r="H387" s="8" t="s">
        <v>509</v>
      </c>
    </row>
    <row r="392" customFormat="false" ht="17.15" hidden="false" customHeight="false" outlineLevel="0" collapsed="false">
      <c r="A392" s="1" t="s">
        <v>821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5" t="s">
        <v>472</v>
      </c>
      <c r="D393" s="15" t="s">
        <v>486</v>
      </c>
      <c r="E393" s="15" t="s">
        <v>473</v>
      </c>
      <c r="F393" s="15" t="s">
        <v>474</v>
      </c>
      <c r="G393" s="15" t="s">
        <v>475</v>
      </c>
      <c r="H393" s="5" t="s">
        <v>433</v>
      </c>
    </row>
    <row r="394" customFormat="false" ht="17.15" hidden="false" customHeight="false" outlineLevel="0" collapsed="false">
      <c r="A394" s="0" t="s">
        <v>487</v>
      </c>
      <c r="B394" s="0" t="s">
        <v>31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488</v>
      </c>
      <c r="B395" s="0" t="s">
        <v>31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3.99150647980462</v>
      </c>
      <c r="F395" s="18" t="n">
        <f aca="false">mm_A_2028</f>
        <v>5.17069526557172</v>
      </c>
      <c r="G395" s="18" t="n">
        <f aca="false">mm_A_2029</f>
        <v>6.33160644779016</v>
      </c>
    </row>
    <row r="396" customFormat="false" ht="17.15" hidden="false" customHeight="false" outlineLevel="0" collapsed="false">
      <c r="A396" s="4" t="s">
        <v>489</v>
      </c>
      <c r="B396" s="0" t="s">
        <v>98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490</v>
      </c>
    </row>
    <row r="397" customFormat="false" ht="17.15" hidden="false" customHeight="false" outlineLevel="0" collapsed="false">
      <c r="A397" s="0" t="s">
        <v>491</v>
      </c>
      <c r="B397" s="0" t="s">
        <v>196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492</v>
      </c>
    </row>
    <row r="398" customFormat="false" ht="15" hidden="false" customHeight="false" outlineLevel="0" collapsed="false">
      <c r="A398" s="4" t="s">
        <v>493</v>
      </c>
      <c r="B398" s="0" t="s">
        <v>98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494</v>
      </c>
      <c r="B399" s="0" t="s">
        <v>196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1264.33507797389</v>
      </c>
      <c r="F399" s="9" t="n">
        <f aca="false">F395*1000*F398</f>
        <v>1637.85062979426</v>
      </c>
      <c r="G399" s="9" t="n">
        <f aca="false">G395*1000*G398</f>
        <v>2005.57663437856</v>
      </c>
    </row>
    <row r="400" customFormat="false" ht="17.15" hidden="false" customHeight="false" outlineLevel="0" collapsed="false">
      <c r="A400" s="0" t="s">
        <v>495</v>
      </c>
      <c r="B400" s="0" t="s">
        <v>196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496</v>
      </c>
    </row>
    <row r="401" customFormat="false" ht="15" hidden="false" customHeight="false" outlineLevel="0" collapsed="false">
      <c r="A401" s="4" t="s">
        <v>497</v>
      </c>
      <c r="B401" s="0" t="s">
        <v>196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6091.59354523868</v>
      </c>
      <c r="F401" s="9" t="n">
        <f aca="false">F397+F399+F400</f>
        <v>7055.37307091378</v>
      </c>
      <c r="G401" s="9" t="n">
        <f aca="false">G397+G399+G400</f>
        <v>8029.69998551651</v>
      </c>
    </row>
    <row r="402" customFormat="false" ht="17.15" hidden="false" customHeight="false" outlineLevel="0" collapsed="false">
      <c r="A402" s="0" t="s">
        <v>498</v>
      </c>
      <c r="B402" s="0" t="s">
        <v>196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439</v>
      </c>
      <c r="B403" s="0" t="s">
        <v>196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6517.29714523868</v>
      </c>
      <c r="F403" s="9" t="n">
        <f aca="false">F401+F402</f>
        <v>7515.13295891378</v>
      </c>
      <c r="G403" s="9" t="n">
        <f aca="false">G401+G402</f>
        <v>8526.24066455651</v>
      </c>
    </row>
    <row r="404" customFormat="false" ht="17.15" hidden="false" customHeight="false" outlineLevel="0" collapsed="false">
      <c r="A404" s="4" t="s">
        <v>499</v>
      </c>
      <c r="B404" s="0" t="s">
        <v>196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2516.09535496834</v>
      </c>
      <c r="F404" s="9" t="n">
        <f aca="false">t_inc*F403-t_fix+0*F403</f>
        <v>2997.70702933587</v>
      </c>
      <c r="G404" s="9" t="n">
        <f aca="false">t_inc*G403-t_fix+0*G403</f>
        <v>3485.72446507711</v>
      </c>
      <c r="H404" s="4" t="s">
        <v>500</v>
      </c>
    </row>
    <row r="405" customFormat="false" ht="15" hidden="false" customHeight="false" outlineLevel="0" collapsed="false">
      <c r="A405" s="4" t="s">
        <v>501</v>
      </c>
      <c r="B405" s="0" t="s">
        <v>98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0.386064237811609</v>
      </c>
      <c r="F405" s="11" t="n">
        <f aca="false">F404/F403</f>
        <v>0.398889420283677</v>
      </c>
      <c r="G405" s="11" t="n">
        <f aca="false">G404/G403</f>
        <v>0.408823138146597</v>
      </c>
    </row>
    <row r="406" customFormat="false" ht="17.15" hidden="false" customHeight="false" outlineLevel="0" collapsed="false">
      <c r="A406" s="4" t="s">
        <v>502</v>
      </c>
      <c r="B406" s="0" t="s">
        <v>196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447</v>
      </c>
      <c r="B407" s="0" t="s">
        <v>196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426</v>
      </c>
      <c r="B408" s="0" t="s">
        <v>196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400</v>
      </c>
      <c r="B409" s="0" t="s">
        <v>196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6958.96914523867</v>
      </c>
      <c r="F409" s="9" t="n">
        <f aca="false">F403+F406</f>
        <v>8000.97215891378</v>
      </c>
      <c r="G409" s="9" t="n">
        <f aca="false">G403+G406</f>
        <v>9060.66378455651</v>
      </c>
    </row>
    <row r="410" customFormat="false" ht="17.15" hidden="false" customHeight="false" outlineLevel="0" collapsed="false">
      <c r="A410" s="4" t="s">
        <v>503</v>
      </c>
      <c r="B410" s="0" t="s">
        <v>196</v>
      </c>
      <c r="C410" s="9" t="n">
        <f aca="false">ROUND(C401+C402+C406-a25_rev,0)</f>
        <v>0</v>
      </c>
      <c r="D410" s="9" t="n">
        <f aca="false">ROUND(D401+D402+D406-f26_rev,0)</f>
        <v>0</v>
      </c>
      <c r="H410" s="8" t="s">
        <v>504</v>
      </c>
    </row>
    <row r="411" customFormat="false" ht="15" hidden="false" customHeight="false" outlineLevel="0" collapsed="false">
      <c r="A411" s="4" t="s">
        <v>480</v>
      </c>
      <c r="B411" s="0" t="s">
        <v>196</v>
      </c>
      <c r="C411" s="9" t="n">
        <f aca="false">C404+C407+C408</f>
        <v>653.2</v>
      </c>
      <c r="D411" s="9" t="n">
        <f aca="false">D404+D407+D408</f>
        <v>1629.93073654536</v>
      </c>
      <c r="E411" s="9" t="n">
        <f aca="false">E404+E407+E408</f>
        <v>2483.61175496834</v>
      </c>
      <c r="F411" s="9" t="n">
        <f aca="false">F404+F407+F408</f>
        <v>2972.73185333587</v>
      </c>
      <c r="G411" s="9" t="n">
        <f aca="false">G404+G407+G408</f>
        <v>3464.63600267711</v>
      </c>
    </row>
    <row r="412" customFormat="false" ht="15" hidden="false" customHeight="false" outlineLevel="0" collapsed="false">
      <c r="A412" s="4" t="s">
        <v>481</v>
      </c>
      <c r="B412" s="0" t="s">
        <v>98</v>
      </c>
      <c r="C412" s="11" t="n">
        <f aca="false">C411/C409</f>
        <v>0.204758471521269</v>
      </c>
      <c r="D412" s="11" t="n">
        <f aca="false">D411/D409</f>
        <v>0.318868991420565</v>
      </c>
      <c r="E412" s="11" t="n">
        <f aca="false">E411/E409</f>
        <v>0.356893629377223</v>
      </c>
      <c r="F412" s="11" t="n">
        <f aca="false">F411/F409</f>
        <v>0.371546331407239</v>
      </c>
      <c r="G412" s="11" t="n">
        <f aca="false">G411/G409</f>
        <v>0.382382139439103</v>
      </c>
    </row>
    <row r="413" customFormat="false" ht="15" hidden="false" customHeight="false" outlineLevel="0" collapsed="false">
      <c r="A413" s="4" t="s">
        <v>412</v>
      </c>
      <c r="B413" s="0" t="s">
        <v>196</v>
      </c>
      <c r="C413" s="9" t="n">
        <f aca="false">a25_tax</f>
        <v>79.3</v>
      </c>
      <c r="D413" s="9" t="n">
        <f aca="false">f26_tax</f>
        <v>231.054736545361</v>
      </c>
      <c r="E413" s="9" t="n">
        <f aca="false">E411*etr</f>
        <v>352.070334560013</v>
      </c>
      <c r="F413" s="9" t="n">
        <f aca="false">F411*etr</f>
        <v>421.406725937527</v>
      </c>
      <c r="G413" s="9" t="n">
        <f aca="false">G411*etr</f>
        <v>491.137777130848</v>
      </c>
    </row>
    <row r="414" customFormat="false" ht="17.15" hidden="false" customHeight="false" outlineLevel="0" collapsed="false">
      <c r="A414" s="4" t="s">
        <v>413</v>
      </c>
      <c r="B414" s="0" t="s">
        <v>196</v>
      </c>
      <c r="C414" s="9" t="n">
        <f aca="false">a25_aff</f>
        <v>-19.9</v>
      </c>
      <c r="D414" s="9" t="n">
        <f aca="false">f26_aff</f>
        <v>-13.2</v>
      </c>
      <c r="E414" s="9" t="n">
        <f aca="false">aff</f>
        <v>-13.2</v>
      </c>
      <c r="F414" s="9" t="n">
        <f aca="false">aff</f>
        <v>-13.2</v>
      </c>
      <c r="G414" s="9" t="n">
        <f aca="false">aff</f>
        <v>-13.2</v>
      </c>
    </row>
    <row r="415" customFormat="false" ht="17.15" hidden="false" customHeight="false" outlineLevel="0" collapsed="false">
      <c r="A415" s="4" t="s">
        <v>482</v>
      </c>
      <c r="B415" s="0" t="s">
        <v>196</v>
      </c>
      <c r="C415" s="9" t="n">
        <f aca="false">a25_ni</f>
        <v>554</v>
      </c>
      <c r="D415" s="9" t="n">
        <f aca="false">f26_ni</f>
        <v>1385.276</v>
      </c>
      <c r="E415" s="9" t="n">
        <f aca="false">E411-E413+E414</f>
        <v>2118.34142040833</v>
      </c>
      <c r="F415" s="9" t="n">
        <f aca="false">F411-F413+F414</f>
        <v>2538.12512739834</v>
      </c>
      <c r="G415" s="9" t="n">
        <f aca="false">G411-G413+G414</f>
        <v>2960.29822554627</v>
      </c>
      <c r="H415" s="8" t="s">
        <v>505</v>
      </c>
    </row>
    <row r="416" customFormat="false" ht="15" hidden="false" customHeight="false" outlineLevel="0" collapsed="false">
      <c r="A416" s="4" t="s">
        <v>506</v>
      </c>
      <c r="B416" s="4" t="s">
        <v>258</v>
      </c>
      <c r="C416" s="9" t="n">
        <f aca="false">a25_dsh</f>
        <v>159.7</v>
      </c>
      <c r="D416" s="9" t="n">
        <f aca="false">sh26</f>
        <v>157.7</v>
      </c>
      <c r="E416" s="9" t="n">
        <f aca="false">sh26*(1-bb)^1</f>
        <v>156.123</v>
      </c>
      <c r="F416" s="9" t="n">
        <f aca="false">sh26*(1-bb)^2</f>
        <v>154.56177</v>
      </c>
      <c r="G416" s="9" t="n">
        <f aca="false">sh26*(1-bb)^3</f>
        <v>153.0161523</v>
      </c>
    </row>
    <row r="417" customFormat="false" ht="17.15" hidden="false" customHeight="false" outlineLevel="0" collapsed="false">
      <c r="A417" s="0" t="s">
        <v>415</v>
      </c>
      <c r="B417" s="0" t="s">
        <v>201</v>
      </c>
      <c r="C417" s="18" t="n">
        <f aca="false">a25_eps</f>
        <v>3.47</v>
      </c>
      <c r="D417" s="18" t="n">
        <f aca="false">D415/D416</f>
        <v>8.78424857324033</v>
      </c>
      <c r="E417" s="18" t="n">
        <f aca="false">E415/E416</f>
        <v>13.5684134971038</v>
      </c>
      <c r="F417" s="18" t="n">
        <f aca="false">F415/F416</f>
        <v>16.4214289691322</v>
      </c>
      <c r="G417" s="18" t="n">
        <f aca="false">G415/G416</f>
        <v>19.3463120137956</v>
      </c>
    </row>
    <row r="418" customFormat="false" ht="17.15" hidden="false" customHeight="false" outlineLevel="0" collapsed="false">
      <c r="A418" s="0" t="s">
        <v>507</v>
      </c>
      <c r="B418" s="0" t="s">
        <v>98</v>
      </c>
      <c r="C418" s="11" t="n">
        <f aca="false">C397/C409</f>
        <v>0.592363875740573</v>
      </c>
      <c r="D418" s="11" t="n">
        <f aca="false">D397/D409</f>
        <v>0.635675717974802</v>
      </c>
      <c r="E418" s="11" t="n">
        <f aca="false">E397/E409</f>
        <v>0.654305138730523</v>
      </c>
      <c r="F418" s="11" t="n">
        <f aca="false">F397/F409</f>
        <v>0.638679017979199</v>
      </c>
      <c r="G418" s="11" t="n">
        <f aca="false">G397/G409</f>
        <v>0.627131376400865</v>
      </c>
    </row>
    <row r="419" customFormat="false" ht="17.15" hidden="false" customHeight="false" outlineLevel="0" collapsed="false">
      <c r="A419" s="4" t="s">
        <v>508</v>
      </c>
      <c r="B419" s="0" t="s">
        <v>98</v>
      </c>
      <c r="C419" s="11" t="n">
        <f aca="false">a25_gp/a25_rev</f>
        <v>0.582225705329154</v>
      </c>
      <c r="D419" s="11" t="n">
        <f aca="false">f26_gm</f>
        <v>0.594365646092145</v>
      </c>
      <c r="E419" s="11" t="n">
        <f aca="false">f26_gm+(Q!J13-a25_gp/a25_rev)/(Q!J4/Q!J10-a25_soc/a25_rev)*(E418-D418)</f>
        <v>0.600140940959489</v>
      </c>
      <c r="F419" s="11" t="n">
        <f aca="false">f26_gm+(Q!J13-a25_gp/a25_rev)/(Q!J4/Q!J10-a25_soc/a25_rev)*(F418-D418)</f>
        <v>0.595296697214342</v>
      </c>
      <c r="G419" s="11" t="n">
        <f aca="false">f26_gm+(Q!J13-a25_gp/a25_rev)/(Q!J4/Q!J10-a25_soc/a25_rev)*(G418-D418)</f>
        <v>0.591716820200892</v>
      </c>
      <c r="H419" s="8" t="s">
        <v>509</v>
      </c>
    </row>
    <row r="424" customFormat="false" ht="17.15" hidden="false" customHeight="false" outlineLevel="0" collapsed="false">
      <c r="A424" s="1" t="s">
        <v>822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5" t="s">
        <v>472</v>
      </c>
      <c r="D425" s="15" t="s">
        <v>486</v>
      </c>
      <c r="E425" s="15" t="s">
        <v>473</v>
      </c>
      <c r="F425" s="15" t="s">
        <v>474</v>
      </c>
      <c r="G425" s="15" t="s">
        <v>475</v>
      </c>
      <c r="H425" s="5" t="s">
        <v>433</v>
      </c>
    </row>
    <row r="426" customFormat="false" ht="17.15" hidden="false" customHeight="false" outlineLevel="0" collapsed="false">
      <c r="A426" s="0" t="s">
        <v>487</v>
      </c>
      <c r="B426" s="0" t="s">
        <v>31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488</v>
      </c>
      <c r="B427" s="0" t="s">
        <v>31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3.99150647980462</v>
      </c>
      <c r="F427" s="18" t="n">
        <f aca="false">mm_A_2028</f>
        <v>5.17069526557172</v>
      </c>
      <c r="G427" s="18" t="n">
        <f aca="false">mm_A_2029</f>
        <v>6.33160644779016</v>
      </c>
    </row>
    <row r="428" customFormat="false" ht="17.15" hidden="false" customHeight="false" outlineLevel="0" collapsed="false">
      <c r="A428" s="4" t="s">
        <v>489</v>
      </c>
      <c r="B428" s="0" t="s">
        <v>98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490</v>
      </c>
    </row>
    <row r="429" customFormat="false" ht="17.15" hidden="false" customHeight="false" outlineLevel="0" collapsed="false">
      <c r="A429" s="0" t="s">
        <v>491</v>
      </c>
      <c r="B429" s="0" t="s">
        <v>196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492</v>
      </c>
    </row>
    <row r="430" customFormat="false" ht="15" hidden="false" customHeight="false" outlineLevel="0" collapsed="false">
      <c r="A430" s="4" t="s">
        <v>493</v>
      </c>
      <c r="B430" s="0" t="s">
        <v>98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494</v>
      </c>
      <c r="B431" s="0" t="s">
        <v>196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1264.33507797389</v>
      </c>
      <c r="F431" s="9" t="n">
        <f aca="false">F427*1000*F430</f>
        <v>1637.85062979426</v>
      </c>
      <c r="G431" s="9" t="n">
        <f aca="false">G427*1000*G430</f>
        <v>2005.57663437856</v>
      </c>
    </row>
    <row r="432" customFormat="false" ht="17.15" hidden="false" customHeight="false" outlineLevel="0" collapsed="false">
      <c r="A432" s="0" t="s">
        <v>495</v>
      </c>
      <c r="B432" s="0" t="s">
        <v>196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496</v>
      </c>
    </row>
    <row r="433" customFormat="false" ht="15" hidden="false" customHeight="false" outlineLevel="0" collapsed="false">
      <c r="A433" s="4" t="s">
        <v>497</v>
      </c>
      <c r="B433" s="0" t="s">
        <v>196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6091.59354523868</v>
      </c>
      <c r="F433" s="9" t="n">
        <f aca="false">F429+F431+F432</f>
        <v>7055.37307091378</v>
      </c>
      <c r="G433" s="9" t="n">
        <f aca="false">G429+G431+G432</f>
        <v>8029.69998551651</v>
      </c>
    </row>
    <row r="434" customFormat="false" ht="17.15" hidden="false" customHeight="false" outlineLevel="0" collapsed="false">
      <c r="A434" s="0" t="s">
        <v>498</v>
      </c>
      <c r="B434" s="0" t="s">
        <v>196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439</v>
      </c>
      <c r="B435" s="0" t="s">
        <v>196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6517.29714523868</v>
      </c>
      <c r="F435" s="9" t="n">
        <f aca="false">F433+F434</f>
        <v>7515.13295891378</v>
      </c>
      <c r="G435" s="9" t="n">
        <f aca="false">G433+G434</f>
        <v>8526.24066455651</v>
      </c>
    </row>
    <row r="436" customFormat="false" ht="17.15" hidden="false" customHeight="false" outlineLevel="0" collapsed="false">
      <c r="A436" s="4" t="s">
        <v>499</v>
      </c>
      <c r="B436" s="0" t="s">
        <v>196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2516.09535496834</v>
      </c>
      <c r="F436" s="9" t="n">
        <f aca="false">t_inc*F435-t_fix+0*F435</f>
        <v>2997.70702933587</v>
      </c>
      <c r="G436" s="9" t="n">
        <f aca="false">t_inc*G435-t_fix+0*G435</f>
        <v>3485.72446507711</v>
      </c>
      <c r="H436" s="4" t="s">
        <v>500</v>
      </c>
    </row>
    <row r="437" customFormat="false" ht="15" hidden="false" customHeight="false" outlineLevel="0" collapsed="false">
      <c r="A437" s="4" t="s">
        <v>501</v>
      </c>
      <c r="B437" s="0" t="s">
        <v>98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0.386064237811609</v>
      </c>
      <c r="F437" s="11" t="n">
        <f aca="false">F436/F435</f>
        <v>0.398889420283677</v>
      </c>
      <c r="G437" s="11" t="n">
        <f aca="false">G436/G435</f>
        <v>0.408823138146597</v>
      </c>
    </row>
    <row r="438" customFormat="false" ht="17.15" hidden="false" customHeight="false" outlineLevel="0" collapsed="false">
      <c r="A438" s="4" t="s">
        <v>502</v>
      </c>
      <c r="B438" s="0" t="s">
        <v>196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447</v>
      </c>
      <c r="B439" s="0" t="s">
        <v>196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426</v>
      </c>
      <c r="B440" s="0" t="s">
        <v>196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400</v>
      </c>
      <c r="B441" s="0" t="s">
        <v>196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6958.96914523867</v>
      </c>
      <c r="F441" s="9" t="n">
        <f aca="false">F435+F438</f>
        <v>8000.97215891378</v>
      </c>
      <c r="G441" s="9" t="n">
        <f aca="false">G435+G438</f>
        <v>9060.66378455651</v>
      </c>
    </row>
    <row r="442" customFormat="false" ht="17.15" hidden="false" customHeight="false" outlineLevel="0" collapsed="false">
      <c r="A442" s="4" t="s">
        <v>503</v>
      </c>
      <c r="B442" s="0" t="s">
        <v>196</v>
      </c>
      <c r="C442" s="9" t="n">
        <f aca="false">ROUND(C433+C434+C438-a25_rev,0)</f>
        <v>0</v>
      </c>
      <c r="D442" s="9" t="n">
        <f aca="false">ROUND(D433+D434+D438-f26_rev,0)</f>
        <v>0</v>
      </c>
      <c r="H442" s="8" t="s">
        <v>504</v>
      </c>
    </row>
    <row r="443" customFormat="false" ht="15" hidden="false" customHeight="false" outlineLevel="0" collapsed="false">
      <c r="A443" s="4" t="s">
        <v>480</v>
      </c>
      <c r="B443" s="0" t="s">
        <v>196</v>
      </c>
      <c r="C443" s="9" t="n">
        <f aca="false">C436+C439+C440</f>
        <v>653.2</v>
      </c>
      <c r="D443" s="9" t="n">
        <f aca="false">D436+D439+D440</f>
        <v>1629.93073654536</v>
      </c>
      <c r="E443" s="9" t="n">
        <f aca="false">E436+E439+E440</f>
        <v>2536.61239496834</v>
      </c>
      <c r="F443" s="9" t="n">
        <f aca="false">F436+F439+F440</f>
        <v>3031.03255733587</v>
      </c>
      <c r="G443" s="9" t="n">
        <f aca="false">G436+G439+G440</f>
        <v>3528.76677707711</v>
      </c>
    </row>
    <row r="444" customFormat="false" ht="15" hidden="false" customHeight="false" outlineLevel="0" collapsed="false">
      <c r="A444" s="4" t="s">
        <v>481</v>
      </c>
      <c r="B444" s="0" t="s">
        <v>98</v>
      </c>
      <c r="C444" s="11" t="n">
        <f aca="false">C443/C441</f>
        <v>0.204758471521269</v>
      </c>
      <c r="D444" s="11" t="n">
        <f aca="false">D443/D441</f>
        <v>0.318868991420565</v>
      </c>
      <c r="E444" s="11" t="n">
        <f aca="false">E443/E441</f>
        <v>0.364509791899838</v>
      </c>
      <c r="F444" s="11" t="n">
        <f aca="false">F443/F441</f>
        <v>0.378833033928138</v>
      </c>
      <c r="G444" s="11" t="n">
        <f aca="false">G443/G441</f>
        <v>0.389460072791989</v>
      </c>
    </row>
    <row r="445" customFormat="false" ht="15" hidden="false" customHeight="false" outlineLevel="0" collapsed="false">
      <c r="A445" s="4" t="s">
        <v>412</v>
      </c>
      <c r="B445" s="0" t="s">
        <v>196</v>
      </c>
      <c r="C445" s="9" t="n">
        <f aca="false">a25_tax</f>
        <v>79.3</v>
      </c>
      <c r="D445" s="9" t="n">
        <f aca="false">f26_tax</f>
        <v>231.054736545361</v>
      </c>
      <c r="E445" s="9" t="n">
        <f aca="false">E443*etr</f>
        <v>359.583567262091</v>
      </c>
      <c r="F445" s="9" t="n">
        <f aca="false">F443*etr</f>
        <v>429.671281909814</v>
      </c>
      <c r="G445" s="9" t="n">
        <f aca="false">G443*etr</f>
        <v>500.228788700363</v>
      </c>
    </row>
    <row r="446" customFormat="false" ht="17.15" hidden="false" customHeight="false" outlineLevel="0" collapsed="false">
      <c r="A446" s="4" t="s">
        <v>413</v>
      </c>
      <c r="B446" s="0" t="s">
        <v>196</v>
      </c>
      <c r="C446" s="9" t="n">
        <f aca="false">a25_aff</f>
        <v>-19.9</v>
      </c>
      <c r="D446" s="9" t="n">
        <f aca="false">f26_aff</f>
        <v>-13.2</v>
      </c>
      <c r="E446" s="9" t="n">
        <f aca="false">aff</f>
        <v>-13.2</v>
      </c>
      <c r="F446" s="9" t="n">
        <f aca="false">aff</f>
        <v>-13.2</v>
      </c>
      <c r="G446" s="9" t="n">
        <f aca="false">aff</f>
        <v>-13.2</v>
      </c>
    </row>
    <row r="447" customFormat="false" ht="17.15" hidden="false" customHeight="false" outlineLevel="0" collapsed="false">
      <c r="A447" s="4" t="s">
        <v>482</v>
      </c>
      <c r="B447" s="0" t="s">
        <v>196</v>
      </c>
      <c r="C447" s="9" t="n">
        <f aca="false">a25_ni</f>
        <v>554</v>
      </c>
      <c r="D447" s="9" t="n">
        <f aca="false">f26_ni</f>
        <v>1385.276</v>
      </c>
      <c r="E447" s="9" t="n">
        <f aca="false">E443-E445+E446</f>
        <v>2163.82882770625</v>
      </c>
      <c r="F447" s="9" t="n">
        <f aca="false">F443-F445+F446</f>
        <v>2588.16127542606</v>
      </c>
      <c r="G447" s="9" t="n">
        <f aca="false">G443-G445+G446</f>
        <v>3015.33798837675</v>
      </c>
      <c r="H447" s="8" t="s">
        <v>505</v>
      </c>
    </row>
    <row r="448" customFormat="false" ht="15" hidden="false" customHeight="false" outlineLevel="0" collapsed="false">
      <c r="A448" s="4" t="s">
        <v>506</v>
      </c>
      <c r="B448" s="4" t="s">
        <v>258</v>
      </c>
      <c r="C448" s="9" t="n">
        <f aca="false">a25_dsh</f>
        <v>159.7</v>
      </c>
      <c r="D448" s="9" t="n">
        <f aca="false">sh26</f>
        <v>157.7</v>
      </c>
      <c r="E448" s="9" t="n">
        <f aca="false">sh26*(1-bb)^1</f>
        <v>156.123</v>
      </c>
      <c r="F448" s="9" t="n">
        <f aca="false">sh26*(1-bb)^2</f>
        <v>154.56177</v>
      </c>
      <c r="G448" s="9" t="n">
        <f aca="false">sh26*(1-bb)^3</f>
        <v>153.0161523</v>
      </c>
    </row>
    <row r="449" customFormat="false" ht="17.15" hidden="false" customHeight="false" outlineLevel="0" collapsed="false">
      <c r="A449" s="0" t="s">
        <v>415</v>
      </c>
      <c r="B449" s="0" t="s">
        <v>201</v>
      </c>
      <c r="C449" s="18" t="n">
        <f aca="false">a25_eps</f>
        <v>3.47</v>
      </c>
      <c r="D449" s="18" t="n">
        <f aca="false">D447/D448</f>
        <v>8.78424857324033</v>
      </c>
      <c r="E449" s="18" t="n">
        <f aca="false">E447/E448</f>
        <v>13.8597697181469</v>
      </c>
      <c r="F449" s="18" t="n">
        <f aca="false">F447/F448</f>
        <v>16.7451581036246</v>
      </c>
      <c r="G449" s="18" t="n">
        <f aca="false">G447/G448</f>
        <v>19.7060110521205</v>
      </c>
    </row>
    <row r="450" customFormat="false" ht="17.15" hidden="false" customHeight="false" outlineLevel="0" collapsed="false">
      <c r="A450" s="0" t="s">
        <v>507</v>
      </c>
      <c r="B450" s="0" t="s">
        <v>98</v>
      </c>
      <c r="C450" s="11" t="n">
        <f aca="false">C429/C441</f>
        <v>0.592363875740573</v>
      </c>
      <c r="D450" s="11" t="n">
        <f aca="false">D429/D441</f>
        <v>0.635675717974802</v>
      </c>
      <c r="E450" s="11" t="n">
        <f aca="false">E429/E441</f>
        <v>0.654305138730523</v>
      </c>
      <c r="F450" s="11" t="n">
        <f aca="false">F429/F441</f>
        <v>0.638679017979199</v>
      </c>
      <c r="G450" s="11" t="n">
        <f aca="false">G429/G441</f>
        <v>0.627131376400865</v>
      </c>
    </row>
    <row r="451" customFormat="false" ht="17.15" hidden="false" customHeight="false" outlineLevel="0" collapsed="false">
      <c r="A451" s="4" t="s">
        <v>508</v>
      </c>
      <c r="B451" s="0" t="s">
        <v>98</v>
      </c>
      <c r="C451" s="11" t="n">
        <f aca="false">a25_gp/a25_rev</f>
        <v>0.582225705329154</v>
      </c>
      <c r="D451" s="11" t="n">
        <f aca="false">f26_gm</f>
        <v>0.594365646092145</v>
      </c>
      <c r="E451" s="11" t="n">
        <f aca="false">f26_gm+(Q!J13-a25_gp/a25_rev)/(Q!J4/Q!J10-a25_soc/a25_rev)*(E450-D450)</f>
        <v>0.600140940959489</v>
      </c>
      <c r="F451" s="11" t="n">
        <f aca="false">f26_gm+(Q!J13-a25_gp/a25_rev)/(Q!J4/Q!J10-a25_soc/a25_rev)*(F450-D450)</f>
        <v>0.595296697214342</v>
      </c>
      <c r="G451" s="11" t="n">
        <f aca="false">f26_gm+(Q!J13-a25_gp/a25_rev)/(Q!J4/Q!J10-a25_soc/a25_rev)*(G450-D450)</f>
        <v>0.591716820200892</v>
      </c>
      <c r="H451" s="8" t="s">
        <v>509</v>
      </c>
    </row>
    <row r="456" customFormat="false" ht="17.15" hidden="false" customHeight="false" outlineLevel="0" collapsed="false">
      <c r="A456" s="1" t="s">
        <v>823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5" t="s">
        <v>472</v>
      </c>
      <c r="D457" s="15" t="s">
        <v>486</v>
      </c>
      <c r="E457" s="15" t="s">
        <v>473</v>
      </c>
      <c r="F457" s="15" t="s">
        <v>474</v>
      </c>
      <c r="G457" s="15" t="s">
        <v>475</v>
      </c>
      <c r="H457" s="5" t="s">
        <v>433</v>
      </c>
    </row>
    <row r="458" customFormat="false" ht="17.15" hidden="false" customHeight="false" outlineLevel="0" collapsed="false">
      <c r="A458" s="0" t="s">
        <v>487</v>
      </c>
      <c r="B458" s="0" t="s">
        <v>31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488</v>
      </c>
      <c r="B459" s="0" t="s">
        <v>31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3.99150647980462</v>
      </c>
      <c r="F459" s="18" t="n">
        <f aca="false">mm_A_2028</f>
        <v>5.17069526557172</v>
      </c>
      <c r="G459" s="18" t="n">
        <f aca="false">mm_A_2029</f>
        <v>6.33160644779016</v>
      </c>
    </row>
    <row r="460" customFormat="false" ht="17.15" hidden="false" customHeight="false" outlineLevel="0" collapsed="false">
      <c r="A460" s="4" t="s">
        <v>489</v>
      </c>
      <c r="B460" s="0" t="s">
        <v>98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490</v>
      </c>
    </row>
    <row r="461" customFormat="false" ht="17.15" hidden="false" customHeight="false" outlineLevel="0" collapsed="false">
      <c r="A461" s="0" t="s">
        <v>491</v>
      </c>
      <c r="B461" s="0" t="s">
        <v>196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492</v>
      </c>
    </row>
    <row r="462" customFormat="false" ht="15" hidden="false" customHeight="false" outlineLevel="0" collapsed="false">
      <c r="A462" s="4" t="s">
        <v>493</v>
      </c>
      <c r="B462" s="0" t="s">
        <v>98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494</v>
      </c>
      <c r="B463" s="0" t="s">
        <v>196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1264.33507797389</v>
      </c>
      <c r="F463" s="9" t="n">
        <f aca="false">F459*1000*F462</f>
        <v>1637.85062979426</v>
      </c>
      <c r="G463" s="9" t="n">
        <f aca="false">G459*1000*G462</f>
        <v>2005.57663437856</v>
      </c>
    </row>
    <row r="464" customFormat="false" ht="17.15" hidden="false" customHeight="false" outlineLevel="0" collapsed="false">
      <c r="A464" s="0" t="s">
        <v>495</v>
      </c>
      <c r="B464" s="0" t="s">
        <v>196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496</v>
      </c>
    </row>
    <row r="465" customFormat="false" ht="15" hidden="false" customHeight="false" outlineLevel="0" collapsed="false">
      <c r="A465" s="4" t="s">
        <v>497</v>
      </c>
      <c r="B465" s="0" t="s">
        <v>196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6091.59354523868</v>
      </c>
      <c r="F465" s="9" t="n">
        <f aca="false">F461+F463+F464</f>
        <v>7055.37307091378</v>
      </c>
      <c r="G465" s="9" t="n">
        <f aca="false">G461+G463+G464</f>
        <v>8029.69998551651</v>
      </c>
    </row>
    <row r="466" customFormat="false" ht="17.15" hidden="false" customHeight="false" outlineLevel="0" collapsed="false">
      <c r="A466" s="0" t="s">
        <v>498</v>
      </c>
      <c r="B466" s="0" t="s">
        <v>196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439</v>
      </c>
      <c r="B467" s="0" t="s">
        <v>196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6517.29714523868</v>
      </c>
      <c r="F467" s="9" t="n">
        <f aca="false">F465+F466</f>
        <v>7515.13295891378</v>
      </c>
      <c r="G467" s="9" t="n">
        <f aca="false">G465+G466</f>
        <v>8526.24066455651</v>
      </c>
    </row>
    <row r="468" customFormat="false" ht="17.15" hidden="false" customHeight="false" outlineLevel="0" collapsed="false">
      <c r="A468" s="4" t="s">
        <v>499</v>
      </c>
      <c r="B468" s="0" t="s">
        <v>196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2516.09535496834</v>
      </c>
      <c r="F468" s="9" t="n">
        <f aca="false">t_inc*F467-t_fix+0*F467</f>
        <v>2997.70702933587</v>
      </c>
      <c r="G468" s="9" t="n">
        <f aca="false">t_inc*G467-t_fix+0*G467</f>
        <v>3485.72446507711</v>
      </c>
      <c r="H468" s="4" t="s">
        <v>500</v>
      </c>
    </row>
    <row r="469" customFormat="false" ht="15" hidden="false" customHeight="false" outlineLevel="0" collapsed="false">
      <c r="A469" s="4" t="s">
        <v>501</v>
      </c>
      <c r="B469" s="0" t="s">
        <v>98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0.386064237811609</v>
      </c>
      <c r="F469" s="11" t="n">
        <f aca="false">F468/F467</f>
        <v>0.398889420283677</v>
      </c>
      <c r="G469" s="11" t="n">
        <f aca="false">G468/G467</f>
        <v>0.408823138146597</v>
      </c>
    </row>
    <row r="470" customFormat="false" ht="17.15" hidden="false" customHeight="false" outlineLevel="0" collapsed="false">
      <c r="A470" s="4" t="s">
        <v>502</v>
      </c>
      <c r="B470" s="0" t="s">
        <v>196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447</v>
      </c>
      <c r="B471" s="0" t="s">
        <v>196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426</v>
      </c>
      <c r="B472" s="0" t="s">
        <v>196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400</v>
      </c>
      <c r="B473" s="0" t="s">
        <v>196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6958.96914523867</v>
      </c>
      <c r="F473" s="9" t="n">
        <f aca="false">F467+F470</f>
        <v>8000.97215891378</v>
      </c>
      <c r="G473" s="9" t="n">
        <f aca="false">G467+G470</f>
        <v>9060.66378455651</v>
      </c>
    </row>
    <row r="474" customFormat="false" ht="17.15" hidden="false" customHeight="false" outlineLevel="0" collapsed="false">
      <c r="A474" s="4" t="s">
        <v>503</v>
      </c>
      <c r="B474" s="0" t="s">
        <v>196</v>
      </c>
      <c r="C474" s="9" t="n">
        <f aca="false">ROUND(C465+C466+C470-a25_rev,0)</f>
        <v>0</v>
      </c>
      <c r="D474" s="9" t="n">
        <f aca="false">ROUND(D465+D466+D470-f26_rev,0)</f>
        <v>0</v>
      </c>
      <c r="H474" s="8" t="s">
        <v>504</v>
      </c>
    </row>
    <row r="475" customFormat="false" ht="15" hidden="false" customHeight="false" outlineLevel="0" collapsed="false">
      <c r="A475" s="4" t="s">
        <v>480</v>
      </c>
      <c r="B475" s="0" t="s">
        <v>196</v>
      </c>
      <c r="C475" s="9" t="n">
        <f aca="false">C468+C471+C472</f>
        <v>653.2</v>
      </c>
      <c r="D475" s="9" t="n">
        <f aca="false">D468+D471+D472</f>
        <v>1629.93073654536</v>
      </c>
      <c r="E475" s="9" t="n">
        <f aca="false">E468+E471+E472</f>
        <v>2514.52879496834</v>
      </c>
      <c r="F475" s="9" t="n">
        <f aca="false">F468+F471+F472</f>
        <v>3006.74059733587</v>
      </c>
      <c r="G475" s="9" t="n">
        <f aca="false">G468+G471+G472</f>
        <v>3502.04562107711</v>
      </c>
    </row>
    <row r="476" customFormat="false" ht="15" hidden="false" customHeight="false" outlineLevel="0" collapsed="false">
      <c r="A476" s="4" t="s">
        <v>481</v>
      </c>
      <c r="B476" s="0" t="s">
        <v>98</v>
      </c>
      <c r="C476" s="11" t="n">
        <f aca="false">C475/C473</f>
        <v>0.204758471521269</v>
      </c>
      <c r="D476" s="11" t="n">
        <f aca="false">D475/D473</f>
        <v>0.318868991420565</v>
      </c>
      <c r="E476" s="11" t="n">
        <f aca="false">E475/E473</f>
        <v>0.361336390848749</v>
      </c>
      <c r="F476" s="11" t="n">
        <f aca="false">F475/F473</f>
        <v>0.375796907877763</v>
      </c>
      <c r="G476" s="11" t="n">
        <f aca="false">G475/G473</f>
        <v>0.386510933894953</v>
      </c>
    </row>
    <row r="477" customFormat="false" ht="15" hidden="false" customHeight="false" outlineLevel="0" collapsed="false">
      <c r="A477" s="4" t="s">
        <v>412</v>
      </c>
      <c r="B477" s="0" t="s">
        <v>196</v>
      </c>
      <c r="C477" s="9" t="n">
        <f aca="false">a25_tax</f>
        <v>79.3</v>
      </c>
      <c r="D477" s="9" t="n">
        <f aca="false">f26_tax</f>
        <v>231.054736545361</v>
      </c>
      <c r="E477" s="9" t="n">
        <f aca="false">E475*etr_lo</f>
        <v>301.743455396201</v>
      </c>
      <c r="F477" s="9" t="n">
        <f aca="false">F475*etr_lo</f>
        <v>360.808871680304</v>
      </c>
      <c r="G477" s="9" t="n">
        <f aca="false">G475*etr_lo</f>
        <v>420.245474529254</v>
      </c>
    </row>
    <row r="478" customFormat="false" ht="17.15" hidden="false" customHeight="false" outlineLevel="0" collapsed="false">
      <c r="A478" s="4" t="s">
        <v>413</v>
      </c>
      <c r="B478" s="0" t="s">
        <v>196</v>
      </c>
      <c r="C478" s="9" t="n">
        <f aca="false">a25_aff</f>
        <v>-19.9</v>
      </c>
      <c r="D478" s="9" t="n">
        <f aca="false">f26_aff</f>
        <v>-13.2</v>
      </c>
      <c r="E478" s="9" t="n">
        <f aca="false">aff</f>
        <v>-13.2</v>
      </c>
      <c r="F478" s="9" t="n">
        <f aca="false">aff</f>
        <v>-13.2</v>
      </c>
      <c r="G478" s="9" t="n">
        <f aca="false">aff</f>
        <v>-13.2</v>
      </c>
    </row>
    <row r="479" customFormat="false" ht="17.15" hidden="false" customHeight="false" outlineLevel="0" collapsed="false">
      <c r="A479" s="4" t="s">
        <v>482</v>
      </c>
      <c r="B479" s="0" t="s">
        <v>196</v>
      </c>
      <c r="C479" s="9" t="n">
        <f aca="false">a25_ni</f>
        <v>554</v>
      </c>
      <c r="D479" s="9" t="n">
        <f aca="false">f26_ni</f>
        <v>1385.276</v>
      </c>
      <c r="E479" s="9" t="n">
        <f aca="false">E475-E477+E478</f>
        <v>2199.58533957214</v>
      </c>
      <c r="F479" s="9" t="n">
        <f aca="false">F475-F477+F478</f>
        <v>2632.73172565557</v>
      </c>
      <c r="G479" s="9" t="n">
        <f aca="false">G475-G477+G478</f>
        <v>3068.60014654786</v>
      </c>
      <c r="H479" s="8" t="s">
        <v>505</v>
      </c>
    </row>
    <row r="480" customFormat="false" ht="15" hidden="false" customHeight="false" outlineLevel="0" collapsed="false">
      <c r="A480" s="4" t="s">
        <v>506</v>
      </c>
      <c r="B480" s="4" t="s">
        <v>258</v>
      </c>
      <c r="C480" s="9" t="n">
        <f aca="false">a25_dsh</f>
        <v>159.7</v>
      </c>
      <c r="D480" s="9" t="n">
        <f aca="false">sh26</f>
        <v>157.7</v>
      </c>
      <c r="E480" s="9" t="n">
        <f aca="false">sh26*(1-bb)^1</f>
        <v>156.123</v>
      </c>
      <c r="F480" s="9" t="n">
        <f aca="false">sh26*(1-bb)^2</f>
        <v>154.56177</v>
      </c>
      <c r="G480" s="9" t="n">
        <f aca="false">sh26*(1-bb)^3</f>
        <v>153.0161523</v>
      </c>
    </row>
    <row r="481" customFormat="false" ht="17.15" hidden="false" customHeight="false" outlineLevel="0" collapsed="false">
      <c r="A481" s="0" t="s">
        <v>415</v>
      </c>
      <c r="B481" s="0" t="s">
        <v>201</v>
      </c>
      <c r="C481" s="18" t="n">
        <f aca="false">a25_eps</f>
        <v>3.47</v>
      </c>
      <c r="D481" s="18" t="n">
        <f aca="false">D479/D480</f>
        <v>8.78424857324033</v>
      </c>
      <c r="E481" s="18" t="n">
        <f aca="false">E479/E480</f>
        <v>14.0887975479087</v>
      </c>
      <c r="F481" s="18" t="n">
        <f aca="false">F479/F480</f>
        <v>17.0335246914911</v>
      </c>
      <c r="G481" s="18" t="n">
        <f aca="false">G479/G480</f>
        <v>20.0540929857629</v>
      </c>
    </row>
    <row r="482" customFormat="false" ht="17.15" hidden="false" customHeight="false" outlineLevel="0" collapsed="false">
      <c r="A482" s="0" t="s">
        <v>507</v>
      </c>
      <c r="B482" s="0" t="s">
        <v>98</v>
      </c>
      <c r="C482" s="11" t="n">
        <f aca="false">C461/C473</f>
        <v>0.592363875740573</v>
      </c>
      <c r="D482" s="11" t="n">
        <f aca="false">D461/D473</f>
        <v>0.635675717974802</v>
      </c>
      <c r="E482" s="11" t="n">
        <f aca="false">E461/E473</f>
        <v>0.654305138730523</v>
      </c>
      <c r="F482" s="11" t="n">
        <f aca="false">F461/F473</f>
        <v>0.638679017979199</v>
      </c>
      <c r="G482" s="11" t="n">
        <f aca="false">G461/G473</f>
        <v>0.627131376400865</v>
      </c>
    </row>
    <row r="483" customFormat="false" ht="17.15" hidden="false" customHeight="false" outlineLevel="0" collapsed="false">
      <c r="A483" s="4" t="s">
        <v>508</v>
      </c>
      <c r="B483" s="0" t="s">
        <v>98</v>
      </c>
      <c r="C483" s="11" t="n">
        <f aca="false">a25_gp/a25_rev</f>
        <v>0.582225705329154</v>
      </c>
      <c r="D483" s="11" t="n">
        <f aca="false">f26_gm</f>
        <v>0.594365646092145</v>
      </c>
      <c r="E483" s="11" t="n">
        <f aca="false">f26_gm+(Q!J13-a25_gp/a25_rev)/(Q!J4/Q!J10-a25_soc/a25_rev)*(E482-D482)</f>
        <v>0.600140940959489</v>
      </c>
      <c r="F483" s="11" t="n">
        <f aca="false">f26_gm+(Q!J13-a25_gp/a25_rev)/(Q!J4/Q!J10-a25_soc/a25_rev)*(F482-D482)</f>
        <v>0.595296697214342</v>
      </c>
      <c r="G483" s="11" t="n">
        <f aca="false">f26_gm+(Q!J13-a25_gp/a25_rev)/(Q!J4/Q!J10-a25_soc/a25_rev)*(G482-D482)</f>
        <v>0.591716820200892</v>
      </c>
      <c r="H483" s="8" t="s">
        <v>509</v>
      </c>
    </row>
    <row r="488" customFormat="false" ht="17.15" hidden="false" customHeight="false" outlineLevel="0" collapsed="false">
      <c r="A488" s="1" t="s">
        <v>824</v>
      </c>
    </row>
    <row r="489" customFormat="false" ht="17.15" hidden="false" customHeight="false" outlineLevel="0" collapsed="false">
      <c r="A489" s="5" t="s">
        <v>20</v>
      </c>
      <c r="B489" s="5" t="s">
        <v>21</v>
      </c>
      <c r="C489" s="15" t="s">
        <v>472</v>
      </c>
      <c r="D489" s="15" t="s">
        <v>486</v>
      </c>
      <c r="E489" s="15" t="s">
        <v>473</v>
      </c>
      <c r="F489" s="15" t="s">
        <v>474</v>
      </c>
      <c r="G489" s="15" t="s">
        <v>475</v>
      </c>
      <c r="H489" s="5" t="s">
        <v>433</v>
      </c>
    </row>
    <row r="490" customFormat="false" ht="17.15" hidden="false" customHeight="false" outlineLevel="0" collapsed="false">
      <c r="A490" s="0" t="s">
        <v>487</v>
      </c>
      <c r="B490" s="0" t="s">
        <v>31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488</v>
      </c>
      <c r="B491" s="0" t="s">
        <v>31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3.99150647980462</v>
      </c>
      <c r="F491" s="18" t="n">
        <f aca="false">mm_A_2028</f>
        <v>5.17069526557172</v>
      </c>
      <c r="G491" s="18" t="n">
        <f aca="false">mm_A_2029</f>
        <v>6.33160644779016</v>
      </c>
    </row>
    <row r="492" customFormat="false" ht="17.15" hidden="false" customHeight="false" outlineLevel="0" collapsed="false">
      <c r="A492" s="4" t="s">
        <v>489</v>
      </c>
      <c r="B492" s="0" t="s">
        <v>98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490</v>
      </c>
    </row>
    <row r="493" customFormat="false" ht="17.15" hidden="false" customHeight="false" outlineLevel="0" collapsed="false">
      <c r="A493" s="0" t="s">
        <v>491</v>
      </c>
      <c r="B493" s="0" t="s">
        <v>196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492</v>
      </c>
    </row>
    <row r="494" customFormat="false" ht="15" hidden="false" customHeight="false" outlineLevel="0" collapsed="false">
      <c r="A494" s="4" t="s">
        <v>493</v>
      </c>
      <c r="B494" s="0" t="s">
        <v>98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494</v>
      </c>
      <c r="B495" s="0" t="s">
        <v>196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1264.33507797389</v>
      </c>
      <c r="F495" s="9" t="n">
        <f aca="false">F491*1000*F494</f>
        <v>1637.85062979426</v>
      </c>
      <c r="G495" s="9" t="n">
        <f aca="false">G491*1000*G494</f>
        <v>2005.57663437856</v>
      </c>
    </row>
    <row r="496" customFormat="false" ht="17.15" hidden="false" customHeight="false" outlineLevel="0" collapsed="false">
      <c r="A496" s="0" t="s">
        <v>495</v>
      </c>
      <c r="B496" s="0" t="s">
        <v>196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496</v>
      </c>
    </row>
    <row r="497" customFormat="false" ht="15" hidden="false" customHeight="false" outlineLevel="0" collapsed="false">
      <c r="A497" s="4" t="s">
        <v>497</v>
      </c>
      <c r="B497" s="0" t="s">
        <v>196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6091.59354523868</v>
      </c>
      <c r="F497" s="9" t="n">
        <f aca="false">F493+F495+F496</f>
        <v>7055.37307091378</v>
      </c>
      <c r="G497" s="9" t="n">
        <f aca="false">G493+G495+G496</f>
        <v>8029.69998551651</v>
      </c>
    </row>
    <row r="498" customFormat="false" ht="17.15" hidden="false" customHeight="false" outlineLevel="0" collapsed="false">
      <c r="A498" s="0" t="s">
        <v>498</v>
      </c>
      <c r="B498" s="0" t="s">
        <v>196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439</v>
      </c>
      <c r="B499" s="0" t="s">
        <v>196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6517.29714523868</v>
      </c>
      <c r="F499" s="9" t="n">
        <f aca="false">F497+F498</f>
        <v>7515.13295891378</v>
      </c>
      <c r="G499" s="9" t="n">
        <f aca="false">G497+G498</f>
        <v>8526.24066455651</v>
      </c>
    </row>
    <row r="500" customFormat="false" ht="17.15" hidden="false" customHeight="false" outlineLevel="0" collapsed="false">
      <c r="A500" s="4" t="s">
        <v>499</v>
      </c>
      <c r="B500" s="0" t="s">
        <v>196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2516.09535496834</v>
      </c>
      <c r="F500" s="9" t="n">
        <f aca="false">t_inc*F499-t_fix+0*F499</f>
        <v>2997.70702933587</v>
      </c>
      <c r="G500" s="9" t="n">
        <f aca="false">t_inc*G499-t_fix+0*G499</f>
        <v>3485.72446507711</v>
      </c>
      <c r="H500" s="4" t="s">
        <v>500</v>
      </c>
    </row>
    <row r="501" customFormat="false" ht="15" hidden="false" customHeight="false" outlineLevel="0" collapsed="false">
      <c r="A501" s="4" t="s">
        <v>501</v>
      </c>
      <c r="B501" s="0" t="s">
        <v>98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0.386064237811609</v>
      </c>
      <c r="F501" s="11" t="n">
        <f aca="false">F500/F499</f>
        <v>0.398889420283677</v>
      </c>
      <c r="G501" s="11" t="n">
        <f aca="false">G500/G499</f>
        <v>0.408823138146597</v>
      </c>
    </row>
    <row r="502" customFormat="false" ht="17.15" hidden="false" customHeight="false" outlineLevel="0" collapsed="false">
      <c r="A502" s="4" t="s">
        <v>502</v>
      </c>
      <c r="B502" s="0" t="s">
        <v>196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447</v>
      </c>
      <c r="B503" s="0" t="s">
        <v>196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426</v>
      </c>
      <c r="B504" s="0" t="s">
        <v>196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400</v>
      </c>
      <c r="B505" s="0" t="s">
        <v>196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6958.96914523867</v>
      </c>
      <c r="F505" s="9" t="n">
        <f aca="false">F499+F502</f>
        <v>8000.97215891378</v>
      </c>
      <c r="G505" s="9" t="n">
        <f aca="false">G499+G502</f>
        <v>9060.66378455651</v>
      </c>
    </row>
    <row r="506" customFormat="false" ht="17.15" hidden="false" customHeight="false" outlineLevel="0" collapsed="false">
      <c r="A506" s="4" t="s">
        <v>503</v>
      </c>
      <c r="B506" s="0" t="s">
        <v>196</v>
      </c>
      <c r="C506" s="9" t="n">
        <f aca="false">ROUND(C497+C498+C502-a25_rev,0)</f>
        <v>0</v>
      </c>
      <c r="D506" s="9" t="n">
        <f aca="false">ROUND(D497+D498+D502-f26_rev,0)</f>
        <v>0</v>
      </c>
      <c r="H506" s="8" t="s">
        <v>504</v>
      </c>
    </row>
    <row r="507" customFormat="false" ht="15" hidden="false" customHeight="false" outlineLevel="0" collapsed="false">
      <c r="A507" s="4" t="s">
        <v>480</v>
      </c>
      <c r="B507" s="0" t="s">
        <v>196</v>
      </c>
      <c r="C507" s="9" t="n">
        <f aca="false">C500+C503+C504</f>
        <v>653.2</v>
      </c>
      <c r="D507" s="9" t="n">
        <f aca="false">D500+D503+D504</f>
        <v>1629.93073654536</v>
      </c>
      <c r="E507" s="9" t="n">
        <f aca="false">E500+E503+E504</f>
        <v>2514.52879496834</v>
      </c>
      <c r="F507" s="9" t="n">
        <f aca="false">F500+F503+F504</f>
        <v>3006.74059733587</v>
      </c>
      <c r="G507" s="9" t="n">
        <f aca="false">G500+G503+G504</f>
        <v>3502.04562107711</v>
      </c>
    </row>
    <row r="508" customFormat="false" ht="15" hidden="false" customHeight="false" outlineLevel="0" collapsed="false">
      <c r="A508" s="4" t="s">
        <v>481</v>
      </c>
      <c r="B508" s="0" t="s">
        <v>98</v>
      </c>
      <c r="C508" s="11" t="n">
        <f aca="false">C507/C505</f>
        <v>0.204758471521269</v>
      </c>
      <c r="D508" s="11" t="n">
        <f aca="false">D507/D505</f>
        <v>0.318868991420565</v>
      </c>
      <c r="E508" s="11" t="n">
        <f aca="false">E507/E505</f>
        <v>0.361336390848749</v>
      </c>
      <c r="F508" s="11" t="n">
        <f aca="false">F507/F505</f>
        <v>0.375796907877763</v>
      </c>
      <c r="G508" s="11" t="n">
        <f aca="false">G507/G505</f>
        <v>0.386510933894953</v>
      </c>
    </row>
    <row r="509" customFormat="false" ht="15" hidden="false" customHeight="false" outlineLevel="0" collapsed="false">
      <c r="A509" s="4" t="s">
        <v>412</v>
      </c>
      <c r="B509" s="0" t="s">
        <v>196</v>
      </c>
      <c r="C509" s="9" t="n">
        <f aca="false">a25_tax</f>
        <v>79.3</v>
      </c>
      <c r="D509" s="9" t="n">
        <f aca="false">f26_tax</f>
        <v>231.054736545361</v>
      </c>
      <c r="E509" s="9" t="n">
        <f aca="false">E507*etr_hi</f>
        <v>427.469895144618</v>
      </c>
      <c r="F509" s="9" t="n">
        <f aca="false">F507*etr_hi</f>
        <v>511.145901547098</v>
      </c>
      <c r="G509" s="9" t="n">
        <f aca="false">G507*etr_hi</f>
        <v>595.34775558311</v>
      </c>
    </row>
    <row r="510" customFormat="false" ht="17.15" hidden="false" customHeight="false" outlineLevel="0" collapsed="false">
      <c r="A510" s="4" t="s">
        <v>413</v>
      </c>
      <c r="B510" s="0" t="s">
        <v>196</v>
      </c>
      <c r="C510" s="9" t="n">
        <f aca="false">a25_aff</f>
        <v>-19.9</v>
      </c>
      <c r="D510" s="9" t="n">
        <f aca="false">f26_aff</f>
        <v>-13.2</v>
      </c>
      <c r="E510" s="9" t="n">
        <f aca="false">aff</f>
        <v>-13.2</v>
      </c>
      <c r="F510" s="9" t="n">
        <f aca="false">aff</f>
        <v>-13.2</v>
      </c>
      <c r="G510" s="9" t="n">
        <f aca="false">aff</f>
        <v>-13.2</v>
      </c>
    </row>
    <row r="511" customFormat="false" ht="17.15" hidden="false" customHeight="false" outlineLevel="0" collapsed="false">
      <c r="A511" s="4" t="s">
        <v>482</v>
      </c>
      <c r="B511" s="0" t="s">
        <v>196</v>
      </c>
      <c r="C511" s="9" t="n">
        <f aca="false">a25_ni</f>
        <v>554</v>
      </c>
      <c r="D511" s="9" t="n">
        <f aca="false">f26_ni</f>
        <v>1385.276</v>
      </c>
      <c r="E511" s="9" t="n">
        <f aca="false">E507-E509+E510</f>
        <v>2073.85889982372</v>
      </c>
      <c r="F511" s="9" t="n">
        <f aca="false">F507-F509+F510</f>
        <v>2482.39469578877</v>
      </c>
      <c r="G511" s="9" t="n">
        <f aca="false">G507-G509+G510</f>
        <v>2893.497865494</v>
      </c>
      <c r="H511" s="8" t="s">
        <v>505</v>
      </c>
    </row>
    <row r="512" customFormat="false" ht="15" hidden="false" customHeight="false" outlineLevel="0" collapsed="false">
      <c r="A512" s="4" t="s">
        <v>506</v>
      </c>
      <c r="B512" s="4" t="s">
        <v>258</v>
      </c>
      <c r="C512" s="9" t="n">
        <f aca="false">a25_dsh</f>
        <v>159.7</v>
      </c>
      <c r="D512" s="9" t="n">
        <f aca="false">sh26</f>
        <v>157.7</v>
      </c>
      <c r="E512" s="9" t="n">
        <f aca="false">sh26*(1-bb)^1</f>
        <v>156.123</v>
      </c>
      <c r="F512" s="9" t="n">
        <f aca="false">sh26*(1-bb)^2</f>
        <v>154.56177</v>
      </c>
      <c r="G512" s="9" t="n">
        <f aca="false">sh26*(1-bb)^3</f>
        <v>153.0161523</v>
      </c>
    </row>
    <row r="513" customFormat="false" ht="17.15" hidden="false" customHeight="false" outlineLevel="0" collapsed="false">
      <c r="A513" s="0" t="s">
        <v>415</v>
      </c>
      <c r="B513" s="0" t="s">
        <v>201</v>
      </c>
      <c r="C513" s="18" t="n">
        <f aca="false">a25_eps</f>
        <v>3.47</v>
      </c>
      <c r="D513" s="18" t="n">
        <f aca="false">D511/D512</f>
        <v>8.78424857324033</v>
      </c>
      <c r="E513" s="18" t="n">
        <f aca="false">E511/E512</f>
        <v>13.2834937826184</v>
      </c>
      <c r="F513" s="18" t="n">
        <f aca="false">F511/F512</f>
        <v>16.0608583596628</v>
      </c>
      <c r="G513" s="18" t="n">
        <f aca="false">G511/G512</f>
        <v>18.9097544409631</v>
      </c>
    </row>
    <row r="514" customFormat="false" ht="17.15" hidden="false" customHeight="false" outlineLevel="0" collapsed="false">
      <c r="A514" s="0" t="s">
        <v>507</v>
      </c>
      <c r="B514" s="0" t="s">
        <v>98</v>
      </c>
      <c r="C514" s="11" t="n">
        <f aca="false">C493/C505</f>
        <v>0.592363875740573</v>
      </c>
      <c r="D514" s="11" t="n">
        <f aca="false">D493/D505</f>
        <v>0.635675717974802</v>
      </c>
      <c r="E514" s="11" t="n">
        <f aca="false">E493/E505</f>
        <v>0.654305138730523</v>
      </c>
      <c r="F514" s="11" t="n">
        <f aca="false">F493/F505</f>
        <v>0.638679017979199</v>
      </c>
      <c r="G514" s="11" t="n">
        <f aca="false">G493/G505</f>
        <v>0.627131376400865</v>
      </c>
    </row>
    <row r="515" customFormat="false" ht="17.15" hidden="false" customHeight="false" outlineLevel="0" collapsed="false">
      <c r="A515" s="4" t="s">
        <v>508</v>
      </c>
      <c r="B515" s="0" t="s">
        <v>98</v>
      </c>
      <c r="C515" s="11" t="n">
        <f aca="false">a25_gp/a25_rev</f>
        <v>0.582225705329154</v>
      </c>
      <c r="D515" s="11" t="n">
        <f aca="false">f26_gm</f>
        <v>0.594365646092145</v>
      </c>
      <c r="E515" s="11" t="n">
        <f aca="false">f26_gm+(Q!J13-a25_gp/a25_rev)/(Q!J4/Q!J10-a25_soc/a25_rev)*(E514-D514)</f>
        <v>0.600140940959489</v>
      </c>
      <c r="F515" s="11" t="n">
        <f aca="false">f26_gm+(Q!J13-a25_gp/a25_rev)/(Q!J4/Q!J10-a25_soc/a25_rev)*(F514-D514)</f>
        <v>0.595296697214342</v>
      </c>
      <c r="G515" s="11" t="n">
        <f aca="false">f26_gm+(Q!J13-a25_gp/a25_rev)/(Q!J4/Q!J10-a25_soc/a25_rev)*(G514-D514)</f>
        <v>0.591716820200892</v>
      </c>
      <c r="H515" s="8" t="s">
        <v>509</v>
      </c>
    </row>
    <row r="520" customFormat="false" ht="17.15" hidden="false" customHeight="false" outlineLevel="0" collapsed="false">
      <c r="A520" s="1" t="s">
        <v>825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5" t="s">
        <v>472</v>
      </c>
      <c r="D521" s="15" t="s">
        <v>486</v>
      </c>
      <c r="E521" s="15" t="s">
        <v>473</v>
      </c>
      <c r="F521" s="15" t="s">
        <v>474</v>
      </c>
      <c r="G521" s="15" t="s">
        <v>475</v>
      </c>
      <c r="H521" s="5" t="s">
        <v>433</v>
      </c>
    </row>
    <row r="522" customFormat="false" ht="17.15" hidden="false" customHeight="false" outlineLevel="0" collapsed="false">
      <c r="A522" s="0" t="s">
        <v>487</v>
      </c>
      <c r="B522" s="0" t="s">
        <v>31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488</v>
      </c>
      <c r="B523" s="0" t="s">
        <v>31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3.99150647980462</v>
      </c>
      <c r="F523" s="18" t="n">
        <f aca="false">mm_A_2028</f>
        <v>5.17069526557172</v>
      </c>
      <c r="G523" s="18" t="n">
        <f aca="false">mm_A_2029</f>
        <v>6.33160644779016</v>
      </c>
    </row>
    <row r="524" customFormat="false" ht="17.15" hidden="false" customHeight="false" outlineLevel="0" collapsed="false">
      <c r="A524" s="4" t="s">
        <v>489</v>
      </c>
      <c r="B524" s="0" t="s">
        <v>98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490</v>
      </c>
    </row>
    <row r="525" customFormat="false" ht="17.15" hidden="false" customHeight="false" outlineLevel="0" collapsed="false">
      <c r="A525" s="0" t="s">
        <v>491</v>
      </c>
      <c r="B525" s="0" t="s">
        <v>196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492</v>
      </c>
    </row>
    <row r="526" customFormat="false" ht="15" hidden="false" customHeight="false" outlineLevel="0" collapsed="false">
      <c r="A526" s="4" t="s">
        <v>493</v>
      </c>
      <c r="B526" s="0" t="s">
        <v>98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494</v>
      </c>
      <c r="B527" s="0" t="s">
        <v>196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1264.33507797389</v>
      </c>
      <c r="F527" s="9" t="n">
        <f aca="false">F523*1000*F526</f>
        <v>1637.85062979426</v>
      </c>
      <c r="G527" s="9" t="n">
        <f aca="false">G523*1000*G526</f>
        <v>2005.57663437856</v>
      </c>
    </row>
    <row r="528" customFormat="false" ht="17.15" hidden="false" customHeight="false" outlineLevel="0" collapsed="false">
      <c r="A528" s="0" t="s">
        <v>495</v>
      </c>
      <c r="B528" s="0" t="s">
        <v>196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496</v>
      </c>
    </row>
    <row r="529" customFormat="false" ht="15" hidden="false" customHeight="false" outlineLevel="0" collapsed="false">
      <c r="A529" s="4" t="s">
        <v>497</v>
      </c>
      <c r="B529" s="0" t="s">
        <v>196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6091.59354523868</v>
      </c>
      <c r="F529" s="9" t="n">
        <f aca="false">F525+F527+F528</f>
        <v>7055.37307091378</v>
      </c>
      <c r="G529" s="9" t="n">
        <f aca="false">G525+G527+G528</f>
        <v>8029.69998551651</v>
      </c>
    </row>
    <row r="530" customFormat="false" ht="17.15" hidden="false" customHeight="false" outlineLevel="0" collapsed="false">
      <c r="A530" s="0" t="s">
        <v>498</v>
      </c>
      <c r="B530" s="0" t="s">
        <v>196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439</v>
      </c>
      <c r="B531" s="0" t="s">
        <v>196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6517.29714523868</v>
      </c>
      <c r="F531" s="9" t="n">
        <f aca="false">F529+F530</f>
        <v>7515.13295891378</v>
      </c>
      <c r="G531" s="9" t="n">
        <f aca="false">G529+G530</f>
        <v>8526.24066455651</v>
      </c>
    </row>
    <row r="532" customFormat="false" ht="17.15" hidden="false" customHeight="false" outlineLevel="0" collapsed="false">
      <c r="A532" s="4" t="s">
        <v>499</v>
      </c>
      <c r="B532" s="0" t="s">
        <v>196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2516.09535496834</v>
      </c>
      <c r="F532" s="9" t="n">
        <f aca="false">t_inc*F531-t_fix+0*F531</f>
        <v>2997.70702933587</v>
      </c>
      <c r="G532" s="9" t="n">
        <f aca="false">t_inc*G531-t_fix+0*G531</f>
        <v>3485.72446507711</v>
      </c>
      <c r="H532" s="4" t="s">
        <v>500</v>
      </c>
    </row>
    <row r="533" customFormat="false" ht="15" hidden="false" customHeight="false" outlineLevel="0" collapsed="false">
      <c r="A533" s="4" t="s">
        <v>501</v>
      </c>
      <c r="B533" s="0" t="s">
        <v>98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0.386064237811609</v>
      </c>
      <c r="F533" s="11" t="n">
        <f aca="false">F532/F531</f>
        <v>0.398889420283677</v>
      </c>
      <c r="G533" s="11" t="n">
        <f aca="false">G532/G531</f>
        <v>0.408823138146597</v>
      </c>
    </row>
    <row r="534" customFormat="false" ht="17.15" hidden="false" customHeight="false" outlineLevel="0" collapsed="false">
      <c r="A534" s="4" t="s">
        <v>502</v>
      </c>
      <c r="B534" s="0" t="s">
        <v>196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447</v>
      </c>
      <c r="B535" s="0" t="s">
        <v>196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426</v>
      </c>
      <c r="B536" s="0" t="s">
        <v>196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400</v>
      </c>
      <c r="B537" s="0" t="s">
        <v>196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6958.96914523867</v>
      </c>
      <c r="F537" s="9" t="n">
        <f aca="false">F531+F534</f>
        <v>8000.97215891378</v>
      </c>
      <c r="G537" s="9" t="n">
        <f aca="false">G531+G534</f>
        <v>9060.66378455651</v>
      </c>
    </row>
    <row r="538" customFormat="false" ht="17.15" hidden="false" customHeight="false" outlineLevel="0" collapsed="false">
      <c r="A538" s="4" t="s">
        <v>503</v>
      </c>
      <c r="B538" s="0" t="s">
        <v>196</v>
      </c>
      <c r="C538" s="9" t="n">
        <f aca="false">ROUND(C529+C530+C534-a25_rev,0)</f>
        <v>0</v>
      </c>
      <c r="D538" s="9" t="n">
        <f aca="false">ROUND(D529+D530+D534-f26_rev,0)</f>
        <v>0</v>
      </c>
      <c r="H538" s="8" t="s">
        <v>504</v>
      </c>
    </row>
    <row r="539" customFormat="false" ht="15" hidden="false" customHeight="false" outlineLevel="0" collapsed="false">
      <c r="A539" s="4" t="s">
        <v>480</v>
      </c>
      <c r="B539" s="0" t="s">
        <v>196</v>
      </c>
      <c r="C539" s="9" t="n">
        <f aca="false">C532+C535+C536</f>
        <v>653.2</v>
      </c>
      <c r="D539" s="9" t="n">
        <f aca="false">D532+D535+D536</f>
        <v>1629.93073654536</v>
      </c>
      <c r="E539" s="9" t="n">
        <f aca="false">E532+E535+E536</f>
        <v>2514.52879496834</v>
      </c>
      <c r="F539" s="9" t="n">
        <f aca="false">F532+F535+F536</f>
        <v>3006.74059733587</v>
      </c>
      <c r="G539" s="9" t="n">
        <f aca="false">G532+G535+G536</f>
        <v>3502.04562107711</v>
      </c>
    </row>
    <row r="540" customFormat="false" ht="15" hidden="false" customHeight="false" outlineLevel="0" collapsed="false">
      <c r="A540" s="4" t="s">
        <v>481</v>
      </c>
      <c r="B540" s="0" t="s">
        <v>98</v>
      </c>
      <c r="C540" s="11" t="n">
        <f aca="false">C539/C537</f>
        <v>0.204758471521269</v>
      </c>
      <c r="D540" s="11" t="n">
        <f aca="false">D539/D537</f>
        <v>0.318868991420565</v>
      </c>
      <c r="E540" s="11" t="n">
        <f aca="false">E539/E537</f>
        <v>0.361336390848749</v>
      </c>
      <c r="F540" s="11" t="n">
        <f aca="false">F539/F537</f>
        <v>0.375796907877763</v>
      </c>
      <c r="G540" s="11" t="n">
        <f aca="false">G539/G537</f>
        <v>0.386510933894953</v>
      </c>
    </row>
    <row r="541" customFormat="false" ht="15" hidden="false" customHeight="false" outlineLevel="0" collapsed="false">
      <c r="A541" s="4" t="s">
        <v>412</v>
      </c>
      <c r="B541" s="0" t="s">
        <v>196</v>
      </c>
      <c r="C541" s="9" t="n">
        <f aca="false">a25_tax</f>
        <v>79.3</v>
      </c>
      <c r="D541" s="9" t="n">
        <f aca="false">f26_tax</f>
        <v>231.054736545361</v>
      </c>
      <c r="E541" s="9" t="n">
        <f aca="false">E539*etr</f>
        <v>356.453053636225</v>
      </c>
      <c r="F541" s="9" t="n">
        <f aca="false">F539*etr</f>
        <v>426.227716921361</v>
      </c>
      <c r="G541" s="9" t="n">
        <f aca="false">G539*etr</f>
        <v>496.440867213065</v>
      </c>
    </row>
    <row r="542" customFormat="false" ht="17.15" hidden="false" customHeight="false" outlineLevel="0" collapsed="false">
      <c r="A542" s="4" t="s">
        <v>413</v>
      </c>
      <c r="B542" s="0" t="s">
        <v>196</v>
      </c>
      <c r="C542" s="9" t="n">
        <f aca="false">a25_aff</f>
        <v>-19.9</v>
      </c>
      <c r="D542" s="9" t="n">
        <f aca="false">f26_aff</f>
        <v>-13.2</v>
      </c>
      <c r="E542" s="9" t="n">
        <f aca="false">aff</f>
        <v>-13.2</v>
      </c>
      <c r="F542" s="9" t="n">
        <f aca="false">aff</f>
        <v>-13.2</v>
      </c>
      <c r="G542" s="9" t="n">
        <f aca="false">aff</f>
        <v>-13.2</v>
      </c>
    </row>
    <row r="543" customFormat="false" ht="17.15" hidden="false" customHeight="false" outlineLevel="0" collapsed="false">
      <c r="A543" s="4" t="s">
        <v>482</v>
      </c>
      <c r="B543" s="0" t="s">
        <v>196</v>
      </c>
      <c r="C543" s="9" t="n">
        <f aca="false">a25_ni</f>
        <v>554</v>
      </c>
      <c r="D543" s="9" t="n">
        <f aca="false">f26_ni</f>
        <v>1385.276</v>
      </c>
      <c r="E543" s="9" t="n">
        <f aca="false">E539-E541+E542</f>
        <v>2144.87574133212</v>
      </c>
      <c r="F543" s="9" t="n">
        <f aca="false">F539-F541+F542</f>
        <v>2567.31288041451</v>
      </c>
      <c r="G543" s="9" t="n">
        <f aca="false">G539-G541+G542</f>
        <v>2992.40475386405</v>
      </c>
      <c r="H543" s="8" t="s">
        <v>505</v>
      </c>
    </row>
    <row r="544" customFormat="false" ht="15" hidden="false" customHeight="false" outlineLevel="0" collapsed="false">
      <c r="A544" s="4" t="s">
        <v>506</v>
      </c>
      <c r="B544" s="4" t="s">
        <v>258</v>
      </c>
      <c r="C544" s="9" t="n">
        <f aca="false">a25_dsh</f>
        <v>159.7</v>
      </c>
      <c r="D544" s="9" t="n">
        <f aca="false">sh26</f>
        <v>157.7</v>
      </c>
      <c r="E544" s="9" t="n">
        <f aca="false">sh26*(1-bb_lo)^1</f>
        <v>157.7</v>
      </c>
      <c r="F544" s="9" t="n">
        <f aca="false">sh26*(1-bb_lo)^2</f>
        <v>157.7</v>
      </c>
      <c r="G544" s="9" t="n">
        <f aca="false">sh26*(1-bb_lo)^3</f>
        <v>157.7</v>
      </c>
    </row>
    <row r="545" customFormat="false" ht="17.15" hidden="false" customHeight="false" outlineLevel="0" collapsed="false">
      <c r="A545" s="0" t="s">
        <v>415</v>
      </c>
      <c r="B545" s="0" t="s">
        <v>201</v>
      </c>
      <c r="C545" s="18" t="n">
        <f aca="false">a25_eps</f>
        <v>3.47</v>
      </c>
      <c r="D545" s="18" t="n">
        <f aca="false">D543/D544</f>
        <v>8.78424857324033</v>
      </c>
      <c r="E545" s="18" t="n">
        <f aca="false">E543/E544</f>
        <v>13.6009875797852</v>
      </c>
      <c r="F545" s="18" t="n">
        <f aca="false">F543/F544</f>
        <v>16.2797265720641</v>
      </c>
      <c r="G545" s="18" t="n">
        <f aca="false">G543/G544</f>
        <v>18.9752996440333</v>
      </c>
    </row>
    <row r="546" customFormat="false" ht="17.15" hidden="false" customHeight="false" outlineLevel="0" collapsed="false">
      <c r="A546" s="0" t="s">
        <v>507</v>
      </c>
      <c r="B546" s="0" t="s">
        <v>98</v>
      </c>
      <c r="C546" s="11" t="n">
        <f aca="false">C525/C537</f>
        <v>0.592363875740573</v>
      </c>
      <c r="D546" s="11" t="n">
        <f aca="false">D525/D537</f>
        <v>0.635675717974802</v>
      </c>
      <c r="E546" s="11" t="n">
        <f aca="false">E525/E537</f>
        <v>0.654305138730523</v>
      </c>
      <c r="F546" s="11" t="n">
        <f aca="false">F525/F537</f>
        <v>0.638679017979199</v>
      </c>
      <c r="G546" s="11" t="n">
        <f aca="false">G525/G537</f>
        <v>0.627131376400865</v>
      </c>
    </row>
    <row r="547" customFormat="false" ht="17.15" hidden="false" customHeight="false" outlineLevel="0" collapsed="false">
      <c r="A547" s="4" t="s">
        <v>508</v>
      </c>
      <c r="B547" s="0" t="s">
        <v>98</v>
      </c>
      <c r="C547" s="11" t="n">
        <f aca="false">a25_gp/a25_rev</f>
        <v>0.582225705329154</v>
      </c>
      <c r="D547" s="11" t="n">
        <f aca="false">f26_gm</f>
        <v>0.594365646092145</v>
      </c>
      <c r="E547" s="11" t="n">
        <f aca="false">f26_gm+(Q!J13-a25_gp/a25_rev)/(Q!J4/Q!J10-a25_soc/a25_rev)*(E546-D546)</f>
        <v>0.600140940959489</v>
      </c>
      <c r="F547" s="11" t="n">
        <f aca="false">f26_gm+(Q!J13-a25_gp/a25_rev)/(Q!J4/Q!J10-a25_soc/a25_rev)*(F546-D546)</f>
        <v>0.595296697214342</v>
      </c>
      <c r="G547" s="11" t="n">
        <f aca="false">f26_gm+(Q!J13-a25_gp/a25_rev)/(Q!J4/Q!J10-a25_soc/a25_rev)*(G546-D546)</f>
        <v>0.591716820200892</v>
      </c>
      <c r="H547" s="8" t="s">
        <v>509</v>
      </c>
    </row>
    <row r="552" customFormat="false" ht="17.15" hidden="false" customHeight="false" outlineLevel="0" collapsed="false">
      <c r="A552" s="1" t="s">
        <v>826</v>
      </c>
    </row>
    <row r="553" customFormat="false" ht="17.15" hidden="false" customHeight="false" outlineLevel="0" collapsed="false">
      <c r="A553" s="5" t="s">
        <v>20</v>
      </c>
      <c r="B553" s="5" t="s">
        <v>21</v>
      </c>
      <c r="C553" s="15" t="s">
        <v>472</v>
      </c>
      <c r="D553" s="15" t="s">
        <v>486</v>
      </c>
      <c r="E553" s="15" t="s">
        <v>473</v>
      </c>
      <c r="F553" s="15" t="s">
        <v>474</v>
      </c>
      <c r="G553" s="15" t="s">
        <v>475</v>
      </c>
      <c r="H553" s="5" t="s">
        <v>433</v>
      </c>
    </row>
    <row r="554" customFormat="false" ht="17.15" hidden="false" customHeight="false" outlineLevel="0" collapsed="false">
      <c r="A554" s="0" t="s">
        <v>487</v>
      </c>
      <c r="B554" s="0" t="s">
        <v>31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488</v>
      </c>
      <c r="B555" s="0" t="s">
        <v>31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3.99150647980462</v>
      </c>
      <c r="F555" s="18" t="n">
        <f aca="false">mm_A_2028</f>
        <v>5.17069526557172</v>
      </c>
      <c r="G555" s="18" t="n">
        <f aca="false">mm_A_2029</f>
        <v>6.33160644779016</v>
      </c>
    </row>
    <row r="556" customFormat="false" ht="17.15" hidden="false" customHeight="false" outlineLevel="0" collapsed="false">
      <c r="A556" s="4" t="s">
        <v>489</v>
      </c>
      <c r="B556" s="0" t="s">
        <v>98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490</v>
      </c>
    </row>
    <row r="557" customFormat="false" ht="17.15" hidden="false" customHeight="false" outlineLevel="0" collapsed="false">
      <c r="A557" s="0" t="s">
        <v>491</v>
      </c>
      <c r="B557" s="0" t="s">
        <v>196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492</v>
      </c>
    </row>
    <row r="558" customFormat="false" ht="15" hidden="false" customHeight="false" outlineLevel="0" collapsed="false">
      <c r="A558" s="4" t="s">
        <v>493</v>
      </c>
      <c r="B558" s="0" t="s">
        <v>98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494</v>
      </c>
      <c r="B559" s="0" t="s">
        <v>196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1264.33507797389</v>
      </c>
      <c r="F559" s="9" t="n">
        <f aca="false">F555*1000*F558</f>
        <v>1637.85062979426</v>
      </c>
      <c r="G559" s="9" t="n">
        <f aca="false">G555*1000*G558</f>
        <v>2005.57663437856</v>
      </c>
    </row>
    <row r="560" customFormat="false" ht="17.15" hidden="false" customHeight="false" outlineLevel="0" collapsed="false">
      <c r="A560" s="0" t="s">
        <v>495</v>
      </c>
      <c r="B560" s="0" t="s">
        <v>196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496</v>
      </c>
    </row>
    <row r="561" customFormat="false" ht="15" hidden="false" customHeight="false" outlineLevel="0" collapsed="false">
      <c r="A561" s="4" t="s">
        <v>497</v>
      </c>
      <c r="B561" s="0" t="s">
        <v>196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6091.59354523868</v>
      </c>
      <c r="F561" s="9" t="n">
        <f aca="false">F557+F559+F560</f>
        <v>7055.37307091378</v>
      </c>
      <c r="G561" s="9" t="n">
        <f aca="false">G557+G559+G560</f>
        <v>8029.69998551651</v>
      </c>
    </row>
    <row r="562" customFormat="false" ht="17.15" hidden="false" customHeight="false" outlineLevel="0" collapsed="false">
      <c r="A562" s="0" t="s">
        <v>498</v>
      </c>
      <c r="B562" s="0" t="s">
        <v>196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439</v>
      </c>
      <c r="B563" s="0" t="s">
        <v>196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6517.29714523868</v>
      </c>
      <c r="F563" s="9" t="n">
        <f aca="false">F561+F562</f>
        <v>7515.13295891378</v>
      </c>
      <c r="G563" s="9" t="n">
        <f aca="false">G561+G562</f>
        <v>8526.24066455651</v>
      </c>
    </row>
    <row r="564" customFormat="false" ht="17.15" hidden="false" customHeight="false" outlineLevel="0" collapsed="false">
      <c r="A564" s="4" t="s">
        <v>499</v>
      </c>
      <c r="B564" s="0" t="s">
        <v>196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2516.09535496834</v>
      </c>
      <c r="F564" s="9" t="n">
        <f aca="false">t_inc*F563-t_fix+0*F563</f>
        <v>2997.70702933587</v>
      </c>
      <c r="G564" s="9" t="n">
        <f aca="false">t_inc*G563-t_fix+0*G563</f>
        <v>3485.72446507711</v>
      </c>
      <c r="H564" s="4" t="s">
        <v>500</v>
      </c>
    </row>
    <row r="565" customFormat="false" ht="15" hidden="false" customHeight="false" outlineLevel="0" collapsed="false">
      <c r="A565" s="4" t="s">
        <v>501</v>
      </c>
      <c r="B565" s="0" t="s">
        <v>98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0.386064237811609</v>
      </c>
      <c r="F565" s="11" t="n">
        <f aca="false">F564/F563</f>
        <v>0.398889420283677</v>
      </c>
      <c r="G565" s="11" t="n">
        <f aca="false">G564/G563</f>
        <v>0.408823138146597</v>
      </c>
    </row>
    <row r="566" customFormat="false" ht="17.15" hidden="false" customHeight="false" outlineLevel="0" collapsed="false">
      <c r="A566" s="4" t="s">
        <v>502</v>
      </c>
      <c r="B566" s="0" t="s">
        <v>196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447</v>
      </c>
      <c r="B567" s="0" t="s">
        <v>196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426</v>
      </c>
      <c r="B568" s="0" t="s">
        <v>196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400</v>
      </c>
      <c r="B569" s="0" t="s">
        <v>196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6958.96914523867</v>
      </c>
      <c r="F569" s="9" t="n">
        <f aca="false">F563+F566</f>
        <v>8000.97215891378</v>
      </c>
      <c r="G569" s="9" t="n">
        <f aca="false">G563+G566</f>
        <v>9060.66378455651</v>
      </c>
    </row>
    <row r="570" customFormat="false" ht="17.15" hidden="false" customHeight="false" outlineLevel="0" collapsed="false">
      <c r="A570" s="4" t="s">
        <v>503</v>
      </c>
      <c r="B570" s="0" t="s">
        <v>196</v>
      </c>
      <c r="C570" s="9" t="n">
        <f aca="false">ROUND(C561+C562+C566-a25_rev,0)</f>
        <v>0</v>
      </c>
      <c r="D570" s="9" t="n">
        <f aca="false">ROUND(D561+D562+D566-f26_rev,0)</f>
        <v>0</v>
      </c>
      <c r="H570" s="8" t="s">
        <v>504</v>
      </c>
    </row>
    <row r="571" customFormat="false" ht="15" hidden="false" customHeight="false" outlineLevel="0" collapsed="false">
      <c r="A571" s="4" t="s">
        <v>480</v>
      </c>
      <c r="B571" s="0" t="s">
        <v>196</v>
      </c>
      <c r="C571" s="9" t="n">
        <f aca="false">C564+C567+C568</f>
        <v>653.2</v>
      </c>
      <c r="D571" s="9" t="n">
        <f aca="false">D564+D567+D568</f>
        <v>1629.93073654536</v>
      </c>
      <c r="E571" s="9" t="n">
        <f aca="false">E564+E567+E568</f>
        <v>2514.52879496834</v>
      </c>
      <c r="F571" s="9" t="n">
        <f aca="false">F564+F567+F568</f>
        <v>3006.74059733587</v>
      </c>
      <c r="G571" s="9" t="n">
        <f aca="false">G564+G567+G568</f>
        <v>3502.04562107711</v>
      </c>
    </row>
    <row r="572" customFormat="false" ht="15" hidden="false" customHeight="false" outlineLevel="0" collapsed="false">
      <c r="A572" s="4" t="s">
        <v>481</v>
      </c>
      <c r="B572" s="0" t="s">
        <v>98</v>
      </c>
      <c r="C572" s="11" t="n">
        <f aca="false">C571/C569</f>
        <v>0.204758471521269</v>
      </c>
      <c r="D572" s="11" t="n">
        <f aca="false">D571/D569</f>
        <v>0.318868991420565</v>
      </c>
      <c r="E572" s="11" t="n">
        <f aca="false">E571/E569</f>
        <v>0.361336390848749</v>
      </c>
      <c r="F572" s="11" t="n">
        <f aca="false">F571/F569</f>
        <v>0.375796907877763</v>
      </c>
      <c r="G572" s="11" t="n">
        <f aca="false">G571/G569</f>
        <v>0.386510933894953</v>
      </c>
    </row>
    <row r="573" customFormat="false" ht="15" hidden="false" customHeight="false" outlineLevel="0" collapsed="false">
      <c r="A573" s="4" t="s">
        <v>412</v>
      </c>
      <c r="B573" s="0" t="s">
        <v>196</v>
      </c>
      <c r="C573" s="9" t="n">
        <f aca="false">a25_tax</f>
        <v>79.3</v>
      </c>
      <c r="D573" s="9" t="n">
        <f aca="false">f26_tax</f>
        <v>231.054736545361</v>
      </c>
      <c r="E573" s="9" t="n">
        <f aca="false">E571*etr</f>
        <v>356.453053636225</v>
      </c>
      <c r="F573" s="9" t="n">
        <f aca="false">F571*etr</f>
        <v>426.227716921361</v>
      </c>
      <c r="G573" s="9" t="n">
        <f aca="false">G571*etr</f>
        <v>496.440867213065</v>
      </c>
    </row>
    <row r="574" customFormat="false" ht="17.15" hidden="false" customHeight="false" outlineLevel="0" collapsed="false">
      <c r="A574" s="4" t="s">
        <v>413</v>
      </c>
      <c r="B574" s="0" t="s">
        <v>196</v>
      </c>
      <c r="C574" s="9" t="n">
        <f aca="false">a25_aff</f>
        <v>-19.9</v>
      </c>
      <c r="D574" s="9" t="n">
        <f aca="false">f26_aff</f>
        <v>-13.2</v>
      </c>
      <c r="E574" s="9" t="n">
        <f aca="false">aff</f>
        <v>-13.2</v>
      </c>
      <c r="F574" s="9" t="n">
        <f aca="false">aff</f>
        <v>-13.2</v>
      </c>
      <c r="G574" s="9" t="n">
        <f aca="false">aff</f>
        <v>-13.2</v>
      </c>
    </row>
    <row r="575" customFormat="false" ht="17.15" hidden="false" customHeight="false" outlineLevel="0" collapsed="false">
      <c r="A575" s="4" t="s">
        <v>482</v>
      </c>
      <c r="B575" s="0" t="s">
        <v>196</v>
      </c>
      <c r="C575" s="9" t="n">
        <f aca="false">a25_ni</f>
        <v>554</v>
      </c>
      <c r="D575" s="9" t="n">
        <f aca="false">f26_ni</f>
        <v>1385.276</v>
      </c>
      <c r="E575" s="9" t="n">
        <f aca="false">E571-E573+E574</f>
        <v>2144.87574133212</v>
      </c>
      <c r="F575" s="9" t="n">
        <f aca="false">F571-F573+F574</f>
        <v>2567.31288041451</v>
      </c>
      <c r="G575" s="9" t="n">
        <f aca="false">G571-G573+G574</f>
        <v>2992.40475386405</v>
      </c>
      <c r="H575" s="8" t="s">
        <v>505</v>
      </c>
    </row>
    <row r="576" customFormat="false" ht="15" hidden="false" customHeight="false" outlineLevel="0" collapsed="false">
      <c r="A576" s="4" t="s">
        <v>506</v>
      </c>
      <c r="B576" s="4" t="s">
        <v>258</v>
      </c>
      <c r="C576" s="9" t="n">
        <f aca="false">a25_dsh</f>
        <v>159.7</v>
      </c>
      <c r="D576" s="9" t="n">
        <f aca="false">sh26</f>
        <v>157.7</v>
      </c>
      <c r="E576" s="9" t="n">
        <f aca="false">sh26*(1-bb_hi)^1</f>
        <v>154.546</v>
      </c>
      <c r="F576" s="9" t="n">
        <f aca="false">sh26*(1-bb_hi)^2</f>
        <v>151.45508</v>
      </c>
      <c r="G576" s="9" t="n">
        <f aca="false">sh26*(1-bb_hi)^3</f>
        <v>148.4259784</v>
      </c>
    </row>
    <row r="577" customFormat="false" ht="17.15" hidden="false" customHeight="false" outlineLevel="0" collapsed="false">
      <c r="A577" s="0" t="s">
        <v>415</v>
      </c>
      <c r="B577" s="0" t="s">
        <v>201</v>
      </c>
      <c r="C577" s="18" t="n">
        <f aca="false">a25_eps</f>
        <v>3.47</v>
      </c>
      <c r="D577" s="18" t="n">
        <f aca="false">D575/D576</f>
        <v>8.78424857324033</v>
      </c>
      <c r="E577" s="18" t="n">
        <f aca="false">E575/E576</f>
        <v>13.8785587548828</v>
      </c>
      <c r="F577" s="18" t="n">
        <f aca="false">F575/F576</f>
        <v>16.9509856018993</v>
      </c>
      <c r="G577" s="18" t="n">
        <f aca="false">G575/G576</f>
        <v>20.1609232165523</v>
      </c>
    </row>
    <row r="578" customFormat="false" ht="17.15" hidden="false" customHeight="false" outlineLevel="0" collapsed="false">
      <c r="A578" s="0" t="s">
        <v>507</v>
      </c>
      <c r="B578" s="0" t="s">
        <v>98</v>
      </c>
      <c r="C578" s="11" t="n">
        <f aca="false">C557/C569</f>
        <v>0.592363875740573</v>
      </c>
      <c r="D578" s="11" t="n">
        <f aca="false">D557/D569</f>
        <v>0.635675717974802</v>
      </c>
      <c r="E578" s="11" t="n">
        <f aca="false">E557/E569</f>
        <v>0.654305138730523</v>
      </c>
      <c r="F578" s="11" t="n">
        <f aca="false">F557/F569</f>
        <v>0.638679017979199</v>
      </c>
      <c r="G578" s="11" t="n">
        <f aca="false">G557/G569</f>
        <v>0.627131376400865</v>
      </c>
    </row>
    <row r="579" customFormat="false" ht="17.15" hidden="false" customHeight="false" outlineLevel="0" collapsed="false">
      <c r="A579" s="4" t="s">
        <v>508</v>
      </c>
      <c r="B579" s="0" t="s">
        <v>98</v>
      </c>
      <c r="C579" s="11" t="n">
        <f aca="false">a25_gp/a25_rev</f>
        <v>0.582225705329154</v>
      </c>
      <c r="D579" s="11" t="n">
        <f aca="false">f26_gm</f>
        <v>0.594365646092145</v>
      </c>
      <c r="E579" s="11" t="n">
        <f aca="false">f26_gm+(Q!J13-a25_gp/a25_rev)/(Q!J4/Q!J10-a25_soc/a25_rev)*(E578-D578)</f>
        <v>0.600140940959489</v>
      </c>
      <c r="F579" s="11" t="n">
        <f aca="false">f26_gm+(Q!J13-a25_gp/a25_rev)/(Q!J4/Q!J10-a25_soc/a25_rev)*(F578-D578)</f>
        <v>0.595296697214342</v>
      </c>
      <c r="G579" s="11" t="n">
        <f aca="false">f26_gm+(Q!J13-a25_gp/a25_rev)/(Q!J4/Q!J10-a25_soc/a25_rev)*(G578-D578)</f>
        <v>0.591716820200892</v>
      </c>
      <c r="H579" s="8" t="s">
        <v>509</v>
      </c>
    </row>
    <row r="582" customFormat="false" ht="17.15" hidden="false" customHeight="false" outlineLevel="0" collapsed="false">
      <c r="A582" s="1" t="s">
        <v>827</v>
      </c>
    </row>
    <row r="583" customFormat="false" ht="17.15" hidden="false" customHeight="false" outlineLevel="0" collapsed="false">
      <c r="A583" s="5" t="s">
        <v>771</v>
      </c>
      <c r="B583" s="5" t="s">
        <v>772</v>
      </c>
      <c r="C583" s="15" t="s">
        <v>828</v>
      </c>
      <c r="D583" s="15" t="s">
        <v>726</v>
      </c>
      <c r="E583" s="5" t="s">
        <v>829</v>
      </c>
      <c r="F583" s="5" t="s">
        <v>775</v>
      </c>
    </row>
    <row r="584" customFormat="false" ht="17.15" hidden="false" customHeight="false" outlineLevel="0" collapsed="false">
      <c r="A584" s="4" t="s">
        <v>23</v>
      </c>
      <c r="B584" s="0" t="s">
        <v>830</v>
      </c>
      <c r="C584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4" s="14" t="n">
        <f aca="false">tp_comp_adj</f>
        <v>493.436352755451</v>
      </c>
      <c r="E584" s="14" t="n">
        <f aca="false">tp_w_dcf*C584+(1-tp_w_dcf)*D584</f>
        <v>356.366566588699</v>
      </c>
      <c r="F584" s="11" t="n">
        <f aca="false">E584/E$584-1</f>
        <v>0</v>
      </c>
    </row>
    <row r="585" customFormat="false" ht="17.15" hidden="false" customHeight="false" outlineLevel="0" collapsed="false">
      <c r="A585" s="4" t="s">
        <v>831</v>
      </c>
      <c r="B585" s="0" t="s">
        <v>832</v>
      </c>
      <c r="C585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189.708988648371</v>
      </c>
      <c r="D585" s="14" t="n">
        <f aca="false">tp_comp_adj</f>
        <v>493.436352755451</v>
      </c>
      <c r="E585" s="14" t="n">
        <f aca="false">tp_w_dcf*C585+(1-tp_w_dcf)*D585</f>
        <v>341.572670701911</v>
      </c>
      <c r="F585" s="11" t="n">
        <f aca="false">E585/E$584-1</f>
        <v>-0.0415131420110536</v>
      </c>
    </row>
    <row r="586" customFormat="false" ht="17.15" hidden="false" customHeight="false" outlineLevel="0" collapsed="false">
      <c r="A586" s="4" t="s">
        <v>833</v>
      </c>
      <c r="B586" s="0" t="s">
        <v>834</v>
      </c>
      <c r="C586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260.698855705457</v>
      </c>
      <c r="D586" s="14" t="n">
        <f aca="false">tp_comp_adj</f>
        <v>493.436352755451</v>
      </c>
      <c r="E586" s="14" t="n">
        <f aca="false">tp_w_dcf*C586+(1-tp_w_dcf)*D586</f>
        <v>377.067604230454</v>
      </c>
      <c r="F586" s="11" t="n">
        <f aca="false">E586/E$584-1</f>
        <v>0.0580891688014242</v>
      </c>
    </row>
    <row r="587" customFormat="false" ht="17.15" hidden="false" customHeight="false" outlineLevel="0" collapsed="false">
      <c r="A587" s="4" t="s">
        <v>835</v>
      </c>
      <c r="B587" s="0" t="s">
        <v>836</v>
      </c>
      <c r="C587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235.895749830529</v>
      </c>
      <c r="D587" s="14" t="n">
        <f aca="false">tp_comp_adj</f>
        <v>493.436352755451</v>
      </c>
      <c r="E587" s="14" t="n">
        <f aca="false">tp_w_dcf*C587+(1-tp_w_dcf)*D587</f>
        <v>364.66605129299</v>
      </c>
      <c r="F587" s="11" t="n">
        <f aca="false">E587/E$584-1</f>
        <v>0.0232891788467626</v>
      </c>
    </row>
    <row r="588" customFormat="false" ht="17.15" hidden="false" customHeight="false" outlineLevel="0" collapsed="false">
      <c r="A588" s="4" t="s">
        <v>837</v>
      </c>
      <c r="B588" s="0" t="s">
        <v>838</v>
      </c>
      <c r="C588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208.447666252015</v>
      </c>
      <c r="D588" s="14" t="n">
        <f aca="false">tp_comp_adj</f>
        <v>493.436352755451</v>
      </c>
      <c r="E588" s="14" t="n">
        <f aca="false">tp_w_dcf*C588+(1-tp_w_dcf)*D588</f>
        <v>350.942009503733</v>
      </c>
      <c r="F588" s="11" t="n">
        <f aca="false">E588/E$584-1</f>
        <v>-0.015221846249193</v>
      </c>
    </row>
    <row r="589" customFormat="false" ht="17.15" hidden="false" customHeight="false" outlineLevel="0" collapsed="false">
      <c r="A589" s="0" t="s">
        <v>839</v>
      </c>
      <c r="B589" s="0" t="s">
        <v>840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9" s="14" t="n">
        <f aca="false">tp_comp_adj</f>
        <v>493.436352755451</v>
      </c>
      <c r="E589" s="14" t="n">
        <f aca="false">0.3*C589+(1-0.3)*D589</f>
        <v>411.1944810554</v>
      </c>
      <c r="F589" s="11" t="n">
        <f aca="false">E589/E$584-1</f>
        <v>0.153852576552111</v>
      </c>
    </row>
    <row r="590" customFormat="false" ht="17.15" hidden="false" customHeight="false" outlineLevel="0" collapsed="false">
      <c r="A590" s="0" t="s">
        <v>841</v>
      </c>
      <c r="B590" s="0" t="s">
        <v>842</v>
      </c>
      <c r="C590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90" s="14" t="n">
        <f aca="false">tp_comp_adj</f>
        <v>493.436352755451</v>
      </c>
      <c r="E590" s="14" t="n">
        <f aca="false">0.7*C590+(1-0.7)*D590</f>
        <v>301.538652121998</v>
      </c>
      <c r="F590" s="11" t="n">
        <f aca="false">E590/E$584-1</f>
        <v>-0.153852576552111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843</v>
      </c>
    </row>
    <row r="2" customFormat="false" ht="17.15" hidden="false" customHeight="false" outlineLevel="0" collapsed="false">
      <c r="A2" s="4" t="s">
        <v>844</v>
      </c>
      <c r="B2" s="0" t="s">
        <v>845</v>
      </c>
    </row>
    <row r="3" customFormat="false" ht="17.15" hidden="false" customHeight="false" outlineLevel="0" collapsed="false">
      <c r="A3" s="4" t="s">
        <v>846</v>
      </c>
      <c r="B3" s="0" t="s">
        <v>847</v>
      </c>
    </row>
    <row r="4" customFormat="false" ht="17.15" hidden="false" customHeight="false" outlineLevel="0" collapsed="false">
      <c r="A4" s="4" t="s">
        <v>848</v>
      </c>
      <c r="B4" s="0" t="s">
        <v>849</v>
      </c>
    </row>
    <row r="5" customFormat="false" ht="17.15" hidden="false" customHeight="false" outlineLevel="0" collapsed="false">
      <c r="A5" s="4" t="s">
        <v>850</v>
      </c>
      <c r="B5" s="0" t="s">
        <v>851</v>
      </c>
    </row>
    <row r="6" customFormat="false" ht="17.15" hidden="false" customHeight="false" outlineLevel="0" collapsed="false">
      <c r="A6" s="4" t="s">
        <v>852</v>
      </c>
      <c r="B6" s="0" t="s">
        <v>853</v>
      </c>
    </row>
    <row r="7" customFormat="false" ht="17.15" hidden="false" customHeight="false" outlineLevel="0" collapsed="false">
      <c r="A7" s="4" t="s">
        <v>854</v>
      </c>
      <c r="B7" s="0" t="s">
        <v>855</v>
      </c>
    </row>
    <row r="8" customFormat="false" ht="17.15" hidden="false" customHeight="false" outlineLevel="0" collapsed="false">
      <c r="A8" s="4" t="s">
        <v>856</v>
      </c>
      <c r="B8" s="0" t="s">
        <v>857</v>
      </c>
    </row>
    <row r="9" customFormat="false" ht="17.15" hidden="false" customHeight="false" outlineLevel="0" collapsed="false">
      <c r="A9" s="4" t="s">
        <v>858</v>
      </c>
      <c r="B9" s="0" t="s">
        <v>859</v>
      </c>
    </row>
    <row r="10" customFormat="false" ht="17.15" hidden="false" customHeight="false" outlineLevel="0" collapsed="false">
      <c r="A10" s="0" t="s">
        <v>860</v>
      </c>
      <c r="B10" s="0" t="s">
        <v>861</v>
      </c>
    </row>
    <row r="11" customFormat="false" ht="17.15" hidden="false" customHeight="false" outlineLevel="0" collapsed="false">
      <c r="A11" s="4" t="s">
        <v>862</v>
      </c>
      <c r="B11" s="0" t="s">
        <v>863</v>
      </c>
    </row>
    <row r="12" customFormat="false" ht="17.15" hidden="false" customHeight="false" outlineLevel="0" collapsed="false">
      <c r="A12" s="0" t="s">
        <v>864</v>
      </c>
      <c r="B12" s="0" t="s">
        <v>865</v>
      </c>
    </row>
    <row r="13" customFormat="false" ht="17.15" hidden="false" customHeight="false" outlineLevel="0" collapsed="false">
      <c r="A13" s="0" t="s">
        <v>866</v>
      </c>
      <c r="B13" s="0" t="s">
        <v>867</v>
      </c>
    </row>
    <row r="14" customFormat="false" ht="17.15" hidden="false" customHeight="false" outlineLevel="0" collapsed="false">
      <c r="A14" s="0" t="s">
        <v>868</v>
      </c>
      <c r="B14" s="0" t="s">
        <v>869</v>
      </c>
    </row>
    <row r="15" customFormat="false" ht="17.15" hidden="false" customHeight="false" outlineLevel="0" collapsed="false">
      <c r="A15" s="0" t="s">
        <v>870</v>
      </c>
      <c r="B15" s="0" t="s">
        <v>871</v>
      </c>
    </row>
    <row r="16" customFormat="false" ht="17.15" hidden="false" customHeight="false" outlineLevel="0" collapsed="false">
      <c r="A16" s="0" t="s">
        <v>872</v>
      </c>
      <c r="B16" s="0" t="s">
        <v>873</v>
      </c>
    </row>
    <row r="17" customFormat="false" ht="17.15" hidden="false" customHeight="false" outlineLevel="0" collapsed="false">
      <c r="A17" s="0" t="s">
        <v>874</v>
      </c>
      <c r="B17" s="0" t="s">
        <v>875</v>
      </c>
    </row>
    <row r="18" customFormat="false" ht="17.15" hidden="false" customHeight="false" outlineLevel="0" collapsed="false">
      <c r="A18" s="0" t="s">
        <v>876</v>
      </c>
      <c r="B18" s="0" t="s">
        <v>877</v>
      </c>
    </row>
    <row r="19" customFormat="false" ht="17.15" hidden="false" customHeight="false" outlineLevel="0" collapsed="false">
      <c r="A19" s="0" t="s">
        <v>878</v>
      </c>
      <c r="B19" s="0" t="s">
        <v>879</v>
      </c>
    </row>
    <row r="20" customFormat="false" ht="17.15" hidden="false" customHeight="false" outlineLevel="0" collapsed="false">
      <c r="A20" s="0" t="s">
        <v>880</v>
      </c>
      <c r="B20" s="0" t="s">
        <v>881</v>
      </c>
    </row>
    <row r="21" customFormat="false" ht="17.15" hidden="false" customHeight="false" outlineLevel="0" collapsed="false">
      <c r="A21" s="0" t="s">
        <v>882</v>
      </c>
      <c r="B21" s="0" t="s">
        <v>883</v>
      </c>
    </row>
    <row r="22" customFormat="false" ht="17.15" hidden="false" customHeight="false" outlineLevel="0" collapsed="false">
      <c r="A22" s="0" t="s">
        <v>884</v>
      </c>
      <c r="B22" s="0" t="s">
        <v>885</v>
      </c>
    </row>
    <row r="23" customFormat="false" ht="17.15" hidden="false" customHeight="false" outlineLevel="0" collapsed="false">
      <c r="A23" s="0" t="s">
        <v>886</v>
      </c>
      <c r="B23" s="0" t="s">
        <v>887</v>
      </c>
    </row>
    <row r="24" customFormat="false" ht="17.15" hidden="false" customHeight="false" outlineLevel="0" collapsed="false">
      <c r="A24" s="4" t="s">
        <v>888</v>
      </c>
    </row>
    <row r="25" customFormat="false" ht="15" hidden="false" customHeight="false" outlineLevel="0" collapsed="false">
      <c r="A25" s="0" t="s">
        <v>889</v>
      </c>
      <c r="B25" s="4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2026-10-29T07:23:46Z</dcterms:created>
  <dc:creator>openpyxl</dc:creator>
  <dc:description/>
  <dc:language>en-US</dc:language>
  <cp:lastModifiedBy/>
  <dcterms:modified xsi:type="dcterms:W3CDTF">2026-10-29T07:23:47Z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