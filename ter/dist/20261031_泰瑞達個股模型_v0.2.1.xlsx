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ff" vbProcedure="false">Q!$F$17</definedName>
    <definedName function="false" hidden="false" name="a25_corp" vbProcedure="false">Q!$C$27</definedName>
    <definedName function="false" hidden="false" name="a25_dsh" vbProcedure="false">Q!$F$20</definedName>
    <definedName function="false" hidden="false" name="a25_eps" vbProcedure="false">Q!$F$19</definedName>
    <definedName function="false" hidden="false" name="a25_gp" vbProcedure="false">Q!$F$12</definedName>
    <definedName function="false" hidden="false" name="a25_ist" vbProcedure="false">Q!$F$6</definedName>
    <definedName function="false" hidden="false" name="a25_mem" vbProcedure="false">Q!$F$5</definedName>
    <definedName function="false" hidden="false" name="a25_ni" vbProcedure="false">Q!$F$18</definedName>
    <definedName function="false" hidden="false" name="a25_pt" vbProcedure="false">Q!$F$8</definedName>
    <definedName function="false" hidden="false" name="a25_pti" vbProcedure="false">Q!$F$15</definedName>
    <definedName function="false" hidden="false" name="a25_rev" vbProcedure="false">Q!$F$10</definedName>
    <definedName function="false" hidden="false" name="a25_rob" vbProcedure="false">Q!$F$9</definedName>
    <definedName function="false" hidden="false" name="a25_rtest" vbProcedure="false">Q!$B$51</definedName>
    <definedName function="false" hidden="false" name="a25_semi" vbProcedure="false">Q!$F$7</definedName>
    <definedName function="false" hidden="false" name="a25_soc" vbProcedure="false">Q!$F$4</definedName>
    <definedName function="false" hidden="false" name="a25_tax" vbProcedure="false">Q!$F$16</definedName>
    <definedName function="false" hidden="false" name="a25_trob" vbProcedure="false">Q!$C$26</definedName>
    <definedName function="false" hidden="false" name="a25_ttest" vbProcedure="false">Q!$C$51</definedName>
    <definedName function="false" hidden="false" name="adv_sh26" vbProcedure="false">In!$E$67</definedName>
    <definedName function="false" hidden="false" name="aff" vbProcedure="false">In!$E$87</definedName>
    <definedName function="false" hidden="false" name="an_share" vbProcedure="false">In!$E$104</definedName>
    <definedName function="false" hidden="false" name="as_A_2026" vbProcedure="false">In!$E$31</definedName>
    <definedName function="false" hidden="false" name="as_A_2027" vbProcedure="false">In!$E$32</definedName>
    <definedName function="false" hidden="false" name="as_A_2028" vbProcedure="false">In!$E$33</definedName>
    <definedName function="false" hidden="false" name="as_A_2029" vbProcedure="false">In!$E$34</definedName>
    <definedName function="false" hidden="false" name="as_B_2026" vbProcedure="false">In!$E$35</definedName>
    <definedName function="false" hidden="false" name="as_B_2027" vbProcedure="false">In!$E$36</definedName>
    <definedName function="false" hidden="false" name="as_B_2028" vbProcedure="false">In!$E$37</definedName>
    <definedName function="false" hidden="false" name="as_B_2029" vbProcedure="false">In!$E$38</definedName>
    <definedName function="false" hidden="false" name="as_C_2026" vbProcedure="false">In!$E$39</definedName>
    <definedName function="false" hidden="false" name="as_C_2027" vbProcedure="false">In!$E$40</definedName>
    <definedName function="false" hidden="false" name="as_C_2028" vbProcedure="false">In!$E$41</definedName>
    <definedName function="false" hidden="false" name="as_C_2029" vbProcedure="false">In!$E$42</definedName>
    <definedName function="false" hidden="false" name="bb" vbProcedure="false">In!$E$89</definedName>
    <definedName function="false" hidden="false" name="bb_hi" vbProcedure="false">In!$F$89</definedName>
    <definedName function="false" hidden="false" name="bb_lo" vbProcedure="false">In!$D$89</definedName>
    <definedName function="false" hidden="false" name="cons_eps26" vbProcedure="false">In!$E$97</definedName>
    <definedName function="false" hidden="false" name="cons_eps27" vbProcedure="false">In!$E$98</definedName>
    <definedName function="false" hidden="false" name="cons_feps" vbProcedure="false">In!$E$122</definedName>
    <definedName function="false" hidden="false" name="cons_rev26" vbProcedure="false">In!$E$96</definedName>
    <definedName function="false" hidden="false" name="cons_tp" vbProcedure="false">In!$E$121</definedName>
    <definedName function="false" hidden="false" name="corp" vbProcedure="false">In!$E$85</definedName>
    <definedName function="false" hidden="false" name="etr" vbProcedure="false">In!$E$86</definedName>
    <definedName function="false" hidden="false" name="etr_hi" vbProcedure="false">In!$F$86</definedName>
    <definedName function="false" hidden="false" name="etr_lo" vbProcedure="false">In!$D$86</definedName>
    <definedName function="false" hidden="false" name="f26_aff" vbProcedure="false">Q!$D$43</definedName>
    <definedName function="false" hidden="false" name="f26_corp" vbProcedure="false">Q!$D$47</definedName>
    <definedName function="false" hidden="false" name="f26_eps" vbProcedure="false">Q!$D$49</definedName>
    <definedName function="false" hidden="false" name="f26_gm" vbProcedure="false">Q!$D$50</definedName>
    <definedName function="false" hidden="false" name="f26_ist" vbProcedure="false">Q!$D$34</definedName>
    <definedName function="false" hidden="false" name="f26_mem" vbProcedure="false">Q!$D$33</definedName>
    <definedName function="false" hidden="false" name="f26_ni" vbProcedure="false">Q!$D$42</definedName>
    <definedName function="false" hidden="false" name="f26_pt" vbProcedure="false">Q!$D$35</definedName>
    <definedName function="false" hidden="false" name="f26_pti" vbProcedure="false">Q!$D$44</definedName>
    <definedName function="false" hidden="false" name="f26_rev" vbProcedure="false">Q!$D$40</definedName>
    <definedName function="false" hidden="false" name="f26_rob" vbProcedure="false">Q!$D$36</definedName>
    <definedName function="false" hidden="false" name="f26_rtest" vbProcedure="false">Q!$D$37</definedName>
    <definedName function="false" hidden="false" name="f26_soc" vbProcedure="false">Q!$D$32</definedName>
    <definedName function="false" hidden="false" name="f26_tax" vbProcedure="false">Q!$D$45</definedName>
    <definedName function="false" hidden="false" name="f26_trob" vbProcedure="false">Q!$D$46</definedName>
    <definedName function="false" hidden="false" name="f26_ttest" vbProcedure="false">Q!$D$48</definedName>
    <definedName function="false" hidden="false" name="gm_adj_C28" vbProcedure="false">In!$E$90</definedName>
    <definedName function="false" hidden="false" name="gm_adj_C28_hi" vbProcedure="false">In!$F$90</definedName>
    <definedName function="false" hidden="false" name="gm_adj_C28_lo" vbProcedure="false">In!$D$90</definedName>
    <definedName function="false" hidden="false" name="gm_adj_C29" vbProcedure="false">In!$E$91</definedName>
    <definedName function="false" hidden="false" name="gm_adj_C29_hi" vbProcedure="false">In!$F$91</definedName>
    <definedName function="false" hidden="false" name="gm_adj_C29_lo" vbProcedure="false">In!$D$91</definedName>
    <definedName function="false" hidden="false" name="g_pt_A" vbProcedure="false">In!$E$75</definedName>
    <definedName function="false" hidden="false" name="g_pt_A_hi" vbProcedure="false">In!$F$75</definedName>
    <definedName function="false" hidden="false" name="g_pt_A_lo" vbProcedure="false">In!$D$75</definedName>
    <definedName function="false" hidden="false" name="g_pt_B" vbProcedure="false">In!$E$76</definedName>
    <definedName function="false" hidden="false" name="g_pt_B_hi" vbProcedure="false">In!$F$76</definedName>
    <definedName function="false" hidden="false" name="g_pt_B_lo" vbProcedure="false">In!$D$76</definedName>
    <definedName function="false" hidden="false" name="g_pt_C" vbProcedure="false">In!$E$77</definedName>
    <definedName function="false" hidden="false" name="g_pt_C_hi" vbProcedure="false">In!$F$77</definedName>
    <definedName function="false" hidden="false" name="g_pt_C_lo" vbProcedure="false">In!$D$77</definedName>
    <definedName function="false" hidden="false" name="g_rob" vbProcedure="false">In!$E$78</definedName>
    <definedName function="false" hidden="false" name="g_rob_hi" vbProcedure="false">In!$F$78</definedName>
    <definedName function="false" hidden="false" name="g_rob_lo" vbProcedure="false">In!$D$78</definedName>
    <definedName function="false" hidden="false" name="h1sh_hi" vbProcedure="false">In!$E$95</definedName>
    <definedName function="false" hidden="false" name="h1sh_lo" vbProcedure="false">In!$E$94</definedName>
    <definedName function="false" hidden="false" name="h1_aff" vbProcedure="false">Q!$D$52</definedName>
    <definedName function="false" hidden="false" name="h1_pt" vbProcedure="false">Q!$B$52</definedName>
    <definedName function="false" hidden="false" name="h1_tax" vbProcedure="false">Q!$C$52</definedName>
    <definedName function="false" hidden="false" name="h2g" vbProcedure="false">In!$E$72</definedName>
    <definedName function="false" hidden="false" name="h2g_hi" vbProcedure="false">In!$F$72</definedName>
    <definedName function="false" hidden="false" name="h2g_lo" vbProcedure="false">In!$D$72</definedName>
    <definedName function="false" hidden="false" name="mk_mem25" vbProcedure="false">In!$E$6</definedName>
    <definedName function="false" hidden="false" name="mk_soc25" vbProcedure="false">In!$E$5</definedName>
    <definedName function="false" hidden="false" name="mm_A_2026" vbProcedure="false">In!$E$19</definedName>
    <definedName function="false" hidden="false" name="mm_A_2027" vbProcedure="false">In!$E$20</definedName>
    <definedName function="false" hidden="false" name="mm_A_2028" vbProcedure="false">In!$E$21</definedName>
    <definedName function="false" hidden="false" name="mm_A_2029" vbProcedure="false">In!$E$22</definedName>
    <definedName function="false" hidden="false" name="mm_B_2026" vbProcedure="false">In!$E$23</definedName>
    <definedName function="false" hidden="false" name="mm_B_2027" vbProcedure="false">In!$E$24</definedName>
    <definedName function="false" hidden="false" name="mm_B_2028" vbProcedure="false">In!$E$25</definedName>
    <definedName function="false" hidden="false" name="mm_B_2029" vbProcedure="false">In!$E$26</definedName>
    <definedName function="false" hidden="false" name="mm_C_2026" vbProcedure="false">In!$E$27</definedName>
    <definedName function="false" hidden="false" name="mm_C_2027" vbProcedure="false">In!$E$28</definedName>
    <definedName function="false" hidden="false" name="mm_C_2028" vbProcedure="false">In!$E$29</definedName>
    <definedName function="false" hidden="false" name="mm_C_2029" vbProcedure="false">In!$E$30</definedName>
    <definedName function="false" hidden="false" name="ms_A_2026" vbProcedure="false">In!$E$7</definedName>
    <definedName function="false" hidden="false" name="ms_A_2027" vbProcedure="false">In!$E$8</definedName>
    <definedName function="false" hidden="false" name="ms_A_2028" vbProcedure="false">In!$E$9</definedName>
    <definedName function="false" hidden="false" name="ms_A_2029" vbProcedure="false">In!$E$10</definedName>
    <definedName function="false" hidden="false" name="ms_B_2026" vbProcedure="false">In!$E$11</definedName>
    <definedName function="false" hidden="false" name="ms_B_2027" vbProcedure="false">In!$E$12</definedName>
    <definedName function="false" hidden="false" name="ms_B_2028" vbProcedure="false">In!$E$13</definedName>
    <definedName function="false" hidden="false" name="ms_B_2029" vbProcedure="false">In!$E$14</definedName>
    <definedName function="false" hidden="false" name="ms_C_2026" vbProcedure="false">In!$E$15</definedName>
    <definedName function="false" hidden="false" name="ms_C_2027" vbProcedure="false">In!$E$16</definedName>
    <definedName function="false" hidden="false" name="ms_C_2028" vbProcedure="false">In!$E$17</definedName>
    <definedName function="false" hidden="false" name="ms_C_2029" vbProcedure="false">In!$E$18</definedName>
    <definedName function="false" hidden="false" name="m_soc" vbProcedure="false">In!$E$92</definedName>
    <definedName function="false" hidden="false" name="m_soc_hi" vbProcedure="false">In!$F$92</definedName>
    <definedName function="false" hidden="false" name="m_soc_lo" vbProcedure="false">In!$D$92</definedName>
    <definedName function="false" hidden="false" name="nim10" vbProcedure="false">In!$E$120</definedName>
    <definedName function="false" hidden="false" name="pe_mid" vbProcedure="false">Val!$B$36</definedName>
    <definedName function="false" hidden="false" name="pe_peak" vbProcedure="false">Val!$B$35</definedName>
    <definedName function="false" hidden="false" name="pe_trough" vbProcedure="false">Val!$B$37</definedName>
    <definedName function="false" hidden="false" name="pk_A" vbProcedure="false">In!$E$105</definedName>
    <definedName function="false" hidden="false" name="pk_B" vbProcedure="false">In!$E$106</definedName>
    <definedName function="false" hidden="false" name="pk_C" vbProcedure="false">In!$E$107</definedName>
    <definedName function="false" hidden="false" name="px" vbProcedure="false">In!$E$108</definedName>
    <definedName function="false" hidden="false" name="q3_eps" vbProcedure="false">In!$E$70</definedName>
    <definedName function="false" hidden="false" name="q3_eps_hi" vbProcedure="false">In!$F$70</definedName>
    <definedName function="false" hidden="false" name="q3_eps_lo" vbProcedure="false">In!$D$70</definedName>
    <definedName function="false" hidden="false" name="q3_rev" vbProcedure="false">In!$E$69</definedName>
    <definedName function="false" hidden="false" name="q3_rev_hi" vbProcedure="false">In!$F$69</definedName>
    <definedName function="false" hidden="false" name="q3_rev_lo" vbProcedure="false">In!$D$69</definedName>
    <definedName function="false" hidden="false" name="q4_eq_q3" vbProcedure="false">In!$E$71</definedName>
    <definedName function="false" hidden="false" name="q4_eq_q3_hi" vbProcedure="false">In!$F$71</definedName>
    <definedName function="false" hidden="false" name="q4_eq_q3_lo" vbProcedure="false">In!$D$71</definedName>
    <definedName function="false" hidden="false" name="rm_2027" vbProcedure="false">In!$E$79</definedName>
    <definedName function="false" hidden="false" name="rm_2027_hi" vbProcedure="false">In!$F$79</definedName>
    <definedName function="false" hidden="false" name="rm_2027_lo" vbProcedure="false">In!$D$79</definedName>
    <definedName function="false" hidden="false" name="rm_2028" vbProcedure="false">In!$E$80</definedName>
    <definedName function="false" hidden="false" name="rm_2028_hi" vbProcedure="false">In!$F$80</definedName>
    <definedName function="false" hidden="false" name="rm_2028_lo" vbProcedure="false">In!$D$80</definedName>
    <definedName function="false" hidden="false" name="rm_2029" vbProcedure="false">In!$E$81</definedName>
    <definedName function="false" hidden="false" name="rm_2029_hi" vbProcedure="false">In!$F$81</definedName>
    <definedName function="false" hidden="false" name="rm_2029_lo" vbProcedure="false">In!$D$81</definedName>
    <definedName function="false" hidden="false" name="rm_factor" vbProcedure="false">Val!$B$157</definedName>
    <definedName function="false" hidden="false" name="rob_h2" vbProcedure="false">In!$E$73</definedName>
    <definedName function="false" hidden="false" name="rob_h2_hi" vbProcedure="false">In!$F$73</definedName>
    <definedName function="false" hidden="false" name="rob_h2_lo" vbProcedure="false">In!$D$73</definedName>
    <definedName function="false" hidden="false" name="sa_fpe" vbProcedure="false">In!$E$109</definedName>
    <definedName function="false" hidden="false" name="sh26" vbProcedure="false">In!$E$88</definedName>
    <definedName function="false" hidden="false" name="s_mem" vbProcedure="false">In!$E$66</definedName>
    <definedName function="false" hidden="false" name="s_mem_hi" vbProcedure="false">In!$F$66</definedName>
    <definedName function="false" hidden="false" name="s_mem_lo" vbProcedure="false">In!$D$66</definedName>
    <definedName function="false" hidden="false" name="s_soc" vbProcedure="false">In!$E$65</definedName>
    <definedName function="false" hidden="false" name="s_soc_hi" vbProcedure="false">In!$F$65</definedName>
    <definedName function="false" hidden="false" name="s_soc_lo" vbProcedure="false">In!$D$65</definedName>
    <definedName function="false" hidden="false" name="tm_eps_hi" vbProcedure="false">In!$E$101</definedName>
    <definedName function="false" hidden="false" name="tm_eps_lo" vbProcedure="false">In!$E$100</definedName>
    <definedName function="false" hidden="false" name="tm_rev" vbProcedure="false">In!$E$99</definedName>
    <definedName function="false" hidden="false" name="tp_comp_adj" vbProcedure="false">Val!$B$158</definedName>
    <definedName function="false" hidden="false" name="tp_g" vbProcedure="false">In!$E$117</definedName>
    <definedName function="false" hidden="false" name="tp_r" vbProcedure="false">In!$E$116</definedName>
    <definedName function="false" hidden="false" name="tp_roe" vbProcedure="false">In!$E$118</definedName>
    <definedName function="false" hidden="false" name="tp_wA" vbProcedure="false">In!$E$111</definedName>
    <definedName function="false" hidden="false" name="tp_wB" vbProcedure="false">In!$E$112</definedName>
    <definedName function="false" hidden="false" name="tp_wC" vbProcedure="false">In!$E$113</definedName>
    <definedName function="false" hidden="false" name="tp_w_dcf" vbProcedure="false">In!$E$119</definedName>
    <definedName function="false" hidden="false" name="tw_hi" vbProcedure="false">In!$E$103</definedName>
    <definedName function="false" hidden="false" name="tw_lo" vbProcedure="false">In!$E$102</definedName>
    <definedName function="false" hidden="false" name="t_fix" vbProcedure="false">In!$E$84</definedName>
    <definedName function="false" hidden="false" name="t_fix_hi" vbProcedure="false">In!$F$84</definedName>
    <definedName function="false" hidden="false" name="t_fix_lo" vbProcedure="false">In!$D$84</definedName>
    <definedName function="false" hidden="false" name="t_inc" vbProcedure="false">In!$E$83</definedName>
    <definedName function="false" hidden="false" name="t_inc_hi" vbProcedure="false">In!$F$83</definedName>
    <definedName function="false" hidden="false" name="t_inc_lo" vbProcedure="false">In!$D$83</definedName>
    <definedName function="false" hidden="false" name="um28_A" vbProcedure="false">In!$E$43</definedName>
    <definedName function="false" hidden="false" name="um28_B" vbProcedure="false">In!$E$45</definedName>
    <definedName function="false" hidden="false" name="um28_C" vbProcedure="false">In!$E$47</definedName>
    <definedName function="false" hidden="false" name="um29_A" vbProcedure="false">In!$E$44</definedName>
    <definedName function="false" hidden="false" name="um29_B" vbProcedure="false">In!$E$46</definedName>
    <definedName function="false" hidden="false" name="um29_C" vbProcedure="false">In!$E$48</definedName>
    <definedName function="false" hidden="false" name="wfe_A_2025" vbProcedure="false">In!$E$49</definedName>
    <definedName function="false" hidden="false" name="wfe_A_2026" vbProcedure="false">In!$E$50</definedName>
    <definedName function="false" hidden="false" name="wfe_A_2027" vbProcedure="false">In!$E$51</definedName>
    <definedName function="false" hidden="false" name="wfe_A_2028" vbProcedure="false">In!$E$52</definedName>
    <definedName function="false" hidden="false" name="wfe_A_2029" vbProcedure="false">In!$E$53</definedName>
    <definedName function="false" hidden="false" name="wfe_B_2025" vbProcedure="false">In!$E$54</definedName>
    <definedName function="false" hidden="false" name="wfe_B_2026" vbProcedure="false">In!$E$55</definedName>
    <definedName function="false" hidden="false" name="wfe_B_2027" vbProcedure="false">In!$E$56</definedName>
    <definedName function="false" hidden="false" name="wfe_B_2028" vbProcedure="false">In!$E$57</definedName>
    <definedName function="false" hidden="false" name="wfe_B_2029" vbProcedure="false">In!$E$58</definedName>
    <definedName function="false" hidden="false" name="wfe_C_2025" vbProcedure="false">In!$E$59</definedName>
    <definedName function="false" hidden="false" name="wfe_C_2026" vbProcedure="false">In!$E$60</definedName>
    <definedName function="false" hidden="false" name="wfe_C_2027" vbProcedure="false">In!$E$61</definedName>
    <definedName function="false" hidden="false" name="wfe_C_2028" vbProcedure="false">In!$E$62</definedName>
    <definedName function="false" hidden="false" name="wfe_C_2029" vbProcedure="false">In!$E$63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<sst xmlns="http://schemas.openxmlformats.org/spreadsheetml/2006/main" count="2992" uniqueCount="964">
  <si>
    <r>
      <rPr>
        <b val="true"/>
        <sz val="11"/>
        <rFont val="Noto Sans CJK SC"/>
        <family val="2"/>
      </rPr>
      <t xml:space="preserve">泰瑞達（</t>
    </r>
    <r>
      <rPr>
        <b val="true"/>
        <sz val="11"/>
        <rFont val="Cambria"/>
        <family val="0"/>
        <charset val="1"/>
      </rPr>
      <t xml:space="preserve">Teradyne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TER US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 </t>
    </r>
    <r>
      <rPr>
        <b val="true"/>
        <sz val="11"/>
        <rFont val="Noto Sans CJK SC"/>
        <family val="2"/>
      </rPr>
      <t xml:space="preserve">步驟 </t>
    </r>
    <r>
      <rPr>
        <b val="true"/>
        <sz val="11"/>
        <rFont val="Cambria"/>
        <family val="0"/>
        <charset val="1"/>
      </rPr>
      <t xml:space="preserve">5</t>
    </r>
    <r>
      <rPr>
        <b val="true"/>
        <sz val="11"/>
        <rFont val="Noto Sans CJK SC"/>
        <family val="2"/>
      </rPr>
      <t xml:space="preserve">：設備與材料）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</si>
  <si>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模型命題：泰瑞達的盈餘由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加速器與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的測試需求決定：</t>
    </r>
    <r>
      <rPr>
        <sz val="11"/>
        <rFont val="Cambria"/>
        <family val="0"/>
        <charset val="1"/>
      </rPr>
      <t xml:space="preserve">SoC </t>
    </r>
    <r>
      <rPr>
        <sz val="11"/>
        <rFont val="Noto Sans CJK SC"/>
        <family val="2"/>
      </rPr>
      <t xml:space="preserve">測試機約三成份額、記憶體測試機約三成份額，乘上與 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同一份測試機市場；機器人事業另列、不隨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情境。股價要看兩件事：測試機市場在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年是否真的再長四成（公司自己說測試對 </t>
    </r>
    <r>
      <rPr>
        <sz val="11"/>
        <rFont val="Cambria"/>
        <family val="0"/>
        <charset val="1"/>
      </rPr>
      <t xml:space="preserve">WFE </t>
    </r>
    <r>
      <rPr>
        <sz val="11"/>
        <rFont val="Noto Sans CJK SC"/>
        <family val="2"/>
      </rPr>
      <t xml:space="preserve">比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年可能回落），以及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與第二家雲端客戶的份額能否在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年起明顯增加。</t>
    </r>
  </si>
  <si>
    <r>
      <rPr>
        <sz val="11"/>
        <rFont val="Noto Sans CJK SC"/>
        <family val="2"/>
      </rPr>
      <t xml:space="preserve">會計年度＝日曆年。金額為百萬美元，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GAAP </t>
    </r>
    <r>
      <rPr>
        <sz val="11"/>
        <rFont val="Noto Sans CJK SC"/>
        <family val="2"/>
      </rPr>
      <t xml:space="preserve">稀釋（共識為 </t>
    </r>
    <r>
      <rPr>
        <sz val="11"/>
        <rFont val="Cambria"/>
        <family val="0"/>
        <charset val="1"/>
      </rPr>
      <t xml:space="preserve">non-GAAP</t>
    </r>
    <r>
      <rPr>
        <sz val="11"/>
        <rFont val="Noto Sans CJK SC"/>
        <family val="2"/>
      </rPr>
      <t xml:space="preserve">，差約每年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預定 </t>
    </r>
    <r>
      <rPr>
        <sz val="11"/>
        <rFont val="Cambria"/>
        <family val="0"/>
        <charset val="1"/>
      </rPr>
      <t xml:space="preserve">2026-10-27 </t>
    </r>
    <r>
      <rPr>
        <sz val="11"/>
        <rFont val="Noto Sans CJK SC"/>
        <family val="2"/>
      </rPr>
      <t xml:space="preserve">盤後公布，建置日（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）尚未公布；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為錨點：上半年實績＋下半年＝ </t>
    </r>
    <r>
      <rPr>
        <sz val="11"/>
        <rFont val="Cambria"/>
        <family val="0"/>
        <charset val="1"/>
      </rPr>
      <t xml:space="preserve">2 × 3Q26 </t>
    </r>
    <r>
      <rPr>
        <sz val="11"/>
        <rFont val="Noto Sans CJK SC"/>
        <family val="2"/>
      </rPr>
      <t xml:space="preserve">指引中點。</t>
    </r>
  </si>
  <si>
    <t xml:space="preserve">驅動因子 → 推導量</t>
  </si>
  <si>
    <r>
      <rPr>
        <sz val="11"/>
        <rFont val="Cambria"/>
        <family val="0"/>
        <charset val="1"/>
      </rPr>
      <t xml:space="preserve">SoC </t>
    </r>
    <r>
      <rPr>
        <sz val="11"/>
        <rFont val="Noto Sans CJK SC"/>
        <family val="2"/>
      </rPr>
      <t xml:space="preserve">測試機營收＝</t>
    </r>
    <r>
      <rPr>
        <sz val="11"/>
        <rFont val="Cambria"/>
        <family val="0"/>
        <charset val="1"/>
      </rPr>
      <t xml:space="preserve">SoC </t>
    </r>
    <r>
      <rPr>
        <sz val="11"/>
        <rFont val="Noto Sans CJK SC"/>
        <family val="2"/>
      </rPr>
      <t xml:space="preserve">測試機市場（讀 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模型，</t>
    </r>
    <r>
      <rPr>
        <sz val="11"/>
        <rFont val="Cambria"/>
        <family val="0"/>
        <charset val="1"/>
      </rPr>
      <t xml:space="preserve">CY</t>
    </r>
    <r>
      <rPr>
        <sz val="11"/>
        <rFont val="Noto Sans CJK SC"/>
        <family val="2"/>
      </rPr>
      <t xml:space="preserve">，三情境同字母）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泰瑞達市占（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錨點推得，約三成）；記憶體測試機＝記憶體測試機市場（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模型，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位元與 </t>
    </r>
    <r>
      <rPr>
        <sz val="11"/>
        <rFont val="Cambria"/>
        <family val="0"/>
        <charset val="1"/>
      </rPr>
      <t xml:space="preserve">DRAM </t>
    </r>
    <r>
      <rPr>
        <sz val="11"/>
        <rFont val="Noto Sans CJK SC"/>
        <family val="2"/>
      </rPr>
      <t xml:space="preserve">設備支出同字母）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市占；</t>
    </r>
    <r>
      <rPr>
        <sz val="11"/>
        <rFont val="Cambria"/>
        <family val="0"/>
        <charset val="1"/>
      </rPr>
      <t xml:space="preserve">IST </t>
    </r>
    <r>
      <rPr>
        <sz val="11"/>
        <rFont val="Noto Sans CJK SC"/>
        <family val="2"/>
      </rPr>
      <t xml:space="preserve">隨 </t>
    </r>
    <r>
      <rPr>
        <sz val="11"/>
        <rFont val="Cambria"/>
        <family val="0"/>
        <charset val="1"/>
      </rPr>
      <t xml:space="preserve">SoC </t>
    </r>
    <r>
      <rPr>
        <sz val="11"/>
        <rFont val="Noto Sans CJK SC"/>
        <family val="2"/>
      </rPr>
      <t xml:space="preserve">市場；</t>
    </r>
    <r>
      <rPr>
        <sz val="11"/>
        <rFont val="Cambria"/>
        <family val="0"/>
        <charset val="1"/>
      </rPr>
      <t xml:space="preserve">Product Test </t>
    </r>
    <r>
      <rPr>
        <sz val="11"/>
        <rFont val="Noto Sans CJK SC"/>
        <family val="2"/>
      </rPr>
      <t xml:space="preserve">前一年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</t>
    </r>
  </si>
  <si>
    <r>
      <rPr>
        <sz val="11"/>
        <rFont val="Noto Sans CJK SC"/>
        <family val="2"/>
      </rPr>
      <t xml:space="preserve">測試事業稅前利益＝增量利益率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測試營收 − 固定成本（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實績與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錨點兩點推導）；機器人營收與稅前利益另列（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，三情境相同）；公司與沖銷、稅率、權益法投資損益沿用 </t>
    </r>
    <r>
      <rPr>
        <sz val="11"/>
        <rFont val="Cambria"/>
        <family val="0"/>
        <charset val="1"/>
      </rPr>
      <t xml:space="preserve">FY2026</t>
    </r>
  </si>
  <si>
    <r>
      <rPr>
        <sz val="11"/>
        <rFont val="Noto Sans CJK SC"/>
        <family val="2"/>
      </rPr>
      <t xml:space="preserve">情境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（順利／平平／不如預期）：測試機市場讀 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模型同字母（其顆數係數讀台積電模型：</t>
    </r>
    <r>
      <rPr>
        <sz val="11"/>
        <rFont val="Cambria"/>
        <family val="0"/>
        <charset val="1"/>
      </rPr>
      <t xml:space="preserve">2028 ×1.0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2029 ×1.0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）；泰瑞達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市占維持，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互補（</t>
    </r>
    <r>
      <rPr>
        <sz val="11"/>
        <rFont val="Cambria"/>
        <family val="0"/>
        <charset val="1"/>
      </rPr>
      <t xml:space="preserve">Advantest FY2028 61%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FY2029 56% → </t>
    </r>
    <r>
      <rPr>
        <sz val="11"/>
        <rFont val="Noto Sans CJK SC"/>
        <family val="2"/>
      </rPr>
      <t xml:space="preserve">泰瑞達 </t>
    </r>
    <r>
      <rPr>
        <sz val="11"/>
        <rFont val="Cambria"/>
        <family val="0"/>
        <charset val="1"/>
      </rPr>
      <t xml:space="preserve">+5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+10 </t>
    </r>
    <r>
      <rPr>
        <sz val="11"/>
        <rFont val="Noto Sans CJK SC"/>
        <family val="2"/>
      </rPr>
      <t xml:space="preserve">個百分點）並承受同樣的價格壓力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</si>
  <si>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：目標價＝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加權（第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節）；規則值（十年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分位依循環位置）保留參考。</t>
    </r>
    <r>
      <rPr>
        <sz val="11"/>
        <rFont val="Cambria"/>
        <family val="0"/>
        <charset val="1"/>
      </rPr>
      <t xml:space="preserve">Recon</t>
    </r>
    <r>
      <rPr>
        <sz val="11"/>
        <rFont val="Noto Sans CJK SC"/>
        <family val="2"/>
      </rPr>
      <t xml:space="preserve">：公司指引、目標模型、共識、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份額、測試對 </t>
    </r>
    <r>
      <rPr>
        <sz val="11"/>
        <rFont val="Cambria"/>
        <family val="0"/>
        <charset val="1"/>
      </rPr>
      <t xml:space="preserve">WFE </t>
    </r>
    <r>
      <rPr>
        <sz val="11"/>
        <rFont val="Noto Sans CJK SC"/>
        <family val="2"/>
      </rPr>
      <t xml:space="preserve">比。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：市占、市場、增量利益率、機器人等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</si>
  <si>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 </t>
    </r>
    <r>
      <rPr>
        <sz val="11"/>
        <rFont val="Cambria"/>
        <family val="0"/>
        <charset val="1"/>
      </rPr>
      <t xml:space="preserve">SEC </t>
    </r>
    <r>
      <rPr>
        <sz val="11"/>
        <rFont val="Noto Sans CJK SC"/>
        <family val="2"/>
      </rPr>
      <t xml:space="preserve">原文可開啟；法說數字取自逐字稿摘要網站，待複核。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</si>
  <si>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測試機市場整份取自 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模型（以 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自估的 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市場校準，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CY2027 </t>
    </r>
    <r>
      <rPr>
        <sz val="11"/>
        <rFont val="Noto Sans CJK SC"/>
        <family val="2"/>
      </rPr>
      <t xml:space="preserve">比 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高約四成，</t>
    </r>
    <r>
      <rPr>
        <sz val="11"/>
        <rFont val="Cambria"/>
        <family val="0"/>
        <charset val="1"/>
      </rPr>
      <t xml:space="preserve">SoC</t>
    </r>
    <r>
      <rPr>
        <sz val="11"/>
        <rFont val="Noto Sans CJK SC"/>
        <family val="2"/>
      </rPr>
      <t xml:space="preserve">＋記憶體 </t>
    </r>
    <r>
      <rPr>
        <sz val="11"/>
        <rFont val="Cambria"/>
        <family val="0"/>
        <charset val="1"/>
      </rPr>
      <t xml:space="preserve">÷ WFE </t>
    </r>
    <r>
      <rPr>
        <sz val="11"/>
        <rFont val="Noto Sans CJK SC"/>
        <family val="2"/>
      </rPr>
      <t xml:space="preserve">達一成，高於泰瑞達自己說的 </t>
    </r>
    <r>
      <rPr>
        <sz val="11"/>
        <rFont val="Cambria"/>
        <family val="0"/>
        <charset val="1"/>
      </rPr>
      <t xml:space="preserve">7–9%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泰瑞達市占由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錨點推得，錨點的下半年用 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指引中點、</t>
    </r>
    <r>
      <rPr>
        <sz val="11"/>
        <rFont val="Cambria"/>
        <family val="0"/>
        <charset val="1"/>
      </rPr>
      <t xml:space="preserve">4Q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3Q</t>
    </r>
    <r>
      <rPr>
        <sz val="11"/>
        <rFont val="Noto Sans CJK SC"/>
        <family val="2"/>
      </rPr>
      <t xml:space="preserve">、非 </t>
    </r>
    <r>
      <rPr>
        <sz val="11"/>
        <rFont val="Cambria"/>
        <family val="0"/>
        <charset val="1"/>
      </rPr>
      <t xml:space="preserve">SoC </t>
    </r>
    <r>
      <rPr>
        <sz val="11"/>
        <rFont val="Noto Sans CJK SC"/>
        <family val="2"/>
      </rPr>
      <t xml:space="preserve">事業下半年 </t>
    </r>
    <r>
      <rPr>
        <sz val="11"/>
        <rFont val="Cambria"/>
        <family val="0"/>
        <charset val="1"/>
      </rPr>
      <t xml:space="preserve">+10%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利益率只有兩點，增量利益率 </t>
    </r>
    <r>
      <rPr>
        <sz val="11"/>
        <rFont val="Cambria"/>
        <family val="0"/>
        <charset val="1"/>
      </rPr>
      <t xml:space="preserve">48% </t>
    </r>
    <r>
      <rPr>
        <sz val="11"/>
        <rFont val="Noto Sans CJK SC"/>
        <family val="2"/>
      </rPr>
      <t xml:space="preserve">偏高時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以後高估；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機器人營收與利益率全為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(5) C </t>
    </r>
    <r>
      <rPr>
        <sz val="11"/>
        <rFont val="Noto Sans CJK SC"/>
        <family val="2"/>
      </rPr>
      <t xml:space="preserve">情境泰瑞達份額上升是與 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互補的結果，與「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最不利」的公司變數方向相反（見 </t>
    </r>
    <r>
      <rPr>
        <sz val="11"/>
        <rFont val="Cambria"/>
        <family val="0"/>
        <charset val="1"/>
      </rPr>
      <t xml:space="preserve">README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模型為 </t>
    </r>
    <r>
      <rPr>
        <sz val="11"/>
        <rFont val="Cambria"/>
        <family val="0"/>
        <charset val="1"/>
      </rPr>
      <t xml:space="preserve">GAAP</t>
    </r>
    <r>
      <rPr>
        <sz val="11"/>
        <rFont val="Noto Sans CJK SC"/>
        <family val="2"/>
      </rPr>
      <t xml:space="preserve">，共識為 </t>
    </r>
    <r>
      <rPr>
        <sz val="11"/>
        <rFont val="Cambria"/>
        <family val="0"/>
        <charset val="1"/>
      </rPr>
      <t xml:space="preserve">non-GAAP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</si>
  <si>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</si>
  <si>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color theme="1"/>
        <rFont val="Noto Sans CJK SC"/>
        <family val="2"/>
      </rPr>
      <t xml:space="preserve">估值 </t>
    </r>
    <r>
      <rPr>
        <sz val="11"/>
        <color theme="1"/>
        <rFont val="Calibri"/>
        <family val="2"/>
        <charset val="1"/>
      </rPr>
      <t xml:space="preserve">v2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目標價」＝</t>
    </r>
    <r>
      <rPr>
        <sz val="11"/>
        <color theme="1"/>
        <rFont val="Calibri"/>
        <family val="2"/>
        <charset val="1"/>
      </rPr>
      <t xml:space="preserve">0.5 × DCF </t>
    </r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明確期＋永續，情境權重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，情境價值下限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0.5 × Comparable </t>
    </r>
    <r>
      <rPr>
        <sz val="11"/>
        <color theme="1"/>
        <rFont val="Noto Sans CJK SC"/>
        <family val="2"/>
      </rPr>
      <t xml:space="preserve">目標價；另列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單獨目標價、市場共識目標價與差距拆解、歷史分位檢查。規則值情境加權保留為參考，不叫目標價。</t>
    </r>
  </si>
  <si>
    <r>
      <rPr>
        <sz val="11"/>
        <color theme="1"/>
        <rFont val="Noto Sans CJK SC"/>
        <family val="2"/>
      </rPr>
      <t xml:space="preserve">預估期間延伸到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由驅動因子推導；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頁底部延伸區塊，灰底）。</t>
    </r>
  </si>
  <si>
    <r>
      <rPr>
        <sz val="11"/>
        <color theme="1"/>
        <rFont val="Calibri"/>
        <family val="2"/>
        <charset val="1"/>
      </rPr>
      <t xml:space="preserve">v0.1.1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頁末新增「上檔空間級距」「投資建議」兩列（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14:17 </t>
    </r>
    <r>
      <rPr>
        <sz val="11"/>
        <color theme="1"/>
        <rFont val="Noto Sans CJK SC"/>
        <family val="2"/>
      </rPr>
      <t xml:space="preserve">固定規則），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頁末新增投資建議與重點觀察三點；既有儲存格位置與數值不變。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</si>
  <si>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偏高的來源是測試機市場：整份取自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模型，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高約四成，高於泰瑞達自己說的測試對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比；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−</t>
    </r>
    <r>
      <rPr>
        <sz val="11"/>
        <color theme="1"/>
        <rFont val="Calibri"/>
        <family val="2"/>
        <charset val="1"/>
      </rPr>
      <t xml:space="preserve">15%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FY2027 EPS −14.0%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±5pt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±14.9%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</si>
  <si>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起分歧：</t>
    </r>
    <r>
      <rPr>
        <sz val="11"/>
        <color theme="1"/>
        <rFont val="Calibri"/>
        <family val="2"/>
        <charset val="1"/>
      </rPr>
      <t xml:space="preserve">FY2028 EPS 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16.61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14.15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12.31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價格帶 </t>
    </r>
    <r>
      <rPr>
        <sz val="11"/>
        <color theme="1"/>
        <rFont val="Calibri"/>
        <family val="2"/>
        <charset val="1"/>
      </rPr>
      <t xml:space="preserve">154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286</t>
    </r>
    <r>
      <rPr>
        <sz val="11"/>
        <color theme="1"/>
        <rFont val="Noto Sans CJK SC"/>
        <family val="2"/>
      </rPr>
      <t xml:space="preserve">。下一個檢驗點是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2026-10-27 </t>
    </r>
    <r>
      <rPr>
        <sz val="11"/>
        <color theme="1"/>
        <rFont val="Noto Sans CJK SC"/>
        <family val="2"/>
      </rPr>
      <t xml:space="preserve">盤後；建置日尚未公布、未納入）。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</si>
  <si>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</si>
  <si>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2026-10-31</t>
    </r>
    <r>
      <rPr>
        <sz val="11"/>
        <color theme="1"/>
        <rFont val="Noto Sans CJK SC"/>
        <family val="2"/>
      </rPr>
      <t xml:space="preserve">）：依個股模型原則第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節調整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頁呈現（數值不變）。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欄名改「敏感度低」「敏感度高」（只用於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頁最後新增「情境驅動對照」一節，把上方各情境專屬輸入三情境並排（只引用上方各列，純展示）；</t>
    </r>
    <r>
      <rPr>
        <sz val="11"/>
        <color theme="1"/>
        <rFont val="Calibri"/>
        <family val="2"/>
        <charset val="1"/>
      </rPr>
      <t xml:space="preserve">HTML </t>
    </r>
    <r>
      <rPr>
        <sz val="11"/>
        <color theme="1"/>
        <rFont val="Noto Sans CJK SC"/>
        <family val="2"/>
      </rPr>
      <t xml:space="preserve">驅動因子一節分「情境驅動」與「單一參數」兩張表。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</si>
  <si>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）。金額：百萬美元（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），市場規模為十億美元（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）。每個輸入附兩個來源（來源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找不到者寫「未找到」）；公司 </t>
    </r>
    <r>
      <rPr>
        <sz val="11"/>
        <color theme="1"/>
        <rFont val="Calibri"/>
        <family val="2"/>
        <charset val="1"/>
      </rPr>
      <t xml:space="preserve">SEC </t>
    </r>
    <r>
      <rPr>
        <sz val="11"/>
        <color theme="1"/>
        <rFont val="Noto Sans CJK SC"/>
        <family val="2"/>
      </rPr>
      <t xml:space="preserve">原文算一個。【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】基準欄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頁（一次動一個參數）、不進目標價；情境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</si>
  <si>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未使用。公司原文（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新聞稿、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）在建置環境可開啟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</si>
  <si>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</si>
  <si>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</si>
  <si>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</si>
  <si>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</si>
  <si>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</si>
  <si>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</si>
  <si>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</si>
  <si>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</si>
  <si>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</si>
  <si>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測試機市場（讀 </t>
    </r>
    <r>
      <rPr>
        <b val="true"/>
        <sz val="11"/>
        <rFont val="Cambria"/>
        <family val="0"/>
        <charset val="1"/>
      </rPr>
      <t xml:space="preserve">Advantest </t>
    </r>
    <r>
      <rPr>
        <b val="true"/>
        <sz val="11"/>
        <rFont val="Noto Sans CJK SC"/>
        <family val="2"/>
      </rPr>
      <t xml:space="preserve">模型成品；與 </t>
    </r>
    <r>
      <rPr>
        <b val="true"/>
        <sz val="11"/>
        <rFont val="Cambria"/>
        <family val="0"/>
        <charset val="1"/>
      </rPr>
      <t xml:space="preserve">Advantest </t>
    </r>
    <r>
      <rPr>
        <b val="true"/>
        <sz val="11"/>
        <rFont val="Noto Sans CJK SC"/>
        <family val="2"/>
      </rPr>
      <t xml:space="preserve">同一份市場，不另估）</t>
    </r>
  </si>
  <si>
    <t xml:space="preserve">mk_soc25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</si>
  <si>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CY2025</t>
    </r>
  </si>
  <si>
    <t xml:space="preserve">US$B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</si>
  <si>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</si>
  <si>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advantest/dist/20261031_Advantest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In!E45</t>
    </r>
  </si>
  <si>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（測試機廠）自估；與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模型同一值</t>
    </r>
  </si>
  <si>
    <t xml:space="preserve">mk_mem25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</si>
  <si>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CY2025</t>
    </r>
  </si>
  <si>
    <r>
      <rPr>
        <sz val="11"/>
        <color theme="1"/>
        <rFont val="Calibri"/>
        <family val="2"/>
        <charset val="1"/>
      </rPr>
      <t xml:space="preserve">advantest/dist/20261031_Advantest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In!E46</t>
    </r>
  </si>
  <si>
    <t xml:space="preserve">同上</t>
  </si>
  <si>
    <t xml:space="preserve">ms_A_2026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</si>
  <si>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</si>
  <si>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Derived</t>
  </si>
  <si>
    <r>
      <rPr>
        <sz val="11"/>
        <color theme="1"/>
        <rFont val="Calibri"/>
        <family val="2"/>
        <charset val="1"/>
      </rPr>
      <t xml:space="preserve">advantest/dist/20261031_Advantest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PL!C47:F47</t>
    </r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</si>
  <si>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模型：加速器顆數（</t>
    </r>
    <r>
      <rPr>
        <sz val="11"/>
        <color theme="1"/>
        <rFont val="Calibri"/>
        <family val="2"/>
        <charset val="1"/>
      </rPr>
      <t xml:space="preserve">markets/memory UNITS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每顆測試時間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每加權顆支出（以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公司市場規模校準）＋非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；情境係數讀台積電模型</t>
    </r>
  </si>
  <si>
    <t xml:space="preserve">ms_A_2027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</si>
  <si>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</si>
  <si>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ms_A_2028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</si>
  <si>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</si>
  <si>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ms_A_2029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</si>
  <si>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</si>
  <si>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ms_B_2026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</si>
  <si>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</si>
  <si>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advantest/dist/20261031_Advantest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PL!C78:F78</t>
    </r>
  </si>
  <si>
    <t xml:space="preserve">ms_B_2027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</si>
  <si>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</si>
  <si>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ms_B_2028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</si>
  <si>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</si>
  <si>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ms_B_2029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</si>
  <si>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</si>
  <si>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ms_C_2026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</si>
  <si>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</si>
  <si>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advantest/dist/20261031_Advantest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PL!C109:F109</t>
    </r>
  </si>
  <si>
    <t xml:space="preserve">ms_C_2027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</si>
  <si>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</si>
  <si>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ms_C_2028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</si>
  <si>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</si>
  <si>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ms_C_2029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</si>
  <si>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</si>
  <si>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mm_A_2026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</si>
  <si>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</si>
  <si>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advantest/dist/20261031_Advantest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PL!C48:F48</t>
    </r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</si>
  <si>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模型：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公司市場規模 </t>
    </r>
    <r>
      <rPr>
        <sz val="11"/>
        <color theme="1"/>
        <rFont val="Calibri"/>
        <family val="2"/>
        <charset val="1"/>
      </rPr>
      <t xml:space="preserve">× [HBM </t>
    </r>
    <r>
      <rPr>
        <sz val="11"/>
        <color theme="1"/>
        <rFont val="Noto Sans CJK SC"/>
        <family val="2"/>
      </rPr>
      <t xml:space="preserve">出貨位元指數（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，同字母）與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設備支出指數（</t>
    </r>
    <r>
      <rPr>
        <sz val="11"/>
        <color theme="1"/>
        <rFont val="Calibri"/>
        <family val="2"/>
        <charset val="1"/>
      </rPr>
      <t xml:space="preserve">markets/equipment</t>
    </r>
    <r>
      <rPr>
        <sz val="11"/>
        <color theme="1"/>
        <rFont val="Noto Sans CJK SC"/>
        <family val="2"/>
      </rPr>
      <t xml:space="preserve">，同字母）加權</t>
    </r>
    <r>
      <rPr>
        <sz val="11"/>
        <color theme="1"/>
        <rFont val="Calibri"/>
        <family val="2"/>
        <charset val="1"/>
      </rPr>
      <t xml:space="preserve">]</t>
    </r>
  </si>
  <si>
    <t xml:space="preserve">mm_A_2027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</si>
  <si>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</si>
  <si>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mm_A_2028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</si>
  <si>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</si>
  <si>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mm_A_2029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</si>
  <si>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</si>
  <si>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mm_B_2026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</si>
  <si>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</si>
  <si>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advantest/dist/20261031_Advantest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PL!C79:F79</t>
    </r>
  </si>
  <si>
    <t xml:space="preserve">mm_B_2027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</si>
  <si>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</si>
  <si>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mm_B_2028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</si>
  <si>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</si>
  <si>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mm_B_2029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</si>
  <si>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</si>
  <si>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mm_C_2026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</si>
  <si>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</si>
  <si>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advantest/dist/20261031_Advantest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PL!C110:F110</t>
    </r>
  </si>
  <si>
    <t xml:space="preserve">mm_C_2027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</si>
  <si>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</si>
  <si>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mm_C_2028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</si>
  <si>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</si>
  <si>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mm_C_2029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</si>
  <si>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</si>
  <si>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as_A_2026</t>
  </si>
  <si>
    <r>
      <rPr>
        <sz val="11"/>
        <color theme="1"/>
        <rFont val="Calibri"/>
        <family val="2"/>
        <charset val="1"/>
      </rPr>
      <t xml:space="preserve">Advantest 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月）</t>
    </r>
  </si>
  <si>
    <t xml:space="preserve">%</t>
  </si>
  <si>
    <r>
      <rPr>
        <sz val="11"/>
        <color theme="1"/>
        <rFont val="Calibri"/>
        <family val="2"/>
        <charset val="1"/>
      </rPr>
      <t xml:space="preserve">advantest/dist/20261031_Advantest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PL!D52:G52</t>
    </r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</si>
  <si>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自估 </t>
    </r>
    <r>
      <rPr>
        <sz val="11"/>
        <color theme="1"/>
        <rFont val="Calibri"/>
        <family val="2"/>
        <charset val="1"/>
      </rPr>
      <t xml:space="preserve">CY2025 66%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假設泰瑞達搶回（</t>
    </r>
    <r>
      <rPr>
        <sz val="11"/>
        <color theme="1"/>
        <rFont val="Calibri"/>
        <family val="2"/>
        <charset val="1"/>
      </rPr>
      <t xml:space="preserve">FY2028 61%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56%</t>
    </r>
    <r>
      <rPr>
        <sz val="11"/>
        <color theme="1"/>
        <rFont val="Noto Sans CJK SC"/>
        <family val="2"/>
      </rPr>
      <t xml:space="preserve">）。本模型以同年度日曆年對照（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3/4 </t>
    </r>
    <r>
      <rPr>
        <sz val="11"/>
        <color theme="1"/>
        <rFont val="Noto Sans CJK SC"/>
        <family val="2"/>
      </rPr>
      <t xml:space="preserve">落在 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</t>
    </r>
  </si>
  <si>
    <t xml:space="preserve">as_A_2027</t>
  </si>
  <si>
    <r>
      <rPr>
        <sz val="11"/>
        <color theme="1"/>
        <rFont val="Calibri"/>
        <family val="2"/>
        <charset val="1"/>
      </rPr>
      <t xml:space="preserve">Advantest 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月）</t>
    </r>
  </si>
  <si>
    <t xml:space="preserve">as_A_2028</t>
  </si>
  <si>
    <r>
      <rPr>
        <sz val="11"/>
        <color theme="1"/>
        <rFont val="Calibri"/>
        <family val="2"/>
        <charset val="1"/>
      </rPr>
      <t xml:space="preserve">Advantest 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月）</t>
    </r>
  </si>
  <si>
    <t xml:space="preserve">as_A_2029</t>
  </si>
  <si>
    <r>
      <rPr>
        <sz val="11"/>
        <color theme="1"/>
        <rFont val="Calibri"/>
        <family val="2"/>
        <charset val="1"/>
      </rPr>
      <t xml:space="preserve">Advantest 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月）</t>
    </r>
  </si>
  <si>
    <t xml:space="preserve">as_B_2026</t>
  </si>
  <si>
    <r>
      <rPr>
        <sz val="11"/>
        <color theme="1"/>
        <rFont val="Calibri"/>
        <family val="2"/>
        <charset val="1"/>
      </rPr>
      <t xml:space="preserve">Advantest 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月）</t>
    </r>
  </si>
  <si>
    <r>
      <rPr>
        <sz val="11"/>
        <color theme="1"/>
        <rFont val="Calibri"/>
        <family val="2"/>
        <charset val="1"/>
      </rPr>
      <t xml:space="preserve">advantest/dist/20261031_Advantest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PL!D83:G83</t>
    </r>
  </si>
  <si>
    <t xml:space="preserve">as_B_2027</t>
  </si>
  <si>
    <r>
      <rPr>
        <sz val="11"/>
        <color theme="1"/>
        <rFont val="Calibri"/>
        <family val="2"/>
        <charset val="1"/>
      </rPr>
      <t xml:space="preserve">Advantest 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月）</t>
    </r>
  </si>
  <si>
    <t xml:space="preserve">as_B_2028</t>
  </si>
  <si>
    <r>
      <rPr>
        <sz val="11"/>
        <color theme="1"/>
        <rFont val="Calibri"/>
        <family val="2"/>
        <charset val="1"/>
      </rPr>
      <t xml:space="preserve">Advantest 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月）</t>
    </r>
  </si>
  <si>
    <t xml:space="preserve">as_B_2029</t>
  </si>
  <si>
    <r>
      <rPr>
        <sz val="11"/>
        <color theme="1"/>
        <rFont val="Calibri"/>
        <family val="2"/>
        <charset val="1"/>
      </rPr>
      <t xml:space="preserve">Advantest 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月）</t>
    </r>
  </si>
  <si>
    <t xml:space="preserve">as_C_2026</t>
  </si>
  <si>
    <r>
      <rPr>
        <sz val="11"/>
        <color theme="1"/>
        <rFont val="Calibri"/>
        <family val="2"/>
        <charset val="1"/>
      </rPr>
      <t xml:space="preserve">Advantest 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月）</t>
    </r>
  </si>
  <si>
    <r>
      <rPr>
        <sz val="11"/>
        <color theme="1"/>
        <rFont val="Calibri"/>
        <family val="2"/>
        <charset val="1"/>
      </rPr>
      <t xml:space="preserve">advantest/dist/20261031_Advantest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PL!D114:G114</t>
    </r>
  </si>
  <si>
    <t xml:space="preserve">as_C_2027</t>
  </si>
  <si>
    <r>
      <rPr>
        <sz val="11"/>
        <color theme="1"/>
        <rFont val="Calibri"/>
        <family val="2"/>
        <charset val="1"/>
      </rPr>
      <t xml:space="preserve">Advantest 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月）</t>
    </r>
  </si>
  <si>
    <t xml:space="preserve">as_C_2028</t>
  </si>
  <si>
    <r>
      <rPr>
        <sz val="11"/>
        <color theme="1"/>
        <rFont val="Calibri"/>
        <family val="2"/>
        <charset val="1"/>
      </rPr>
      <t xml:space="preserve">Advantest 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月）</t>
    </r>
  </si>
  <si>
    <t xml:space="preserve">as_C_2029</t>
  </si>
  <si>
    <r>
      <rPr>
        <sz val="11"/>
        <color theme="1"/>
        <rFont val="Calibri"/>
        <family val="2"/>
        <charset val="1"/>
      </rPr>
      <t xml:space="preserve">Advantest 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</si>
  <si>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</si>
  <si>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基準（說明用）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</si>
  <si>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</si>
  <si>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</si>
  <si>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</si>
  <si>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模型讀同一組係數（建置時核對相同）；本模型只經由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的市場間接使用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</si>
  <si>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</si>
  <si>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基準（說明用）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</si>
  <si>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</si>
  <si>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</si>
  <si>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基準（說明用）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</si>
  <si>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</si>
  <si>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</si>
  <si>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基準（說明用）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</si>
  <si>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</si>
  <si>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</si>
  <si>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基準（說明用）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</si>
  <si>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</si>
  <si>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</si>
  <si>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基準（說明用）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</si>
  <si>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</si>
  <si>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wfe_A_2025</t>
  </si>
  <si>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</si>
  <si>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Mkt!C8:G8</t>
    </r>
  </si>
  <si>
    <r>
      <rPr>
        <sz val="11"/>
        <color theme="1"/>
        <rFont val="Calibri"/>
        <family val="2"/>
        <charset val="1"/>
      </rPr>
      <t xml:space="preserve">markets/equipment Mkt </t>
    </r>
    <r>
      <rPr>
        <sz val="11"/>
        <color theme="1"/>
        <rFont val="Noto Sans CJK SC"/>
        <family val="2"/>
      </rPr>
      <t xml:space="preserve">頁（只用於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的測試對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比）</t>
    </r>
  </si>
  <si>
    <t xml:space="preserve">wfe_A_2026</t>
  </si>
  <si>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</si>
  <si>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wfe_A_2027</t>
  </si>
  <si>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</si>
  <si>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wfe_A_2028</t>
  </si>
  <si>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</si>
  <si>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wfe_A_2029</t>
  </si>
  <si>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</si>
  <si>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wfe_B_2025</t>
  </si>
  <si>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</si>
  <si>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Mkt!C16:G16</t>
    </r>
  </si>
  <si>
    <t xml:space="preserve">wfe_B_2026</t>
  </si>
  <si>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</si>
  <si>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wfe_B_2027</t>
  </si>
  <si>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</si>
  <si>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wfe_B_2028</t>
  </si>
  <si>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</si>
  <si>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wfe_B_2029</t>
  </si>
  <si>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</si>
  <si>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wfe_C_2025</t>
  </si>
  <si>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</si>
  <si>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Mkt!C24:G24</t>
    </r>
  </si>
  <si>
    <t xml:space="preserve">wfe_C_2026</t>
  </si>
  <si>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</si>
  <si>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wfe_C_2027</t>
  </si>
  <si>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</si>
  <si>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wfe_C_2028</t>
  </si>
  <si>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</si>
  <si>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wfe_C_2029</t>
  </si>
  <si>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</si>
  <si>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泰瑞達市占（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錨點推得；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情境維持，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情境與 </t>
    </r>
    <r>
      <rPr>
        <b val="true"/>
        <sz val="11"/>
        <rFont val="Cambria"/>
        <family val="0"/>
        <charset val="1"/>
      </rPr>
      <t xml:space="preserve">Advantest </t>
    </r>
    <r>
      <rPr>
        <b val="true"/>
        <sz val="11"/>
        <rFont val="Noto Sans CJK SC"/>
        <family val="2"/>
      </rPr>
      <t xml:space="preserve">互補）</t>
    </r>
  </si>
  <si>
    <t xml:space="preserve">s_soc</t>
  </si>
  <si>
    <r>
      <rPr>
        <sz val="11"/>
        <color theme="1"/>
        <rFont val="Noto Sans CJK SC"/>
        <family val="2"/>
      </rPr>
      <t xml:space="preserve">泰瑞達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測試機市占（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CY2026 </t>
    </r>
    <r>
      <rPr>
        <sz val="11"/>
        <color theme="1"/>
        <rFont val="Noto Sans CJK SC"/>
        <family val="2"/>
      </rPr>
      <t xml:space="preserve">市場）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</si>
  <si>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Advantest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11.0</t>
    </r>
  </si>
  <si>
    <r>
      <rPr>
        <sz val="11"/>
        <color theme="1"/>
        <rFont val="Noto Sans CJK SC"/>
        <family val="2"/>
      </rPr>
      <t xml:space="preserve">低／高＝</t>
    </r>
    <r>
      <rPr>
        <sz val="11"/>
        <color theme="1"/>
        <rFont val="Calibri"/>
        <family val="2"/>
        <charset val="1"/>
      </rPr>
      <t xml:space="preserve">±5 </t>
    </r>
    <r>
      <rPr>
        <sz val="11"/>
        <color theme="1"/>
        <rFont val="Noto Sans CJK SC"/>
        <family val="2"/>
      </rPr>
      <t xml:space="preserve">個百分點（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）。分析師在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法說估泰瑞達測試份額約 </t>
    </r>
    <r>
      <rPr>
        <sz val="11"/>
        <color theme="1"/>
        <rFont val="Calibri"/>
        <family val="2"/>
        <charset val="1"/>
      </rPr>
      <t xml:space="preserve">37%</t>
    </r>
    <r>
      <rPr>
        <sz val="11"/>
        <color theme="1"/>
        <rFont val="Noto Sans CJK SC"/>
        <family val="2"/>
      </rPr>
      <t xml:space="preserve">（公司未證實；口徑不同）</t>
    </r>
  </si>
  <si>
    <t xml:space="preserve">s_mem</t>
  </si>
  <si>
    <r>
      <rPr>
        <sz val="11"/>
        <color theme="1"/>
        <rFont val="Noto Sans CJK SC"/>
        <family val="2"/>
      </rPr>
      <t xml:space="preserve">泰瑞達記憶體測試機市占（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÷ CY2026 </t>
    </r>
    <r>
      <rPr>
        <sz val="11"/>
        <color theme="1"/>
        <rFont val="Noto Sans CJK SC"/>
        <family val="2"/>
      </rPr>
      <t xml:space="preserve">市場）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</si>
  <si>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錨點記憶體營收 </t>
    </r>
    <r>
      <rPr>
        <sz val="11"/>
        <color theme="1"/>
        <rFont val="Calibri"/>
        <family val="2"/>
        <charset val="1"/>
      </rPr>
      <t xml:space="preserve">÷ Advantest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記憶體市場 </t>
    </r>
    <r>
      <rPr>
        <sz val="11"/>
        <color theme="1"/>
        <rFont val="Calibri"/>
        <family val="2"/>
        <charset val="1"/>
      </rPr>
      <t xml:space="preserve">2.75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</si>
  <si>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24.0%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504.9 ÷ 2,100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強、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最終測試回溫，記憶體營收創新高</t>
    </r>
  </si>
  <si>
    <t xml:space="preserve">adv_sh26</t>
  </si>
  <si>
    <r>
      <rPr>
        <sz val="11"/>
        <color theme="1"/>
        <rFont val="Calibri"/>
        <family val="2"/>
        <charset val="1"/>
      </rPr>
      <t xml:space="preserve">Advantest 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（三情境相同；互補計算的基準）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</si>
  <si>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as_A_2026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</si>
  <si>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情境泰瑞達市占＝</t>
    </r>
    <r>
      <rPr>
        <sz val="11"/>
        <color theme="1"/>
        <rFont val="Calibri"/>
        <family val="2"/>
        <charset val="1"/>
      </rPr>
      <t xml:space="preserve">s_soc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(adv_sh26 − Advantest </t>
    </r>
    <r>
      <rPr>
        <sz val="11"/>
        <color theme="1"/>
        <rFont val="Noto Sans CJK SC"/>
        <family val="2"/>
      </rPr>
      <t xml:space="preserve">當年市占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，使兩家合計與其他廠份額不變</t>
    </r>
  </si>
  <si>
    <r>
      <rPr>
        <b val="true"/>
        <sz val="11"/>
        <rFont val="Cambria"/>
        <family val="0"/>
        <charset val="1"/>
      </rPr>
      <t xml:space="preserve">C. FY2026 </t>
    </r>
    <r>
      <rPr>
        <b val="true"/>
        <sz val="11"/>
        <rFont val="Noto Sans CJK SC"/>
        <family val="2"/>
      </rPr>
      <t xml:space="preserve">錨點（上半年實績＋下半年＝</t>
    </r>
    <r>
      <rPr>
        <b val="true"/>
        <sz val="11"/>
        <rFont val="Cambria"/>
        <family val="0"/>
        <charset val="1"/>
      </rPr>
      <t xml:space="preserve">2 × 3Q26 </t>
    </r>
    <r>
      <rPr>
        <b val="true"/>
        <sz val="11"/>
        <rFont val="Noto Sans CJK SC"/>
        <family val="2"/>
      </rPr>
      <t xml:space="preserve">指引中點；三情境相同）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</si>
  <si>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</si>
  <si>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營收指引中點（</t>
    </r>
    <r>
      <rPr>
        <sz val="11"/>
        <color theme="1"/>
        <rFont val="Calibri"/>
        <family val="2"/>
        <charset val="1"/>
      </rPr>
      <t xml:space="preserve">1,200–1,300</t>
    </r>
    <r>
      <rPr>
        <sz val="11"/>
        <color theme="1"/>
        <rFont val="Noto Sans CJK SC"/>
        <family val="2"/>
      </rPr>
      <t xml:space="preserve">）</t>
    </r>
  </si>
  <si>
    <t xml:space="preserve">US$M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</si>
  <si>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1,200–1,300</t>
    </r>
  </si>
  <si>
    <r>
      <rPr>
        <sz val="11"/>
        <color theme="1"/>
        <rFont val="Calibri"/>
        <family val="2"/>
        <charset val="1"/>
      </rPr>
      <t xml:space="preserve">earningswhispers 2Q26 </t>
    </r>
    <r>
      <rPr>
        <sz val="11"/>
        <color theme="1"/>
        <rFont val="Noto Sans CJK SC"/>
        <family val="2"/>
      </rPr>
      <t xml:space="preserve">逐字稿摘要；公司稱上半年約占全年 </t>
    </r>
    <r>
      <rPr>
        <sz val="11"/>
        <color theme="1"/>
        <rFont val="Calibri"/>
        <family val="2"/>
        <charset val="1"/>
      </rPr>
      <t xml:space="preserve">50–52%</t>
    </r>
  </si>
  <si>
    <t xml:space="preserve">q3_eps</t>
  </si>
  <si>
    <r>
      <rPr>
        <sz val="11"/>
        <color theme="1"/>
        <rFont val="Calibri"/>
        <family val="2"/>
        <charset val="1"/>
      </rPr>
      <t xml:space="preserve">3Q26 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指引中點（</t>
    </r>
    <r>
      <rPr>
        <sz val="11"/>
        <color theme="1"/>
        <rFont val="Calibri"/>
        <family val="2"/>
        <charset val="1"/>
      </rPr>
      <t xml:space="preserve">1.79–2.09</t>
    </r>
    <r>
      <rPr>
        <sz val="11"/>
        <color theme="1"/>
        <rFont val="Noto Sans CJK SC"/>
        <family val="2"/>
      </rPr>
      <t xml:space="preserve">）</t>
    </r>
  </si>
  <si>
    <t xml:space="preserve">US$</t>
  </si>
  <si>
    <r>
      <rPr>
        <sz val="11"/>
        <color theme="1"/>
        <rFont val="Noto Sans CJK SC"/>
        <family val="2"/>
      </rPr>
      <t xml:space="preserve">同上：</t>
    </r>
    <r>
      <rPr>
        <sz val="11"/>
        <color theme="1"/>
        <rFont val="Calibri"/>
        <family val="2"/>
        <charset val="1"/>
      </rPr>
      <t xml:space="preserve">GAAP 1.79–2.09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non-GAAP 1.85–2.15</t>
    </r>
  </si>
  <si>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3Q26 EPS 2.08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</si>
  <si>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t xml:space="preserve">q4_eq_q3</t>
  </si>
  <si>
    <r>
      <rPr>
        <sz val="11"/>
        <color theme="1"/>
        <rFont val="Calibri"/>
        <family val="2"/>
        <charset val="1"/>
      </rPr>
      <t xml:space="preserve">4Q26 ÷ 3Q26</t>
    </r>
    <r>
      <rPr>
        <sz val="11"/>
        <color theme="1"/>
        <rFont val="Noto Sans CJK SC"/>
        <family val="2"/>
      </rPr>
      <t xml:space="preserve">（營收與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</si>
  <si>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無：公司未給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指引；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法說稱下半年營業費用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相當、上半年占全年 </t>
    </r>
    <r>
      <rPr>
        <sz val="11"/>
        <color theme="1"/>
        <rFont val="Calibri"/>
        <family val="2"/>
        <charset val="1"/>
      </rPr>
      <t xml:space="preserve">50–52%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</si>
  <si>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1.0 → </t>
    </r>
    <r>
      <rPr>
        <sz val="11"/>
        <color theme="1"/>
        <rFont val="Noto Sans CJK SC"/>
        <family val="2"/>
      </rPr>
      <t xml:space="preserve">全年營收約 </t>
    </r>
    <r>
      <rPr>
        <sz val="11"/>
        <color theme="1"/>
        <rFont val="Calibri"/>
        <family val="2"/>
        <charset val="1"/>
      </rPr>
      <t xml:space="preserve">5,111</t>
    </r>
    <r>
      <rPr>
        <sz val="11"/>
        <color theme="1"/>
        <rFont val="Noto Sans CJK SC"/>
        <family val="2"/>
      </rPr>
      <t xml:space="preserve">（上半 </t>
    </r>
    <r>
      <rPr>
        <sz val="11"/>
        <color theme="1"/>
        <rFont val="Calibri"/>
        <family val="2"/>
        <charset val="1"/>
      </rPr>
      <t xml:space="preserve">2,611 ÷ 5,111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51.1%</t>
    </r>
    <r>
      <rPr>
        <sz val="11"/>
        <color theme="1"/>
        <rFont val="Noto Sans CJK SC"/>
        <family val="2"/>
      </rPr>
      <t xml:space="preserve">，在公司 </t>
    </r>
    <r>
      <rPr>
        <sz val="11"/>
        <color theme="1"/>
        <rFont val="Calibri"/>
        <family val="2"/>
        <charset val="1"/>
      </rPr>
      <t xml:space="preserve">50–52% </t>
    </r>
    <r>
      <rPr>
        <sz val="11"/>
        <color theme="1"/>
        <rFont val="Noto Sans CJK SC"/>
        <family val="2"/>
      </rPr>
      <t xml:space="preserve">之內）</t>
    </r>
  </si>
  <si>
    <t xml:space="preserve">h2g</t>
  </si>
  <si>
    <r>
      <rPr>
        <sz val="11"/>
        <color theme="1"/>
        <rFont val="Noto Sans CJK SC"/>
        <family val="2"/>
      </rPr>
      <t xml:space="preserve">下半年非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事業（記憶體、</t>
    </r>
    <r>
      <rPr>
        <sz val="11"/>
        <color theme="1"/>
        <rFont val="Calibri"/>
        <family val="2"/>
        <charset val="1"/>
      </rPr>
      <t xml:space="preserve">IST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Product Test</t>
    </r>
    <r>
      <rPr>
        <sz val="11"/>
        <color theme="1"/>
        <rFont val="Noto Sans CJK SC"/>
        <family val="2"/>
      </rPr>
      <t xml:space="preserve">、機器人）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上半年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</si>
  <si>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法說：下半年記憶體、車用工業、</t>
    </r>
    <r>
      <rPr>
        <sz val="11"/>
        <color theme="1"/>
        <rFont val="Calibri"/>
        <family val="2"/>
        <charset val="1"/>
      </rPr>
      <t xml:space="preserve">IST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Product Test</t>
    </r>
    <r>
      <rPr>
        <sz val="11"/>
        <color theme="1"/>
        <rFont val="Noto Sans CJK SC"/>
        <family val="2"/>
      </rPr>
      <t xml:space="preserve">、機器人成長，行動與運算的訂單時點偏弱（</t>
    </r>
    <r>
      <rPr>
        <sz val="11"/>
        <color theme="1"/>
        <rFont val="Calibri"/>
        <family val="2"/>
        <charset val="1"/>
      </rPr>
      <t xml:space="preserve">earningswhispers </t>
    </r>
    <r>
      <rPr>
        <sz val="11"/>
        <color theme="1"/>
        <rFont val="Noto Sans CJK SC"/>
        <family val="2"/>
      </rPr>
      <t xml:space="preserve">摘要）</t>
    </r>
  </si>
  <si>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＝下半年營收 − 非 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（殘差，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</si>
  <si>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rob_h2</t>
  </si>
  <si>
    <t xml:space="preserve">下半年機器人稅前利益</t>
  </si>
  <si>
    <r>
      <rPr>
        <sz val="11"/>
        <color theme="1"/>
        <rFont val="Noto Sans CJK SC"/>
        <family val="2"/>
      </rPr>
      <t xml:space="preserve">公司目標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年機器人損益兩平（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法說，</t>
    </r>
    <r>
      <rPr>
        <sz val="11"/>
        <color theme="1"/>
        <rFont val="Calibri"/>
        <family val="2"/>
        <charset val="1"/>
      </rPr>
      <t xml:space="preserve">fintool </t>
    </r>
    <r>
      <rPr>
        <sz val="11"/>
        <color theme="1"/>
        <rFont val="Noto Sans CJK SC"/>
        <family val="2"/>
      </rPr>
      <t xml:space="preserve">摘要）；上半年 −</t>
    </r>
    <r>
      <rPr>
        <sz val="11"/>
        <color theme="1"/>
        <rFont val="Calibri"/>
        <family val="2"/>
        <charset val="1"/>
      </rPr>
      <t xml:space="preserve">3.5</t>
    </r>
  </si>
  <si>
    <t xml:space="preserve">—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</si>
  <si>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其他事業（前一年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成長率；機器人不隨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情境）</t>
    </r>
  </si>
  <si>
    <t xml:space="preserve">g_pt_A</t>
  </si>
  <si>
    <r>
      <rPr>
        <sz val="11"/>
        <color theme="1"/>
        <rFont val="Calibri"/>
        <family val="2"/>
        <charset val="1"/>
      </rPr>
      <t xml:space="preserve">Product Test </t>
    </r>
    <r>
      <rPr>
        <sz val="11"/>
        <color theme="1"/>
        <rFont val="Noto Sans CJK SC"/>
        <family val="2"/>
      </rPr>
      <t xml:space="preserve">年成長 </t>
    </r>
    <r>
      <rPr>
        <sz val="11"/>
        <color theme="1"/>
        <rFont val="Calibri"/>
        <family val="2"/>
        <charset val="1"/>
      </rPr>
      <t xml:space="preserve">FY2027–29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</si>
  <si>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+8.1%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331.1→358.0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2Q26 +26%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相關與國防航太）</t>
    </r>
  </si>
  <si>
    <t xml:space="preserve">g_pt_B</t>
  </si>
  <si>
    <r>
      <rPr>
        <sz val="11"/>
        <color theme="1"/>
        <rFont val="Calibri"/>
        <family val="2"/>
        <charset val="1"/>
      </rPr>
      <t xml:space="preserve">Product Test </t>
    </r>
    <r>
      <rPr>
        <sz val="11"/>
        <color theme="1"/>
        <rFont val="Noto Sans CJK SC"/>
        <family val="2"/>
      </rPr>
      <t xml:space="preserve">年成長 </t>
    </r>
    <r>
      <rPr>
        <sz val="11"/>
        <color theme="1"/>
        <rFont val="Calibri"/>
        <family val="2"/>
        <charset val="1"/>
      </rPr>
      <t xml:space="preserve">FY2027–29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</si>
  <si>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g_pt_C</t>
  </si>
  <si>
    <r>
      <rPr>
        <sz val="11"/>
        <color theme="1"/>
        <rFont val="Calibri"/>
        <family val="2"/>
        <charset val="1"/>
      </rPr>
      <t xml:space="preserve">Product Test </t>
    </r>
    <r>
      <rPr>
        <sz val="11"/>
        <color theme="1"/>
        <rFont val="Noto Sans CJK SC"/>
        <family val="2"/>
      </rPr>
      <t xml:space="preserve">年成長 </t>
    </r>
    <r>
      <rPr>
        <sz val="11"/>
        <color theme="1"/>
        <rFont val="Calibri"/>
        <family val="2"/>
        <charset val="1"/>
      </rPr>
      <t xml:space="preserve">FY2027–29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</si>
  <si>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g_rob</t>
  </si>
  <si>
    <r>
      <rPr>
        <sz val="11"/>
        <color theme="1"/>
        <rFont val="Noto Sans CJK SC"/>
        <family val="2"/>
      </rPr>
      <t xml:space="preserve">機器人營收年成長 </t>
    </r>
    <r>
      <rPr>
        <sz val="11"/>
        <color theme="1"/>
        <rFont val="Calibri"/>
        <family val="2"/>
        <charset val="1"/>
      </rPr>
      <t xml:space="preserve">FY2027–29</t>
    </r>
    <r>
      <rPr>
        <sz val="11"/>
        <color theme="1"/>
        <rFont val="Noto Sans CJK SC"/>
        <family val="2"/>
      </rPr>
      <t xml:space="preserve">（三情境相同）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</si>
  <si>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：中期機器人隨公司整體成長；</t>
    </r>
    <r>
      <rPr>
        <sz val="11"/>
        <color theme="1"/>
        <rFont val="Calibri"/>
        <family val="2"/>
        <charset val="1"/>
      </rPr>
      <t xml:space="preserve">FY2025 −15.5%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364.8→308.3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2Q26 +33%</t>
    </r>
  </si>
  <si>
    <r>
      <rPr>
        <sz val="11"/>
        <color theme="1"/>
        <rFont val="Noto Sans CJK SC"/>
        <family val="2"/>
      </rPr>
      <t xml:space="preserve">機器人另列，不隨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情境</t>
    </r>
  </si>
  <si>
    <t xml:space="preserve">rm_2027</t>
  </si>
  <si>
    <r>
      <rPr>
        <sz val="11"/>
        <color theme="1"/>
        <rFont val="Noto Sans CJK SC"/>
        <family val="2"/>
      </rPr>
      <t xml:space="preserve">機器人稅前利益率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</si>
  <si>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FY2025 −32.2%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99.4 ÷ 308.3</t>
    </r>
    <r>
      <rPr>
        <sz val="11"/>
        <color theme="1"/>
        <rFont val="Noto Sans CJK SC"/>
        <family val="2"/>
      </rPr>
      <t xml:space="preserve">，含重組）；上半年 </t>
    </r>
    <r>
      <rPr>
        <sz val="11"/>
        <color theme="1"/>
        <rFont val="Calibri"/>
        <family val="2"/>
        <charset val="1"/>
      </rPr>
      <t xml:space="preserve">FY2026 −1.8%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3.5 ÷ 191.2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</si>
  <si>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公司目標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年兩平（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</si>
  <si>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rm_2028</t>
  </si>
  <si>
    <r>
      <rPr>
        <sz val="11"/>
        <color theme="1"/>
        <rFont val="Noto Sans CJK SC"/>
        <family val="2"/>
      </rPr>
      <t xml:space="preserve">機器人稅前利益率 </t>
    </r>
    <r>
      <rPr>
        <sz val="11"/>
        <color theme="1"/>
        <rFont val="Calibri"/>
        <family val="2"/>
        <charset val="1"/>
      </rPr>
      <t xml:space="preserve">FY2028</t>
    </r>
  </si>
  <si>
    <t xml:space="preserve">rm_2029</t>
  </si>
  <si>
    <r>
      <rPr>
        <sz val="11"/>
        <color theme="1"/>
        <rFont val="Noto Sans CJK SC"/>
        <family val="2"/>
      </rPr>
      <t xml:space="preserve">機器人稅前利益率 </t>
    </r>
    <r>
      <rPr>
        <sz val="11"/>
        <color theme="1"/>
        <rFont val="Calibri"/>
        <family val="2"/>
        <charset val="1"/>
      </rPr>
      <t xml:space="preserve">FY2029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</si>
  <si>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獲利結構（兩點推導：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實績與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錨點；不寫死利益率）</t>
    </r>
  </si>
  <si>
    <t xml:space="preserve">t_inc</t>
  </si>
  <si>
    <r>
      <rPr>
        <sz val="11"/>
        <color theme="1"/>
        <rFont val="Noto Sans CJK SC"/>
        <family val="2"/>
      </rPr>
      <t xml:space="preserve">測試事業（半導體測試＋</t>
    </r>
    <r>
      <rPr>
        <sz val="11"/>
        <color theme="1"/>
        <rFont val="Calibri"/>
        <family val="2"/>
        <charset val="1"/>
      </rPr>
      <t xml:space="preserve">Product Test</t>
    </r>
    <r>
      <rPr>
        <sz val="11"/>
        <color theme="1"/>
        <rFont val="Noto Sans CJK SC"/>
        <family val="2"/>
      </rPr>
      <t xml:space="preserve">）增量稅前利益率</t>
    </r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</si>
  <si>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錨點測試稅前 −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（營收差）；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</si>
  <si>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（固定成本重新推導，使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錨點不變）</t>
    </r>
  </si>
  <si>
    <t xml:space="preserve">t_fix</t>
  </si>
  <si>
    <r>
      <rPr>
        <sz val="11"/>
        <color theme="1"/>
        <rFont val="Noto Sans CJK SC"/>
        <family val="2"/>
      </rPr>
      <t xml:space="preserve">測試事業固定成本（＝增量利益率 </t>
    </r>
    <r>
      <rPr>
        <sz val="11"/>
        <color theme="1"/>
        <rFont val="Calibri"/>
        <family val="2"/>
        <charset val="1"/>
      </rPr>
      <t xml:space="preserve">× FY2026 </t>
    </r>
    <r>
      <rPr>
        <sz val="11"/>
        <color theme="1"/>
        <rFont val="Noto Sans CJK SC"/>
        <family val="2"/>
      </rPr>
      <t xml:space="preserve">營收 −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稅前）</t>
    </r>
  </si>
  <si>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錨點定錨（與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兩點同一直線）</t>
    </r>
  </si>
  <si>
    <t xml:space="preserve">corp</t>
  </si>
  <si>
    <t xml:space="preserve">公司與沖銷（利息、匯兌、併購費用等）每年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</si>
  <si>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錨點（上半年 −</t>
    </r>
    <r>
      <rPr>
        <sz val="11"/>
        <color theme="1"/>
        <rFont val="Calibri"/>
        <family val="2"/>
        <charset val="1"/>
      </rPr>
      <t xml:space="preserve">5.2 × 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</si>
  <si>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FY2025 −8.8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</si>
  <si>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t xml:space="preserve">etr</t>
  </si>
  <si>
    <t xml:space="preserve">有效稅率</t>
  </si>
  <si>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128.9 ÷ 909.3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</si>
  <si>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12.1%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2Q26 15.1%</t>
    </r>
  </si>
  <si>
    <t xml:space="preserve">aff</t>
  </si>
  <si>
    <r>
      <rPr>
        <sz val="11"/>
        <color theme="1"/>
        <rFont val="Noto Sans CJK SC"/>
        <family val="2"/>
      </rPr>
      <t xml:space="preserve">權益法投資損益（</t>
    </r>
    <r>
      <rPr>
        <sz val="11"/>
        <color theme="1"/>
        <rFont val="Calibri"/>
        <family val="2"/>
        <charset val="1"/>
      </rPr>
      <t xml:space="preserve">Technoprobe</t>
    </r>
    <r>
      <rPr>
        <sz val="11"/>
        <color theme="1"/>
        <rFont val="Noto Sans CJK SC"/>
        <family val="2"/>
      </rPr>
      <t xml:space="preserve">，含投資攤銷）每年</t>
    </r>
  </si>
  <si>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FY2026 −6.6 × 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）</t>
    </r>
  </si>
  <si>
    <t xml:space="preserve">FY2025 −19.9</t>
  </si>
  <si>
    <t xml:space="preserve">sh26</t>
  </si>
  <si>
    <r>
      <rPr>
        <sz val="11"/>
        <color theme="1"/>
        <rFont val="Noto Sans CJK SC"/>
        <family val="2"/>
      </rPr>
      <t xml:space="preserve">稀釋股數 </t>
    </r>
    <r>
      <rPr>
        <sz val="11"/>
        <color theme="1"/>
        <rFont val="Calibri"/>
        <family val="2"/>
        <charset val="1"/>
      </rPr>
      <t xml:space="preserve">FY2026</t>
    </r>
  </si>
  <si>
    <t xml:space="preserve">百萬股</t>
  </si>
  <si>
    <t xml:space="preserve">Verified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</si>
  <si>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稀釋加權股數 </t>
    </r>
    <r>
      <rPr>
        <sz val="11"/>
        <color theme="1"/>
        <rFont val="Calibri"/>
        <family val="2"/>
        <charset val="1"/>
      </rPr>
      <t xml:space="preserve">157.7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</si>
  <si>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：流通股 </t>
    </r>
    <r>
      <rPr>
        <sz val="11"/>
        <color theme="1"/>
        <rFont val="Calibri"/>
        <family val="2"/>
        <charset val="1"/>
      </rPr>
      <t xml:space="preserve">156.34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2026-10-24</t>
    </r>
    <r>
      <rPr>
        <sz val="11"/>
        <color theme="1"/>
        <rFont val="Noto Sans CJK SC"/>
        <family val="2"/>
      </rPr>
      <t xml:space="preserve">）</t>
    </r>
  </si>
  <si>
    <t xml:space="preserve">bb</t>
  </si>
  <si>
    <t xml:space="preserve">稀釋股數每年減少（回購）</t>
  </si>
  <si>
    <r>
      <rPr>
        <sz val="11"/>
        <color theme="1"/>
        <rFont val="Calibri"/>
        <family val="2"/>
        <charset val="1"/>
      </rPr>
      <t xml:space="preserve">FY2024→FY2025 −2.2%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163.3→159.7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FY2025→2Q26 −1.3%</t>
    </r>
  </si>
  <si>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回購僅 </t>
    </r>
    <r>
      <rPr>
        <sz val="11"/>
        <color theme="1"/>
        <rFont val="Calibri"/>
        <family val="2"/>
        <charset val="1"/>
      </rPr>
      <t xml:space="preserve">74.2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702.1</t>
    </r>
    <r>
      <rPr>
        <sz val="11"/>
        <color theme="1"/>
        <rFont val="Noto Sans CJK SC"/>
        <family val="2"/>
      </rPr>
      <t xml:space="preserve">）</t>
    </r>
  </si>
  <si>
    <t xml:space="preserve">gm_adj_C28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</si>
  <si>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測試事業利益率額外調整（價格競爭）</t>
    </r>
  </si>
  <si>
    <t xml:space="preserve">pt</t>
  </si>
  <si>
    <r>
      <rPr>
        <sz val="11"/>
        <color theme="1"/>
        <rFont val="Calibri"/>
        <family val="2"/>
        <charset val="1"/>
      </rPr>
      <t xml:space="preserve">advantest/dist/20261031_Advantest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In!E114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</si>
  <si>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毛利率調整同值（兩家同受價格競爭）</t>
    </r>
  </si>
  <si>
    <t xml:space="preserve">gm_adj_C29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</si>
  <si>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測試事業利益率額外調整</t>
    </r>
  </si>
  <si>
    <r>
      <rPr>
        <sz val="11"/>
        <color theme="1"/>
        <rFont val="Calibri"/>
        <family val="2"/>
        <charset val="1"/>
      </rPr>
      <t xml:space="preserve">advantest/dist/20261031_Advantest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In!E115</t>
    </r>
  </si>
  <si>
    <t xml:space="preserve">m_soc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</si>
  <si>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測試機市場乘數（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</si>
  <si>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模型市場；低 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＝測試對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比回到公司說的 </t>
    </r>
    <r>
      <rPr>
        <sz val="11"/>
        <color theme="1"/>
        <rFont val="Calibri"/>
        <family val="2"/>
        <charset val="1"/>
      </rPr>
      <t xml:space="preserve">7–9%</t>
    </r>
    <r>
      <rPr>
        <sz val="11"/>
        <color theme="1"/>
        <rFont val="Noto Sans CJK SC"/>
        <family val="2"/>
      </rPr>
      <t xml:space="preserve">（見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</si>
  <si>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公司指引、目標模型與共識（只作對帳）</t>
    </r>
  </si>
  <si>
    <t xml:space="preserve">h1sh_lo</t>
  </si>
  <si>
    <t xml:space="preserve">上半年占全年營收：下緣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</si>
  <si>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法說：上半年約占 </t>
    </r>
    <r>
      <rPr>
        <sz val="11"/>
        <color theme="1"/>
        <rFont val="Calibri"/>
        <family val="2"/>
        <charset val="1"/>
      </rPr>
      <t xml:space="preserve">50–52%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earningswhispers </t>
    </r>
    <r>
      <rPr>
        <sz val="11"/>
        <color theme="1"/>
        <rFont val="Noto Sans CJK SC"/>
        <family val="2"/>
      </rPr>
      <t xml:space="preserve">摘要）</t>
    </r>
  </si>
  <si>
    <t xml:space="preserve">第二來源：未找到</t>
  </si>
  <si>
    <t xml:space="preserve">h1sh_hi</t>
  </si>
  <si>
    <t xml:space="preserve">上半年占全年營收：上緣</t>
  </si>
  <si>
    <t xml:space="preserve">cons_rev26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</si>
  <si>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</si>
  <si>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US$5.1B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位分析師，資料更新 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</si>
  <si>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MarketBeat 3Q26 </t>
    </r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1.26B</t>
    </r>
    <r>
      <rPr>
        <sz val="11"/>
        <color theme="1"/>
        <rFont val="Noto Sans CJK SC"/>
        <family val="2"/>
      </rPr>
      <t xml:space="preserve">（單季）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</si>
  <si>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</si>
  <si>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</si>
  <si>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9.09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8.82–9.35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</si>
  <si>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9.11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</si>
  <si>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</si>
  <si>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</si>
  <si>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11.30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</si>
  <si>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需付費，未取得</t>
    </r>
  </si>
  <si>
    <t xml:space="preserve">tm_rev</t>
  </si>
  <si>
    <r>
      <rPr>
        <sz val="11"/>
        <color theme="1"/>
        <rFont val="Noto Sans CJK SC"/>
        <family val="2"/>
      </rPr>
      <t xml:space="preserve">公司目標模型：營收（</t>
    </r>
    <r>
      <rPr>
        <sz val="11"/>
        <color theme="1"/>
        <rFont val="Calibri"/>
        <family val="2"/>
        <charset val="1"/>
      </rPr>
      <t xml:space="preserve">ATE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US$12–14B </t>
    </r>
    <r>
      <rPr>
        <sz val="11"/>
        <color theme="1"/>
        <rFont val="Noto Sans CJK SC"/>
        <family val="2"/>
      </rPr>
      <t xml:space="preserve">時，未給年度）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</si>
  <si>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2026-02-03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fintool </t>
    </r>
    <r>
      <rPr>
        <sz val="11"/>
        <color theme="1"/>
        <rFont val="Noto Sans CJK SC"/>
        <family val="2"/>
      </rPr>
      <t xml:space="preserve">摘要）：營收 </t>
    </r>
    <r>
      <rPr>
        <sz val="11"/>
        <color theme="1"/>
        <rFont val="Calibri"/>
        <family val="2"/>
        <charset val="1"/>
      </rPr>
      <t xml:space="preserve">6.0B</t>
    </r>
    <r>
      <rPr>
        <sz val="11"/>
        <color theme="1"/>
        <rFont val="Noto Sans CJK SC"/>
        <family val="2"/>
      </rPr>
      <t xml:space="preserve">、營業利益率 </t>
    </r>
    <r>
      <rPr>
        <sz val="11"/>
        <color theme="1"/>
        <rFont val="Calibri"/>
        <family val="2"/>
        <charset val="1"/>
      </rPr>
      <t xml:space="preserve">30–34%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non-GAAP EPS 9.50–11.00</t>
    </r>
  </si>
  <si>
    <r>
      <rPr>
        <sz val="11"/>
        <color theme="1"/>
        <rFont val="Noto Sans CJK SC"/>
        <family val="2"/>
      </rPr>
      <t xml:space="preserve">公司稱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法說更新目標模型</t>
    </r>
  </si>
  <si>
    <t xml:space="preserve">tm_eps_lo</t>
  </si>
  <si>
    <r>
      <rPr>
        <sz val="11"/>
        <color theme="1"/>
        <rFont val="Noto Sans CJK SC"/>
        <family val="2"/>
      </rPr>
      <t xml:space="preserve">公司目標模型：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下緣</t>
    </r>
  </si>
  <si>
    <t xml:space="preserve">tm_eps_hi</t>
  </si>
  <si>
    <r>
      <rPr>
        <sz val="11"/>
        <color theme="1"/>
        <rFont val="Noto Sans CJK SC"/>
        <family val="2"/>
      </rPr>
      <t xml:space="preserve">公司目標模型：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上緣</t>
    </r>
  </si>
  <si>
    <t xml:space="preserve">tw_lo</t>
  </si>
  <si>
    <r>
      <rPr>
        <sz val="11"/>
        <color theme="1"/>
        <rFont val="Noto Sans CJK SC"/>
        <family val="2"/>
      </rPr>
      <t xml:space="preserve">公司：測試對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比長期區間 下緣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</si>
  <si>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前五月約 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；長期 </t>
    </r>
    <r>
      <rPr>
        <sz val="11"/>
        <color theme="1"/>
        <rFont val="Calibri"/>
        <family val="2"/>
        <charset val="1"/>
      </rPr>
      <t xml:space="preserve">7–9%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可能回到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earningswhispers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</si>
  <si>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gurufocus 2Q26 </t>
    </r>
    <r>
      <rPr>
        <sz val="11"/>
        <color theme="1"/>
        <rFont val="Noto Sans CJK SC"/>
        <family val="2"/>
      </rPr>
      <t xml:space="preserve">摘要（同數字）</t>
    </r>
  </si>
  <si>
    <t xml:space="preserve">tw_hi</t>
  </si>
  <si>
    <r>
      <rPr>
        <sz val="11"/>
        <color theme="1"/>
        <rFont val="Noto Sans CJK SC"/>
        <family val="2"/>
      </rPr>
      <t xml:space="preserve">公司：測試對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比長期區間 上緣</t>
    </r>
  </si>
  <si>
    <t xml:space="preserve">an_share</t>
  </si>
  <si>
    <r>
      <rPr>
        <sz val="11"/>
        <color theme="1"/>
        <rFont val="Noto Sans CJK SC"/>
        <family val="2"/>
      </rPr>
      <t xml:space="preserve">分析師估泰瑞達測試份額（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法說提問）</t>
    </r>
  </si>
  <si>
    <r>
      <rPr>
        <sz val="11"/>
        <color theme="1"/>
        <rFont val="Calibri"/>
        <family val="2"/>
        <charset val="1"/>
      </rPr>
      <t xml:space="preserve">earningswhispers 2Q26 </t>
    </r>
    <r>
      <rPr>
        <sz val="11"/>
        <color theme="1"/>
        <rFont val="Noto Sans CJK SC"/>
        <family val="2"/>
      </rPr>
      <t xml:space="preserve">逐字稿摘要：分析師估約 </t>
    </r>
    <r>
      <rPr>
        <sz val="11"/>
        <color theme="1"/>
        <rFont val="Calibri"/>
        <family val="2"/>
        <charset val="1"/>
      </rPr>
      <t xml:space="preserve">37%</t>
    </r>
    <r>
      <rPr>
        <sz val="11"/>
        <color theme="1"/>
        <rFont val="Noto Sans CJK SC"/>
        <family val="2"/>
      </rPr>
      <t xml:space="preserve">，公司未證實</t>
    </r>
  </si>
  <si>
    <r>
      <rPr>
        <sz val="11"/>
        <color theme="1"/>
        <rFont val="Noto Sans CJK SC"/>
        <family val="2"/>
      </rPr>
      <t xml:space="preserve">口徑未明（可能為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ATE </t>
    </r>
    <r>
      <rPr>
        <sz val="11"/>
        <color theme="1"/>
        <rFont val="Noto Sans CJK SC"/>
        <family val="2"/>
      </rPr>
      <t xml:space="preserve">合計）</t>
    </r>
  </si>
  <si>
    <t xml:space="preserve">pk_A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</si>
  <si>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</si>
  <si>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t xml:space="preserve">年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</si>
  <si>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</t>
    </r>
  </si>
  <si>
    <r>
      <rPr>
        <sz val="11"/>
        <color theme="1"/>
        <rFont val="Noto Sans CJK SC"/>
        <family val="2"/>
      </rPr>
      <t xml:space="preserve">設備股共用規則（</t>
    </r>
    <r>
      <rPr>
        <sz val="11"/>
        <color theme="1"/>
        <rFont val="Calibri"/>
        <family val="2"/>
        <charset val="1"/>
      </rPr>
      <t xml:space="preserve">tools/cycle_position.py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早於見頂年＝中段、等於＝見頂、晚於＝谷底；泰瑞達會計年度＝日曆年</t>
    </r>
  </si>
  <si>
    <t xml:space="preserve">pk_B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</si>
  <si>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</si>
  <si>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</t>
    </r>
  </si>
  <si>
    <t xml:space="preserve">pk_C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</si>
  <si>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</si>
  <si>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Mkt!C28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</si>
  <si>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</si>
  <si>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</si>
  <si>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308.85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</si>
  <si>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equibles</t>
    </r>
    <r>
      <rPr>
        <sz val="11"/>
        <color theme="1"/>
        <rFont val="Noto Sans CJK SC"/>
        <family val="2"/>
      </rPr>
      <t xml:space="preserve">（同值）</t>
    </r>
  </si>
  <si>
    <t xml:space="preserve">sa_fpe</t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</si>
  <si>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價格）</t>
    </r>
  </si>
  <si>
    <r>
      <rPr>
        <sz val="11"/>
        <color theme="1"/>
        <rFont val="Calibri"/>
        <family val="2"/>
        <charset val="1"/>
      </rPr>
      <t xml:space="preserve">stockanalysis statistics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2026-10-24 </t>
    </r>
    <r>
      <rPr>
        <sz val="11"/>
        <color theme="1"/>
        <rFont val="Noto Sans CJK SC"/>
        <family val="2"/>
      </rPr>
      <t xml:space="preserve">更新）</t>
    </r>
  </si>
  <si>
    <r>
      <rPr>
        <sz val="11"/>
        <color theme="1"/>
        <rFont val="Noto Sans CJK SC"/>
        <family val="2"/>
      </rPr>
      <t xml:space="preserve">自算見 </t>
    </r>
    <r>
      <rPr>
        <sz val="11"/>
        <color theme="1"/>
        <rFont val="Calibri"/>
        <family val="2"/>
        <charset val="1"/>
      </rPr>
      <t xml:space="preserve">Val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</si>
  <si>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規則值情境權重（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頁「舊法：規則值情境加權（參考）」與目標價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共用；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</si>
  <si>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</si>
  <si>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</si>
  <si>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</si>
  <si>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</si>
  <si>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</si>
  <si>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</si>
  <si>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</si>
  <si>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</si>
  <si>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加權）與 </t>
    </r>
    <r>
      <rPr>
        <b val="true"/>
        <sz val="11"/>
        <rFont val="Cambria"/>
        <family val="0"/>
        <charset val="1"/>
      </rPr>
      <t xml:space="preserve">FY2030–32 </t>
    </r>
    <r>
      <rPr>
        <b val="true"/>
        <sz val="11"/>
        <rFont val="Noto Sans CJK SC"/>
        <family val="2"/>
      </rPr>
      <t xml:space="preserve">收斂法參數（黃底＝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</si>
  <si>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</si>
  <si>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t xml:space="preserve">折現率（股東權益要求報酬；美、台、日、韓同一值）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</si>
  <si>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</si>
  <si>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β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1.75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）高於市場，但依工作單不改值</t>
    </r>
  </si>
  <si>
    <t xml:space="preserve">tp_g</t>
  </si>
  <si>
    <r>
      <rPr>
        <sz val="11"/>
        <color theme="1"/>
        <rFont val="Noto Sans CJK SC"/>
        <family val="2"/>
      </rPr>
      <t xml:space="preserve">長期成長率（永續成長；收斂法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營收年增的基準）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</si>
  <si>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</si>
  <si>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</si>
  <si>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</si>
  <si>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FY2023–FY2025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</si>
  <si>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SEC XBRL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）：淨利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平均股東權益：</t>
    </r>
    <r>
      <rPr>
        <sz val="11"/>
        <color theme="1"/>
        <rFont val="Calibri"/>
        <family val="2"/>
        <charset val="1"/>
      </rPr>
      <t xml:space="preserve">FY2023 18.0%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20.3%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19.7%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</si>
  <si>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ROE 36.46%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期間，非三年平均）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</si>
  <si>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</si>
  <si>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</si>
  <si>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</si>
  <si>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</si>
  <si>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FY2016–FY2025</t>
    </r>
    <r>
      <rPr>
        <sz val="11"/>
        <color theme="1"/>
        <rFont val="Noto Sans CJK SC"/>
        <family val="2"/>
      </rPr>
      <t xml:space="preserve">，各年淨利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營收的平均）</t>
    </r>
  </si>
  <si>
    <r>
      <rPr>
        <sz val="11"/>
        <color theme="1"/>
        <rFont val="Calibri"/>
        <family val="2"/>
        <charset val="1"/>
      </rPr>
      <t xml:space="preserve">SEC XBRL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節；含 </t>
    </r>
    <r>
      <rPr>
        <sz val="11"/>
        <color theme="1"/>
        <rFont val="Calibri"/>
        <family val="2"/>
        <charset val="1"/>
      </rPr>
      <t xml:space="preserve">FY2016 </t>
    </r>
    <r>
      <rPr>
        <sz val="11"/>
        <color theme="1"/>
        <rFont val="Noto Sans CJK SC"/>
        <family val="2"/>
      </rPr>
      <t xml:space="preserve">虧損）</t>
    </r>
  </si>
  <si>
    <r>
      <rPr>
        <sz val="11"/>
        <color theme="1"/>
        <rFont val="Calibri"/>
        <family val="2"/>
        <charset val="1"/>
      </rPr>
      <t xml:space="preserve">macrotrends EPS </t>
    </r>
    <r>
      <rPr>
        <sz val="11"/>
        <color theme="1"/>
        <rFont val="Noto Sans CJK SC"/>
        <family val="2"/>
      </rPr>
      <t xml:space="preserve">逐年相同（第二來源）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</si>
  <si>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</si>
  <si>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</si>
  <si>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US$446.47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450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350–550</t>
    </r>
    <r>
      <rPr>
        <sz val="11"/>
        <color theme="1"/>
        <rFont val="Noto Sans CJK SC"/>
        <family val="2"/>
      </rPr>
      <t xml:space="preserve">），資料更新 </t>
    </r>
    <r>
      <rPr>
        <sz val="11"/>
        <color theme="1"/>
        <rFont val="Calibri"/>
        <family val="2"/>
        <charset val="1"/>
      </rPr>
      <t xml:space="preserve">2026-10-20</t>
    </r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</si>
  <si>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396.80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買進、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持有）；早於 </t>
    </r>
    <r>
      <rPr>
        <sz val="11"/>
        <color theme="1"/>
        <rFont val="Calibri"/>
        <family val="2"/>
        <charset val="1"/>
      </rPr>
      <t xml:space="preserve">2026-10-27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</si>
  <si>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</si>
  <si>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（差距拆解用）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</si>
  <si>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MarketBeat FY2027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11.30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）；比本模型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）早約一年，且為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因素因此偏大</t>
    </r>
  </si>
  <si>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</si>
  <si>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</si>
  <si>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</si>
  <si>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</si>
  <si>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</si>
  <si>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t xml:space="preserve">scn_ms__2026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</si>
  <si>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</si>
  <si>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ms_A_2026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ms_B_2026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ms_C_2026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</si>
  <si>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scn_ms__2027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</si>
  <si>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</si>
  <si>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ms_A_2027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ms_B_2027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ms_C_2027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</si>
  <si>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scn_ms__2028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</si>
  <si>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</si>
  <si>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ms_A_2028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ms_B_2028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ms_C_2028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</si>
  <si>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scn_ms__2029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</si>
  <si>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CY2029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</si>
  <si>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ms_A_2029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ms_B_2029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ms_C_2029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</si>
  <si>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scn_mm__2026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</si>
  <si>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</si>
  <si>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mm_A_2026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mm_B_2026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mm_C_2026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</si>
  <si>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scn_mm__2027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</si>
  <si>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</si>
  <si>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mm_A_2027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mm_B_2027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mm_C_2027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</si>
  <si>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scn_mm__2028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</si>
  <si>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</si>
  <si>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mm_A_2028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mm_B_2028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mm_C_2028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</si>
  <si>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scn_mm__2029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</si>
  <si>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CY2029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</si>
  <si>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mm_A_2029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mm_B_2029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mm_C_2029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</si>
  <si>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scn_as__2026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</si>
  <si>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as_A_2026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as_B_2026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as_C_2026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</si>
  <si>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scn_as__2027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</si>
  <si>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as_A_2027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as_B_2027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as_C_2027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</si>
  <si>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scn_as__2028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</si>
  <si>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as_A_2028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as_B_2028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as_C_2028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</si>
  <si>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scn_as__2029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</si>
  <si>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as_A_2029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as_B_2029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as_C_2029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</si>
  <si>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scn_um28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</si>
  <si>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基準（說明用）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</si>
  <si>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</si>
  <si>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scn_um29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</si>
  <si>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基準（說明用）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</si>
  <si>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</si>
  <si>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scn_wfe__2025</t>
  </si>
  <si>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CY2025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</si>
  <si>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wfe_A_2025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wfe_B_2025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wfe_C_2025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</si>
  <si>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scn_wfe__2026</t>
  </si>
  <si>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</si>
  <si>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wfe_A_2026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wfe_B_2026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wfe_C_2026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</si>
  <si>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scn_wfe__2027</t>
  </si>
  <si>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</si>
  <si>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wfe_A_2027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wfe_B_2027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wfe_C_2027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</si>
  <si>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scn_wfe__2028</t>
  </si>
  <si>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</si>
  <si>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wfe_A_2028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wfe_B_2028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wfe_C_2028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</si>
  <si>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scn_wfe__2029</t>
  </si>
  <si>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CY2029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</si>
  <si>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wfe_A_2029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wfe_B_2029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wfe_C_2029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</si>
  <si>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scn_g_pt</t>
  </si>
  <si>
    <r>
      <rPr>
        <sz val="11"/>
        <color theme="1"/>
        <rFont val="Calibri"/>
        <family val="2"/>
        <charset val="1"/>
      </rPr>
      <t xml:space="preserve">Product Test </t>
    </r>
    <r>
      <rPr>
        <sz val="11"/>
        <color theme="1"/>
        <rFont val="Noto Sans CJK SC"/>
        <family val="2"/>
      </rPr>
      <t xml:space="preserve">年成長 </t>
    </r>
    <r>
      <rPr>
        <sz val="11"/>
        <color theme="1"/>
        <rFont val="Calibri"/>
        <family val="2"/>
        <charset val="1"/>
      </rPr>
      <t xml:space="preserve">FY2027–29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</si>
  <si>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g_pt_A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g_pt_B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g_pt_C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</si>
  <si>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scn_pk</t>
  </si>
  <si>
    <t xml:space="preserve">設備市場見頂年度（日曆年；循環位置規則用）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</si>
  <si>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pk_A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pk_B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pk_C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</si>
  <si>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scn_gm_adj_C28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</si>
  <si>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測試事業利益率額外調整（價格競爭）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</si>
  <si>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gm_adj_C28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無專屬輸入列；情境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無專屬輸入列，填 </t>
    </r>
    <r>
      <rPr>
        <sz val="11"/>
        <color theme="1"/>
        <rFont val="Calibri"/>
        <family val="2"/>
        <charset val="1"/>
      </rPr>
      <t xml:space="preserve">0</t>
    </r>
  </si>
  <si>
    <t xml:space="preserve">scn_gm_adj_C29</t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</si>
  <si>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測試事業利益率額外調整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</si>
  <si>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gm_adj_C29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無專屬輸入列；情境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無專屬輸入列，填 </t>
    </r>
    <r>
      <rPr>
        <sz val="11"/>
        <color theme="1"/>
        <rFont val="Calibri"/>
        <family val="2"/>
        <charset val="1"/>
      </rPr>
      <t xml:space="preserve">0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</si>
  <si>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</si>
  <si>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</si>
  <si>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；修改請改上方藍字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</si>
  <si>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實績（百萬美元；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為美元，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稀釋）。會計年度＝日曆年。藍字＝輸入（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新聞稿、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）；黑字＝公式（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</si>
  <si>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）：預定 </t>
    </r>
    <r>
      <rPr>
        <sz val="11"/>
        <color theme="1"/>
        <rFont val="Calibri"/>
        <family val="2"/>
        <charset val="1"/>
      </rPr>
      <t xml:space="preserve">2026-10-27 </t>
    </r>
    <r>
      <rPr>
        <sz val="11"/>
        <color theme="1"/>
        <rFont val="Noto Sans CJK SC"/>
        <family val="2"/>
      </rPr>
      <t xml:space="preserve">美東 </t>
    </r>
    <r>
      <rPr>
        <sz val="11"/>
        <color theme="1"/>
        <rFont val="Calibri"/>
        <family val="2"/>
        <charset val="1"/>
      </rPr>
      <t xml:space="preserve">16:30 </t>
    </r>
    <r>
      <rPr>
        <sz val="11"/>
        <color theme="1"/>
        <rFont val="Noto Sans CJK SC"/>
        <family val="2"/>
      </rPr>
      <t xml:space="preserve">盤後公布（公司公告），建置日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尚未公布，故不納入；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下半年以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指引中點推估（見下方錨點）。公布後更新本頁 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欄與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節</t>
    </r>
  </si>
  <si>
    <t xml:space="preserve">1Q25</t>
  </si>
  <si>
    <t xml:space="preserve">2Q25</t>
  </si>
  <si>
    <t xml:space="preserve">3Q25</t>
  </si>
  <si>
    <t xml:space="preserve">4Q25</t>
  </si>
  <si>
    <t xml:space="preserve">FY2025</t>
  </si>
  <si>
    <t xml:space="preserve">1Q26</t>
  </si>
  <si>
    <t xml:space="preserve">2Q26</t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</si>
  <si>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（未公布）</t>
    </r>
  </si>
  <si>
    <r>
      <rPr>
        <b val="true"/>
        <sz val="11"/>
        <rFont val="Noto Sans CJK SC"/>
        <family val="2"/>
      </rPr>
      <t xml:space="preserve">上半年 </t>
    </r>
    <r>
      <rPr>
        <b val="true"/>
        <sz val="11"/>
        <rFont val="Cambria"/>
        <family val="0"/>
        <charset val="1"/>
      </rPr>
      <t xml:space="preserve">FY2026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</si>
  <si>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 </t>
    </r>
    <r>
      <rPr>
        <b val="true"/>
        <sz val="11"/>
        <rFont val="Cambria"/>
        <family val="0"/>
        <charset val="1"/>
      </rPr>
      <t xml:space="preserve">SEC </t>
    </r>
    <r>
      <rPr>
        <b val="true"/>
        <sz val="11"/>
        <rFont val="Noto Sans CJK SC"/>
        <family val="2"/>
      </rPr>
      <t xml:space="preserve">文件）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</si>
  <si>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測試機（</t>
    </r>
    <r>
      <rPr>
        <sz val="11"/>
        <color theme="1"/>
        <rFont val="Calibri"/>
        <family val="2"/>
        <charset val="1"/>
      </rPr>
      <t xml:space="preserve">System on-a-Chip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</si>
  <si>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預定 </t>
    </r>
    <r>
      <rPr>
        <sz val="11"/>
        <color theme="1"/>
        <rFont val="Calibri"/>
        <family val="2"/>
        <charset val="1"/>
      </rPr>
      <t xml:space="preserve">2026-10-27 </t>
    </r>
    <r>
      <rPr>
        <sz val="11"/>
        <color theme="1"/>
        <rFont val="Noto Sans CJK SC"/>
        <family val="2"/>
      </rPr>
      <t xml:space="preserve">盤後公布，尚未公布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</si>
  <si>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</si>
  <si>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收入拆分表（</t>
    </r>
    <r>
      <rPr>
        <sz val="11"/>
        <color theme="1"/>
        <rFont val="Calibri"/>
        <family val="2"/>
        <charset val="1"/>
      </rPr>
      <t xml:space="preserve">Disaggregation of Revenue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2Q25 396.6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3Q25 440.2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1,889.7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2Q26 843.0</t>
    </r>
    <r>
      <rPr>
        <sz val="11"/>
        <color theme="1"/>
        <rFont val="Noto Sans CJK SC"/>
        <family val="2"/>
      </rPr>
      <t xml:space="preserve">、上半年 </t>
    </r>
    <r>
      <rPr>
        <sz val="11"/>
        <color theme="1"/>
        <rFont val="Calibri"/>
        <family val="2"/>
        <charset val="1"/>
      </rPr>
      <t xml:space="preserve">1,724.8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1Q25</t>
    </r>
    <r>
      <rPr>
        <sz val="11"/>
        <color theme="1"/>
        <rFont val="Noto Sans CJK SC"/>
        <family val="2"/>
      </rPr>
      <t xml:space="preserve">＝上半年 </t>
    </r>
    <r>
      <rPr>
        <sz val="11"/>
        <color theme="1"/>
        <rFont val="Calibri"/>
        <family val="2"/>
        <charset val="1"/>
      </rPr>
      <t xml:space="preserve">803.0 − 2Q25</t>
    </r>
  </si>
  <si>
    <r>
      <rPr>
        <sz val="11"/>
        <color theme="1"/>
        <rFont val="Calibri"/>
        <family val="2"/>
        <charset val="1"/>
      </rPr>
      <t xml:space="preserve">gurufocus 2Q26 </t>
    </r>
    <r>
      <rPr>
        <sz val="11"/>
        <color theme="1"/>
        <rFont val="Noto Sans CJK SC"/>
        <family val="2"/>
      </rPr>
      <t xml:space="preserve">法說摘要：</t>
    </r>
    <r>
      <rPr>
        <sz val="11"/>
        <color theme="1"/>
        <rFont val="Calibri"/>
        <family val="2"/>
        <charset val="1"/>
      </rPr>
      <t xml:space="preserve">SoC 843</t>
    </r>
    <r>
      <rPr>
        <sz val="11"/>
        <color theme="1"/>
        <rFont val="Noto Sans CJK SC"/>
        <family val="2"/>
      </rPr>
      <t xml:space="preserve">、記憶體 </t>
    </r>
    <r>
      <rPr>
        <sz val="11"/>
        <color theme="1"/>
        <rFont val="Calibri"/>
        <family val="2"/>
        <charset val="1"/>
      </rPr>
      <t xml:space="preserve">212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IST 67</t>
    </r>
  </si>
  <si>
    <t xml:space="preserve">記憶體測試機</t>
  </si>
  <si>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收入拆分表（</t>
    </r>
    <r>
      <rPr>
        <sz val="11"/>
        <color theme="1"/>
        <rFont val="Calibri"/>
        <family val="2"/>
        <charset val="1"/>
      </rPr>
      <t xml:space="preserve">Disaggregation of Revenue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1Q25</t>
    </r>
    <r>
      <rPr>
        <sz val="11"/>
        <color theme="1"/>
        <rFont val="Noto Sans CJK SC"/>
        <family val="2"/>
      </rPr>
      <t xml:space="preserve">＝上半年 </t>
    </r>
    <r>
      <rPr>
        <sz val="11"/>
        <color theme="1"/>
        <rFont val="Calibri"/>
        <family val="2"/>
        <charset val="1"/>
      </rPr>
      <t xml:space="preserve">170.4 − 2Q25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4Q25</t>
    </r>
    <r>
      <rPr>
        <sz val="11"/>
        <color theme="1"/>
        <rFont val="Noto Sans CJK SC"/>
        <family val="2"/>
      </rPr>
      <t xml:space="preserve">＝全年 − 前三季</t>
    </r>
  </si>
  <si>
    <r>
      <rPr>
        <sz val="11"/>
        <color theme="1"/>
        <rFont val="Noto Sans CJK SC"/>
        <family val="2"/>
      </rPr>
      <t xml:space="preserve">同上（記憶體 </t>
    </r>
    <r>
      <rPr>
        <sz val="11"/>
        <color theme="1"/>
        <rFont val="Calibri"/>
        <family val="2"/>
        <charset val="1"/>
      </rPr>
      <t xml:space="preserve">212</t>
    </r>
    <r>
      <rPr>
        <sz val="11"/>
        <color theme="1"/>
        <rFont val="Noto Sans CJK SC"/>
        <family val="2"/>
      </rPr>
      <t xml:space="preserve">，創新高）</t>
    </r>
  </si>
  <si>
    <r>
      <rPr>
        <sz val="11"/>
        <color theme="1"/>
        <rFont val="Calibri"/>
        <family val="2"/>
        <charset val="1"/>
      </rPr>
      <t xml:space="preserve">IST</t>
    </r>
    <r>
      <rPr>
        <sz val="11"/>
        <color theme="1"/>
        <rFont val="Noto Sans CJK SC"/>
        <family val="2"/>
      </rPr>
      <t xml:space="preserve">（整合系統測試）</t>
    </r>
  </si>
  <si>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收入拆分表（</t>
    </r>
    <r>
      <rPr>
        <sz val="11"/>
        <color theme="1"/>
        <rFont val="Calibri"/>
        <family val="2"/>
        <charset val="1"/>
      </rPr>
      <t xml:space="preserve">Disaggregation of Revenue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</si>
  <si>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同上（</t>
    </r>
    <r>
      <rPr>
        <sz val="11"/>
        <color theme="1"/>
        <rFont val="Calibri"/>
        <family val="2"/>
        <charset val="1"/>
      </rPr>
      <t xml:space="preserve">IST 67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+94%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</si>
  <si>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半導體測試（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＋記憶體＋</t>
    </r>
    <r>
      <rPr>
        <sz val="11"/>
        <color theme="1"/>
        <rFont val="Calibri"/>
        <family val="2"/>
        <charset val="1"/>
      </rPr>
      <t xml:space="preserve">IST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</si>
  <si>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公司新聞稿：</t>
    </r>
    <r>
      <rPr>
        <sz val="11"/>
        <color theme="1"/>
        <rFont val="Calibri"/>
        <family val="2"/>
        <charset val="1"/>
      </rPr>
      <t xml:space="preserve">1Q25 543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2Q25 492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3Q25 606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4Q25 883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1,111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1,122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2,523.7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</si>
  <si>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t xml:space="preserve">檢查列見下</t>
  </si>
  <si>
    <t xml:space="preserve">Product Test</t>
  </si>
  <si>
    <r>
      <rPr>
        <sz val="11"/>
        <color theme="1"/>
        <rFont val="Noto Sans CJK SC"/>
        <family val="2"/>
      </rPr>
      <t xml:space="preserve">公司各季新聞稿（</t>
    </r>
    <r>
      <rPr>
        <sz val="11"/>
        <color theme="1"/>
        <rFont val="Calibri"/>
        <family val="2"/>
        <charset val="1"/>
      </rPr>
      <t xml:space="preserve">8-K Ex.99.1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358.0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</si>
  <si>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MD&amp;A </t>
    </r>
    <r>
      <rPr>
        <sz val="11"/>
        <color theme="1"/>
        <rFont val="Noto Sans CJK SC"/>
        <family val="2"/>
      </rPr>
      <t xml:space="preserve">各季比較表</t>
    </r>
  </si>
  <si>
    <r>
      <rPr>
        <sz val="11"/>
        <color theme="1"/>
        <rFont val="Noto Sans CJK SC"/>
        <family val="2"/>
      </rPr>
      <t xml:space="preserve">機器人（</t>
    </r>
    <r>
      <rPr>
        <sz val="11"/>
        <color theme="1"/>
        <rFont val="Calibri"/>
        <family val="2"/>
        <charset val="1"/>
      </rPr>
      <t xml:space="preserve">Robotics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</si>
  <si>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公司各季新聞稿（</t>
    </r>
    <r>
      <rPr>
        <sz val="11"/>
        <color theme="1"/>
        <rFont val="Calibri"/>
        <family val="2"/>
        <charset val="1"/>
      </rPr>
      <t xml:space="preserve">8-K Ex.99.1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308.3</t>
    </r>
    <r>
      <rPr>
        <sz val="11"/>
        <color theme="1"/>
        <rFont val="Noto Sans CJK SC"/>
        <family val="2"/>
      </rPr>
      <t xml:space="preserve">）</t>
    </r>
  </si>
  <si>
    <t xml:space="preserve">營收</t>
  </si>
  <si>
    <r>
      <rPr>
        <sz val="11"/>
        <color theme="1"/>
        <rFont val="Noto Sans CJK SC"/>
        <family val="2"/>
      </rPr>
      <t xml:space="preserve">公司各季新聞稿（</t>
    </r>
    <r>
      <rPr>
        <sz val="11"/>
        <color theme="1"/>
        <rFont val="Calibri"/>
        <family val="2"/>
        <charset val="1"/>
      </rPr>
      <t xml:space="preserve">8-K Ex.99.1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FY2025 3,190.0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+13%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2Q26 1,329.0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+104%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</si>
  <si>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1.33B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</si>
  <si>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檢查：半導體測試＋</t>
    </r>
    <r>
      <rPr>
        <sz val="11"/>
        <color theme="1"/>
        <rFont val="Calibri"/>
        <family val="2"/>
        <charset val="1"/>
      </rPr>
      <t xml:space="preserve">Product Test</t>
    </r>
    <r>
      <rPr>
        <sz val="11"/>
        <color theme="1"/>
        <rFont val="Noto Sans CJK SC"/>
        <family val="2"/>
      </rPr>
      <t xml:space="preserve">＋機器人 − 營收（應約為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；單季分項四捨五入）</t>
    </r>
  </si>
  <si>
    <t xml:space="preserve">毛利</t>
  </si>
  <si>
    <r>
      <rPr>
        <sz val="11"/>
        <color theme="1"/>
        <rFont val="Noto Sans CJK SC"/>
        <family val="2"/>
      </rPr>
      <t xml:space="preserve">公司各季新聞稿（</t>
    </r>
    <r>
      <rPr>
        <sz val="11"/>
        <color theme="1"/>
        <rFont val="Calibri"/>
        <family val="2"/>
        <charset val="1"/>
      </rPr>
      <t xml:space="preserve">8-K Ex.99.1</t>
    </r>
    <r>
      <rPr>
        <sz val="11"/>
        <color theme="1"/>
        <rFont val="Noto Sans CJK SC"/>
        <family val="2"/>
      </rPr>
      <t xml:space="preserve">）</t>
    </r>
  </si>
  <si>
    <t xml:space="preserve">毛利率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</si>
  <si>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58.3%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58–59%</t>
    </r>
    <r>
      <rPr>
        <sz val="11"/>
        <color theme="1"/>
        <rFont val="Noto Sans CJK SC"/>
        <family val="2"/>
      </rPr>
      <t xml:space="preserve">；全年約 </t>
    </r>
    <r>
      <rPr>
        <sz val="11"/>
        <color theme="1"/>
        <rFont val="Calibri"/>
        <family val="2"/>
        <charset val="1"/>
      </rPr>
      <t xml:space="preserve">59%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</si>
  <si>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</si>
  <si>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公司各季新聞稿（</t>
    </r>
    <r>
      <rPr>
        <sz val="11"/>
        <color theme="1"/>
        <rFont val="Calibri"/>
        <family val="2"/>
        <charset val="1"/>
      </rPr>
      <t xml:space="preserve">8-K Ex.99.1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1Q25</t>
    </r>
    <r>
      <rPr>
        <sz val="11"/>
        <color theme="1"/>
        <rFont val="Noto Sans CJK SC"/>
        <family val="2"/>
      </rPr>
      <t xml:space="preserve">＝上半年 </t>
    </r>
    <r>
      <rPr>
        <sz val="11"/>
        <color theme="1"/>
        <rFont val="Calibri"/>
        <family val="2"/>
        <charset val="1"/>
      </rPr>
      <t xml:space="preserve">211.5 − 2Q25</t>
    </r>
  </si>
  <si>
    <t xml:space="preserve">稅前利益（含權益法前）</t>
  </si>
  <si>
    <r>
      <rPr>
        <sz val="11"/>
        <color theme="1"/>
        <rFont val="Noto Sans CJK SC"/>
        <family val="2"/>
      </rPr>
      <t xml:space="preserve">公司各季新聞稿（</t>
    </r>
    <r>
      <rPr>
        <sz val="11"/>
        <color theme="1"/>
        <rFont val="Calibri"/>
        <family val="2"/>
        <charset val="1"/>
      </rPr>
      <t xml:space="preserve">8-K Ex.99.1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1Q25</t>
    </r>
    <r>
      <rPr>
        <sz val="11"/>
        <color theme="1"/>
        <rFont val="Noto Sans CJK SC"/>
        <family val="2"/>
      </rPr>
      <t xml:space="preserve">＝上半年 </t>
    </r>
    <r>
      <rPr>
        <sz val="11"/>
        <color theme="1"/>
        <rFont val="Calibri"/>
        <family val="2"/>
        <charset val="1"/>
      </rPr>
      <t xml:space="preserve">215.6 − 2Q25</t>
    </r>
  </si>
  <si>
    <t xml:space="preserve">所得稅</t>
  </si>
  <si>
    <r>
      <rPr>
        <sz val="11"/>
        <color theme="1"/>
        <rFont val="Noto Sans CJK SC"/>
        <family val="2"/>
      </rPr>
      <t xml:space="preserve">權益法投資損益（</t>
    </r>
    <r>
      <rPr>
        <sz val="11"/>
        <color theme="1"/>
        <rFont val="Calibri"/>
        <family val="2"/>
        <charset val="1"/>
      </rPr>
      <t xml:space="preserve">Technoprobe</t>
    </r>
    <r>
      <rPr>
        <sz val="11"/>
        <color theme="1"/>
        <rFont val="Noto Sans CJK SC"/>
        <family val="2"/>
      </rPr>
      <t xml:space="preserve">）</t>
    </r>
  </si>
  <si>
    <t xml:space="preserve">淨利（歸屬泰瑞達）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</si>
  <si>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稀釋）</t>
    </r>
  </si>
  <si>
    <r>
      <rPr>
        <sz val="11"/>
        <color theme="1"/>
        <rFont val="Noto Sans CJK SC"/>
        <family val="2"/>
      </rPr>
      <t xml:space="preserve">公司各季新聞稿（</t>
    </r>
    <r>
      <rPr>
        <sz val="11"/>
        <color theme="1"/>
        <rFont val="Calibri"/>
        <family val="2"/>
        <charset val="1"/>
      </rPr>
      <t xml:space="preserve">8-K Ex.99.1</t>
    </r>
    <r>
      <rPr>
        <sz val="11"/>
        <color theme="1"/>
        <rFont val="Noto Sans CJK SC"/>
        <family val="2"/>
      </rPr>
      <t xml:space="preserve">）（四季加總 </t>
    </r>
    <r>
      <rPr>
        <sz val="11"/>
        <color theme="1"/>
        <rFont val="Calibri"/>
        <family val="2"/>
        <charset val="1"/>
      </rPr>
      <t xml:space="preserve">3.48 </t>
    </r>
    <r>
      <rPr>
        <sz val="11"/>
        <color theme="1"/>
        <rFont val="Noto Sans CJK SC"/>
        <family val="2"/>
      </rPr>
      <t xml:space="preserve">與全年 </t>
    </r>
    <r>
      <rPr>
        <sz val="11"/>
        <color theme="1"/>
        <rFont val="Calibri"/>
        <family val="2"/>
        <charset val="1"/>
      </rPr>
      <t xml:space="preserve">3.47 </t>
    </r>
    <r>
      <rPr>
        <sz val="11"/>
        <color theme="1"/>
        <rFont val="Noto Sans CJK SC"/>
        <family val="2"/>
      </rPr>
      <t xml:space="preserve">差為股數加權）</t>
    </r>
  </si>
  <si>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年度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FY2024 3.32 </t>
    </r>
    <r>
      <rPr>
        <sz val="11"/>
        <color theme="1"/>
        <rFont val="Noto Sans CJK SC"/>
        <family val="2"/>
      </rPr>
      <t xml:space="preserve">等）</t>
    </r>
  </si>
  <si>
    <t xml:space="preserve">稀釋加權股數（百萬股）</t>
  </si>
  <si>
    <r>
      <rPr>
        <b val="true"/>
        <sz val="11"/>
        <rFont val="Noto Sans CJK SC"/>
        <family val="2"/>
      </rPr>
      <t xml:space="preserve">事業別稅前利益（</t>
    </r>
    <r>
      <rPr>
        <b val="true"/>
        <sz val="11"/>
        <rFont val="Cambria"/>
        <family val="0"/>
        <charset val="1"/>
      </rPr>
      <t xml:space="preserve">10-K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10-Q </t>
    </r>
    <r>
      <rPr>
        <b val="true"/>
        <sz val="11"/>
        <rFont val="Noto Sans CJK SC"/>
        <family val="2"/>
      </rPr>
      <t xml:space="preserve">分部資訊；機器人另列）</t>
    </r>
  </si>
  <si>
    <t xml:space="preserve">事業</t>
  </si>
  <si>
    <t xml:space="preserve">FY2024</t>
  </si>
  <si>
    <t xml:space="preserve">半導體測試</t>
  </si>
  <si>
    <r>
      <rPr>
        <sz val="11"/>
        <color theme="1"/>
        <rFont val="Calibri"/>
        <family val="2"/>
        <charset val="1"/>
      </rPr>
      <t xml:space="preserve">10-K 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10-Q 2Q26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Income (Loss) Before Income Taxes </t>
    </r>
    <r>
      <rPr>
        <sz val="11"/>
        <color theme="1"/>
        <rFont val="Noto Sans CJK SC"/>
        <family val="2"/>
      </rPr>
      <t xml:space="preserve">分部表</t>
    </r>
  </si>
  <si>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公司與沖銷含出售 </t>
    </r>
    <r>
      <rPr>
        <sz val="11"/>
        <color theme="1"/>
        <rFont val="Calibri"/>
        <family val="2"/>
        <charset val="1"/>
      </rPr>
      <t xml:space="preserve">DIS </t>
    </r>
    <r>
      <rPr>
        <sz val="11"/>
        <color theme="1"/>
        <rFont val="Noto Sans CJK SC"/>
        <family val="2"/>
      </rPr>
      <t xml:space="preserve">事業利益 </t>
    </r>
    <r>
      <rPr>
        <sz val="11"/>
        <color theme="1"/>
        <rFont val="Calibri"/>
        <family val="2"/>
        <charset val="1"/>
      </rPr>
      <t xml:space="preserve">57.1</t>
    </r>
  </si>
  <si>
    <t xml:space="preserve">機器人</t>
  </si>
  <si>
    <t xml:space="preserve">公司與沖銷</t>
  </si>
  <si>
    <t xml:space="preserve">合計（應＝稅前利益）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</si>
  <si>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應＝</t>
    </r>
    <r>
      <rPr>
        <sz val="11"/>
        <color theme="1"/>
        <rFont val="Calibri"/>
        <family val="2"/>
        <charset val="1"/>
      </rPr>
      <t xml:space="preserve">653.3</t>
    </r>
    <r>
      <rPr>
        <sz val="11"/>
        <color theme="1"/>
        <rFont val="Noto Sans CJK SC"/>
        <family val="2"/>
      </rPr>
      <t xml:space="preserve">；上半年應＝</t>
    </r>
    <r>
      <rPr>
        <sz val="11"/>
        <color theme="1"/>
        <rFont val="Calibri"/>
        <family val="2"/>
        <charset val="1"/>
      </rPr>
      <t xml:space="preserve">909.3</t>
    </r>
    <r>
      <rPr>
        <sz val="11"/>
        <color theme="1"/>
        <rFont val="Noto Sans CJK SC"/>
        <family val="2"/>
      </rPr>
      <t xml:space="preserve">（四捨五入差）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</si>
  <si>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錨點（上半年實績＋下半年推估；三情境相同）</t>
    </r>
  </si>
  <si>
    <t xml:space="preserve">上半年（實績）</t>
  </si>
  <si>
    <t xml:space="preserve">下半年（推估）</t>
  </si>
  <si>
    <t xml:space="preserve">FY2026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</si>
  <si>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</si>
  <si>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：下半年營收 − 非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事業（殘差）</t>
    </r>
  </si>
  <si>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×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h2g)</t>
    </r>
  </si>
  <si>
    <t xml:space="preserve">IST</t>
  </si>
  <si>
    <r>
      <rPr>
        <sz val="11"/>
        <color theme="1"/>
        <rFont val="Noto Sans CJK SC"/>
        <family val="2"/>
      </rPr>
      <t xml:space="preserve">同上；不隨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情境</t>
    </r>
  </si>
  <si>
    <r>
      <rPr>
        <sz val="11"/>
        <color theme="1"/>
        <rFont val="Noto Sans CJK SC"/>
        <family val="2"/>
      </rPr>
      <t xml:space="preserve">測試事業營收（半導體測試＋</t>
    </r>
    <r>
      <rPr>
        <sz val="11"/>
        <color theme="1"/>
        <rFont val="Calibri"/>
        <family val="2"/>
        <charset val="1"/>
      </rPr>
      <t xml:space="preserve">Product Test</t>
    </r>
    <r>
      <rPr>
        <sz val="11"/>
        <color theme="1"/>
        <rFont val="Noto Sans CJK SC"/>
        <family val="2"/>
      </rPr>
      <t xml:space="preserve">）</t>
    </r>
  </si>
  <si>
    <t xml:space="preserve">（保留）</t>
  </si>
  <si>
    <r>
      <rPr>
        <sz val="11"/>
        <color theme="1"/>
        <rFont val="Noto Sans CJK SC"/>
        <family val="2"/>
      </rPr>
      <t xml:space="preserve">營收：下半年＝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指引中點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4Q÷3Q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</si>
  <si>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（指引）＋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</si>
  <si>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上半年占全年（公司 </t>
    </r>
    <r>
      <rPr>
        <sz val="11"/>
        <color theme="1"/>
        <rFont val="Calibri"/>
        <family val="2"/>
        <charset val="1"/>
      </rPr>
      <t xml:space="preserve">50–52%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</si>
  <si>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淨利（下半年＝</t>
    </r>
    <r>
      <rPr>
        <sz val="11"/>
        <color theme="1"/>
        <rFont val="Calibri"/>
        <family val="2"/>
        <charset val="1"/>
      </rPr>
      <t xml:space="preserve">3Q26 GAAP EPS </t>
    </r>
    <r>
      <rPr>
        <sz val="11"/>
        <color theme="1"/>
        <rFont val="Noto Sans CJK SC"/>
        <family val="2"/>
      </rPr>
      <t xml:space="preserve">指引中點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4Q÷3Q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稀釋股數）</t>
    </r>
  </si>
  <si>
    <t xml:space="preserve">權益法投資損益（下半年＝上半年）</t>
  </si>
  <si>
    <r>
      <rPr>
        <sz val="11"/>
        <color theme="1"/>
        <rFont val="Noto Sans CJK SC"/>
        <family val="2"/>
      </rPr>
      <t xml:space="preserve">稅前利益（下半年＝（淨利 − 權益法）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稅率））</t>
    </r>
  </si>
  <si>
    <t xml:space="preserve">機器人稅前利益</t>
  </si>
  <si>
    <t xml:space="preserve">公司與沖銷（下半年＝上半年）</t>
  </si>
  <si>
    <t xml:space="preserve">測試事業稅前利益（稅前 − 機器人 − 公司與沖銷）</t>
  </si>
  <si>
    <r>
      <rPr>
        <sz val="11"/>
        <color theme="1"/>
        <rFont val="Noto Sans CJK SC"/>
        <family val="2"/>
      </rPr>
      <t xml:space="preserve">毛利率（上半年實績；下半年＝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指引中點 </t>
    </r>
    <r>
      <rPr>
        <sz val="11"/>
        <color theme="1"/>
        <rFont val="Calibri"/>
        <family val="2"/>
        <charset val="1"/>
      </rPr>
      <t xml:space="preserve">58.5%</t>
    </r>
    <r>
      <rPr>
        <sz val="11"/>
        <color theme="1"/>
        <rFont val="Noto Sans CJK SC"/>
        <family val="2"/>
      </rPr>
      <t xml:space="preserve">，全年約 </t>
    </r>
    <r>
      <rPr>
        <sz val="11"/>
        <color theme="1"/>
        <rFont val="Calibri"/>
        <family val="2"/>
        <charset val="1"/>
      </rPr>
      <t xml:space="preserve">59%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</si>
  <si>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測試事業營收、測試事業稅前利益（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</si>
  <si>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：稅前、所得稅、權益法（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</si>
  <si>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測試機市場（十億美元；日曆年；讀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模型成品）與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市占合計。泰瑞達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情境市占維持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水準；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情境與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互補（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讓出的份額全由泰瑞達取得），三情境的「其他廠」份額相同</t>
    </r>
  </si>
  <si>
    <t xml:space="preserve">CY2025</t>
  </si>
  <si>
    <t xml:space="preserve">CY2026</t>
  </si>
  <si>
    <t xml:space="preserve">CY2027</t>
  </si>
  <si>
    <t xml:space="preserve">CY2028</t>
  </si>
  <si>
    <t xml:space="preserve">CY2029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</si>
  <si>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</si>
  <si>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  SoC </t>
    </r>
    <r>
      <rPr>
        <sz val="11"/>
        <color theme="1"/>
        <rFont val="Noto Sans CJK SC"/>
        <family val="2"/>
      </rPr>
      <t xml:space="preserve">測試機市場</t>
    </r>
  </si>
  <si>
    <t xml:space="preserve">  記憶體測試機市場</t>
  </si>
  <si>
    <r>
      <rPr>
        <sz val="11"/>
        <color theme="1"/>
        <rFont val="Calibri"/>
        <family val="2"/>
        <charset val="1"/>
      </rPr>
      <t xml:space="preserve">  Advantest SoC </t>
    </r>
    <r>
      <rPr>
        <sz val="11"/>
        <color theme="1"/>
        <rFont val="Noto Sans CJK SC"/>
        <family val="2"/>
      </rPr>
      <t xml:space="preserve">市占（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模型，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口徑）</t>
    </r>
  </si>
  <si>
    <r>
      <rPr>
        <sz val="11"/>
        <color theme="1"/>
        <rFont val="Noto Sans CJK SC"/>
        <family val="2"/>
      </rPr>
      <t xml:space="preserve">  泰瑞達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市占</t>
    </r>
  </si>
  <si>
    <r>
      <rPr>
        <sz val="11"/>
        <color theme="1"/>
        <rFont val="Noto Sans CJK SC"/>
        <family val="2"/>
      </rPr>
      <t xml:space="preserve">  其他廠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市占（</t>
    </r>
    <r>
      <rPr>
        <sz val="11"/>
        <color theme="1"/>
        <rFont val="Calibri"/>
        <family val="2"/>
        <charset val="1"/>
      </rPr>
      <t xml:space="preserve">1 − Advantest − </t>
    </r>
    <r>
      <rPr>
        <sz val="11"/>
        <color theme="1"/>
        <rFont val="Noto Sans CJK SC"/>
        <family val="2"/>
      </rPr>
      <t xml:space="preserve">泰瑞達）</t>
    </r>
  </si>
  <si>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自估 </t>
    </r>
    <r>
      <rPr>
        <sz val="11"/>
        <color theme="1"/>
        <rFont val="Calibri"/>
        <family val="2"/>
        <charset val="1"/>
      </rPr>
      <t xml:space="preserve">66% </t>
    </r>
    <r>
      <rPr>
        <sz val="11"/>
        <color theme="1"/>
        <rFont val="Noto Sans CJK SC"/>
        <family val="2"/>
      </rPr>
      <t xml:space="preserve">對照；三情境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起其他廠份額相同（互補設計）</t>
    </r>
  </si>
  <si>
    <r>
      <rPr>
        <sz val="11"/>
        <color theme="1"/>
        <rFont val="Calibri"/>
        <family val="2"/>
        <charset val="1"/>
      </rPr>
      <t xml:space="preserve">  SoC</t>
    </r>
    <r>
      <rPr>
        <sz val="11"/>
        <color theme="1"/>
        <rFont val="Noto Sans CJK SC"/>
        <family val="2"/>
      </rPr>
      <t xml:space="preserve">＋記憶體測試機市場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</si>
  <si>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公司說法：測試對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，長期 </t>
    </r>
    <r>
      <rPr>
        <sz val="11"/>
        <color theme="1"/>
        <rFont val="Calibri"/>
        <family val="2"/>
        <charset val="1"/>
      </rPr>
      <t xml:space="preserve">7–9%</t>
    </r>
    <r>
      <rPr>
        <sz val="11"/>
        <color theme="1"/>
        <rFont val="Noto Sans CJK SC"/>
        <family val="2"/>
      </rPr>
      <t xml:space="preserve">（口徑為 </t>
    </r>
    <r>
      <rPr>
        <sz val="11"/>
        <color theme="1"/>
        <rFont val="Calibri"/>
        <family val="2"/>
        <charset val="1"/>
      </rPr>
      <t xml:space="preserve">ATE </t>
    </r>
    <r>
      <rPr>
        <sz val="11"/>
        <color theme="1"/>
        <rFont val="Noto Sans CJK SC"/>
        <family val="2"/>
      </rPr>
      <t xml:space="preserve">市場，含其他測試機；見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</si>
  <si>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</si>
  <si>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</si>
  <si>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泰瑞達損益（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為實績，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為錨點（上半年實績＋下半年指引），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為模型）。三情境各一個完整推導區塊（見下方），本頁頂端為摘要</t>
    </r>
  </si>
  <si>
    <t xml:space="preserve">情境／項目</t>
  </si>
  <si>
    <t xml:space="preserve">FY2025A</t>
  </si>
  <si>
    <t xml:space="preserve">FY2027</t>
  </si>
  <si>
    <t xml:space="preserve">FY2028</t>
  </si>
  <si>
    <t xml:space="preserve">FY2029</t>
  </si>
  <si>
    <r>
      <rPr>
        <sz val="11"/>
        <color theme="1"/>
        <rFont val="Calibri"/>
        <family val="2"/>
        <charset val="1"/>
      </rPr>
      <t xml:space="preserve">  SoC </t>
    </r>
    <r>
      <rPr>
        <sz val="11"/>
        <color theme="1"/>
        <rFont val="Noto Sans CJK SC"/>
        <family val="2"/>
      </rPr>
      <t xml:space="preserve">測試機</t>
    </r>
  </si>
  <si>
    <t xml:space="preserve">  記憶體測試機</t>
  </si>
  <si>
    <r>
      <rPr>
        <sz val="11"/>
        <color theme="1"/>
        <rFont val="Noto Sans CJK SC"/>
        <family val="2"/>
      </rPr>
      <t xml:space="preserve">  機器人（不隨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情境）</t>
    </r>
  </si>
  <si>
    <t xml:space="preserve">毛利率（參考）</t>
  </si>
  <si>
    <t xml:space="preserve">稅前利益</t>
  </si>
  <si>
    <t xml:space="preserve">稅前利益率</t>
  </si>
  <si>
    <t xml:space="preserve">淨利</t>
  </si>
  <si>
    <t xml:space="preserve">EPS</t>
  </si>
  <si>
    <r>
      <rPr>
        <b val="true"/>
        <sz val="11"/>
        <rFont val="Noto Sans CJK SC"/>
        <family val="2"/>
      </rPr>
      <t xml:space="preserve">核對：</t>
    </r>
    <r>
      <rPr>
        <b val="true"/>
        <sz val="11"/>
        <rFont val="Cambria"/>
        <family val="0"/>
        <charset val="1"/>
      </rPr>
      <t xml:space="preserve">FY2026 EPS − </t>
    </r>
    <r>
      <rPr>
        <b val="true"/>
        <sz val="11"/>
        <rFont val="Noto Sans CJK SC"/>
        <family val="2"/>
      </rPr>
      <t xml:space="preserve">錨點（應為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</si>
  <si>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（順利）：加速器顆數續增；市占維持</t>
    </r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</si>
  <si>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</si>
  <si>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</si>
  <si>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</si>
  <si>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Noto Sans CJK SC"/>
        <family val="2"/>
      </rPr>
      <t xml:space="preserve">泰瑞達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市占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</si>
  <si>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＝實績／錨點隱含；之後維持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</si>
  <si>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測試機營收</t>
    </r>
  </si>
  <si>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市占</t>
    </r>
  </si>
  <si>
    <t xml:space="preserve">泰瑞達記憶體測試機市占</t>
  </si>
  <si>
    <t xml:space="preserve">記憶體測試機營收</t>
  </si>
  <si>
    <r>
      <rPr>
        <sz val="11"/>
        <color theme="1"/>
        <rFont val="Calibri"/>
        <family val="2"/>
        <charset val="1"/>
      </rPr>
      <t xml:space="preserve">IST </t>
    </r>
    <r>
      <rPr>
        <sz val="11"/>
        <color theme="1"/>
        <rFont val="Noto Sans CJK SC"/>
        <family val="2"/>
      </rPr>
      <t xml:space="preserve">營收（隨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市場）</t>
    </r>
  </si>
  <si>
    <r>
      <rPr>
        <sz val="11"/>
        <color theme="1"/>
        <rFont val="Calibri"/>
        <family val="2"/>
        <charset val="1"/>
      </rPr>
      <t xml:space="preserve">FY2026 × SoC </t>
    </r>
    <r>
      <rPr>
        <sz val="11"/>
        <color theme="1"/>
        <rFont val="Noto Sans CJK SC"/>
        <family val="2"/>
      </rPr>
      <t xml:space="preserve">市場相對 </t>
    </r>
    <r>
      <rPr>
        <sz val="11"/>
        <color theme="1"/>
        <rFont val="Calibri"/>
        <family val="2"/>
        <charset val="1"/>
      </rPr>
      <t xml:space="preserve">CY2026</t>
    </r>
  </si>
  <si>
    <t xml:space="preserve">半導體測試營收</t>
  </si>
  <si>
    <r>
      <rPr>
        <sz val="11"/>
        <color theme="1"/>
        <rFont val="Calibri"/>
        <family val="2"/>
        <charset val="1"/>
      </rPr>
      <t xml:space="preserve">Product Test </t>
    </r>
    <r>
      <rPr>
        <sz val="11"/>
        <color theme="1"/>
        <rFont val="Noto Sans CJK SC"/>
        <family val="2"/>
      </rPr>
      <t xml:space="preserve">營收</t>
    </r>
  </si>
  <si>
    <t xml:space="preserve">測試事業稅前利益</t>
  </si>
  <si>
    <r>
      <rPr>
        <sz val="11"/>
        <color theme="1"/>
        <rFont val="Noto Sans CJK SC"/>
        <family val="2"/>
      </rPr>
      <t xml:space="preserve">增量利益率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 − 固定成本（兩點推導）；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情境另加價格競爭調整</t>
    </r>
  </si>
  <si>
    <t xml:space="preserve">測試事業稅前利益率</t>
  </si>
  <si>
    <r>
      <rPr>
        <sz val="11"/>
        <color theme="1"/>
        <rFont val="Noto Sans CJK SC"/>
        <family val="2"/>
      </rPr>
      <t xml:space="preserve">機器人營收（不隨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情境）</t>
    </r>
  </si>
  <si>
    <r>
      <rPr>
        <sz val="11"/>
        <color theme="1"/>
        <rFont val="Noto Sans CJK SC"/>
        <family val="2"/>
      </rPr>
      <t xml:space="preserve">檢查：分部合計 − 合併營收（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錨點；四捨五入到百萬美元）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</si>
  <si>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分部合計 </t>
    </r>
    <r>
      <rPr>
        <sz val="11"/>
        <color theme="1"/>
        <rFont val="Calibri"/>
        <family val="2"/>
        <charset val="1"/>
      </rPr>
      <t xml:space="preserve">3,190.1 vs </t>
    </r>
    <r>
      <rPr>
        <sz val="11"/>
        <color theme="1"/>
        <rFont val="Noto Sans CJK SC"/>
        <family val="2"/>
      </rPr>
      <t xml:space="preserve">公司合併營收 </t>
    </r>
    <r>
      <rPr>
        <sz val="11"/>
        <color theme="1"/>
        <rFont val="Calibri"/>
        <family val="2"/>
        <charset val="1"/>
      </rPr>
      <t xml:space="preserve">3,190.0</t>
    </r>
    <r>
      <rPr>
        <sz val="11"/>
        <color theme="1"/>
        <rFont val="Noto Sans CJK SC"/>
        <family val="2"/>
      </rPr>
      <t xml:space="preserve">：季度分部數字四捨五入差 </t>
    </r>
    <r>
      <rPr>
        <sz val="11"/>
        <color theme="1"/>
        <rFont val="Calibri"/>
        <family val="2"/>
        <charset val="1"/>
      </rPr>
      <t xml:space="preserve">0.1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</si>
  <si>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＝錨點（上半年實績＋下半年指引）</t>
    </r>
  </si>
  <si>
    <t xml:space="preserve">稀釋股數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</si>
  <si>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占營收</t>
    </r>
  </si>
  <si>
    <r>
      <rPr>
        <sz val="11"/>
        <color theme="1"/>
        <rFont val="Noto Sans CJK SC"/>
        <family val="2"/>
      </rPr>
      <t xml:space="preserve">毛利率（參考；不進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</si>
  <si>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＋斜率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占營收 −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）；斜率由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與上半年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兩點推得；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由事業別稅前利益推導，本列只供參考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</si>
  <si>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2029 ×0.85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Advantest </t>
    </r>
    <r>
      <rPr>
        <b val="true"/>
        <sz val="11"/>
        <rFont val="Noto Sans CJK SC"/>
        <family val="2"/>
      </rPr>
      <t xml:space="preserve">模型的 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市場）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</si>
  <si>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；泰瑞達自 </t>
    </r>
    <r>
      <rPr>
        <b val="true"/>
        <sz val="11"/>
        <rFont val="Cambria"/>
        <family val="0"/>
        <charset val="1"/>
      </rPr>
      <t xml:space="preserve">Advantest </t>
    </r>
    <r>
      <rPr>
        <b val="true"/>
        <sz val="11"/>
        <rFont val="Noto Sans CJK SC"/>
        <family val="2"/>
      </rPr>
      <t xml:space="preserve">搶回份額但價格壓力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</si>
  <si>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＝實績／錨點隱含；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情境與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互補</t>
    </r>
  </si>
  <si>
    <r>
      <rPr>
        <b val="true"/>
        <sz val="11"/>
        <rFont val="Noto Sans CJK SC"/>
        <family val="2"/>
      </rPr>
      <t xml:space="preserve">延伸到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FY2025–FY2029 </t>
    </r>
    <r>
      <rPr>
        <b val="true"/>
        <sz val="11"/>
        <rFont val="Noto Sans CJK SC"/>
        <family val="2"/>
      </rPr>
      <t xml:space="preserve">引用本頁頂端摘要；灰底 </t>
    </r>
    <r>
      <rPr>
        <b val="true"/>
        <sz val="11"/>
        <rFont val="Cambria"/>
        <family val="0"/>
        <charset val="1"/>
      </rPr>
      <t xml:space="preserve">FY2030–FY2032 </t>
    </r>
    <r>
      <rPr>
        <b val="true"/>
        <sz val="11"/>
        <rFont val="Noto Sans CJK SC"/>
        <family val="2"/>
      </rPr>
      <t xml:space="preserve">為收斂法，非驅動因子推導</t>
    </r>
  </si>
  <si>
    <r>
      <rPr>
        <sz val="11"/>
        <color theme="1"/>
        <rFont val="Noto Sans CJK SC"/>
        <family val="2"/>
      </rPr>
      <t xml:space="preserve">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）；淨利率由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＝十年平均）；股數維持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與淨利同比例）</t>
    </r>
  </si>
  <si>
    <t xml:space="preserve">情境（延伸）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</si>
  <si>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</si>
  <si>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</si>
  <si>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</si>
  <si>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</si>
  <si>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</si>
  <si>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  營收年增</t>
  </si>
  <si>
    <r>
      <rPr>
        <sz val="11"/>
        <color theme="1"/>
        <rFont val="Noto Sans CJK SC"/>
        <family val="2"/>
      </rPr>
      <t xml:space="preserve">  淨利率（淨利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</si>
  <si>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t xml:space="preserve">淨利（收斂法延伸）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</si>
  <si>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</si>
  <si>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</si>
  <si>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</si>
  <si>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Calibri"/>
        <family val="2"/>
        <charset val="1"/>
      </rPr>
      <t xml:space="preserve">Val — </t>
    </r>
    <r>
      <rPr>
        <sz val="11"/>
        <color theme="1"/>
        <rFont val="Noto Sans CJK SC"/>
        <family val="2"/>
      </rPr>
      <t xml:space="preserve">估值。目標價＝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節，放在本頁後段）；規則值（十年年底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依循環位置取分位：見頂年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分位、中段中位數、谷底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分位）保留為參考。循環位置依設備股共用規則（第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</si>
  <si>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定義（自算）：年底收盤價（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，股利調整後）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當年度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（會計年度＝日曆年）；</t>
    </r>
    <r>
      <rPr>
        <sz val="11"/>
        <color theme="1"/>
        <rFont val="Calibri"/>
        <family val="2"/>
        <charset val="1"/>
      </rPr>
      <t xml:space="preserve">FY2016 </t>
    </r>
    <r>
      <rPr>
        <sz val="11"/>
        <color theme="1"/>
        <rFont val="Noto Sans CJK SC"/>
        <family val="2"/>
      </rPr>
      <t xml:space="preserve">為虧損（</t>
    </r>
    <r>
      <rPr>
        <sz val="11"/>
        <color theme="1"/>
        <rFont val="Calibri"/>
        <family val="2"/>
        <charset val="1"/>
      </rPr>
      <t xml:space="preserve">EPS −0.21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無意義，不納入分位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</si>
  <si>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加權）：見本頁第 </t>
    </r>
    <r>
      <rPr>
        <sz val="11"/>
        <color theme="1"/>
        <rFont val="Calibri"/>
        <family val="2"/>
        <charset val="1"/>
      </rPr>
      <t xml:space="preserve">91 </t>
    </r>
    <r>
      <rPr>
        <sz val="11"/>
        <color theme="1"/>
        <rFont val="Noto Sans CJK SC"/>
        <family val="2"/>
      </rPr>
      <t xml:space="preserve">列起「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</si>
  <si>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公司公布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GAAP </t>
    </r>
    <r>
      <rPr>
        <b val="true"/>
        <sz val="11"/>
        <rFont val="Noto Sans CJK SC"/>
        <family val="2"/>
      </rPr>
      <t xml:space="preserve">稀釋，美元）— 兩個來源</t>
    </r>
  </si>
  <si>
    <t xml:space="preserve">會計年度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</si>
  <si>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SEC XBRL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10-K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</si>
  <si>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macrotrends</t>
    </r>
  </si>
  <si>
    <t xml:space="preserve">兩者差距</t>
  </si>
  <si>
    <r>
      <rPr>
        <b val="true"/>
        <sz val="11"/>
        <rFont val="Noto Sans CJK SC"/>
        <family val="2"/>
      </rPr>
      <t xml:space="preserve">淨利 </t>
    </r>
    <r>
      <rPr>
        <b val="true"/>
        <sz val="11"/>
        <rFont val="Cambria"/>
        <family val="0"/>
        <charset val="1"/>
      </rPr>
      <t xml:space="preserve">US$M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10-K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</si>
  <si>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US$M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10-K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</si>
  <si>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股東權益 </t>
    </r>
    <r>
      <rPr>
        <b val="true"/>
        <sz val="11"/>
        <rFont val="Cambria"/>
        <family val="0"/>
        <charset val="1"/>
      </rPr>
      <t xml:space="preserve">US$M</t>
    </r>
    <r>
      <rPr>
        <b val="true"/>
        <sz val="11"/>
        <rFont val="Noto Sans CJK SC"/>
        <family val="2"/>
      </rPr>
      <t xml:space="preserve">（年底）</t>
    </r>
  </si>
  <si>
    <r>
      <rPr>
        <sz val="11"/>
        <color theme="1"/>
        <rFont val="Noto Sans CJK SC"/>
        <family val="2"/>
      </rPr>
      <t xml:space="preserve">虧損年（</t>
    </r>
    <r>
      <rPr>
        <sz val="11"/>
        <color theme="1"/>
        <rFont val="Calibri"/>
        <family val="2"/>
        <charset val="1"/>
      </rPr>
      <t xml:space="preserve">Wireless Test </t>
    </r>
    <r>
      <rPr>
        <sz val="11"/>
        <color theme="1"/>
        <rFont val="Noto Sans CJK SC"/>
        <family val="2"/>
      </rPr>
      <t xml:space="preserve">商譽減損）</t>
    </r>
  </si>
  <si>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年表只到 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第二來源：公司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新聞稿 </t>
    </r>
    <r>
      <rPr>
        <sz val="11"/>
        <color theme="1"/>
        <rFont val="Calibri"/>
        <family val="2"/>
        <charset val="1"/>
      </rPr>
      <t xml:space="preserve">3.47</t>
    </r>
    <r>
      <rPr>
        <sz val="11"/>
        <color theme="1"/>
        <rFont val="Noto Sans CJK SC"/>
        <family val="2"/>
      </rPr>
      <t xml:space="preserve">（同一公司來源）</t>
    </r>
  </si>
  <si>
    <r>
      <rPr>
        <b val="true"/>
        <sz val="11"/>
        <rFont val="Noto Sans CJK SC"/>
        <family val="2"/>
      </rPr>
      <t xml:space="preserve">全部年度用 </t>
    </r>
    <r>
      <rPr>
        <b val="true"/>
        <sz val="11"/>
        <rFont val="Cambria"/>
        <family val="0"/>
        <charset val="1"/>
      </rPr>
      <t xml:space="preserve">GAAP </t>
    </r>
    <r>
      <rPr>
        <b val="true"/>
        <sz val="11"/>
        <rFont val="Noto Sans CJK SC"/>
        <family val="2"/>
      </rPr>
      <t xml:space="preserve">稀釋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。淨利、營收、股東權益取自 </t>
    </r>
    <r>
      <rPr>
        <b val="true"/>
        <sz val="11"/>
        <rFont val="Cambria"/>
        <family val="0"/>
        <charset val="1"/>
      </rPr>
      <t xml:space="preserve">SEC XBRL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10-K</t>
    </r>
    <r>
      <rPr>
        <b val="true"/>
        <sz val="11"/>
        <rFont val="Noto Sans CJK SC"/>
        <family val="2"/>
      </rPr>
      <t xml:space="preserve">），用於十年平均淨利率與近三年 </t>
    </r>
    <r>
      <rPr>
        <b val="true"/>
        <sz val="11"/>
        <rFont val="Cambria"/>
        <family val="0"/>
        <charset val="1"/>
      </rPr>
      <t xml:space="preserve">ROE</t>
    </r>
  </si>
  <si>
    <r>
      <rPr>
        <b val="true"/>
        <sz val="11"/>
        <rFont val="Cambria"/>
        <family val="0"/>
        <charset val="1"/>
      </rPr>
      <t xml:space="preserve">2. 10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（年底）</t>
    </r>
  </si>
  <si>
    <t xml:space="preserve">年底</t>
  </si>
  <si>
    <r>
      <rPr>
        <b val="true"/>
        <sz val="11"/>
        <rFont val="Noto Sans CJK SC"/>
        <family val="2"/>
      </rPr>
      <t xml:space="preserve">收盤價 </t>
    </r>
    <r>
      <rPr>
        <b val="true"/>
        <sz val="11"/>
        <rFont val="Cambria"/>
        <family val="0"/>
        <charset val="1"/>
      </rPr>
      <t xml:space="preserve">US$</t>
    </r>
    <r>
      <rPr>
        <b val="true"/>
        <sz val="11"/>
        <rFont val="Noto Sans CJK SC"/>
        <family val="2"/>
      </rPr>
      <t xml:space="preserve">（股利調整）</t>
    </r>
  </si>
  <si>
    <r>
      <rPr>
        <b val="true"/>
        <sz val="11"/>
        <rFont val="Noto Sans CJK SC"/>
        <family val="2"/>
      </rPr>
      <t xml:space="preserve">當年 </t>
    </r>
    <r>
      <rPr>
        <b val="true"/>
        <sz val="11"/>
        <rFont val="Cambria"/>
        <family val="0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</si>
  <si>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當年（自算）</t>
    </r>
  </si>
  <si>
    <t xml:space="preserve">companiesmarketcap P/E</t>
  </si>
  <si>
    <r>
      <rPr>
        <b val="true"/>
        <sz val="11"/>
        <rFont val="Noto Sans CJK SC"/>
        <family val="2"/>
      </rPr>
      <t xml:space="preserve">自算 − </t>
    </r>
    <r>
      <rPr>
        <b val="true"/>
        <sz val="11"/>
        <rFont val="Cambria"/>
        <family val="0"/>
        <charset val="1"/>
      </rPr>
      <t xml:space="preserve">cmc</t>
    </r>
  </si>
  <si>
    <t xml:space="preserve">來源／說明</t>
  </si>
  <si>
    <t xml:space="preserve">2016-12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</si>
  <si>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為負，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不納入分位（</t>
    </r>
    <r>
      <rPr>
        <sz val="11"/>
        <color theme="1"/>
        <rFont val="Calibri"/>
        <family val="2"/>
        <charset val="1"/>
      </rPr>
      <t xml:space="preserve">cmc </t>
    </r>
    <r>
      <rPr>
        <sz val="11"/>
        <color theme="1"/>
        <rFont val="Noto Sans CJK SC"/>
        <family val="2"/>
      </rPr>
      <t xml:space="preserve">列 −</t>
    </r>
    <r>
      <rPr>
        <sz val="11"/>
        <color theme="1"/>
        <rFont val="Calibri"/>
        <family val="2"/>
        <charset val="1"/>
      </rPr>
      <t xml:space="preserve">115</t>
    </r>
    <r>
      <rPr>
        <sz val="11"/>
        <color theme="1"/>
        <rFont val="Noto Sans CJK SC"/>
        <family val="2"/>
      </rPr>
      <t xml:space="preserve">）</t>
    </r>
  </si>
  <si>
    <t xml:space="preserve">2017-12</t>
  </si>
  <si>
    <r>
      <rPr>
        <sz val="11"/>
        <color theme="1"/>
        <rFont val="Noto Sans CJK SC"/>
        <family val="2"/>
      </rPr>
      <t xml:space="preserve">收盤價：</t>
    </r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年表（年底收盤，股利調整後；泰瑞達 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年後無分割）</t>
    </r>
  </si>
  <si>
    <t xml:space="preserve">2018-12</t>
  </si>
  <si>
    <t xml:space="preserve">2019-12</t>
  </si>
  <si>
    <t xml:space="preserve">2020-12</t>
  </si>
  <si>
    <t xml:space="preserve">2021-12</t>
  </si>
  <si>
    <t xml:space="preserve">2022-12</t>
  </si>
  <si>
    <t xml:space="preserve">2023-12</t>
  </si>
  <si>
    <t xml:space="preserve">2024-12</t>
  </si>
  <si>
    <t xml:space="preserve">2025-12</t>
  </si>
  <si>
    <r>
      <rPr>
        <sz val="11"/>
        <color theme="1"/>
        <rFont val="Calibri"/>
        <family val="2"/>
        <charset val="1"/>
      </rPr>
      <t xml:space="preserve">statmuse 2025-12-31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193.33</t>
    </r>
    <r>
      <rPr>
        <sz val="11"/>
        <color theme="1"/>
        <rFont val="Noto Sans CJK SC"/>
        <family val="2"/>
      </rPr>
      <t xml:space="preserve">（未調整，第二來源）；</t>
    </r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193.41</t>
    </r>
  </si>
  <si>
    <r>
      <rPr>
        <sz val="11"/>
        <color theme="1"/>
        <rFont val="Noto Sans CJK SC"/>
        <family val="2"/>
      </rPr>
      <t xml:space="preserve">收盤價來源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（股利調整後年底收盤）；來源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statmuse</t>
    </r>
    <r>
      <rPr>
        <sz val="11"/>
        <color theme="1"/>
        <rFont val="Noto Sans CJK SC"/>
        <family val="2"/>
      </rPr>
      <t xml:space="preserve">（僅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193.33</t>
    </r>
    <r>
      <rPr>
        <sz val="11"/>
        <color theme="1"/>
        <rFont val="Noto Sans CJK SC"/>
        <family val="2"/>
      </rPr>
      <t xml:space="preserve">）。股利調整使早年價格略低（每季 </t>
    </r>
    <r>
      <rPr>
        <sz val="11"/>
        <color theme="1"/>
        <rFont val="Calibri"/>
        <family val="2"/>
        <charset val="1"/>
      </rPr>
      <t xml:space="preserve">0.06–0.13 </t>
    </r>
    <r>
      <rPr>
        <sz val="11"/>
        <color theme="1"/>
        <rFont val="Noto Sans CJK SC"/>
        <family val="2"/>
      </rPr>
      <t xml:space="preserve">美元股利），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偏低約 </t>
    </r>
    <r>
      <rPr>
        <sz val="11"/>
        <color theme="1"/>
        <rFont val="Calibri"/>
        <family val="2"/>
        <charset val="1"/>
      </rPr>
      <t xml:space="preserve">1–3%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TTM </t>
    </r>
    <r>
      <rPr>
        <sz val="11"/>
        <color theme="1"/>
        <rFont val="Noto Sans CJK SC"/>
        <family val="2"/>
      </rPr>
      <t xml:space="preserve">口徑）僅作對照，差距見 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欄。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</si>
  <si>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分位（只含正 </t>
    </r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年度）</t>
    </r>
  </si>
  <si>
    <t xml:space="preserve">統計</t>
  </si>
  <si>
    <r>
      <rPr>
        <b val="true"/>
        <sz val="11"/>
        <rFont val="Cambria"/>
        <family val="0"/>
        <charset val="1"/>
      </rPr>
      <t xml:space="preserve">cmc P/E</t>
    </r>
    <r>
      <rPr>
        <b val="true"/>
        <sz val="11"/>
        <rFont val="Noto Sans CJK SC"/>
        <family val="2"/>
      </rPr>
      <t xml:space="preserve">（參考，正值）</t>
    </r>
  </si>
  <si>
    <t xml:space="preserve">用途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</si>
  <si>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</si>
  <si>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見頂年</t>
  </si>
  <si>
    <t xml:space="preserve">中位數</t>
  </si>
  <si>
    <t xml:space="preserve">中段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</si>
  <si>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</si>
  <si>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谷底</t>
  </si>
  <si>
    <t xml:space="preserve">年數</t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</si>
  <si>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循環位置（設備股共用規則；見頂年度讀設備市場模型，不在本模型另訂）</t>
    </r>
  </si>
  <si>
    <r>
      <rPr>
        <sz val="11"/>
        <color theme="1"/>
        <rFont val="Noto Sans CJK SC"/>
        <family val="2"/>
      </rPr>
      <t xml:space="preserve">循環位置（設備股共用規則）：各情境的見頂年度取自設備市場模型（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頁「見頂年度」：</t>
    </r>
    <r>
      <rPr>
        <sz val="11"/>
        <color theme="1"/>
        <rFont val="Calibri"/>
        <family val="2"/>
        <charset val="1"/>
      </rPr>
      <t xml:space="preserve">A 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2027</t>
    </r>
    <r>
      <rPr>
        <sz val="11"/>
        <color theme="1"/>
        <rFont val="Noto Sans CJK SC"/>
        <family val="2"/>
      </rPr>
      <t xml:space="preserve">）；會計年度 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早於見頂年＝中段（中位數）、等於＝見頂（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分位）、晚於＝谷底（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</t>
    </r>
  </si>
  <si>
    <t xml:space="preserve">情境</t>
  </si>
  <si>
    <t xml:space="preserve">設備市場見頂年度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</si>
  <si>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對照日曆年</t>
    </r>
  </si>
  <si>
    <t xml:space="preserve">判定</t>
  </si>
  <si>
    <t xml:space="preserve">倍數</t>
  </si>
  <si>
    <t xml:space="preserve">規則</t>
  </si>
  <si>
    <t xml:space="preserve">A</t>
  </si>
  <si>
    <t xml:space="preserve">tools/cycle_position.py</t>
  </si>
  <si>
    <t xml:space="preserve">B</t>
  </si>
  <si>
    <t xml:space="preserve">C</t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</si>
  <si>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隱含股價（美元）：規則值＝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依循環位置的倍數；其餘倍數僅供參考</t>
    </r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</si>
  <si>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年度</t>
    </r>
  </si>
  <si>
    <t xml:space="preserve">倍數類型</t>
  </si>
  <si>
    <t xml:space="preserve">隱含股價</t>
  </si>
  <si>
    <t xml:space="preserve">相對現價</t>
  </si>
  <si>
    <t xml:space="preserve">備註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</si>
  <si>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</si>
  <si>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參考：中位數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</si>
  <si>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</si>
  <si>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目前遠期 </t>
    </r>
    <r>
      <rPr>
        <b val="true"/>
        <sz val="11"/>
        <rFont val="Cambria"/>
        <family val="0"/>
        <charset val="1"/>
      </rPr>
      <t xml:space="preserve">P/E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</si>
  <si>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</si>
  <si>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</si>
  <si>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</si>
  <si>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</si>
  <si>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equibles</t>
    </r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</si>
  <si>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</si>
  <si>
    <r>
      <rPr>
        <sz val="11"/>
        <color theme="1"/>
        <rFont val="Noto Sans CJK SC"/>
        <family val="2"/>
      </rPr>
      <t xml:space="preserve">分析師共識前瞻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</si>
  <si>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</si>
  <si>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</si>
  <si>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</si>
  <si>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</si>
  <si>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</si>
  <si>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t xml:space="preserve">MarketBeat 11.30</t>
  </si>
  <si>
    <t xml:space="preserve">舊法：規則值情境加權（參考）</t>
  </si>
  <si>
    <t xml:space="preserve">數值</t>
  </si>
  <si>
    <r>
      <rPr>
        <sz val="11"/>
        <color theme="1"/>
        <rFont val="Noto Sans CJK SC"/>
        <family val="2"/>
      </rPr>
      <t xml:space="preserve">規則值情境加權價（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個月；參考）</t>
    </r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</si>
  <si>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各情境隱含價（第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節規則值）</t>
    </r>
  </si>
  <si>
    <r>
      <rPr>
        <sz val="11"/>
        <color theme="1"/>
        <rFont val="Noto Sans CJK SC"/>
        <family val="2"/>
      </rPr>
      <t xml:space="preserve">相對現價（規則值情境加權價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</si>
  <si>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</si>
  <si>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隱含價（順利）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</si>
  <si>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隱含價（平平）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</si>
  <si>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隱含價（不如預期）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</si>
  <si>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</si>
  <si>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規則值方法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</si>
  <si>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：各情境 </t>
    </r>
    <r>
      <rPr>
        <sz val="11"/>
        <color theme="1"/>
        <rFont val="Calibri"/>
        <family val="2"/>
        <charset val="1"/>
      </rPr>
      <t xml:space="preserve">FY2027 EPS × </t>
    </r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依循環位置取分位（設備股共用規則：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中段＝中位數，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分位；</t>
    </r>
    <r>
      <rPr>
        <sz val="11"/>
        <color theme="1"/>
        <rFont val="Calibri"/>
        <family val="2"/>
        <charset val="1"/>
      </rPr>
      <t xml:space="preserve">FY2016 </t>
    </r>
    <r>
      <rPr>
        <sz val="11"/>
        <color theme="1"/>
        <rFont val="Noto Sans CJK SC"/>
        <family val="2"/>
      </rPr>
      <t xml:space="preserve">虧損不納入，實為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年）。隱含價約為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年底的價格、未折現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</si>
  <si>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</si>
  <si>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</si>
  <si>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</si>
  <si>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</si>
  <si>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</si>
  <si>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</si>
  <si>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</si>
  <si>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</si>
  <si>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</si>
  <si>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</si>
  <si>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</si>
  <si>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模型無折舊與資本支出項目，故不用（淨利＋折舊－資本支出）；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224.0</t>
    </r>
    <r>
      <rPr>
        <sz val="11"/>
        <color theme="1"/>
        <rFont val="Noto Sans CJK SC"/>
        <family val="2"/>
      </rPr>
      <t xml:space="preserve">、折舊 </t>
    </r>
    <r>
      <rPr>
        <sz val="11"/>
        <color theme="1"/>
        <rFont val="Calibri"/>
        <family val="2"/>
        <charset val="1"/>
      </rPr>
      <t xml:space="preserve">111.4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現金流量表），資本支出約為營收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，偏誤小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</si>
  <si>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</si>
  <si>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</si>
  <si>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</si>
  <si>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；低於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（股東有限責任）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</si>
  <si>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</si>
  <si>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</si>
  <si>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</si>
  <si>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</si>
  <si>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</si>
  <si>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</si>
  <si>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</si>
  <si>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</si>
  <si>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</si>
  <si>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t xml:space="preserve">Advantest</t>
  </si>
  <si>
    <t xml:space="preserve">6857.T</t>
  </si>
  <si>
    <t xml:space="preserve">2026-10-21</t>
  </si>
  <si>
    <r>
      <rPr>
        <sz val="11"/>
        <color theme="1"/>
        <rFont val="Calibri"/>
        <family val="2"/>
        <charset val="1"/>
      </rPr>
      <t xml:space="preserve">stockanalysis statistics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</si>
  <si>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Noto Sans CJK SC"/>
        <family val="2"/>
      </rPr>
      <t xml:space="preserve">科磊（</t>
    </r>
    <r>
      <rPr>
        <sz val="11"/>
        <color theme="1"/>
        <rFont val="Calibri"/>
        <family val="2"/>
        <charset val="1"/>
      </rPr>
      <t xml:space="preserve">KLA</t>
    </r>
    <r>
      <rPr>
        <sz val="11"/>
        <color theme="1"/>
        <rFont val="Noto Sans CJK SC"/>
        <family val="2"/>
      </rPr>
      <t xml:space="preserve">）</t>
    </r>
  </si>
  <si>
    <t xml:space="preserve">KLAC</t>
  </si>
  <si>
    <t xml:space="preserve">2026-10-23</t>
  </si>
  <si>
    <t xml:space="preserve">Cohu</t>
  </si>
  <si>
    <t xml:space="preserve">COHU</t>
  </si>
  <si>
    <r>
      <rPr>
        <sz val="11"/>
        <color theme="1"/>
        <rFont val="Calibri"/>
        <family val="2"/>
        <charset val="1"/>
      </rPr>
      <t xml:space="preserve">stockanalysis statistics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月虧損，前瞻倍數偏高）</t>
    </r>
  </si>
  <si>
    <t xml:space="preserve">FormFactor</t>
  </si>
  <si>
    <t xml:space="preserve">FORM</t>
  </si>
  <si>
    <r>
      <rPr>
        <sz val="11"/>
        <color theme="1"/>
        <rFont val="Noto Sans CJK SC"/>
        <family val="2"/>
      </rPr>
      <t xml:space="preserve">應用材料（</t>
    </r>
    <r>
      <rPr>
        <sz val="11"/>
        <color theme="1"/>
        <rFont val="Calibri"/>
        <family val="2"/>
        <charset val="1"/>
      </rPr>
      <t xml:space="preserve">Applied Materials</t>
    </r>
    <r>
      <rPr>
        <sz val="11"/>
        <color theme="1"/>
        <rFont val="Noto Sans CJK SC"/>
        <family val="2"/>
      </rPr>
      <t xml:space="preserve">）</t>
    </r>
  </si>
  <si>
    <t xml:space="preserve">AMAT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</si>
  <si>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</si>
  <si>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測試與設備同業（券商常用比較組）：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（直接對手）、</t>
    </r>
    <r>
      <rPr>
        <sz val="11"/>
        <color theme="1"/>
        <rFont val="Calibri"/>
        <family val="2"/>
        <charset val="1"/>
      </rPr>
      <t xml:space="preserve">KLA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Cohu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FormFactor</t>
    </r>
    <r>
      <rPr>
        <sz val="11"/>
        <color theme="1"/>
        <rFont val="Noto Sans CJK SC"/>
        <family val="2"/>
      </rPr>
      <t xml:space="preserve">、應用材料；不含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</si>
  <si>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</si>
  <si>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</si>
  <si>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</si>
  <si>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上列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</si>
  <si>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</si>
  <si>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</si>
  <si>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 </t>
    </r>
    <r>
      <rPr>
        <sz val="11"/>
        <color theme="1"/>
        <rFont val="Noto Sans CJK SC"/>
        <family val="2"/>
      </rPr>
      <t xml:space="preserve">目標價＋（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 </t>
    </r>
    <r>
      <rPr>
        <sz val="11"/>
        <color theme="1"/>
        <rFont val="Noto Sans CJK SC"/>
        <family val="2"/>
      </rPr>
      <t xml:space="preserve">目標價；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</si>
  <si>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</si>
  <si>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</si>
  <si>
    <t xml:space="preserve">市場共識目標價</t>
  </si>
  <si>
    <t xml:space="preserve">上檔空間：加權目標價</t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</si>
  <si>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</si>
  <si>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</si>
  <si>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MarketBeat FY2027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11.30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）；比本模型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）早約一年，且為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因素因此偏大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</si>
  <si>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</si>
  <si>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</si>
  <si>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</si>
  <si>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</si>
  <si>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節，</t>
    </r>
    <r>
      <rPr>
        <sz val="11"/>
        <color theme="1"/>
        <rFont val="Calibri"/>
        <family val="2"/>
        <charset val="1"/>
      </rPr>
      <t xml:space="preserve">FY2016 </t>
    </r>
    <r>
      <rPr>
        <sz val="11"/>
        <color theme="1"/>
        <rFont val="Noto Sans CJK SC"/>
        <family val="2"/>
      </rPr>
      <t xml:space="preserve">虧損不納入）的分位；只作檢查，不進目標價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</si>
  <si>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</si>
  <si>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）（模型無折舊與資本支出項目），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FY2023–25 </t>
    </r>
    <r>
      <rPr>
        <sz val="11"/>
        <color theme="1"/>
        <rFont val="Noto Sans CJK SC"/>
        <family val="2"/>
      </rPr>
      <t xml:space="preserve">平均，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起收斂法）＋永續；情境價值低於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KLA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Cohu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FormFactor</t>
    </r>
    <r>
      <rPr>
        <sz val="11"/>
        <color theme="1"/>
        <rFont val="Noto Sans CJK SC"/>
        <family val="2"/>
      </rPr>
      <t xml:space="preserve">、應用材料前瞻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。偏誤：測試機市場取自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模型，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起高於泰瑞達自己說的測試對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比，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偏高估；十年平均淨利率（約一成八）低於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期間，情境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收斂偏保守；同業前瞻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熱度下的倍數。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</si>
  <si>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</si>
  <si>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以「上檔空間：加權目標價」（</t>
    </r>
    <r>
      <rPr>
        <sz val="11"/>
        <color theme="1"/>
        <rFont val="Calibri"/>
        <family val="2"/>
        <charset val="1"/>
      </rPr>
      <t xml:space="preserve">B129</t>
    </r>
    <r>
      <rPr>
        <sz val="11"/>
        <color theme="1"/>
        <rFont val="Noto Sans CJK SC"/>
        <family val="2"/>
      </rPr>
      <t xml:space="preserve">）分六級（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</si>
  <si>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</si>
  <si>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</si>
  <si>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</si>
  <si>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</si>
  <si>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</si>
  <si>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</si>
  <si>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</si>
  <si>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</si>
  <si>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</si>
  <si>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</si>
  <si>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</si>
  <si>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</si>
  <si>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</si>
  <si>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</si>
  <si>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</si>
  <si>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</si>
  <si>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</si>
  <si>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</si>
  <si>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</si>
  <si>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泰瑞達</t>
  </si>
  <si>
    <t xml:space="preserve">TER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</si>
  <si>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</si>
  <si>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TER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</si>
  <si>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</si>
  <si>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6857 JT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</si>
  <si>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KLAC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</si>
  <si>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COHU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</si>
  <si>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FORM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</si>
  <si>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AMAT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</si>
  <si>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</si>
  <si>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</si>
  <si>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</si>
  <si>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</si>
  <si>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</si>
  <si>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</si>
  <si>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</si>
  <si>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</si>
  <si>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</si>
  <si>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</si>
  <si>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</si>
  <si>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</si>
  <si>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</si>
  <si>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</si>
  <si>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公司指引、目標模型、共識、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份額、測試對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比。只作事後對照，不為對上數字而調整參數。差距 </t>
    </r>
    <r>
      <rPr>
        <sz val="11"/>
        <color theme="1"/>
        <rFont val="Calibri"/>
        <family val="2"/>
        <charset val="1"/>
      </rPr>
      <t xml:space="preserve">&gt; 10% </t>
    </r>
    <r>
      <rPr>
        <sz val="11"/>
        <color theme="1"/>
        <rFont val="Noto Sans CJK SC"/>
        <family val="2"/>
      </rPr>
      <t xml:space="preserve">的原因見 </t>
    </r>
    <r>
      <rPr>
        <sz val="11"/>
        <color theme="1"/>
        <rFont val="Calibri"/>
        <family val="2"/>
        <charset val="1"/>
      </rPr>
      <t xml:space="preserve">README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</si>
  <si>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</si>
  <si>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</si>
  <si>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</si>
  <si>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</si>
  <si>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</si>
  <si>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</si>
  <si>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</si>
  <si>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</si>
  <si>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FY2026 vs </t>
    </r>
    <r>
      <rPr>
        <b val="true"/>
        <sz val="11"/>
        <rFont val="Noto Sans CJK SC"/>
        <family val="2"/>
      </rPr>
      <t xml:space="preserve">公司指引與共識</t>
    </r>
  </si>
  <si>
    <r>
      <rPr>
        <sz val="11"/>
        <color theme="1"/>
        <rFont val="Noto Sans CJK SC"/>
        <family val="2"/>
      </rPr>
      <t xml:space="preserve">營收：上半年占 </t>
    </r>
    <r>
      <rPr>
        <sz val="11"/>
        <color theme="1"/>
        <rFont val="Calibri"/>
        <family val="2"/>
        <charset val="1"/>
      </rPr>
      <t xml:space="preserve">51%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50–52% </t>
    </r>
    <r>
      <rPr>
        <sz val="11"/>
        <color theme="1"/>
        <rFont val="Noto Sans CJK SC"/>
        <family val="2"/>
      </rPr>
      <t xml:space="preserve">中點）推得的全年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</si>
  <si>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</t>
    </r>
  </si>
  <si>
    <r>
      <rPr>
        <sz val="11"/>
        <color theme="1"/>
        <rFont val="Noto Sans CJK SC"/>
        <family val="2"/>
      </rPr>
      <t xml:space="preserve">錨點由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指引推得；與公司上半年占比一致性檢查</t>
    </r>
  </si>
  <si>
    <t xml:space="preserve">營收（共識）</t>
  </si>
  <si>
    <t xml:space="preserve">stockanalysis 2026-10-20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</si>
  <si>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（共識，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</si>
  <si>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模型為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另加權益法投資攤銷約 </t>
    </r>
    <r>
      <rPr>
        <sz val="11"/>
        <color theme="1"/>
        <rFont val="Calibri"/>
        <family val="2"/>
        <charset val="1"/>
      </rPr>
      <t xml:space="preserve">0.20</t>
    </r>
    <r>
      <rPr>
        <sz val="11"/>
        <color theme="1"/>
        <rFont val="Noto Sans CJK SC"/>
        <family val="2"/>
      </rPr>
      <t xml:space="preserve">、無形資產攤銷約 </t>
    </r>
    <r>
      <rPr>
        <sz val="11"/>
        <color theme="1"/>
        <rFont val="Calibri"/>
        <family val="2"/>
        <charset val="1"/>
      </rPr>
      <t xml:space="preserve">0.08</t>
    </r>
    <r>
      <rPr>
        <sz val="11"/>
        <color theme="1"/>
        <rFont val="Noto Sans CJK SC"/>
        <family val="2"/>
      </rPr>
      <t xml:space="preserve">／年（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新聞稿調節表）</t>
    </r>
  </si>
  <si>
    <r>
      <rPr>
        <b val="true"/>
        <sz val="11"/>
        <rFont val="Cambria"/>
        <family val="0"/>
        <charset val="1"/>
      </rPr>
      <t xml:space="preserve">B. FY2027 vs </t>
    </r>
    <r>
      <rPr>
        <b val="true"/>
        <sz val="11"/>
        <rFont val="Noto Sans CJK SC"/>
        <family val="2"/>
      </rPr>
      <t xml:space="preserve">共識</t>
    </r>
  </si>
  <si>
    <t xml:space="preserve">MarketBeat 2026-10-20</t>
  </si>
  <si>
    <r>
      <rPr>
        <sz val="11"/>
        <color theme="1"/>
        <rFont val="Noto Sans CJK SC"/>
        <family val="2"/>
      </rPr>
      <t xml:space="preserve">差距大於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的原因見 </t>
    </r>
    <r>
      <rPr>
        <sz val="11"/>
        <color theme="1"/>
        <rFont val="Calibri"/>
        <family val="2"/>
        <charset val="1"/>
      </rPr>
      <t xml:space="preserve">README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</si>
  <si>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公司目標模型（</t>
    </r>
    <r>
      <rPr>
        <b val="true"/>
        <sz val="11"/>
        <rFont val="Cambria"/>
        <family val="0"/>
        <charset val="1"/>
      </rPr>
      <t xml:space="preserve">ATE </t>
    </r>
    <r>
      <rPr>
        <b val="true"/>
        <sz val="11"/>
        <rFont val="Noto Sans CJK SC"/>
        <family val="2"/>
      </rPr>
      <t xml:space="preserve">市場 </t>
    </r>
    <r>
      <rPr>
        <b val="true"/>
        <sz val="11"/>
        <rFont val="Cambria"/>
        <family val="0"/>
        <charset val="1"/>
      </rPr>
      <t xml:space="preserve">US$12–14B </t>
    </r>
    <r>
      <rPr>
        <b val="true"/>
        <sz val="11"/>
        <rFont val="Noto Sans CJK SC"/>
        <family val="2"/>
      </rPr>
      <t xml:space="preserve">時；未給年度）</t>
    </r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</si>
  <si>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6.0B</t>
    </r>
    <r>
      <rPr>
        <sz val="11"/>
        <color theme="1"/>
        <rFont val="Noto Sans CJK SC"/>
        <family val="2"/>
      </rPr>
      <t xml:space="preserve">：模型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</si>
  <si>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fintool</t>
    </r>
    <r>
      <rPr>
        <sz val="11"/>
        <color theme="1"/>
        <rFont val="Noto Sans CJK SC"/>
        <family val="2"/>
      </rPr>
      <t xml:space="preserve">）</t>
    </r>
  </si>
  <si>
    <t xml:space="preserve">目標模型未給年度；本列只看量級</t>
  </si>
  <si>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上緣 </t>
    </r>
    <r>
      <rPr>
        <sz val="11"/>
        <color theme="1"/>
        <rFont val="Calibri"/>
        <family val="2"/>
        <charset val="1"/>
      </rPr>
      <t xml:space="preserve">11.00</t>
    </r>
    <r>
      <rPr>
        <sz val="11"/>
        <color theme="1"/>
        <rFont val="Noto Sans CJK SC"/>
        <family val="2"/>
      </rPr>
      <t xml:space="preserve">：模型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</si>
  <si>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市占與市場規模</t>
    </r>
  </si>
  <si>
    <r>
      <rPr>
        <sz val="11"/>
        <color theme="1"/>
        <rFont val="Calibri"/>
        <family val="2"/>
        <charset val="1"/>
      </rPr>
      <t xml:space="preserve">CY2025 SoC</t>
    </r>
    <r>
      <rPr>
        <sz val="11"/>
        <color theme="1"/>
        <rFont val="Noto Sans CJK SC"/>
        <family val="2"/>
      </rPr>
      <t xml:space="preserve">：泰瑞達隱含市占 </t>
    </r>
    <r>
      <rPr>
        <sz val="11"/>
        <color theme="1"/>
        <rFont val="Calibri"/>
        <family val="2"/>
        <charset val="1"/>
      </rPr>
      <t xml:space="preserve">vs 1 − Advantest </t>
    </r>
    <r>
      <rPr>
        <sz val="11"/>
        <color theme="1"/>
        <rFont val="Noto Sans CJK SC"/>
        <family val="2"/>
      </rPr>
      <t xml:space="preserve">自估 </t>
    </r>
    <r>
      <rPr>
        <sz val="11"/>
        <color theme="1"/>
        <rFont val="Calibri"/>
        <family val="2"/>
        <charset val="1"/>
      </rPr>
      <t xml:space="preserve">66%</t>
    </r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</si>
  <si>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自估（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</si>
  <si>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差額＝其他廠份額（</t>
    </r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6.6%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</si>
  <si>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分析師估約 </t>
    </r>
    <r>
      <rPr>
        <sz val="11"/>
        <color theme="1"/>
        <rFont val="Calibri"/>
        <family val="2"/>
        <charset val="1"/>
      </rPr>
      <t xml:space="preserve">37%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</si>
  <si>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法說分析師提問（公司未證實）</t>
    </r>
  </si>
  <si>
    <r>
      <rPr>
        <sz val="11"/>
        <color theme="1"/>
        <rFont val="Noto Sans CJK SC"/>
        <family val="2"/>
      </rPr>
      <t xml:space="preserve">口徑不同：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市場含其自身所有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測試機；分析師口徑未明</t>
    </r>
  </si>
  <si>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＋記憶體測試機 </t>
    </r>
    <r>
      <rPr>
        <sz val="11"/>
        <color theme="1"/>
        <rFont val="Calibri"/>
        <family val="2"/>
        <charset val="1"/>
      </rPr>
      <t xml:space="preserve">÷ WFE vs </t>
    </r>
    <r>
      <rPr>
        <sz val="11"/>
        <color theme="1"/>
        <rFont val="Noto Sans CJK SC"/>
        <family val="2"/>
      </rPr>
      <t xml:space="preserve">公司長期上緣 </t>
    </r>
    <r>
      <rPr>
        <sz val="11"/>
        <color theme="1"/>
        <rFont val="Calibri"/>
        <family val="2"/>
        <charset val="1"/>
      </rPr>
      <t xml:space="preserve">9%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</si>
  <si>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</si>
  <si>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＋記憶體測試機 </t>
    </r>
    <r>
      <rPr>
        <sz val="11"/>
        <color theme="1"/>
        <rFont val="Calibri"/>
        <family val="2"/>
        <charset val="1"/>
      </rPr>
      <t xml:space="preserve">÷ WFE vs </t>
    </r>
    <r>
      <rPr>
        <sz val="11"/>
        <color theme="1"/>
        <rFont val="Noto Sans CJK SC"/>
        <family val="2"/>
      </rPr>
      <t xml:space="preserve">公司長期上緣 </t>
    </r>
    <r>
      <rPr>
        <sz val="11"/>
        <color theme="1"/>
        <rFont val="Calibri"/>
        <family val="2"/>
        <charset val="1"/>
      </rPr>
      <t xml:space="preserve">9%</t>
    </r>
  </si>
  <si>
    <r>
      <rPr>
        <sz val="11"/>
        <color theme="1"/>
        <rFont val="Noto Sans CJK SC"/>
        <family val="2"/>
      </rPr>
      <t xml:space="preserve">公司口徑為 </t>
    </r>
    <r>
      <rPr>
        <sz val="11"/>
        <color theme="1"/>
        <rFont val="Calibri"/>
        <family val="2"/>
        <charset val="1"/>
      </rPr>
      <t xml:space="preserve">ATE </t>
    </r>
    <r>
      <rPr>
        <sz val="11"/>
        <color theme="1"/>
        <rFont val="Noto Sans CJK SC"/>
        <family val="2"/>
      </rPr>
      <t xml:space="preserve">市場（含類比等其他測試機）</t>
    </r>
    <r>
      <rPr>
        <sz val="11"/>
        <color theme="1"/>
        <rFont val="Calibri"/>
        <family val="2"/>
        <charset val="1"/>
      </rPr>
      <t xml:space="preserve">÷ WFE</t>
    </r>
    <r>
      <rPr>
        <sz val="11"/>
        <color theme="1"/>
        <rFont val="Noto Sans CJK SC"/>
        <family val="2"/>
      </rPr>
      <t xml:space="preserve">；本模型分子只有 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＋記憶體，口徑更窄卻已高於上緣</t>
    </r>
  </si>
  <si>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＋記憶體測試機 </t>
    </r>
    <r>
      <rPr>
        <sz val="11"/>
        <color theme="1"/>
        <rFont val="Calibri"/>
        <family val="2"/>
        <charset val="1"/>
      </rPr>
      <t xml:space="preserve">÷ WFE vs </t>
    </r>
    <r>
      <rPr>
        <sz val="11"/>
        <color theme="1"/>
        <rFont val="Noto Sans CJK SC"/>
        <family val="2"/>
      </rPr>
      <t xml:space="preserve">公司長期上緣 </t>
    </r>
    <r>
      <rPr>
        <sz val="11"/>
        <color theme="1"/>
        <rFont val="Calibri"/>
        <family val="2"/>
        <charset val="1"/>
      </rPr>
      <t xml:space="preserve">9%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</si>
  <si>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其他資訊（非對帳）</t>
    </r>
  </si>
  <si>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</si>
  <si>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公司：上半年 </t>
    </r>
    <r>
      <rPr>
        <sz val="11"/>
        <color theme="1"/>
        <rFont val="Calibri"/>
        <family val="2"/>
        <charset val="1"/>
      </rPr>
      <t xml:space="preserve">50–52%</t>
    </r>
  </si>
  <si>
    <r>
      <rPr>
        <sz val="11"/>
        <color theme="1"/>
        <rFont val="Noto Sans CJK SC"/>
        <family val="2"/>
      </rPr>
      <t xml:space="preserve">指引紀錄：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營收皆高於指引上緣（</t>
    </r>
    <r>
      <rPr>
        <sz val="11"/>
        <color theme="1"/>
        <rFont val="Calibri"/>
        <family val="2"/>
        <charset val="1"/>
      </rPr>
      <t xml:space="preserve">1,250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</si>
  <si>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指引偏保守 →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錨點可能偏低（下半年以指引中點推估）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</si>
  <si>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的影響。每個案例是一個完整的推導區塊（本頁下方，與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同一引擎）；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錨點不變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</si>
  <si>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</si>
  <si>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</si>
  <si>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US$M</t>
    </r>
  </si>
  <si>
    <t xml:space="preserve">FY2027 EPS US$</t>
  </si>
  <si>
    <t xml:space="preserve">相對基準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</si>
  <si>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US$M</t>
    </r>
  </si>
  <si>
    <t xml:space="preserve">FY2028 EPS US$</t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</si>
  <si>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</si>
  <si>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</si>
  <si>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泰瑞達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市占 −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</si>
  <si>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</t>
    </r>
  </si>
  <si>
    <r>
      <rPr>
        <sz val="11"/>
        <color theme="1"/>
        <rFont val="Noto Sans CJK SC"/>
        <family val="2"/>
      </rPr>
      <t xml:space="preserve">泰瑞達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+5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</si>
  <si>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−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</si>
  <si>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測試對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比回到公司說的區間</t>
    </r>
  </si>
  <si>
    <r>
      <rPr>
        <sz val="11"/>
        <color theme="1"/>
        <rFont val="Noto Sans CJK SC"/>
        <family val="2"/>
      </rPr>
      <t xml:space="preserve">記憶體市占 −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</si>
  <si>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記憶體市占 </t>
    </r>
    <r>
      <rPr>
        <sz val="11"/>
        <color theme="1"/>
        <rFont val="Calibri"/>
        <family val="2"/>
        <charset val="1"/>
      </rPr>
      <t xml:space="preserve">+5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</si>
  <si>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測試事業增量利益率 </t>
    </r>
    <r>
      <rPr>
        <sz val="11"/>
        <color theme="1"/>
        <rFont val="Calibri"/>
        <family val="2"/>
        <charset val="1"/>
      </rPr>
      <t xml:space="preserve">40%</t>
    </r>
  </si>
  <si>
    <r>
      <rPr>
        <sz val="11"/>
        <color theme="1"/>
        <rFont val="Noto Sans CJK SC"/>
        <family val="2"/>
      </rPr>
      <t xml:space="preserve">固定成本重新推導（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錨點不變）</t>
    </r>
  </si>
  <si>
    <r>
      <rPr>
        <sz val="11"/>
        <color theme="1"/>
        <rFont val="Noto Sans CJK SC"/>
        <family val="2"/>
      </rPr>
      <t xml:space="preserve">測試事業增量利益率 </t>
    </r>
    <r>
      <rPr>
        <sz val="11"/>
        <color theme="1"/>
        <rFont val="Calibri"/>
        <family val="2"/>
        <charset val="1"/>
      </rPr>
      <t xml:space="preserve">56%</t>
    </r>
  </si>
  <si>
    <r>
      <rPr>
        <sz val="11"/>
        <color theme="1"/>
        <rFont val="Calibri"/>
        <family val="2"/>
        <charset val="1"/>
      </rPr>
      <t xml:space="preserve">Product Test </t>
    </r>
    <r>
      <rPr>
        <sz val="11"/>
        <color theme="1"/>
        <rFont val="Noto Sans CJK SC"/>
        <family val="2"/>
      </rPr>
      <t xml:space="preserve">成長 低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</si>
  <si>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4%</t>
    </r>
  </si>
  <si>
    <r>
      <rPr>
        <sz val="11"/>
        <color theme="1"/>
        <rFont val="Calibri"/>
        <family val="2"/>
        <charset val="1"/>
      </rPr>
      <t xml:space="preserve">Product Test </t>
    </r>
    <r>
      <rPr>
        <sz val="11"/>
        <color theme="1"/>
        <rFont val="Noto Sans CJK SC"/>
        <family val="2"/>
      </rPr>
      <t xml:space="preserve">成長 高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</si>
  <si>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12%</t>
    </r>
  </si>
  <si>
    <r>
      <rPr>
        <sz val="11"/>
        <color theme="1"/>
        <rFont val="Noto Sans CJK SC"/>
        <family val="2"/>
      </rPr>
      <t xml:space="preserve">機器人成長 </t>
    </r>
    <r>
      <rPr>
        <sz val="11"/>
        <color theme="1"/>
        <rFont val="Calibri"/>
        <family val="2"/>
        <charset val="1"/>
      </rPr>
      <t xml:space="preserve">0%</t>
    </r>
  </si>
  <si>
    <t xml:space="preserve">三情境相同</t>
  </si>
  <si>
    <r>
      <rPr>
        <sz val="11"/>
        <color theme="1"/>
        <rFont val="Noto Sans CJK SC"/>
        <family val="2"/>
      </rPr>
      <t xml:space="preserve">機器人成長 </t>
    </r>
    <r>
      <rPr>
        <sz val="11"/>
        <color theme="1"/>
        <rFont val="Calibri"/>
        <family val="2"/>
        <charset val="1"/>
      </rPr>
      <t xml:space="preserve">20%</t>
    </r>
  </si>
  <si>
    <t xml:space="preserve">機器人利益率 低</t>
  </si>
  <si>
    <r>
      <rPr>
        <sz val="11"/>
        <color theme="1"/>
        <rFont val="Noto Sans CJK SC"/>
        <family val="2"/>
      </rPr>
      <t xml:space="preserve">每年 −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個百分點</t>
    </r>
  </si>
  <si>
    <t xml:space="preserve">機器人利益率 高</t>
  </si>
  <si>
    <r>
      <rPr>
        <sz val="11"/>
        <color theme="1"/>
        <rFont val="Noto Sans CJK SC"/>
        <family val="2"/>
      </rPr>
      <t xml:space="preserve">每年 </t>
    </r>
    <r>
      <rPr>
        <sz val="11"/>
        <color theme="1"/>
        <rFont val="Calibri"/>
        <family val="2"/>
        <charset val="1"/>
      </rPr>
      <t xml:space="preserve">+5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</si>
  <si>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12%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</si>
  <si>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17%</t>
    </r>
  </si>
  <si>
    <r>
      <rPr>
        <sz val="11"/>
        <color theme="1"/>
        <rFont val="Noto Sans CJK SC"/>
        <family val="2"/>
      </rPr>
      <t xml:space="preserve">回購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</si>
  <si>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Noto Sans CJK SC"/>
        <family val="2"/>
      </rPr>
      <t xml:space="preserve">回購 </t>
    </r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</si>
  <si>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</t>
    </r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</si>
  <si>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模型的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市場；</t>
    </r>
    <r>
      <rPr>
        <sz val="11"/>
        <color theme="1"/>
        <rFont val="Calibri"/>
        <family val="2"/>
        <charset val="1"/>
      </rPr>
      <t xml:space="preserve">Product Test </t>
    </r>
    <r>
      <rPr>
        <sz val="11"/>
        <color theme="1"/>
        <rFont val="Noto Sans CJK SC"/>
        <family val="2"/>
      </rPr>
      <t xml:space="preserve">成長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</si>
  <si>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</si>
  <si>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市場；市占自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搶回、利益率下調</t>
    </r>
  </si>
  <si>
    <r>
      <rPr>
        <sz val="11"/>
        <color theme="1"/>
        <rFont val="Noto Sans CJK SC"/>
        <family val="2"/>
      </rPr>
      <t xml:space="preserve">讀法：測試機市場（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模型）在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已比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高約四成，泰瑞達的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主要取決於市場是否真的長到這個水準與市占；情境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的顆數係數從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才生效，所以對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無影響、對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才明顯。</t>
    </r>
  </si>
  <si>
    <r>
      <rPr>
        <b val="true"/>
        <sz val="11"/>
        <rFont val="Noto Sans CJK SC"/>
        <family val="2"/>
      </rPr>
      <t xml:space="preserve">案例區塊：泰瑞達 </t>
    </r>
    <r>
      <rPr>
        <b val="true"/>
        <sz val="11"/>
        <rFont val="Cambria"/>
        <family val="0"/>
        <charset val="1"/>
      </rPr>
      <t xml:space="preserve">SoC </t>
    </r>
    <r>
      <rPr>
        <b val="true"/>
        <sz val="11"/>
        <rFont val="Noto Sans CJK SC"/>
        <family val="2"/>
      </rPr>
      <t xml:space="preserve">市占 −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個百分點（情境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</si>
  <si>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案例區塊：泰瑞達 </t>
    </r>
    <r>
      <rPr>
        <b val="true"/>
        <sz val="11"/>
        <rFont val="Cambria"/>
        <family val="0"/>
        <charset val="1"/>
      </rPr>
      <t xml:space="preserve">SoC </t>
    </r>
    <r>
      <rPr>
        <b val="true"/>
        <sz val="11"/>
        <rFont val="Noto Sans CJK SC"/>
        <family val="2"/>
      </rPr>
      <t xml:space="preserve">市占 </t>
    </r>
    <r>
      <rPr>
        <b val="true"/>
        <sz val="11"/>
        <rFont val="Cambria"/>
        <family val="0"/>
        <charset val="1"/>
      </rPr>
      <t xml:space="preserve">+5 </t>
    </r>
    <r>
      <rPr>
        <b val="true"/>
        <sz val="11"/>
        <rFont val="Noto Sans CJK SC"/>
        <family val="2"/>
      </rPr>
      <t xml:space="preserve">個百分點（情境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</si>
  <si>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SoC </t>
    </r>
    <r>
      <rPr>
        <b val="true"/>
        <sz val="11"/>
        <rFont val="Noto Sans CJK SC"/>
        <family val="2"/>
      </rPr>
      <t xml:space="preserve">測試機市場 −</t>
    </r>
    <r>
      <rPr>
        <b val="true"/>
        <sz val="11"/>
        <rFont val="Cambria"/>
        <family val="0"/>
        <charset val="1"/>
      </rPr>
      <t xml:space="preserve">15%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起）（情境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</si>
  <si>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案例區塊：記憶體市占 −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個百分點（情境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</si>
  <si>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案例區塊：記憶體市占 </t>
    </r>
    <r>
      <rPr>
        <b val="true"/>
        <sz val="11"/>
        <rFont val="Cambria"/>
        <family val="0"/>
        <charset val="1"/>
      </rPr>
      <t xml:space="preserve">+5 </t>
    </r>
    <r>
      <rPr>
        <b val="true"/>
        <sz val="11"/>
        <rFont val="Noto Sans CJK SC"/>
        <family val="2"/>
      </rPr>
      <t xml:space="preserve">個百分點（情境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</si>
  <si>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案例區塊：測試事業增量利益率 </t>
    </r>
    <r>
      <rPr>
        <b val="true"/>
        <sz val="11"/>
        <rFont val="Cambria"/>
        <family val="0"/>
        <charset val="1"/>
      </rPr>
      <t xml:space="preserve">40%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</si>
  <si>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案例區塊：測試事業增量利益率 </t>
    </r>
    <r>
      <rPr>
        <b val="true"/>
        <sz val="11"/>
        <rFont val="Cambria"/>
        <family val="0"/>
        <charset val="1"/>
      </rPr>
      <t xml:space="preserve">56%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</si>
  <si>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Product Test </t>
    </r>
    <r>
      <rPr>
        <b val="true"/>
        <sz val="11"/>
        <rFont val="Noto Sans CJK SC"/>
        <family val="2"/>
      </rPr>
      <t xml:space="preserve">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</si>
  <si>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Product Test </t>
    </r>
    <r>
      <rPr>
        <b val="true"/>
        <sz val="11"/>
        <rFont val="Noto Sans CJK SC"/>
        <family val="2"/>
      </rPr>
      <t xml:space="preserve">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</si>
  <si>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案例區塊：機器人成長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</si>
  <si>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案例區塊：機器人成長 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</si>
  <si>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案例區塊：機器人利益率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</si>
  <si>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案例區塊：機器人利益率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</si>
  <si>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</si>
  <si>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17%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</si>
  <si>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案例區塊：回購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／年（情境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</si>
  <si>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案例區塊：回購 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／年（情境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</si>
  <si>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參數與權重，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收斂法的長期成長不隨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</si>
  <si>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</si>
  <si>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</si>
  <si>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</si>
  <si>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</si>
  <si>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</si>
  <si>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</si>
  <si>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</si>
  <si>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</si>
  <si>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r>
      <rPr>
        <sz val="11"/>
        <color theme="1"/>
        <rFont val="Calibri"/>
        <family val="2"/>
        <charset val="1"/>
      </rPr>
      <t xml:space="preserve">g 5%</t>
    </r>
    <r>
      <rPr>
        <sz val="11"/>
        <color theme="1"/>
        <rFont val="Noto Sans CJK SC"/>
        <family val="2"/>
      </rPr>
      <t xml:space="preserve">（永續與再投資率）</t>
    </r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</si>
  <si>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</si>
  <si>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</si>
  <si>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</si>
  <si>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</si>
  <si>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</si>
  <si>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</si>
  <si>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r>
      <rPr>
        <b val="true"/>
        <sz val="11"/>
        <rFont val="Noto Sans CJK SC"/>
        <family val="2"/>
      </rPr>
      <t xml:space="preserve">來源（公司 </t>
    </r>
    <r>
      <rPr>
        <b val="true"/>
        <sz val="11"/>
        <rFont val="Cambria"/>
        <family val="0"/>
        <charset val="1"/>
      </rPr>
      <t xml:space="preserve">SEC </t>
    </r>
    <r>
      <rPr>
        <b val="true"/>
        <sz val="11"/>
        <rFont val="Noto Sans CJK SC"/>
        <family val="2"/>
      </rPr>
      <t xml:space="preserve">原文在建置環境可開啟；法說數字取自逐字稿摘要網站，待以公司原始逐字稿複核）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</si>
  <si>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 Ex.99.1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</si>
  <si>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https://www.sec.gov/Archives/edgar/data/97210/000119312526321933/ter-ex99_1.htm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</si>
  <si>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10-Q</t>
    </r>
    <r>
      <rPr>
        <sz val="11"/>
        <color theme="1"/>
        <rFont val="Noto Sans CJK SC"/>
        <family val="2"/>
      </rPr>
      <t xml:space="preserve">（收入拆分、分部稅前利益）</t>
    </r>
  </si>
  <si>
    <t xml:space="preserve">https://www.sec.gov/Archives/edgar/data/97210/000119312526327715/ter-20260628.htm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</si>
  <si>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2026-04-28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</si>
  <si>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https://www.sec.gov/Archives/edgar/data/97210/000119312526188706/ter-ex99_1.htm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</si>
  <si>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1Q26 10-Q</t>
    </r>
  </si>
  <si>
    <t xml:space="preserve">https://www.sec.gov/Archives/edgar/data/97210/000119312526201058/ter-20260329.htm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</si>
  <si>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2026-02-02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</si>
  <si>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https://www.sec.gov/Archives/edgar/data/97210/000119312526034348/ter-ex99_1.htm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</si>
  <si>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10-K</t>
    </r>
    <r>
      <rPr>
        <sz val="11"/>
        <color theme="1"/>
        <rFont val="Noto Sans CJK SC"/>
        <family val="2"/>
      </rPr>
      <t xml:space="preserve">（收入拆分 </t>
    </r>
    <r>
      <rPr>
        <sz val="11"/>
        <color theme="1"/>
        <rFont val="Calibri"/>
        <family val="2"/>
        <charset val="1"/>
      </rPr>
      <t xml:space="preserve">2023–2025</t>
    </r>
    <r>
      <rPr>
        <sz val="11"/>
        <color theme="1"/>
        <rFont val="Noto Sans CJK SC"/>
        <family val="2"/>
      </rPr>
      <t xml:space="preserve">、分部稅前利益）</t>
    </r>
  </si>
  <si>
    <t xml:space="preserve">https://www.sec.gov/Archives/edgar/data/97210/000119312526059002/ter-20251231.htm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</si>
  <si>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3Q25 </t>
    </r>
    <r>
      <rPr>
        <sz val="11"/>
        <color theme="1"/>
        <rFont val="Noto Sans CJK SC"/>
        <family val="2"/>
      </rPr>
      <t xml:space="preserve">新聞稿與 </t>
    </r>
    <r>
      <rPr>
        <sz val="11"/>
        <color theme="1"/>
        <rFont val="Calibri"/>
        <family val="2"/>
        <charset val="1"/>
      </rPr>
      <t xml:space="preserve">10-Q</t>
    </r>
  </si>
  <si>
    <t xml:space="preserve">https://www.sec.gov/Archives/edgar/data/97210/000119312525258477/ter-20250928.htm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</si>
  <si>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1Q25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2Q25 </t>
    </r>
    <r>
      <rPr>
        <sz val="11"/>
        <color theme="1"/>
        <rFont val="Noto Sans CJK SC"/>
        <family val="2"/>
      </rPr>
      <t xml:space="preserve">新聞稿</t>
    </r>
  </si>
  <si>
    <t xml:space="preserve">https://www.sec.gov/Archives/edgar/data/97210/000095017025099876/ter-ex99_1.htm</t>
  </si>
  <si>
    <r>
      <rPr>
        <sz val="11"/>
        <color theme="1"/>
        <rFont val="Calibri"/>
        <family val="2"/>
        <charset val="1"/>
      </rPr>
      <t xml:space="preserve">SEC XBRL company facts</t>
    </r>
    <r>
      <rPr>
        <sz val="11"/>
        <color theme="1"/>
        <rFont val="Noto Sans CJK SC"/>
        <family val="2"/>
      </rPr>
      <t xml:space="preserve">（年度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、淨利、營收、股東權益）</t>
    </r>
  </si>
  <si>
    <t xml:space="preserve">https://data.sec.gov/api/xbrl/companyfacts/CIK0000097210.json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</si>
  <si>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財報日期公告（</t>
    </r>
    <r>
      <rPr>
        <sz val="11"/>
        <color theme="1"/>
        <rFont val="Calibri"/>
        <family val="2"/>
        <charset val="1"/>
      </rPr>
      <t xml:space="preserve">2026-10-27 </t>
    </r>
    <r>
      <rPr>
        <sz val="11"/>
        <color theme="1"/>
        <rFont val="Noto Sans CJK SC"/>
        <family val="2"/>
      </rPr>
      <t xml:space="preserve">盤後）</t>
    </r>
  </si>
  <si>
    <t xml:space="preserve">https://investingnews.com/teradyne-to-announce-third-quarter-2026-results/</t>
  </si>
  <si>
    <r>
      <rPr>
        <sz val="11"/>
        <color theme="1"/>
        <rFont val="Calibri"/>
        <family val="2"/>
        <charset val="1"/>
      </rPr>
      <t xml:space="preserve">earningswhispers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法說逐字稿（測試對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比、份額、上半年占比）</t>
    </r>
  </si>
  <si>
    <t xml:space="preserve">https://earningswhispers.com/transcript/TER/Q22026</t>
  </si>
  <si>
    <r>
      <rPr>
        <sz val="11"/>
        <color theme="1"/>
        <rFont val="Calibri"/>
        <family val="2"/>
        <charset val="1"/>
      </rPr>
      <t xml:space="preserve">gurufocus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SoC 843</t>
    </r>
    <r>
      <rPr>
        <sz val="11"/>
        <color theme="1"/>
        <rFont val="Noto Sans CJK SC"/>
        <family val="2"/>
      </rPr>
      <t xml:space="preserve">、記憶體 </t>
    </r>
    <r>
      <rPr>
        <sz val="11"/>
        <color theme="1"/>
        <rFont val="Calibri"/>
        <family val="2"/>
        <charset val="1"/>
      </rPr>
      <t xml:space="preserve">212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IST 67</t>
    </r>
    <r>
      <rPr>
        <sz val="11"/>
        <color theme="1"/>
        <rFont val="Noto Sans CJK SC"/>
        <family val="2"/>
      </rPr>
      <t xml:space="preserve">）</t>
    </r>
  </si>
  <si>
    <t xml:space="preserve">https://www.gurufocus.com/news/8987636/teradyne-inc-ter-q2-2026-earnings-call-highlights-record-revenue-and-robust-ai-demand-propel-growth</t>
  </si>
  <si>
    <r>
      <rPr>
        <sz val="11"/>
        <color theme="1"/>
        <rFont val="Calibri"/>
        <family val="2"/>
        <charset val="1"/>
      </rPr>
      <t xml:space="preserve">fintool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法說摘要（目標模型、</t>
    </r>
    <r>
      <rPr>
        <sz val="11"/>
        <color theme="1"/>
        <rFont val="Calibri"/>
        <family val="2"/>
        <charset val="1"/>
      </rPr>
      <t xml:space="preserve">VIP </t>
    </r>
    <r>
      <rPr>
        <sz val="11"/>
        <color theme="1"/>
        <rFont val="Noto Sans CJK SC"/>
        <family val="2"/>
      </rPr>
      <t xml:space="preserve">份額約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）</t>
    </r>
  </si>
  <si>
    <t xml:space="preserve">https://fintool.com/news/teradyne-q4-ai-demand-surge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</si>
  <si>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：統計（現價、遠期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、流通股）</t>
    </r>
  </si>
  <si>
    <t xml:space="preserve">https://stockanalysis.com/stocks/ter/statistics/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</si>
  <si>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：預測（共識目標價、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共識）</t>
    </r>
  </si>
  <si>
    <t xml:space="preserve">https://stockanalysis.com/stocks/ter/forecast/</t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</si>
  <si>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財報前瞻（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、共識目標價 </t>
    </r>
    <r>
      <rPr>
        <sz val="11"/>
        <color theme="1"/>
        <rFont val="Calibri"/>
        <family val="2"/>
        <charset val="1"/>
      </rPr>
      <t xml:space="preserve">396.80</t>
    </r>
    <r>
      <rPr>
        <sz val="11"/>
        <color theme="1"/>
        <rFont val="Noto Sans CJK SC"/>
        <family val="2"/>
      </rPr>
      <t xml:space="preserve">）</t>
    </r>
  </si>
  <si>
    <t xml:space="preserve">https://www.marketbeat.com/instant-alerts/upcoming-teradyne-ter-set-to-post-earnings-on-tuesday-2026-10-20/</t>
  </si>
  <si>
    <r>
      <rPr>
        <sz val="11"/>
        <color theme="1"/>
        <rFont val="Calibri"/>
        <family val="2"/>
        <charset val="1"/>
      </rPr>
      <t xml:space="preserve">equibles</t>
    </r>
    <r>
      <rPr>
        <sz val="11"/>
        <color theme="1"/>
        <rFont val="Noto Sans CJK SC"/>
        <family val="2"/>
      </rPr>
      <t xml:space="preserve">：現價（第二來源）</t>
    </r>
  </si>
  <si>
    <t xml:space="preserve">https://equibles.com/stocks/ter/price</t>
  </si>
  <si>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：年底收盤價（股利調整）</t>
    </r>
  </si>
  <si>
    <t xml:space="preserve">https://www.macrotrends.net/stocks/charts/TER/teradyne/stock-price-history</t>
  </si>
  <si>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：年度稀釋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（第二來源）</t>
    </r>
  </si>
  <si>
    <t xml:space="preserve">https://www.macrotrends.net/stocks/charts/TER/teradyne/eps-earnings-per-share-diluted</t>
  </si>
  <si>
    <r>
      <rPr>
        <sz val="11"/>
        <color theme="1"/>
        <rFont val="Calibri"/>
        <family val="2"/>
        <charset val="1"/>
      </rPr>
      <t xml:space="preserve">statmuse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2025-12-31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193.33</t>
    </r>
  </si>
  <si>
    <t xml:space="preserve">https://www.statmuse.com/money/ask/teradyne-stock-price-at-end-of-each-year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</si>
  <si>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：年底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（對照）</t>
    </r>
  </si>
  <si>
    <t xml:space="preserve">https://companiesmarketcap.com/teradyne/pe-ratio/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</si>
  <si>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：同業遠期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Cohu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FormFactor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KLA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同站）</t>
    </r>
  </si>
  <si>
    <t xml:space="preserve">https://stockanalysis.com/stocks/cohu/statistics/</t>
  </si>
  <si>
    <r>
      <rPr>
        <sz val="11"/>
        <color theme="1"/>
        <rFont val="Noto Sans CJK SC"/>
        <family val="2"/>
      </rPr>
      <t xml:space="preserve">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成品（唯讀）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</si>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</sst>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.0"/>
    <numFmt numFmtId="166" formatCode="0.0%"/>
    <numFmt numFmtId="167" formatCode="0%"/>
    <numFmt numFmtId="168" formatCode="#,##0.00"/>
    <numFmt numFmtId="169" formatCode="0.00"/>
    <numFmt numFmtId="170" formatCode="#,##0"/>
    <numFmt numFmtId="171" formatCode="0.0000"/>
    <numFmt numFmtId="172" formatCode="0.0"/>
    <numFmt numFmtId="173" formatCode="@"/>
    <numFmt numFmtId="174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7.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1" t="s">
        <v>3</v>
      </c>
    </row>
    <row r="7" customFormat="false" ht="17.15" hidden="false" customHeight="false" outlineLevel="0" collapsed="false">
      <c r="A7" s="3" t="s">
        <v>4</v>
      </c>
    </row>
    <row r="8" customFormat="false" ht="17.15" hidden="false" customHeight="false" outlineLevel="0" collapsed="false">
      <c r="A8" s="2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2"/>
    </row>
    <row r="12" customFormat="false" ht="17.15" hidden="false" customHeight="false" outlineLevel="0" collapsed="false">
      <c r="A12" s="2" t="s">
        <v>8</v>
      </c>
    </row>
    <row r="13" customFormat="false" ht="17.15" hidden="false" customHeight="false" outlineLevel="0" collapsed="false">
      <c r="A13" s="2" t="s">
        <v>9</v>
      </c>
    </row>
    <row r="14" customFormat="false" ht="17.15" hidden="false" customHeight="false" outlineLevel="0" collapsed="false">
      <c r="A14" s="2" t="s">
        <v>10</v>
      </c>
    </row>
    <row r="15" customFormat="false" ht="17.15" hidden="false" customHeight="false" outlineLevel="0" collapsed="false">
      <c r="A15" s="4" t="s">
        <v>11</v>
      </c>
    </row>
    <row r="16" customFormat="false" ht="17.15" hidden="false" customHeight="false" outlineLevel="0" collapsed="false">
      <c r="A16" s="4" t="s">
        <v>12</v>
      </c>
    </row>
    <row r="17" customFormat="false" ht="17.15" hidden="false" customHeight="false" outlineLevel="0" collapsed="false">
      <c r="A17" s="0" t="s">
        <v>13</v>
      </c>
    </row>
    <row r="18" customFormat="false" ht="15" hidden="false" customHeight="false" outlineLevel="0" collapsed="false">
      <c r="A18" s="1" t="str">
        <f aca="false">"投資建議："&amp;Val!B138&amp;"（依上檔空間固定規則）"</f>
        <v>投資建議：中立（依上檔空間固定規則）</v>
      </c>
    </row>
    <row r="19" customFormat="false" ht="17.15" hidden="false" customHeight="false" outlineLevel="0" collapsed="false">
      <c r="A19" s="0" t="str">
        <f aca="false">"重點觀察 1：目標價 US$"&amp;TEXT(Val!$B$126,"#,##0.00")&amp;"（DCF "&amp;TEXT(Val!$B$111,"#,##0.00")&amp;"、Comparable（相對倍數調整後）"&amp;TEXT(tp_comp_adj,"#,##0.00")&amp;"；DCF 權重 "&amp;TEXT(tp_w_dcf,"0%")&amp;"），比現價 "&amp;TEXT(px,"#,##0.00")&amp;"（2026-10-23）"&amp;IF(Val!$B$129&gt;=0,"高 "&amp;TEXT(Val!$B$129,"0.0%"),"低 "&amp;TEXT(-Val!$B$129,"0.0%"))&amp;"，級距 "&amp;Val!$B$137&amp;"、投資建議 "&amp;Val!$B$138&amp;"。相對倍數調整係數 "&amp;TEXT(rm_factor,"0.00")&amp;"（本公司 10 年前瞻倍數中位數 ÷ 同業的中位數，夾在 0.5–2.0；Val 第 0.5 節），調整前加權上檔空間 "&amp;TEXT((tp_w_dcf*Val!$B$111+(1-tp_w_dcf)*Val!$B$122)/px-1,"+0.0%;−0.0%")&amp;"；Comparable 單獨（市場主流同業法、未調整）為 "&amp;TEXT(Val!$B$130,"+0.0%;−0.0%")&amp;"。"&amp;"以下為 2026-10-29 相對倍數調整前撰寫的說明，其中數字為調整前：兩法分歧大：同業（Advantest、KLA、Cohu、FormFactor、應用材料）前瞻 P/E 中位數 28.2 倍 × 12 個月後前瞻 EPS 14.38 得 405，DCF 只有 219（比現價低 29.0%）；本模型前瞻 EPS 比共識 FY2027 EPS 11.30 高 27.3%（期間約早一年），共識目標"&amp;"價 446.47 隱含 39.5 倍。"</f>
        <v>重點觀察 1：目標價 US$354.25（DCF 218.29、Comparable（相對倍數調整後）490.22；DCF 權重 50%），比現價 308.85（2026-10-23）高 14.7%，級距 0%–25%、投資建議 中立。相對倍數調整係數 1.22（本公司 10 年前瞻倍數中位數 ÷ 同業的中位數，夾在 0.5–2.0；Val 第 0.5 節），調整前加權上檔空間 +0.5%；Comparable 單獨（市場主流同業法、未調整）為 +30.3%。以下為 2026-10-29 相對倍數調整前撰寫的說明，其中數字為調整前：兩法分歧大：同業（Advantest、KLA、Cohu、FormFactor、應用材料）前瞻 P/E 中位數 28.2 倍 × 12 個月後前瞻 EPS 14.38 得 405，DCF 只有 219（比現價低 29.0%）；本模型前瞻 EPS 比共識 FY2027 EPS 11.30 高 27.3%（期間約早一年），共識目標價 446.47 隱含 39.5 倍。</v>
      </c>
    </row>
    <row r="20" customFormat="false" ht="17.15" hidden="false" customHeight="false" outlineLevel="0" collapsed="false">
      <c r="A20" s="4" t="s">
        <v>14</v>
      </c>
    </row>
    <row r="21" customFormat="false" ht="17.15" hidden="false" customHeight="false" outlineLevel="0" collapsed="false">
      <c r="A21" s="4" t="s">
        <v>15</v>
      </c>
    </row>
    <row r="23" customFormat="false" ht="17.15" hidden="false" customHeight="false" outlineLevel="0" collapsed="false">
      <c r="A23" s="0" t="s">
        <v>16</v>
      </c>
    </row>
    <row r="25" customFormat="false" ht="17.15" hidden="false" customHeight="false" outlineLevel="0" collapsed="false">
      <c r="A25" s="0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18</v>
      </c>
    </row>
    <row r="2" customFormat="false" ht="17.15" hidden="false" customHeight="false" outlineLevel="0" collapsed="false">
      <c r="A2" s="4" t="s">
        <v>19</v>
      </c>
    </row>
    <row r="3" customFormat="false" ht="17.15" hidden="false" customHeight="false" outlineLevel="0" collapsed="false">
      <c r="A3" s="5" t="s">
        <v>20</v>
      </c>
      <c r="B3" s="5" t="s">
        <v>21</v>
      </c>
      <c r="C3" s="5" t="s">
        <v>22</v>
      </c>
      <c r="D3" s="5" t="s">
        <v>23</v>
      </c>
      <c r="E3" s="5" t="s">
        <v>24</v>
      </c>
      <c r="F3" s="5" t="s">
        <v>25</v>
      </c>
      <c r="G3" s="5" t="s">
        <v>26</v>
      </c>
      <c r="H3" s="5" t="s">
        <v>27</v>
      </c>
      <c r="I3" s="5" t="s">
        <v>28</v>
      </c>
    </row>
    <row r="4" customFormat="false" ht="17.15" hidden="false" customHeight="false" outlineLevel="0" collapsed="false">
      <c r="A4" s="6" t="s">
        <v>29</v>
      </c>
    </row>
    <row r="5" customFormat="false" ht="17.15" hidden="false" customHeight="false" outlineLevel="0" collapsed="false">
      <c r="A5" s="0" t="s">
        <v>30</v>
      </c>
      <c r="B5" s="0" t="s">
        <v>31</v>
      </c>
      <c r="C5" s="0" t="s">
        <v>32</v>
      </c>
      <c r="E5" s="7" t="n">
        <v>6.9</v>
      </c>
      <c r="G5" s="8" t="s">
        <v>33</v>
      </c>
      <c r="H5" s="8" t="s">
        <v>34</v>
      </c>
      <c r="I5" s="8" t="s">
        <v>35</v>
      </c>
    </row>
    <row r="6" customFormat="false" ht="17.15" hidden="false" customHeight="false" outlineLevel="0" collapsed="false">
      <c r="A6" s="0" t="s">
        <v>36</v>
      </c>
      <c r="B6" s="4" t="s">
        <v>37</v>
      </c>
      <c r="C6" s="0" t="s">
        <v>32</v>
      </c>
      <c r="E6" s="7" t="n">
        <v>2.1</v>
      </c>
      <c r="G6" s="8" t="s">
        <v>33</v>
      </c>
      <c r="H6" s="8" t="s">
        <v>38</v>
      </c>
      <c r="I6" s="4" t="s">
        <v>39</v>
      </c>
    </row>
    <row r="7" customFormat="false" ht="17.15" hidden="false" customHeight="false" outlineLevel="0" collapsed="false">
      <c r="A7" s="0" t="s">
        <v>40</v>
      </c>
      <c r="B7" s="0" t="s">
        <v>41</v>
      </c>
      <c r="C7" s="0" t="s">
        <v>32</v>
      </c>
      <c r="E7" s="7" t="n">
        <v>11</v>
      </c>
      <c r="G7" s="8" t="s">
        <v>42</v>
      </c>
      <c r="H7" s="8" t="s">
        <v>43</v>
      </c>
      <c r="I7" s="8" t="s">
        <v>44</v>
      </c>
    </row>
    <row r="8" customFormat="false" ht="17.15" hidden="false" customHeight="false" outlineLevel="0" collapsed="false">
      <c r="A8" s="0" t="s">
        <v>45</v>
      </c>
      <c r="B8" s="0" t="s">
        <v>46</v>
      </c>
      <c r="C8" s="0" t="s">
        <v>32</v>
      </c>
      <c r="E8" s="7" t="n">
        <v>15.4143580786026</v>
      </c>
      <c r="G8" s="8" t="s">
        <v>42</v>
      </c>
      <c r="H8" s="4" t="s">
        <v>39</v>
      </c>
      <c r="I8" s="4" t="s">
        <v>39</v>
      </c>
    </row>
    <row r="9" customFormat="false" ht="17.15" hidden="false" customHeight="false" outlineLevel="0" collapsed="false">
      <c r="A9" s="0" t="s">
        <v>47</v>
      </c>
      <c r="B9" s="0" t="s">
        <v>48</v>
      </c>
      <c r="C9" s="0" t="s">
        <v>32</v>
      </c>
      <c r="E9" s="7" t="n">
        <v>17.2991836614041</v>
      </c>
      <c r="G9" s="8" t="s">
        <v>42</v>
      </c>
      <c r="H9" s="4" t="s">
        <v>39</v>
      </c>
      <c r="I9" s="4" t="s">
        <v>39</v>
      </c>
    </row>
    <row r="10" customFormat="false" ht="17.15" hidden="false" customHeight="false" outlineLevel="0" collapsed="false">
      <c r="A10" s="0" t="s">
        <v>49</v>
      </c>
      <c r="B10" s="0" t="s">
        <v>50</v>
      </c>
      <c r="C10" s="0" t="s">
        <v>32</v>
      </c>
      <c r="E10" s="7" t="n">
        <v>19.2361762010077</v>
      </c>
      <c r="G10" s="8" t="s">
        <v>42</v>
      </c>
      <c r="H10" s="4" t="s">
        <v>39</v>
      </c>
      <c r="I10" s="4" t="s">
        <v>39</v>
      </c>
    </row>
    <row r="11" customFormat="false" ht="17.15" hidden="false" customHeight="false" outlineLevel="0" collapsed="false">
      <c r="A11" s="0" t="s">
        <v>51</v>
      </c>
      <c r="B11" s="0" t="s">
        <v>52</v>
      </c>
      <c r="C11" s="0" t="s">
        <v>32</v>
      </c>
      <c r="E11" s="7" t="n">
        <v>11</v>
      </c>
      <c r="G11" s="8" t="s">
        <v>42</v>
      </c>
      <c r="H11" s="8" t="s">
        <v>53</v>
      </c>
      <c r="I11" s="4" t="s">
        <v>39</v>
      </c>
    </row>
    <row r="12" customFormat="false" ht="17.15" hidden="false" customHeight="false" outlineLevel="0" collapsed="false">
      <c r="A12" s="0" t="s">
        <v>54</v>
      </c>
      <c r="B12" s="0" t="s">
        <v>55</v>
      </c>
      <c r="C12" s="0" t="s">
        <v>32</v>
      </c>
      <c r="E12" s="7" t="n">
        <v>15.4143580786026</v>
      </c>
      <c r="G12" s="8" t="s">
        <v>42</v>
      </c>
      <c r="H12" s="4" t="s">
        <v>39</v>
      </c>
      <c r="I12" s="4" t="s">
        <v>39</v>
      </c>
    </row>
    <row r="13" customFormat="false" ht="17.15" hidden="false" customHeight="false" outlineLevel="0" collapsed="false">
      <c r="A13" s="0" t="s">
        <v>56</v>
      </c>
      <c r="B13" s="0" t="s">
        <v>57</v>
      </c>
      <c r="C13" s="0" t="s">
        <v>32</v>
      </c>
      <c r="E13" s="7" t="n">
        <v>14.7695229291233</v>
      </c>
      <c r="G13" s="8" t="s">
        <v>42</v>
      </c>
      <c r="H13" s="4" t="s">
        <v>39</v>
      </c>
      <c r="I13" s="4" t="s">
        <v>39</v>
      </c>
    </row>
    <row r="14" customFormat="false" ht="17.15" hidden="false" customHeight="false" outlineLevel="0" collapsed="false">
      <c r="A14" s="0" t="s">
        <v>58</v>
      </c>
      <c r="B14" s="0" t="s">
        <v>59</v>
      </c>
      <c r="C14" s="0" t="s">
        <v>32</v>
      </c>
      <c r="E14" s="7" t="n">
        <v>17.0762870508566</v>
      </c>
      <c r="G14" s="8" t="s">
        <v>42</v>
      </c>
      <c r="H14" s="4" t="s">
        <v>39</v>
      </c>
      <c r="I14" s="4" t="s">
        <v>39</v>
      </c>
    </row>
    <row r="15" customFormat="false" ht="17.15" hidden="false" customHeight="false" outlineLevel="0" collapsed="false">
      <c r="A15" s="0" t="s">
        <v>60</v>
      </c>
      <c r="B15" s="0" t="s">
        <v>61</v>
      </c>
      <c r="C15" s="0" t="s">
        <v>32</v>
      </c>
      <c r="E15" s="7" t="n">
        <v>11</v>
      </c>
      <c r="G15" s="8" t="s">
        <v>42</v>
      </c>
      <c r="H15" s="8" t="s">
        <v>62</v>
      </c>
      <c r="I15" s="4" t="s">
        <v>39</v>
      </c>
    </row>
    <row r="16" customFormat="false" ht="17.15" hidden="false" customHeight="false" outlineLevel="0" collapsed="false">
      <c r="A16" s="0" t="s">
        <v>63</v>
      </c>
      <c r="B16" s="0" t="s">
        <v>64</v>
      </c>
      <c r="C16" s="0" t="s">
        <v>32</v>
      </c>
      <c r="E16" s="7" t="n">
        <v>15.4143580786026</v>
      </c>
      <c r="G16" s="8" t="s">
        <v>42</v>
      </c>
      <c r="H16" s="4" t="s">
        <v>39</v>
      </c>
      <c r="I16" s="4" t="s">
        <v>39</v>
      </c>
    </row>
    <row r="17" customFormat="false" ht="17.15" hidden="false" customHeight="false" outlineLevel="0" collapsed="false">
      <c r="A17" s="0" t="s">
        <v>65</v>
      </c>
      <c r="B17" s="0" t="s">
        <v>66</v>
      </c>
      <c r="C17" s="0" t="s">
        <v>32</v>
      </c>
      <c r="E17" s="7" t="n">
        <v>12.2398621968425</v>
      </c>
      <c r="G17" s="8" t="s">
        <v>42</v>
      </c>
      <c r="H17" s="4" t="s">
        <v>39</v>
      </c>
      <c r="I17" s="4" t="s">
        <v>39</v>
      </c>
    </row>
    <row r="18" customFormat="false" ht="17.15" hidden="false" customHeight="false" outlineLevel="0" collapsed="false">
      <c r="A18" s="0" t="s">
        <v>67</v>
      </c>
      <c r="B18" s="0" t="s">
        <v>68</v>
      </c>
      <c r="C18" s="0" t="s">
        <v>32</v>
      </c>
      <c r="E18" s="7" t="n">
        <v>13.4764718006046</v>
      </c>
      <c r="G18" s="8" t="s">
        <v>42</v>
      </c>
      <c r="H18" s="4" t="s">
        <v>39</v>
      </c>
      <c r="I18" s="4" t="s">
        <v>39</v>
      </c>
    </row>
    <row r="19" customFormat="false" ht="17.15" hidden="false" customHeight="false" outlineLevel="0" collapsed="false">
      <c r="A19" s="0" t="s">
        <v>69</v>
      </c>
      <c r="B19" s="4" t="s">
        <v>70</v>
      </c>
      <c r="C19" s="0" t="s">
        <v>32</v>
      </c>
      <c r="E19" s="7" t="n">
        <v>2.75</v>
      </c>
      <c r="G19" s="8" t="s">
        <v>42</v>
      </c>
      <c r="H19" s="8" t="s">
        <v>71</v>
      </c>
      <c r="I19" s="8" t="s">
        <v>72</v>
      </c>
    </row>
    <row r="20" customFormat="false" ht="17.15" hidden="false" customHeight="false" outlineLevel="0" collapsed="false">
      <c r="A20" s="0" t="s">
        <v>73</v>
      </c>
      <c r="B20" s="4" t="s">
        <v>74</v>
      </c>
      <c r="C20" s="0" t="s">
        <v>32</v>
      </c>
      <c r="E20" s="7" t="n">
        <v>3.88007408374579</v>
      </c>
      <c r="G20" s="8" t="s">
        <v>42</v>
      </c>
      <c r="H20" s="4" t="s">
        <v>39</v>
      </c>
      <c r="I20" s="4" t="s">
        <v>39</v>
      </c>
    </row>
    <row r="21" customFormat="false" ht="17.15" hidden="false" customHeight="false" outlineLevel="0" collapsed="false">
      <c r="A21" s="0" t="s">
        <v>75</v>
      </c>
      <c r="B21" s="4" t="s">
        <v>76</v>
      </c>
      <c r="C21" s="0" t="s">
        <v>32</v>
      </c>
      <c r="E21" s="7" t="n">
        <v>5.04607694610671</v>
      </c>
      <c r="G21" s="8" t="s">
        <v>42</v>
      </c>
      <c r="H21" s="4" t="s">
        <v>39</v>
      </c>
      <c r="I21" s="4" t="s">
        <v>39</v>
      </c>
    </row>
    <row r="22" customFormat="false" ht="17.15" hidden="false" customHeight="false" outlineLevel="0" collapsed="false">
      <c r="A22" s="0" t="s">
        <v>77</v>
      </c>
      <c r="B22" s="4" t="s">
        <v>78</v>
      </c>
      <c r="C22" s="0" t="s">
        <v>32</v>
      </c>
      <c r="E22" s="7" t="n">
        <v>6.20223782078096</v>
      </c>
      <c r="G22" s="8" t="s">
        <v>42</v>
      </c>
      <c r="H22" s="4" t="s">
        <v>39</v>
      </c>
      <c r="I22" s="4" t="s">
        <v>39</v>
      </c>
    </row>
    <row r="23" customFormat="false" ht="17.15" hidden="false" customHeight="false" outlineLevel="0" collapsed="false">
      <c r="A23" s="0" t="s">
        <v>79</v>
      </c>
      <c r="B23" s="4" t="s">
        <v>80</v>
      </c>
      <c r="C23" s="0" t="s">
        <v>32</v>
      </c>
      <c r="E23" s="7" t="n">
        <v>2.75</v>
      </c>
      <c r="G23" s="8" t="s">
        <v>42</v>
      </c>
      <c r="H23" s="8" t="s">
        <v>81</v>
      </c>
      <c r="I23" s="4" t="s">
        <v>39</v>
      </c>
    </row>
    <row r="24" customFormat="false" ht="17.15" hidden="false" customHeight="false" outlineLevel="0" collapsed="false">
      <c r="A24" s="0" t="s">
        <v>82</v>
      </c>
      <c r="B24" s="4" t="s">
        <v>83</v>
      </c>
      <c r="C24" s="0" t="s">
        <v>32</v>
      </c>
      <c r="E24" s="7" t="n">
        <v>3.88007408374579</v>
      </c>
      <c r="G24" s="8" t="s">
        <v>42</v>
      </c>
      <c r="H24" s="4" t="s">
        <v>39</v>
      </c>
      <c r="I24" s="4" t="s">
        <v>39</v>
      </c>
    </row>
    <row r="25" customFormat="false" ht="17.15" hidden="false" customHeight="false" outlineLevel="0" collapsed="false">
      <c r="A25" s="0" t="s">
        <v>84</v>
      </c>
      <c r="B25" s="4" t="s">
        <v>85</v>
      </c>
      <c r="C25" s="0" t="s">
        <v>32</v>
      </c>
      <c r="E25" s="7" t="n">
        <v>4.73784910426688</v>
      </c>
      <c r="G25" s="8" t="s">
        <v>42</v>
      </c>
      <c r="H25" s="4" t="s">
        <v>39</v>
      </c>
      <c r="I25" s="4" t="s">
        <v>39</v>
      </c>
    </row>
    <row r="26" customFormat="false" ht="17.15" hidden="false" customHeight="false" outlineLevel="0" collapsed="false">
      <c r="A26" s="0" t="s">
        <v>86</v>
      </c>
      <c r="B26" s="4" t="s">
        <v>87</v>
      </c>
      <c r="C26" s="0" t="s">
        <v>32</v>
      </c>
      <c r="E26" s="7" t="n">
        <v>5.78997368915325</v>
      </c>
      <c r="G26" s="8" t="s">
        <v>42</v>
      </c>
      <c r="H26" s="4" t="s">
        <v>39</v>
      </c>
      <c r="I26" s="4" t="s">
        <v>39</v>
      </c>
    </row>
    <row r="27" customFormat="false" ht="17.15" hidden="false" customHeight="false" outlineLevel="0" collapsed="false">
      <c r="A27" s="0" t="s">
        <v>88</v>
      </c>
      <c r="B27" s="4" t="s">
        <v>89</v>
      </c>
      <c r="C27" s="0" t="s">
        <v>32</v>
      </c>
      <c r="E27" s="7" t="n">
        <v>2.75</v>
      </c>
      <c r="G27" s="8" t="s">
        <v>42</v>
      </c>
      <c r="H27" s="8" t="s">
        <v>90</v>
      </c>
      <c r="I27" s="4" t="s">
        <v>39</v>
      </c>
    </row>
    <row r="28" customFormat="false" ht="17.15" hidden="false" customHeight="false" outlineLevel="0" collapsed="false">
      <c r="A28" s="0" t="s">
        <v>91</v>
      </c>
      <c r="B28" s="4" t="s">
        <v>92</v>
      </c>
      <c r="C28" s="0" t="s">
        <v>32</v>
      </c>
      <c r="E28" s="7" t="n">
        <v>3.88007408374579</v>
      </c>
      <c r="G28" s="8" t="s">
        <v>42</v>
      </c>
      <c r="H28" s="4" t="s">
        <v>39</v>
      </c>
      <c r="I28" s="4" t="s">
        <v>39</v>
      </c>
    </row>
    <row r="29" customFormat="false" ht="17.15" hidden="false" customHeight="false" outlineLevel="0" collapsed="false">
      <c r="A29" s="0" t="s">
        <v>93</v>
      </c>
      <c r="B29" s="4" t="s">
        <v>94</v>
      </c>
      <c r="C29" s="0" t="s">
        <v>32</v>
      </c>
      <c r="E29" s="7" t="n">
        <v>3.64082803238745</v>
      </c>
      <c r="G29" s="8" t="s">
        <v>42</v>
      </c>
      <c r="H29" s="4" t="s">
        <v>39</v>
      </c>
      <c r="I29" s="4" t="s">
        <v>39</v>
      </c>
    </row>
    <row r="30" customFormat="false" ht="17.15" hidden="false" customHeight="false" outlineLevel="0" collapsed="false">
      <c r="A30" s="0" t="s">
        <v>95</v>
      </c>
      <c r="B30" s="4" t="s">
        <v>96</v>
      </c>
      <c r="C30" s="0" t="s">
        <v>32</v>
      </c>
      <c r="E30" s="7" t="n">
        <v>4.31335866200469</v>
      </c>
      <c r="G30" s="8" t="s">
        <v>42</v>
      </c>
      <c r="H30" s="4" t="s">
        <v>39</v>
      </c>
      <c r="I30" s="4" t="s">
        <v>39</v>
      </c>
    </row>
    <row r="31" customFormat="false" ht="17.15" hidden="false" customHeight="false" outlineLevel="0" collapsed="false">
      <c r="A31" s="0" t="s">
        <v>97</v>
      </c>
      <c r="B31" s="0" t="s">
        <v>98</v>
      </c>
      <c r="C31" s="0" t="s">
        <v>99</v>
      </c>
      <c r="E31" s="7" t="n">
        <v>0.66</v>
      </c>
      <c r="G31" s="8" t="s">
        <v>33</v>
      </c>
      <c r="H31" s="8" t="s">
        <v>100</v>
      </c>
      <c r="I31" s="8" t="s">
        <v>101</v>
      </c>
    </row>
    <row r="32" customFormat="false" ht="17.15" hidden="false" customHeight="false" outlineLevel="0" collapsed="false">
      <c r="A32" s="0" t="s">
        <v>102</v>
      </c>
      <c r="B32" s="0" t="s">
        <v>103</v>
      </c>
      <c r="C32" s="0" t="s">
        <v>99</v>
      </c>
      <c r="E32" s="7" t="n">
        <v>0.66</v>
      </c>
      <c r="G32" s="8" t="s">
        <v>33</v>
      </c>
      <c r="H32" s="4" t="s">
        <v>39</v>
      </c>
      <c r="I32" s="4" t="s">
        <v>39</v>
      </c>
    </row>
    <row r="33" customFormat="false" ht="17.15" hidden="false" customHeight="false" outlineLevel="0" collapsed="false">
      <c r="A33" s="0" t="s">
        <v>104</v>
      </c>
      <c r="B33" s="0" t="s">
        <v>105</v>
      </c>
      <c r="C33" s="0" t="s">
        <v>99</v>
      </c>
      <c r="E33" s="7" t="n">
        <v>0.66</v>
      </c>
      <c r="G33" s="8" t="s">
        <v>33</v>
      </c>
      <c r="H33" s="4" t="s">
        <v>39</v>
      </c>
      <c r="I33" s="4" t="s">
        <v>39</v>
      </c>
    </row>
    <row r="34" customFormat="false" ht="17.15" hidden="false" customHeight="false" outlineLevel="0" collapsed="false">
      <c r="A34" s="0" t="s">
        <v>106</v>
      </c>
      <c r="B34" s="0" t="s">
        <v>107</v>
      </c>
      <c r="C34" s="0" t="s">
        <v>99</v>
      </c>
      <c r="E34" s="7" t="n">
        <v>0.66</v>
      </c>
      <c r="G34" s="8" t="s">
        <v>33</v>
      </c>
      <c r="H34" s="4" t="s">
        <v>39</v>
      </c>
      <c r="I34" s="4" t="s">
        <v>39</v>
      </c>
    </row>
    <row r="35" customFormat="false" ht="17.15" hidden="false" customHeight="false" outlineLevel="0" collapsed="false">
      <c r="A35" s="0" t="s">
        <v>108</v>
      </c>
      <c r="B35" s="0" t="s">
        <v>109</v>
      </c>
      <c r="C35" s="0" t="s">
        <v>99</v>
      </c>
      <c r="E35" s="7" t="n">
        <v>0.66</v>
      </c>
      <c r="G35" s="8" t="s">
        <v>33</v>
      </c>
      <c r="H35" s="8" t="s">
        <v>110</v>
      </c>
      <c r="I35" s="4" t="s">
        <v>39</v>
      </c>
    </row>
    <row r="36" customFormat="false" ht="17.15" hidden="false" customHeight="false" outlineLevel="0" collapsed="false">
      <c r="A36" s="0" t="s">
        <v>111</v>
      </c>
      <c r="B36" s="0" t="s">
        <v>112</v>
      </c>
      <c r="C36" s="0" t="s">
        <v>99</v>
      </c>
      <c r="E36" s="7" t="n">
        <v>0.66</v>
      </c>
      <c r="G36" s="8" t="s">
        <v>33</v>
      </c>
      <c r="H36" s="4" t="s">
        <v>39</v>
      </c>
      <c r="I36" s="4" t="s">
        <v>39</v>
      </c>
    </row>
    <row r="37" customFormat="false" ht="17.15" hidden="false" customHeight="false" outlineLevel="0" collapsed="false">
      <c r="A37" s="0" t="s">
        <v>113</v>
      </c>
      <c r="B37" s="0" t="s">
        <v>114</v>
      </c>
      <c r="C37" s="0" t="s">
        <v>99</v>
      </c>
      <c r="E37" s="7" t="n">
        <v>0.66</v>
      </c>
      <c r="G37" s="8" t="s">
        <v>33</v>
      </c>
      <c r="H37" s="4" t="s">
        <v>39</v>
      </c>
      <c r="I37" s="4" t="s">
        <v>39</v>
      </c>
    </row>
    <row r="38" customFormat="false" ht="17.15" hidden="false" customHeight="false" outlineLevel="0" collapsed="false">
      <c r="A38" s="0" t="s">
        <v>115</v>
      </c>
      <c r="B38" s="0" t="s">
        <v>116</v>
      </c>
      <c r="C38" s="0" t="s">
        <v>99</v>
      </c>
      <c r="E38" s="7" t="n">
        <v>0.66</v>
      </c>
      <c r="G38" s="8" t="s">
        <v>33</v>
      </c>
      <c r="H38" s="4" t="s">
        <v>39</v>
      </c>
      <c r="I38" s="4" t="s">
        <v>39</v>
      </c>
    </row>
    <row r="39" customFormat="false" ht="17.15" hidden="false" customHeight="false" outlineLevel="0" collapsed="false">
      <c r="A39" s="0" t="s">
        <v>117</v>
      </c>
      <c r="B39" s="0" t="s">
        <v>118</v>
      </c>
      <c r="C39" s="0" t="s">
        <v>99</v>
      </c>
      <c r="E39" s="7" t="n">
        <v>0.66</v>
      </c>
      <c r="G39" s="8" t="s">
        <v>33</v>
      </c>
      <c r="H39" s="8" t="s">
        <v>119</v>
      </c>
      <c r="I39" s="4" t="s">
        <v>39</v>
      </c>
    </row>
    <row r="40" customFormat="false" ht="17.15" hidden="false" customHeight="false" outlineLevel="0" collapsed="false">
      <c r="A40" s="0" t="s">
        <v>120</v>
      </c>
      <c r="B40" s="0" t="s">
        <v>121</v>
      </c>
      <c r="C40" s="0" t="s">
        <v>99</v>
      </c>
      <c r="E40" s="7" t="n">
        <v>0.66</v>
      </c>
      <c r="G40" s="8" t="s">
        <v>33</v>
      </c>
      <c r="H40" s="4" t="s">
        <v>39</v>
      </c>
      <c r="I40" s="4" t="s">
        <v>39</v>
      </c>
    </row>
    <row r="41" customFormat="false" ht="17.15" hidden="false" customHeight="false" outlineLevel="0" collapsed="false">
      <c r="A41" s="0" t="s">
        <v>122</v>
      </c>
      <c r="B41" s="0" t="s">
        <v>123</v>
      </c>
      <c r="C41" s="0" t="s">
        <v>99</v>
      </c>
      <c r="E41" s="7" t="n">
        <v>0.61</v>
      </c>
      <c r="G41" s="8" t="s">
        <v>33</v>
      </c>
      <c r="H41" s="4" t="s">
        <v>39</v>
      </c>
      <c r="I41" s="4" t="s">
        <v>39</v>
      </c>
    </row>
    <row r="42" customFormat="false" ht="17.15" hidden="false" customHeight="false" outlineLevel="0" collapsed="false">
      <c r="A42" s="0" t="s">
        <v>124</v>
      </c>
      <c r="B42" s="0" t="s">
        <v>125</v>
      </c>
      <c r="C42" s="0" t="s">
        <v>99</v>
      </c>
      <c r="E42" s="7" t="n">
        <v>0.56</v>
      </c>
      <c r="G42" s="8" t="s">
        <v>33</v>
      </c>
      <c r="H42" s="4" t="s">
        <v>39</v>
      </c>
      <c r="I42" s="4" t="s">
        <v>39</v>
      </c>
    </row>
    <row r="43" customFormat="false" ht="17.15" hidden="false" customHeight="false" outlineLevel="0" collapsed="false">
      <c r="A43" s="0" t="s">
        <v>126</v>
      </c>
      <c r="B43" s="4" t="s">
        <v>127</v>
      </c>
      <c r="C43" s="0" t="s">
        <v>128</v>
      </c>
      <c r="E43" s="7" t="n">
        <v>1</v>
      </c>
      <c r="G43" s="8" t="s">
        <v>129</v>
      </c>
      <c r="H43" s="8" t="s">
        <v>130</v>
      </c>
      <c r="I43" s="8" t="s">
        <v>131</v>
      </c>
    </row>
    <row r="44" customFormat="false" ht="17.15" hidden="false" customHeight="false" outlineLevel="0" collapsed="false">
      <c r="A44" s="0" t="s">
        <v>132</v>
      </c>
      <c r="B44" s="4" t="s">
        <v>133</v>
      </c>
      <c r="C44" s="0" t="s">
        <v>128</v>
      </c>
      <c r="E44" s="7" t="n">
        <v>1</v>
      </c>
      <c r="G44" s="8" t="s">
        <v>129</v>
      </c>
      <c r="H44" s="8" t="s">
        <v>134</v>
      </c>
      <c r="I44" s="4" t="s">
        <v>39</v>
      </c>
    </row>
    <row r="45" customFormat="false" ht="17.15" hidden="false" customHeight="false" outlineLevel="0" collapsed="false">
      <c r="A45" s="0" t="s">
        <v>135</v>
      </c>
      <c r="B45" s="4" t="s">
        <v>136</v>
      </c>
      <c r="C45" s="0" t="s">
        <v>128</v>
      </c>
      <c r="E45" s="7" t="n">
        <v>0.8</v>
      </c>
      <c r="G45" s="8" t="s">
        <v>129</v>
      </c>
      <c r="H45" s="8" t="s">
        <v>137</v>
      </c>
      <c r="I45" s="8" t="s">
        <v>131</v>
      </c>
    </row>
    <row r="46" customFormat="false" ht="17.15" hidden="false" customHeight="false" outlineLevel="0" collapsed="false">
      <c r="A46" s="0" t="s">
        <v>138</v>
      </c>
      <c r="B46" s="4" t="s">
        <v>139</v>
      </c>
      <c r="C46" s="0" t="s">
        <v>128</v>
      </c>
      <c r="E46" s="7" t="n">
        <v>0.85</v>
      </c>
      <c r="G46" s="8" t="s">
        <v>129</v>
      </c>
      <c r="H46" s="8" t="s">
        <v>140</v>
      </c>
      <c r="I46" s="4" t="s">
        <v>39</v>
      </c>
    </row>
    <row r="47" customFormat="false" ht="17.15" hidden="false" customHeight="false" outlineLevel="0" collapsed="false">
      <c r="A47" s="0" t="s">
        <v>141</v>
      </c>
      <c r="B47" s="4" t="s">
        <v>142</v>
      </c>
      <c r="C47" s="0" t="s">
        <v>128</v>
      </c>
      <c r="E47" s="7" t="n">
        <v>0.6</v>
      </c>
      <c r="G47" s="8" t="s">
        <v>129</v>
      </c>
      <c r="H47" s="8" t="s">
        <v>143</v>
      </c>
      <c r="I47" s="8" t="s">
        <v>131</v>
      </c>
    </row>
    <row r="48" customFormat="false" ht="17.15" hidden="false" customHeight="false" outlineLevel="0" collapsed="false">
      <c r="A48" s="0" t="s">
        <v>144</v>
      </c>
      <c r="B48" s="4" t="s">
        <v>145</v>
      </c>
      <c r="C48" s="0" t="s">
        <v>128</v>
      </c>
      <c r="E48" s="7" t="n">
        <v>0.6</v>
      </c>
      <c r="G48" s="8" t="s">
        <v>129</v>
      </c>
      <c r="H48" s="8" t="s">
        <v>146</v>
      </c>
      <c r="I48" s="4" t="s">
        <v>39</v>
      </c>
    </row>
    <row r="49" customFormat="false" ht="17.15" hidden="false" customHeight="false" outlineLevel="0" collapsed="false">
      <c r="A49" s="0" t="s">
        <v>147</v>
      </c>
      <c r="B49" s="4" t="s">
        <v>148</v>
      </c>
      <c r="C49" s="0" t="s">
        <v>32</v>
      </c>
      <c r="E49" s="7" t="n">
        <v>116.896831844029</v>
      </c>
      <c r="G49" s="8" t="s">
        <v>42</v>
      </c>
      <c r="H49" s="8" t="s">
        <v>149</v>
      </c>
      <c r="I49" s="8" t="s">
        <v>150</v>
      </c>
    </row>
    <row r="50" customFormat="false" ht="17.15" hidden="false" customHeight="false" outlineLevel="0" collapsed="false">
      <c r="A50" s="0" t="s">
        <v>151</v>
      </c>
      <c r="B50" s="4" t="s">
        <v>152</v>
      </c>
      <c r="C50" s="0" t="s">
        <v>32</v>
      </c>
      <c r="E50" s="7" t="n">
        <v>160.0450143593</v>
      </c>
      <c r="G50" s="8" t="s">
        <v>42</v>
      </c>
      <c r="H50" s="4" t="s">
        <v>39</v>
      </c>
      <c r="I50" s="4" t="s">
        <v>39</v>
      </c>
    </row>
    <row r="51" customFormat="false" ht="17.15" hidden="false" customHeight="false" outlineLevel="0" collapsed="false">
      <c r="A51" s="0" t="s">
        <v>153</v>
      </c>
      <c r="B51" s="4" t="s">
        <v>154</v>
      </c>
      <c r="C51" s="0" t="s">
        <v>32</v>
      </c>
      <c r="E51" s="7" t="n">
        <v>192.795469377561</v>
      </c>
      <c r="G51" s="8" t="s">
        <v>42</v>
      </c>
      <c r="H51" s="4" t="s">
        <v>39</v>
      </c>
      <c r="I51" s="4" t="s">
        <v>39</v>
      </c>
    </row>
    <row r="52" customFormat="false" ht="17.15" hidden="false" customHeight="false" outlineLevel="0" collapsed="false">
      <c r="A52" s="0" t="s">
        <v>155</v>
      </c>
      <c r="B52" s="4" t="s">
        <v>156</v>
      </c>
      <c r="C52" s="0" t="s">
        <v>32</v>
      </c>
      <c r="E52" s="7" t="n">
        <v>216.628626308958</v>
      </c>
      <c r="G52" s="8" t="s">
        <v>42</v>
      </c>
      <c r="H52" s="4" t="s">
        <v>39</v>
      </c>
      <c r="I52" s="4" t="s">
        <v>39</v>
      </c>
    </row>
    <row r="53" customFormat="false" ht="17.15" hidden="false" customHeight="false" outlineLevel="0" collapsed="false">
      <c r="A53" s="0" t="s">
        <v>157</v>
      </c>
      <c r="B53" s="4" t="s">
        <v>158</v>
      </c>
      <c r="C53" s="0" t="s">
        <v>32</v>
      </c>
      <c r="E53" s="7" t="n">
        <v>228.903685855226</v>
      </c>
      <c r="G53" s="8" t="s">
        <v>42</v>
      </c>
      <c r="H53" s="4" t="s">
        <v>39</v>
      </c>
      <c r="I53" s="4" t="s">
        <v>39</v>
      </c>
    </row>
    <row r="54" customFormat="false" ht="17.15" hidden="false" customHeight="false" outlineLevel="0" collapsed="false">
      <c r="A54" s="0" t="s">
        <v>159</v>
      </c>
      <c r="B54" s="4" t="s">
        <v>160</v>
      </c>
      <c r="C54" s="0" t="s">
        <v>32</v>
      </c>
      <c r="E54" s="7" t="n">
        <v>116.896831844029</v>
      </c>
      <c r="G54" s="8" t="s">
        <v>42</v>
      </c>
      <c r="H54" s="8" t="s">
        <v>161</v>
      </c>
      <c r="I54" s="4" t="s">
        <v>39</v>
      </c>
    </row>
    <row r="55" customFormat="false" ht="17.15" hidden="false" customHeight="false" outlineLevel="0" collapsed="false">
      <c r="A55" s="0" t="s">
        <v>162</v>
      </c>
      <c r="B55" s="4" t="s">
        <v>163</v>
      </c>
      <c r="C55" s="0" t="s">
        <v>32</v>
      </c>
      <c r="E55" s="7" t="n">
        <v>160.0450143593</v>
      </c>
      <c r="G55" s="8" t="s">
        <v>42</v>
      </c>
      <c r="H55" s="4" t="s">
        <v>39</v>
      </c>
      <c r="I55" s="4" t="s">
        <v>39</v>
      </c>
    </row>
    <row r="56" customFormat="false" ht="17.15" hidden="false" customHeight="false" outlineLevel="0" collapsed="false">
      <c r="A56" s="0" t="s">
        <v>164</v>
      </c>
      <c r="B56" s="4" t="s">
        <v>165</v>
      </c>
      <c r="C56" s="0" t="s">
        <v>32</v>
      </c>
      <c r="E56" s="7" t="n">
        <v>192.795469377561</v>
      </c>
      <c r="G56" s="8" t="s">
        <v>42</v>
      </c>
      <c r="H56" s="4" t="s">
        <v>39</v>
      </c>
      <c r="I56" s="4" t="s">
        <v>39</v>
      </c>
    </row>
    <row r="57" customFormat="false" ht="17.15" hidden="false" customHeight="false" outlineLevel="0" collapsed="false">
      <c r="A57" s="0" t="s">
        <v>166</v>
      </c>
      <c r="B57" s="4" t="s">
        <v>167</v>
      </c>
      <c r="C57" s="0" t="s">
        <v>32</v>
      </c>
      <c r="E57" s="7" t="n">
        <v>192.795469377561</v>
      </c>
      <c r="G57" s="8" t="s">
        <v>42</v>
      </c>
      <c r="H57" s="4" t="s">
        <v>39</v>
      </c>
      <c r="I57" s="4" t="s">
        <v>39</v>
      </c>
    </row>
    <row r="58" customFormat="false" ht="17.15" hidden="false" customHeight="false" outlineLevel="0" collapsed="false">
      <c r="A58" s="0" t="s">
        <v>168</v>
      </c>
      <c r="B58" s="4" t="s">
        <v>169</v>
      </c>
      <c r="C58" s="0" t="s">
        <v>32</v>
      </c>
      <c r="E58" s="7" t="n">
        <v>183.155695908683</v>
      </c>
      <c r="G58" s="8" t="s">
        <v>42</v>
      </c>
      <c r="H58" s="4" t="s">
        <v>39</v>
      </c>
      <c r="I58" s="4" t="s">
        <v>39</v>
      </c>
    </row>
    <row r="59" customFormat="false" ht="17.15" hidden="false" customHeight="false" outlineLevel="0" collapsed="false">
      <c r="A59" s="0" t="s">
        <v>170</v>
      </c>
      <c r="B59" s="4" t="s">
        <v>171</v>
      </c>
      <c r="C59" s="0" t="s">
        <v>32</v>
      </c>
      <c r="E59" s="7" t="n">
        <v>116.896831844029</v>
      </c>
      <c r="G59" s="8" t="s">
        <v>42</v>
      </c>
      <c r="H59" s="8" t="s">
        <v>172</v>
      </c>
      <c r="I59" s="4" t="s">
        <v>39</v>
      </c>
    </row>
    <row r="60" customFormat="false" ht="17.15" hidden="false" customHeight="false" outlineLevel="0" collapsed="false">
      <c r="A60" s="0" t="s">
        <v>173</v>
      </c>
      <c r="B60" s="4" t="s">
        <v>174</v>
      </c>
      <c r="C60" s="0" t="s">
        <v>32</v>
      </c>
      <c r="E60" s="7" t="n">
        <v>160.0450143593</v>
      </c>
      <c r="G60" s="8" t="s">
        <v>42</v>
      </c>
      <c r="H60" s="4" t="s">
        <v>39</v>
      </c>
      <c r="I60" s="4" t="s">
        <v>39</v>
      </c>
    </row>
    <row r="61" customFormat="false" ht="17.15" hidden="false" customHeight="false" outlineLevel="0" collapsed="false">
      <c r="A61" s="0" t="s">
        <v>175</v>
      </c>
      <c r="B61" s="4" t="s">
        <v>176</v>
      </c>
      <c r="C61" s="0" t="s">
        <v>32</v>
      </c>
      <c r="E61" s="7" t="n">
        <v>192.795469377561</v>
      </c>
      <c r="G61" s="8" t="s">
        <v>42</v>
      </c>
      <c r="H61" s="4" t="s">
        <v>39</v>
      </c>
      <c r="I61" s="4" t="s">
        <v>39</v>
      </c>
    </row>
    <row r="62" customFormat="false" ht="17.15" hidden="false" customHeight="false" outlineLevel="0" collapsed="false">
      <c r="A62" s="0" t="s">
        <v>177</v>
      </c>
      <c r="B62" s="4" t="s">
        <v>178</v>
      </c>
      <c r="C62" s="0" t="s">
        <v>32</v>
      </c>
      <c r="E62" s="7" t="n">
        <v>154.236375502049</v>
      </c>
      <c r="G62" s="8" t="s">
        <v>42</v>
      </c>
      <c r="H62" s="4" t="s">
        <v>39</v>
      </c>
      <c r="I62" s="4" t="s">
        <v>39</v>
      </c>
    </row>
    <row r="63" customFormat="false" ht="17.15" hidden="false" customHeight="false" outlineLevel="0" collapsed="false">
      <c r="A63" s="0" t="s">
        <v>179</v>
      </c>
      <c r="B63" s="4" t="s">
        <v>180</v>
      </c>
      <c r="C63" s="0" t="s">
        <v>32</v>
      </c>
      <c r="E63" s="7" t="n">
        <v>154.236375502049</v>
      </c>
      <c r="G63" s="8" t="s">
        <v>42</v>
      </c>
      <c r="H63" s="4" t="s">
        <v>39</v>
      </c>
      <c r="I63" s="4" t="s">
        <v>39</v>
      </c>
    </row>
    <row r="64" customFormat="false" ht="17.15" hidden="false" customHeight="false" outlineLevel="0" collapsed="false">
      <c r="A64" s="6" t="s">
        <v>181</v>
      </c>
    </row>
    <row r="65" customFormat="false" ht="17.15" hidden="false" customHeight="false" outlineLevel="0" collapsed="false">
      <c r="A65" s="0" t="s">
        <v>182</v>
      </c>
      <c r="B65" s="4" t="s">
        <v>183</v>
      </c>
      <c r="C65" s="0" t="s">
        <v>99</v>
      </c>
      <c r="D65" s="0" t="n">
        <f aca="false">s_soc-0.05</f>
        <v>0.245392727272727</v>
      </c>
      <c r="E65" s="0" t="n">
        <f aca="false">f26_soc/(ms_A_2026*1000)</f>
        <v>0.295392727272727</v>
      </c>
      <c r="F65" s="0" t="n">
        <f aca="false">s_soc+0.05</f>
        <v>0.345392727272727</v>
      </c>
      <c r="G65" s="0" t="s">
        <v>42</v>
      </c>
      <c r="H65" s="0" t="s">
        <v>184</v>
      </c>
      <c r="I65" s="4" t="s">
        <v>185</v>
      </c>
    </row>
    <row r="66" customFormat="false" ht="17.15" hidden="false" customHeight="false" outlineLevel="0" collapsed="false">
      <c r="A66" s="0" t="s">
        <v>186</v>
      </c>
      <c r="B66" s="4" t="s">
        <v>187</v>
      </c>
      <c r="C66" s="0" t="s">
        <v>99</v>
      </c>
      <c r="D66" s="0" t="n">
        <f aca="false">s_mem-0.05</f>
        <v>0.266756363636364</v>
      </c>
      <c r="E66" s="0" t="n">
        <f aca="false">f26_mem/(mm_A_2026*1000)</f>
        <v>0.316756363636364</v>
      </c>
      <c r="F66" s="0" t="n">
        <f aca="false">s_mem+0.05</f>
        <v>0.366756363636364</v>
      </c>
      <c r="G66" s="0" t="s">
        <v>42</v>
      </c>
      <c r="H66" s="0" t="s">
        <v>188</v>
      </c>
      <c r="I66" s="0" t="s">
        <v>189</v>
      </c>
    </row>
    <row r="67" customFormat="false" ht="17.15" hidden="false" customHeight="false" outlineLevel="0" collapsed="false">
      <c r="A67" s="0" t="s">
        <v>190</v>
      </c>
      <c r="B67" s="0" t="s">
        <v>191</v>
      </c>
      <c r="C67" s="0" t="s">
        <v>99</v>
      </c>
      <c r="E67" s="0" t="n">
        <f aca="false">as_A_2026</f>
        <v>0.66</v>
      </c>
      <c r="G67" s="0" t="s">
        <v>42</v>
      </c>
      <c r="H67" s="0" t="s">
        <v>192</v>
      </c>
      <c r="I67" s="0" t="s">
        <v>193</v>
      </c>
    </row>
    <row r="68" customFormat="false" ht="17.15" hidden="false" customHeight="false" outlineLevel="0" collapsed="false">
      <c r="A68" s="6" t="s">
        <v>194</v>
      </c>
    </row>
    <row r="69" customFormat="false" ht="17.15" hidden="false" customHeight="false" outlineLevel="0" collapsed="false">
      <c r="A69" s="0" t="s">
        <v>195</v>
      </c>
      <c r="B69" s="0" t="s">
        <v>196</v>
      </c>
      <c r="C69" s="0" t="s">
        <v>197</v>
      </c>
      <c r="D69" s="7" t="n">
        <v>1200</v>
      </c>
      <c r="E69" s="7" t="n">
        <v>1250</v>
      </c>
      <c r="F69" s="7" t="n">
        <v>1300</v>
      </c>
      <c r="G69" s="8" t="s">
        <v>33</v>
      </c>
      <c r="H69" s="4" t="s">
        <v>198</v>
      </c>
      <c r="I69" s="8" t="s">
        <v>199</v>
      </c>
    </row>
    <row r="70" customFormat="false" ht="17.15" hidden="false" customHeight="false" outlineLevel="0" collapsed="false">
      <c r="A70" s="0" t="s">
        <v>200</v>
      </c>
      <c r="B70" s="0" t="s">
        <v>201</v>
      </c>
      <c r="C70" s="0" t="s">
        <v>202</v>
      </c>
      <c r="D70" s="7" t="n">
        <v>1.79</v>
      </c>
      <c r="E70" s="7" t="n">
        <v>1.94</v>
      </c>
      <c r="F70" s="7" t="n">
        <v>2.09</v>
      </c>
      <c r="G70" s="8" t="s">
        <v>33</v>
      </c>
      <c r="H70" s="4" t="s">
        <v>203</v>
      </c>
      <c r="I70" s="8" t="s">
        <v>204</v>
      </c>
    </row>
    <row r="71" customFormat="false" ht="17.15" hidden="false" customHeight="false" outlineLevel="0" collapsed="false">
      <c r="A71" s="0" t="s">
        <v>205</v>
      </c>
      <c r="B71" s="0" t="s">
        <v>206</v>
      </c>
      <c r="C71" s="0" t="s">
        <v>128</v>
      </c>
      <c r="D71" s="7" t="n">
        <v>0.95</v>
      </c>
      <c r="E71" s="7" t="n">
        <v>1</v>
      </c>
      <c r="F71" s="7" t="n">
        <v>1.1</v>
      </c>
      <c r="G71" s="8" t="s">
        <v>129</v>
      </c>
      <c r="H71" s="4" t="s">
        <v>207</v>
      </c>
      <c r="I71" s="4" t="s">
        <v>208</v>
      </c>
    </row>
    <row r="72" customFormat="false" ht="17.15" hidden="false" customHeight="false" outlineLevel="0" collapsed="false">
      <c r="A72" s="0" t="s">
        <v>209</v>
      </c>
      <c r="B72" s="4" t="s">
        <v>210</v>
      </c>
      <c r="C72" s="0" t="s">
        <v>99</v>
      </c>
      <c r="D72" s="7" t="n">
        <v>0</v>
      </c>
      <c r="E72" s="7" t="n">
        <v>0.1</v>
      </c>
      <c r="F72" s="7" t="n">
        <v>0.2</v>
      </c>
      <c r="G72" s="8" t="s">
        <v>129</v>
      </c>
      <c r="H72" s="4" t="s">
        <v>211</v>
      </c>
      <c r="I72" s="8" t="s">
        <v>212</v>
      </c>
    </row>
    <row r="73" customFormat="false" ht="17.15" hidden="false" customHeight="false" outlineLevel="0" collapsed="false">
      <c r="A73" s="0" t="s">
        <v>213</v>
      </c>
      <c r="B73" s="4" t="s">
        <v>214</v>
      </c>
      <c r="C73" s="0" t="s">
        <v>197</v>
      </c>
      <c r="D73" s="7" t="n">
        <v>-10</v>
      </c>
      <c r="E73" s="7" t="n">
        <v>0</v>
      </c>
      <c r="F73" s="7" t="n">
        <v>10</v>
      </c>
      <c r="G73" s="8" t="s">
        <v>129</v>
      </c>
      <c r="H73" s="4" t="s">
        <v>215</v>
      </c>
      <c r="I73" s="8" t="s">
        <v>216</v>
      </c>
    </row>
    <row r="74" customFormat="false" ht="17.15" hidden="false" customHeight="false" outlineLevel="0" collapsed="false">
      <c r="A74" s="6" t="s">
        <v>217</v>
      </c>
    </row>
    <row r="75" customFormat="false" ht="17.15" hidden="false" customHeight="false" outlineLevel="0" collapsed="false">
      <c r="A75" s="0" t="s">
        <v>218</v>
      </c>
      <c r="B75" s="0" t="s">
        <v>219</v>
      </c>
      <c r="C75" s="0" t="s">
        <v>99</v>
      </c>
      <c r="D75" s="7" t="n">
        <v>0.04</v>
      </c>
      <c r="E75" s="7" t="n">
        <v>0.08</v>
      </c>
      <c r="F75" s="7" t="n">
        <v>0.12</v>
      </c>
      <c r="G75" s="8" t="s">
        <v>129</v>
      </c>
      <c r="H75" s="8" t="s">
        <v>220</v>
      </c>
      <c r="I75" s="8" t="s">
        <v>216</v>
      </c>
    </row>
    <row r="76" customFormat="false" ht="17.15" hidden="false" customHeight="false" outlineLevel="0" collapsed="false">
      <c r="A76" s="0" t="s">
        <v>221</v>
      </c>
      <c r="B76" s="0" t="s">
        <v>222</v>
      </c>
      <c r="C76" s="0" t="s">
        <v>99</v>
      </c>
      <c r="D76" s="7" t="n">
        <v>0.01</v>
      </c>
      <c r="E76" s="7" t="n">
        <v>0.05</v>
      </c>
      <c r="F76" s="7" t="n">
        <v>0.09</v>
      </c>
      <c r="G76" s="8" t="s">
        <v>129</v>
      </c>
      <c r="H76" s="8" t="s">
        <v>220</v>
      </c>
      <c r="I76" s="8" t="s">
        <v>216</v>
      </c>
    </row>
    <row r="77" customFormat="false" ht="17.15" hidden="false" customHeight="false" outlineLevel="0" collapsed="false">
      <c r="A77" s="0" t="s">
        <v>223</v>
      </c>
      <c r="B77" s="0" t="s">
        <v>224</v>
      </c>
      <c r="C77" s="0" t="s">
        <v>99</v>
      </c>
      <c r="D77" s="7" t="n">
        <v>-0.02</v>
      </c>
      <c r="E77" s="7" t="n">
        <v>0.02</v>
      </c>
      <c r="F77" s="7" t="n">
        <v>0.06</v>
      </c>
      <c r="G77" s="8" t="s">
        <v>129</v>
      </c>
      <c r="H77" s="8" t="s">
        <v>220</v>
      </c>
      <c r="I77" s="8" t="s">
        <v>216</v>
      </c>
    </row>
    <row r="78" customFormat="false" ht="17.15" hidden="false" customHeight="false" outlineLevel="0" collapsed="false">
      <c r="A78" s="0" t="s">
        <v>225</v>
      </c>
      <c r="B78" s="4" t="s">
        <v>226</v>
      </c>
      <c r="C78" s="0" t="s">
        <v>99</v>
      </c>
      <c r="D78" s="7" t="n">
        <v>0</v>
      </c>
      <c r="E78" s="7" t="n">
        <v>0.1</v>
      </c>
      <c r="F78" s="7" t="n">
        <v>0.2</v>
      </c>
      <c r="G78" s="8" t="s">
        <v>129</v>
      </c>
      <c r="H78" s="4" t="s">
        <v>227</v>
      </c>
      <c r="I78" s="4" t="s">
        <v>228</v>
      </c>
    </row>
    <row r="79" customFormat="false" ht="17.15" hidden="false" customHeight="false" outlineLevel="0" collapsed="false">
      <c r="A79" s="0" t="s">
        <v>229</v>
      </c>
      <c r="B79" s="4" t="s">
        <v>230</v>
      </c>
      <c r="C79" s="0" t="s">
        <v>99</v>
      </c>
      <c r="D79" s="7" t="n">
        <v>-0.05</v>
      </c>
      <c r="E79" s="7" t="n">
        <v>0.02</v>
      </c>
      <c r="F79" s="7" t="n">
        <v>0.07</v>
      </c>
      <c r="G79" s="8" t="s">
        <v>129</v>
      </c>
      <c r="H79" s="8" t="s">
        <v>231</v>
      </c>
      <c r="I79" s="4" t="s">
        <v>232</v>
      </c>
    </row>
    <row r="80" customFormat="false" ht="17.15" hidden="false" customHeight="false" outlineLevel="0" collapsed="false">
      <c r="A80" s="0" t="s">
        <v>233</v>
      </c>
      <c r="B80" s="4" t="s">
        <v>234</v>
      </c>
      <c r="C80" s="0" t="s">
        <v>99</v>
      </c>
      <c r="D80" s="7" t="n">
        <v>-0.03</v>
      </c>
      <c r="E80" s="7" t="n">
        <v>0.04</v>
      </c>
      <c r="F80" s="7" t="n">
        <v>0.09</v>
      </c>
      <c r="G80" s="8" t="s">
        <v>129</v>
      </c>
      <c r="H80" s="8" t="s">
        <v>231</v>
      </c>
      <c r="I80" s="4" t="s">
        <v>232</v>
      </c>
    </row>
    <row r="81" customFormat="false" ht="17.15" hidden="false" customHeight="false" outlineLevel="0" collapsed="false">
      <c r="A81" s="0" t="s">
        <v>235</v>
      </c>
      <c r="B81" s="4" t="s">
        <v>236</v>
      </c>
      <c r="C81" s="0" t="s">
        <v>99</v>
      </c>
      <c r="D81" s="7" t="n">
        <v>-0.02</v>
      </c>
      <c r="E81" s="7" t="n">
        <v>0.05</v>
      </c>
      <c r="F81" s="7" t="n">
        <v>0.1</v>
      </c>
      <c r="G81" s="8" t="s">
        <v>129</v>
      </c>
      <c r="H81" s="8" t="s">
        <v>231</v>
      </c>
      <c r="I81" s="4" t="s">
        <v>232</v>
      </c>
    </row>
    <row r="82" customFormat="false" ht="17.15" hidden="false" customHeight="false" outlineLevel="0" collapsed="false">
      <c r="A82" s="6" t="s">
        <v>237</v>
      </c>
    </row>
    <row r="83" customFormat="false" ht="17.15" hidden="false" customHeight="false" outlineLevel="0" collapsed="false">
      <c r="A83" s="0" t="s">
        <v>238</v>
      </c>
      <c r="B83" s="4" t="s">
        <v>239</v>
      </c>
      <c r="C83" s="0" t="s">
        <v>99</v>
      </c>
      <c r="D83" s="7" t="n">
        <v>0.4</v>
      </c>
      <c r="E83" s="8" t="n">
        <f aca="false">(f26_ttest-a25_ttest)/(f26_rtest-a25_rtest)</f>
        <v>0.482656232385281</v>
      </c>
      <c r="F83" s="7" t="n">
        <v>0.56</v>
      </c>
      <c r="G83" s="8" t="s">
        <v>42</v>
      </c>
      <c r="H83" s="4" t="s">
        <v>240</v>
      </c>
      <c r="I83" s="4" t="s">
        <v>241</v>
      </c>
    </row>
    <row r="84" customFormat="false" ht="17.15" hidden="false" customHeight="false" outlineLevel="0" collapsed="false">
      <c r="A84" s="0" t="s">
        <v>242</v>
      </c>
      <c r="B84" s="4" t="s">
        <v>243</v>
      </c>
      <c r="C84" s="0" t="s">
        <v>197</v>
      </c>
      <c r="D84" s="0" t="n">
        <f aca="false">t_inc_lo*f26_rtest-f26_ttest</f>
        <v>240.201263454639</v>
      </c>
      <c r="E84" s="0" t="n">
        <f aca="false">t_inc*f26_rtest-f26_ttest</f>
        <v>629.518730487902</v>
      </c>
      <c r="F84" s="0" t="n">
        <f aca="false">t_inc_hi*f26_rtest-f26_ttest</f>
        <v>993.814063454639</v>
      </c>
      <c r="G84" s="0" t="s">
        <v>42</v>
      </c>
      <c r="H84" s="4" t="s">
        <v>39</v>
      </c>
      <c r="I84" s="4" t="s">
        <v>244</v>
      </c>
    </row>
    <row r="85" customFormat="false" ht="17.15" hidden="false" customHeight="false" outlineLevel="0" collapsed="false">
      <c r="A85" s="0" t="s">
        <v>245</v>
      </c>
      <c r="B85" s="4" t="s">
        <v>246</v>
      </c>
      <c r="C85" s="0" t="s">
        <v>197</v>
      </c>
      <c r="E85" s="9" t="n">
        <f aca="false">f26_corp</f>
        <v>-10.4</v>
      </c>
      <c r="G85" s="8" t="s">
        <v>42</v>
      </c>
      <c r="H85" s="8" t="s">
        <v>247</v>
      </c>
      <c r="I85" s="8" t="s">
        <v>248</v>
      </c>
    </row>
    <row r="86" customFormat="false" ht="17.15" hidden="false" customHeight="false" outlineLevel="0" collapsed="false">
      <c r="A86" s="0" t="s">
        <v>249</v>
      </c>
      <c r="B86" s="4" t="s">
        <v>250</v>
      </c>
      <c r="C86" s="0" t="s">
        <v>99</v>
      </c>
      <c r="D86" s="7" t="n">
        <v>0.12</v>
      </c>
      <c r="E86" s="8" t="n">
        <f aca="false">h1_tax/h1_pt</f>
        <v>0.141757395798966</v>
      </c>
      <c r="F86" s="7" t="n">
        <v>0.17</v>
      </c>
      <c r="G86" s="8" t="s">
        <v>42</v>
      </c>
      <c r="H86" s="4" t="s">
        <v>251</v>
      </c>
      <c r="I86" s="8" t="s">
        <v>252</v>
      </c>
    </row>
    <row r="87" customFormat="false" ht="17.15" hidden="false" customHeight="false" outlineLevel="0" collapsed="false">
      <c r="A87" s="0" t="s">
        <v>253</v>
      </c>
      <c r="B87" s="4" t="s">
        <v>254</v>
      </c>
      <c r="C87" s="0" t="s">
        <v>197</v>
      </c>
      <c r="E87" s="0" t="n">
        <f aca="false">2*h1_aff</f>
        <v>-13.2</v>
      </c>
      <c r="G87" s="0" t="s">
        <v>42</v>
      </c>
      <c r="H87" s="4" t="s">
        <v>255</v>
      </c>
      <c r="I87" s="0" t="s">
        <v>256</v>
      </c>
    </row>
    <row r="88" customFormat="false" ht="17.15" hidden="false" customHeight="false" outlineLevel="0" collapsed="false">
      <c r="A88" s="0" t="s">
        <v>257</v>
      </c>
      <c r="B88" s="4" t="s">
        <v>258</v>
      </c>
      <c r="C88" s="4" t="s">
        <v>259</v>
      </c>
      <c r="E88" s="7" t="n">
        <v>157.7</v>
      </c>
      <c r="G88" s="8" t="s">
        <v>260</v>
      </c>
      <c r="H88" s="4" t="s">
        <v>261</v>
      </c>
      <c r="I88" s="8" t="s">
        <v>262</v>
      </c>
    </row>
    <row r="89" customFormat="false" ht="17.15" hidden="false" customHeight="false" outlineLevel="0" collapsed="false">
      <c r="A89" s="0" t="s">
        <v>263</v>
      </c>
      <c r="B89" s="4" t="s">
        <v>264</v>
      </c>
      <c r="C89" s="0" t="s">
        <v>99</v>
      </c>
      <c r="D89" s="7" t="n">
        <v>0</v>
      </c>
      <c r="E89" s="7" t="n">
        <v>0.01</v>
      </c>
      <c r="F89" s="7" t="n">
        <v>0.02</v>
      </c>
      <c r="G89" s="8" t="s">
        <v>129</v>
      </c>
      <c r="H89" s="8" t="s">
        <v>265</v>
      </c>
      <c r="I89" s="4" t="s">
        <v>266</v>
      </c>
    </row>
    <row r="90" customFormat="false" ht="17.15" hidden="false" customHeight="false" outlineLevel="0" collapsed="false">
      <c r="A90" s="0" t="s">
        <v>267</v>
      </c>
      <c r="B90" s="4" t="s">
        <v>268</v>
      </c>
      <c r="C90" s="0" t="s">
        <v>269</v>
      </c>
      <c r="D90" s="7" t="n">
        <v>-0.04</v>
      </c>
      <c r="E90" s="7" t="n">
        <v>-0.01</v>
      </c>
      <c r="F90" s="7" t="n">
        <v>0</v>
      </c>
      <c r="G90" s="8" t="s">
        <v>129</v>
      </c>
      <c r="H90" s="8" t="s">
        <v>270</v>
      </c>
      <c r="I90" s="4" t="s">
        <v>271</v>
      </c>
    </row>
    <row r="91" customFormat="false" ht="17.15" hidden="false" customHeight="false" outlineLevel="0" collapsed="false">
      <c r="A91" s="0" t="s">
        <v>272</v>
      </c>
      <c r="B91" s="4" t="s">
        <v>273</v>
      </c>
      <c r="C91" s="0" t="s">
        <v>269</v>
      </c>
      <c r="D91" s="7" t="n">
        <v>-0.06</v>
      </c>
      <c r="E91" s="7" t="n">
        <v>-0.02</v>
      </c>
      <c r="F91" s="7" t="n">
        <v>0</v>
      </c>
      <c r="G91" s="8" t="s">
        <v>129</v>
      </c>
      <c r="H91" s="8" t="s">
        <v>274</v>
      </c>
      <c r="I91" s="4" t="s">
        <v>39</v>
      </c>
    </row>
    <row r="92" customFormat="false" ht="17.15" hidden="false" customHeight="false" outlineLevel="0" collapsed="false">
      <c r="A92" s="0" t="s">
        <v>275</v>
      </c>
      <c r="B92" s="0" t="s">
        <v>276</v>
      </c>
      <c r="C92" s="0" t="s">
        <v>128</v>
      </c>
      <c r="D92" s="7" t="n">
        <v>0.85</v>
      </c>
      <c r="E92" s="7" t="n">
        <v>1</v>
      </c>
      <c r="F92" s="7" t="n">
        <v>1</v>
      </c>
      <c r="G92" s="8" t="s">
        <v>129</v>
      </c>
      <c r="H92" s="4" t="s">
        <v>277</v>
      </c>
      <c r="I92" s="8" t="s">
        <v>216</v>
      </c>
    </row>
    <row r="93" customFormat="false" ht="17.15" hidden="false" customHeight="false" outlineLevel="0" collapsed="false">
      <c r="A93" s="6" t="s">
        <v>278</v>
      </c>
    </row>
    <row r="94" customFormat="false" ht="17.15" hidden="false" customHeight="false" outlineLevel="0" collapsed="false">
      <c r="A94" s="0" t="s">
        <v>279</v>
      </c>
      <c r="B94" s="4" t="s">
        <v>280</v>
      </c>
      <c r="C94" s="0" t="s">
        <v>99</v>
      </c>
      <c r="E94" s="7" t="n">
        <v>0.5</v>
      </c>
      <c r="G94" s="8" t="s">
        <v>33</v>
      </c>
      <c r="H94" s="4" t="s">
        <v>281</v>
      </c>
      <c r="I94" s="4" t="s">
        <v>282</v>
      </c>
    </row>
    <row r="95" customFormat="false" ht="15" hidden="false" customHeight="false" outlineLevel="0" collapsed="false">
      <c r="A95" s="0" t="s">
        <v>283</v>
      </c>
      <c r="B95" s="4" t="s">
        <v>284</v>
      </c>
      <c r="C95" s="0" t="s">
        <v>99</v>
      </c>
      <c r="E95" s="7" t="n">
        <v>0.52</v>
      </c>
      <c r="G95" s="8" t="s">
        <v>33</v>
      </c>
      <c r="H95" s="4" t="s">
        <v>39</v>
      </c>
      <c r="I95" s="8" t="s">
        <v>216</v>
      </c>
    </row>
    <row r="96" customFormat="false" ht="17.15" hidden="false" customHeight="false" outlineLevel="0" collapsed="false">
      <c r="A96" s="0" t="s">
        <v>285</v>
      </c>
      <c r="B96" s="4" t="s">
        <v>286</v>
      </c>
      <c r="C96" s="0" t="s">
        <v>197</v>
      </c>
      <c r="E96" s="7" t="n">
        <v>5100</v>
      </c>
      <c r="G96" s="8" t="s">
        <v>33</v>
      </c>
      <c r="H96" s="8" t="s">
        <v>287</v>
      </c>
      <c r="I96" s="4" t="s">
        <v>288</v>
      </c>
    </row>
    <row r="97" customFormat="false" ht="17.15" hidden="false" customHeight="false" outlineLevel="0" collapsed="false">
      <c r="A97" s="0" t="s">
        <v>289</v>
      </c>
      <c r="B97" s="4" t="s">
        <v>290</v>
      </c>
      <c r="C97" s="0" t="s">
        <v>202</v>
      </c>
      <c r="E97" s="7" t="n">
        <v>9.09</v>
      </c>
      <c r="G97" s="8" t="s">
        <v>33</v>
      </c>
      <c r="H97" s="8" t="s">
        <v>291</v>
      </c>
      <c r="I97" s="8" t="s">
        <v>292</v>
      </c>
    </row>
    <row r="98" customFormat="false" ht="17.15" hidden="false" customHeight="false" outlineLevel="0" collapsed="false">
      <c r="A98" s="0" t="s">
        <v>293</v>
      </c>
      <c r="B98" s="4" t="s">
        <v>294</v>
      </c>
      <c r="C98" s="0" t="s">
        <v>202</v>
      </c>
      <c r="E98" s="7" t="n">
        <v>11.3</v>
      </c>
      <c r="G98" s="8" t="s">
        <v>33</v>
      </c>
      <c r="H98" s="8" t="s">
        <v>295</v>
      </c>
      <c r="I98" s="8" t="s">
        <v>296</v>
      </c>
    </row>
    <row r="99" customFormat="false" ht="17.15" hidden="false" customHeight="false" outlineLevel="0" collapsed="false">
      <c r="A99" s="0" t="s">
        <v>297</v>
      </c>
      <c r="B99" s="4" t="s">
        <v>298</v>
      </c>
      <c r="C99" s="0" t="s">
        <v>197</v>
      </c>
      <c r="E99" s="7" t="n">
        <v>6000</v>
      </c>
      <c r="G99" s="8" t="s">
        <v>33</v>
      </c>
      <c r="H99" s="4" t="s">
        <v>299</v>
      </c>
      <c r="I99" s="4" t="s">
        <v>300</v>
      </c>
    </row>
    <row r="100" customFormat="false" ht="17.15" hidden="false" customHeight="false" outlineLevel="0" collapsed="false">
      <c r="A100" s="0" t="s">
        <v>301</v>
      </c>
      <c r="B100" s="4" t="s">
        <v>302</v>
      </c>
      <c r="C100" s="0" t="s">
        <v>202</v>
      </c>
      <c r="E100" s="7" t="n">
        <v>9.5</v>
      </c>
      <c r="G100" s="8" t="s">
        <v>33</v>
      </c>
      <c r="H100" s="4" t="s">
        <v>39</v>
      </c>
      <c r="I100" s="8" t="s">
        <v>216</v>
      </c>
    </row>
    <row r="101" customFormat="false" ht="17.15" hidden="false" customHeight="false" outlineLevel="0" collapsed="false">
      <c r="A101" s="0" t="s">
        <v>303</v>
      </c>
      <c r="B101" s="4" t="s">
        <v>304</v>
      </c>
      <c r="C101" s="0" t="s">
        <v>202</v>
      </c>
      <c r="E101" s="7" t="n">
        <v>11</v>
      </c>
      <c r="G101" s="8" t="s">
        <v>33</v>
      </c>
      <c r="H101" s="4" t="s">
        <v>39</v>
      </c>
      <c r="I101" s="8" t="s">
        <v>216</v>
      </c>
    </row>
    <row r="102" customFormat="false" ht="17.15" hidden="false" customHeight="false" outlineLevel="0" collapsed="false">
      <c r="A102" s="0" t="s">
        <v>305</v>
      </c>
      <c r="B102" s="4" t="s">
        <v>306</v>
      </c>
      <c r="C102" s="0" t="s">
        <v>99</v>
      </c>
      <c r="E102" s="7" t="n">
        <v>0.07</v>
      </c>
      <c r="G102" s="8" t="s">
        <v>33</v>
      </c>
      <c r="H102" s="4" t="s">
        <v>307</v>
      </c>
      <c r="I102" s="8" t="s">
        <v>308</v>
      </c>
    </row>
    <row r="103" customFormat="false" ht="17.15" hidden="false" customHeight="false" outlineLevel="0" collapsed="false">
      <c r="A103" s="0" t="s">
        <v>309</v>
      </c>
      <c r="B103" s="4" t="s">
        <v>310</v>
      </c>
      <c r="C103" s="0" t="s">
        <v>99</v>
      </c>
      <c r="E103" s="7" t="n">
        <v>0.09</v>
      </c>
      <c r="G103" s="8" t="s">
        <v>33</v>
      </c>
      <c r="H103" s="4" t="s">
        <v>39</v>
      </c>
      <c r="I103" s="8" t="s">
        <v>216</v>
      </c>
    </row>
    <row r="104" customFormat="false" ht="17.15" hidden="false" customHeight="false" outlineLevel="0" collapsed="false">
      <c r="A104" s="0" t="s">
        <v>311</v>
      </c>
      <c r="B104" s="4" t="s">
        <v>312</v>
      </c>
      <c r="C104" s="0" t="s">
        <v>99</v>
      </c>
      <c r="E104" s="7" t="n">
        <v>0.37</v>
      </c>
      <c r="G104" s="8" t="s">
        <v>33</v>
      </c>
      <c r="H104" s="8" t="s">
        <v>313</v>
      </c>
      <c r="I104" s="4" t="s">
        <v>314</v>
      </c>
    </row>
    <row r="105" customFormat="false" ht="17.15" hidden="false" customHeight="false" outlineLevel="0" collapsed="false">
      <c r="A105" s="0" t="s">
        <v>315</v>
      </c>
      <c r="B105" s="4" t="s">
        <v>316</v>
      </c>
      <c r="C105" s="4" t="s">
        <v>317</v>
      </c>
      <c r="E105" s="7" t="n">
        <v>2029</v>
      </c>
      <c r="G105" s="8" t="s">
        <v>42</v>
      </c>
      <c r="H105" s="8" t="s">
        <v>318</v>
      </c>
      <c r="I105" s="4" t="s">
        <v>319</v>
      </c>
    </row>
    <row r="106" customFormat="false" ht="17.15" hidden="false" customHeight="false" outlineLevel="0" collapsed="false">
      <c r="A106" s="0" t="s">
        <v>320</v>
      </c>
      <c r="B106" s="4" t="s">
        <v>321</v>
      </c>
      <c r="C106" s="4" t="s">
        <v>317</v>
      </c>
      <c r="E106" s="7" t="n">
        <v>2028</v>
      </c>
      <c r="G106" s="8" t="s">
        <v>42</v>
      </c>
      <c r="H106" s="8" t="s">
        <v>322</v>
      </c>
      <c r="I106" s="4" t="s">
        <v>39</v>
      </c>
    </row>
    <row r="107" customFormat="false" ht="17.15" hidden="false" customHeight="false" outlineLevel="0" collapsed="false">
      <c r="A107" s="0" t="s">
        <v>323</v>
      </c>
      <c r="B107" s="4" t="s">
        <v>324</v>
      </c>
      <c r="C107" s="4" t="s">
        <v>317</v>
      </c>
      <c r="E107" s="7" t="n">
        <v>2027</v>
      </c>
      <c r="G107" s="8" t="s">
        <v>42</v>
      </c>
      <c r="H107" s="8" t="s">
        <v>325</v>
      </c>
      <c r="I107" s="4" t="s">
        <v>39</v>
      </c>
    </row>
    <row r="108" customFormat="false" ht="17.15" hidden="false" customHeight="false" outlineLevel="0" collapsed="false">
      <c r="A108" s="0" t="s">
        <v>326</v>
      </c>
      <c r="B108" s="4" t="s">
        <v>327</v>
      </c>
      <c r="C108" s="0" t="s">
        <v>202</v>
      </c>
      <c r="E108" s="7" t="n">
        <v>308.85</v>
      </c>
      <c r="G108" s="8" t="s">
        <v>260</v>
      </c>
      <c r="H108" s="8" t="s">
        <v>328</v>
      </c>
      <c r="I108" s="8" t="s">
        <v>329</v>
      </c>
    </row>
    <row r="109" customFormat="false" ht="17.15" hidden="false" customHeight="false" outlineLevel="0" collapsed="false">
      <c r="A109" s="0" t="s">
        <v>330</v>
      </c>
      <c r="B109" s="4" t="s">
        <v>331</v>
      </c>
      <c r="C109" s="0" t="s">
        <v>128</v>
      </c>
      <c r="E109" s="7" t="n">
        <v>32.52</v>
      </c>
      <c r="G109" s="8" t="s">
        <v>33</v>
      </c>
      <c r="H109" s="8" t="s">
        <v>332</v>
      </c>
      <c r="I109" s="4" t="s">
        <v>333</v>
      </c>
    </row>
    <row r="110" customFormat="false" ht="17.15" hidden="false" customHeight="false" outlineLevel="0" collapsed="false">
      <c r="A110" s="6" t="s">
        <v>334</v>
      </c>
    </row>
    <row r="111" customFormat="false" ht="17.15" hidden="false" customHeight="false" outlineLevel="0" collapsed="false">
      <c r="A111" s="0" t="s">
        <v>335</v>
      </c>
      <c r="B111" s="4" t="s">
        <v>336</v>
      </c>
      <c r="C111" s="0" t="s">
        <v>99</v>
      </c>
      <c r="E111" s="7" t="n">
        <v>0.3</v>
      </c>
      <c r="G111" s="8" t="s">
        <v>129</v>
      </c>
      <c r="H111" s="8" t="s">
        <v>337</v>
      </c>
      <c r="I111" s="4" t="s">
        <v>338</v>
      </c>
    </row>
    <row r="112" customFormat="false" ht="17.15" hidden="false" customHeight="false" outlineLevel="0" collapsed="false">
      <c r="A112" s="0" t="s">
        <v>339</v>
      </c>
      <c r="B112" s="4" t="s">
        <v>340</v>
      </c>
      <c r="C112" s="0" t="s">
        <v>99</v>
      </c>
      <c r="E112" s="7" t="n">
        <v>0.5</v>
      </c>
      <c r="G112" s="8" t="s">
        <v>129</v>
      </c>
      <c r="H112" s="8" t="s">
        <v>337</v>
      </c>
      <c r="I112" s="4" t="s">
        <v>338</v>
      </c>
    </row>
    <row r="113" customFormat="false" ht="17.15" hidden="false" customHeight="false" outlineLevel="0" collapsed="false">
      <c r="A113" s="0" t="s">
        <v>341</v>
      </c>
      <c r="B113" s="4" t="s">
        <v>342</v>
      </c>
      <c r="C113" s="0" t="s">
        <v>99</v>
      </c>
      <c r="E113" s="7" t="n">
        <v>0.2</v>
      </c>
      <c r="G113" s="8" t="s">
        <v>129</v>
      </c>
      <c r="H113" s="8" t="s">
        <v>337</v>
      </c>
      <c r="I113" s="4" t="s">
        <v>338</v>
      </c>
    </row>
    <row r="115" customFormat="false" ht="17.15" hidden="false" customHeight="false" outlineLevel="0" collapsed="false">
      <c r="A115" s="6" t="s">
        <v>343</v>
      </c>
    </row>
    <row r="116" customFormat="false" ht="17.15" hidden="false" customHeight="false" outlineLevel="0" collapsed="false">
      <c r="A116" s="0" t="s">
        <v>344</v>
      </c>
      <c r="B116" s="4" t="s">
        <v>345</v>
      </c>
      <c r="C116" s="0" t="s">
        <v>99</v>
      </c>
      <c r="E116" s="10" t="n">
        <v>0.1</v>
      </c>
      <c r="G116" s="8" t="s">
        <v>129</v>
      </c>
      <c r="H116" s="8" t="s">
        <v>346</v>
      </c>
      <c r="I116" s="8" t="s">
        <v>347</v>
      </c>
    </row>
    <row r="117" customFormat="false" ht="17.15" hidden="false" customHeight="false" outlineLevel="0" collapsed="false">
      <c r="A117" s="0" t="s">
        <v>348</v>
      </c>
      <c r="B117" s="4" t="s">
        <v>349</v>
      </c>
      <c r="C117" s="0" t="s">
        <v>99</v>
      </c>
      <c r="E117" s="10" t="n">
        <v>0.04</v>
      </c>
      <c r="G117" s="8" t="s">
        <v>129</v>
      </c>
      <c r="H117" s="8" t="s">
        <v>350</v>
      </c>
      <c r="I117" s="4" t="s">
        <v>351</v>
      </c>
    </row>
    <row r="118" customFormat="false" ht="17.15" hidden="false" customHeight="false" outlineLevel="0" collapsed="false">
      <c r="A118" s="0" t="s">
        <v>352</v>
      </c>
      <c r="B118" s="0" t="s">
        <v>353</v>
      </c>
      <c r="C118" s="0" t="s">
        <v>99</v>
      </c>
      <c r="E118" s="11" t="n">
        <f aca="false">AVERAGE(Val!E14/AVERAGE(Val!G13:G14),Val!E15/AVERAGE(Val!G14:G15),Val!E16/AVERAGE(Val!G15:G16))</f>
        <v>0.193538623596448</v>
      </c>
      <c r="G118" s="8" t="s">
        <v>42</v>
      </c>
      <c r="H118" s="8" t="s">
        <v>354</v>
      </c>
      <c r="I118" s="8" t="s">
        <v>355</v>
      </c>
    </row>
    <row r="119" customFormat="false" ht="17.15" hidden="false" customHeight="false" outlineLevel="0" collapsed="false">
      <c r="A119" s="0" t="s">
        <v>356</v>
      </c>
      <c r="B119" s="4" t="s">
        <v>357</v>
      </c>
      <c r="C119" s="0" t="s">
        <v>99</v>
      </c>
      <c r="E119" s="12" t="n">
        <v>0.5</v>
      </c>
      <c r="G119" s="8" t="s">
        <v>129</v>
      </c>
      <c r="H119" s="8" t="s">
        <v>358</v>
      </c>
      <c r="I119" s="8" t="s">
        <v>216</v>
      </c>
    </row>
    <row r="120" customFormat="false" ht="17.15" hidden="false" customHeight="false" outlineLevel="0" collapsed="false">
      <c r="A120" s="0" t="s">
        <v>359</v>
      </c>
      <c r="B120" s="4" t="s">
        <v>360</v>
      </c>
      <c r="C120" s="0" t="s">
        <v>99</v>
      </c>
      <c r="E120" s="11" t="n">
        <f aca="false">AVERAGE(Val!E7/Val!F7,Val!E8/Val!F8,Val!E9/Val!F9,Val!E10/Val!F10,Val!E11/Val!F11,Val!E12/Val!F12,Val!E13/Val!F13,Val!E14/Val!F14,Val!E15/Val!F15,Val!E16/Val!F16)</f>
        <v>0.180031033995936</v>
      </c>
      <c r="G120" s="8" t="s">
        <v>42</v>
      </c>
      <c r="H120" s="8" t="s">
        <v>361</v>
      </c>
      <c r="I120" s="8" t="s">
        <v>362</v>
      </c>
    </row>
    <row r="121" customFormat="false" ht="17.15" hidden="false" customHeight="false" outlineLevel="0" collapsed="false">
      <c r="A121" s="0" t="s">
        <v>363</v>
      </c>
      <c r="B121" s="4" t="s">
        <v>364</v>
      </c>
      <c r="C121" s="0" t="s">
        <v>202</v>
      </c>
      <c r="E121" s="13" t="n">
        <v>446.47</v>
      </c>
      <c r="G121" s="8" t="s">
        <v>33</v>
      </c>
      <c r="H121" s="8" t="s">
        <v>365</v>
      </c>
      <c r="I121" s="8" t="s">
        <v>366</v>
      </c>
    </row>
    <row r="122" customFormat="false" ht="17.15" hidden="false" customHeight="false" outlineLevel="0" collapsed="false">
      <c r="A122" s="0" t="s">
        <v>367</v>
      </c>
      <c r="B122" s="4" t="s">
        <v>368</v>
      </c>
      <c r="C122" s="0" t="s">
        <v>202</v>
      </c>
      <c r="E122" s="14" t="n">
        <f aca="false">cons_eps27</f>
        <v>11.3</v>
      </c>
      <c r="G122" s="8" t="s">
        <v>33</v>
      </c>
      <c r="H122" s="4" t="s">
        <v>369</v>
      </c>
      <c r="I122" s="8" t="s">
        <v>33</v>
      </c>
    </row>
    <row r="124" customFormat="false" ht="17.15" hidden="false" customHeight="false" outlineLevel="0" collapsed="false">
      <c r="A124" s="1" t="s">
        <v>370</v>
      </c>
    </row>
    <row r="125" customFormat="false" ht="17.15" hidden="false" customHeight="false" outlineLevel="0" collapsed="false">
      <c r="A125" s="1" t="s">
        <v>20</v>
      </c>
      <c r="B125" s="1" t="s">
        <v>21</v>
      </c>
      <c r="C125" s="1" t="s">
        <v>22</v>
      </c>
      <c r="D125" s="1" t="s">
        <v>371</v>
      </c>
      <c r="E125" s="1" t="s">
        <v>372</v>
      </c>
      <c r="F125" s="1" t="s">
        <v>373</v>
      </c>
      <c r="G125" s="1" t="s">
        <v>26</v>
      </c>
      <c r="H125" s="1" t="s">
        <v>374</v>
      </c>
    </row>
    <row r="126" customFormat="false" ht="17.15" hidden="false" customHeight="false" outlineLevel="0" collapsed="false">
      <c r="A126" s="0" t="s">
        <v>375</v>
      </c>
      <c r="B126" s="0" t="s">
        <v>376</v>
      </c>
      <c r="C126" s="0" t="s">
        <v>32</v>
      </c>
      <c r="D126" s="0" t="n">
        <f aca="false">E7</f>
        <v>11</v>
      </c>
      <c r="E126" s="0" t="n">
        <f aca="false">E11</f>
        <v>11</v>
      </c>
      <c r="F126" s="0" t="n">
        <f aca="false">E15</f>
        <v>11</v>
      </c>
      <c r="G126" s="0" t="s">
        <v>42</v>
      </c>
      <c r="H126" s="4" t="s">
        <v>377</v>
      </c>
    </row>
    <row r="127" customFormat="false" ht="17.15" hidden="false" customHeight="false" outlineLevel="0" collapsed="false">
      <c r="A127" s="0" t="s">
        <v>378</v>
      </c>
      <c r="B127" s="0" t="s">
        <v>379</v>
      </c>
      <c r="C127" s="0" t="s">
        <v>32</v>
      </c>
      <c r="D127" s="0" t="n">
        <f aca="false">E8</f>
        <v>15.4143580786026</v>
      </c>
      <c r="E127" s="0" t="n">
        <f aca="false">E12</f>
        <v>15.4143580786026</v>
      </c>
      <c r="F127" s="0" t="n">
        <f aca="false">E16</f>
        <v>15.4143580786026</v>
      </c>
      <c r="G127" s="0" t="s">
        <v>42</v>
      </c>
      <c r="H127" s="4" t="s">
        <v>380</v>
      </c>
    </row>
    <row r="128" customFormat="false" ht="17.15" hidden="false" customHeight="false" outlineLevel="0" collapsed="false">
      <c r="A128" s="0" t="s">
        <v>381</v>
      </c>
      <c r="B128" s="0" t="s">
        <v>382</v>
      </c>
      <c r="C128" s="0" t="s">
        <v>32</v>
      </c>
      <c r="D128" s="0" t="n">
        <f aca="false">E9</f>
        <v>17.2991836614041</v>
      </c>
      <c r="E128" s="0" t="n">
        <f aca="false">E13</f>
        <v>14.7695229291233</v>
      </c>
      <c r="F128" s="0" t="n">
        <f aca="false">E17</f>
        <v>12.2398621968425</v>
      </c>
      <c r="G128" s="0" t="s">
        <v>42</v>
      </c>
      <c r="H128" s="4" t="s">
        <v>383</v>
      </c>
    </row>
    <row r="129" customFormat="false" ht="17.15" hidden="false" customHeight="false" outlineLevel="0" collapsed="false">
      <c r="A129" s="0" t="s">
        <v>384</v>
      </c>
      <c r="B129" s="0" t="s">
        <v>385</v>
      </c>
      <c r="C129" s="0" t="s">
        <v>32</v>
      </c>
      <c r="D129" s="0" t="n">
        <f aca="false">E10</f>
        <v>19.2361762010077</v>
      </c>
      <c r="E129" s="0" t="n">
        <f aca="false">E14</f>
        <v>17.0762870508566</v>
      </c>
      <c r="F129" s="0" t="n">
        <f aca="false">E18</f>
        <v>13.4764718006046</v>
      </c>
      <c r="G129" s="0" t="s">
        <v>42</v>
      </c>
      <c r="H129" s="4" t="s">
        <v>386</v>
      </c>
    </row>
    <row r="130" customFormat="false" ht="17.15" hidden="false" customHeight="false" outlineLevel="0" collapsed="false">
      <c r="A130" s="0" t="s">
        <v>387</v>
      </c>
      <c r="B130" s="4" t="s">
        <v>388</v>
      </c>
      <c r="C130" s="0" t="s">
        <v>32</v>
      </c>
      <c r="D130" s="0" t="n">
        <f aca="false">E19</f>
        <v>2.75</v>
      </c>
      <c r="E130" s="0" t="n">
        <f aca="false">E23</f>
        <v>2.75</v>
      </c>
      <c r="F130" s="0" t="n">
        <f aca="false">E27</f>
        <v>2.75</v>
      </c>
      <c r="G130" s="0" t="s">
        <v>42</v>
      </c>
      <c r="H130" s="4" t="s">
        <v>389</v>
      </c>
    </row>
    <row r="131" customFormat="false" ht="17.15" hidden="false" customHeight="false" outlineLevel="0" collapsed="false">
      <c r="A131" s="0" t="s">
        <v>390</v>
      </c>
      <c r="B131" s="4" t="s">
        <v>391</v>
      </c>
      <c r="C131" s="0" t="s">
        <v>32</v>
      </c>
      <c r="D131" s="0" t="n">
        <f aca="false">E20</f>
        <v>3.88007408374579</v>
      </c>
      <c r="E131" s="0" t="n">
        <f aca="false">E24</f>
        <v>3.88007408374579</v>
      </c>
      <c r="F131" s="0" t="n">
        <f aca="false">E28</f>
        <v>3.88007408374579</v>
      </c>
      <c r="G131" s="0" t="s">
        <v>42</v>
      </c>
      <c r="H131" s="4" t="s">
        <v>392</v>
      </c>
    </row>
    <row r="132" customFormat="false" ht="17.15" hidden="false" customHeight="false" outlineLevel="0" collapsed="false">
      <c r="A132" s="0" t="s">
        <v>393</v>
      </c>
      <c r="B132" s="4" t="s">
        <v>394</v>
      </c>
      <c r="C132" s="0" t="s">
        <v>32</v>
      </c>
      <c r="D132" s="0" t="n">
        <f aca="false">E21</f>
        <v>5.04607694610671</v>
      </c>
      <c r="E132" s="0" t="n">
        <f aca="false">E25</f>
        <v>4.73784910426688</v>
      </c>
      <c r="F132" s="0" t="n">
        <f aca="false">E29</f>
        <v>3.64082803238745</v>
      </c>
      <c r="G132" s="0" t="s">
        <v>42</v>
      </c>
      <c r="H132" s="4" t="s">
        <v>395</v>
      </c>
    </row>
    <row r="133" customFormat="false" ht="17.15" hidden="false" customHeight="false" outlineLevel="0" collapsed="false">
      <c r="A133" s="0" t="s">
        <v>396</v>
      </c>
      <c r="B133" s="4" t="s">
        <v>397</v>
      </c>
      <c r="C133" s="0" t="s">
        <v>32</v>
      </c>
      <c r="D133" s="0" t="n">
        <f aca="false">E22</f>
        <v>6.20223782078096</v>
      </c>
      <c r="E133" s="0" t="n">
        <f aca="false">E26</f>
        <v>5.78997368915325</v>
      </c>
      <c r="F133" s="0" t="n">
        <f aca="false">E30</f>
        <v>4.31335866200469</v>
      </c>
      <c r="G133" s="0" t="s">
        <v>42</v>
      </c>
      <c r="H133" s="4" t="s">
        <v>398</v>
      </c>
    </row>
    <row r="134" customFormat="false" ht="17.15" hidden="false" customHeight="false" outlineLevel="0" collapsed="false">
      <c r="A134" s="0" t="s">
        <v>399</v>
      </c>
      <c r="B134" s="0" t="s">
        <v>118</v>
      </c>
      <c r="C134" s="0" t="s">
        <v>99</v>
      </c>
      <c r="D134" s="0" t="n">
        <f aca="false">E31</f>
        <v>0.66</v>
      </c>
      <c r="E134" s="0" t="n">
        <f aca="false">E35</f>
        <v>0.66</v>
      </c>
      <c r="F134" s="0" t="n">
        <f aca="false">E39</f>
        <v>0.66</v>
      </c>
      <c r="G134" s="0" t="s">
        <v>42</v>
      </c>
      <c r="H134" s="4" t="s">
        <v>400</v>
      </c>
    </row>
    <row r="135" customFormat="false" ht="17.15" hidden="false" customHeight="false" outlineLevel="0" collapsed="false">
      <c r="A135" s="0" t="s">
        <v>401</v>
      </c>
      <c r="B135" s="0" t="s">
        <v>121</v>
      </c>
      <c r="C135" s="0" t="s">
        <v>99</v>
      </c>
      <c r="D135" s="0" t="n">
        <f aca="false">E32</f>
        <v>0.66</v>
      </c>
      <c r="E135" s="0" t="n">
        <f aca="false">E36</f>
        <v>0.66</v>
      </c>
      <c r="F135" s="0" t="n">
        <f aca="false">E40</f>
        <v>0.66</v>
      </c>
      <c r="G135" s="0" t="s">
        <v>42</v>
      </c>
      <c r="H135" s="4" t="s">
        <v>402</v>
      </c>
    </row>
    <row r="136" customFormat="false" ht="17.15" hidden="false" customHeight="false" outlineLevel="0" collapsed="false">
      <c r="A136" s="0" t="s">
        <v>403</v>
      </c>
      <c r="B136" s="0" t="s">
        <v>123</v>
      </c>
      <c r="C136" s="0" t="s">
        <v>99</v>
      </c>
      <c r="D136" s="0" t="n">
        <f aca="false">E33</f>
        <v>0.66</v>
      </c>
      <c r="E136" s="0" t="n">
        <f aca="false">E37</f>
        <v>0.66</v>
      </c>
      <c r="F136" s="0" t="n">
        <f aca="false">E41</f>
        <v>0.61</v>
      </c>
      <c r="G136" s="0" t="s">
        <v>42</v>
      </c>
      <c r="H136" s="4" t="s">
        <v>404</v>
      </c>
    </row>
    <row r="137" customFormat="false" ht="17.15" hidden="false" customHeight="false" outlineLevel="0" collapsed="false">
      <c r="A137" s="0" t="s">
        <v>405</v>
      </c>
      <c r="B137" s="0" t="s">
        <v>125</v>
      </c>
      <c r="C137" s="0" t="s">
        <v>99</v>
      </c>
      <c r="D137" s="0" t="n">
        <f aca="false">E34</f>
        <v>0.66</v>
      </c>
      <c r="E137" s="0" t="n">
        <f aca="false">E38</f>
        <v>0.66</v>
      </c>
      <c r="F137" s="0" t="n">
        <f aca="false">E42</f>
        <v>0.56</v>
      </c>
      <c r="G137" s="0" t="s">
        <v>42</v>
      </c>
      <c r="H137" s="4" t="s">
        <v>406</v>
      </c>
    </row>
    <row r="138" customFormat="false" ht="17.15" hidden="false" customHeight="false" outlineLevel="0" collapsed="false">
      <c r="A138" s="0" t="s">
        <v>407</v>
      </c>
      <c r="B138" s="0" t="s">
        <v>408</v>
      </c>
      <c r="C138" s="0" t="s">
        <v>128</v>
      </c>
      <c r="D138" s="0" t="n">
        <f aca="false">E43</f>
        <v>1</v>
      </c>
      <c r="E138" s="0" t="n">
        <f aca="false">E45</f>
        <v>0.8</v>
      </c>
      <c r="F138" s="0" t="n">
        <f aca="false">E47</f>
        <v>0.6</v>
      </c>
      <c r="G138" s="0" t="s">
        <v>42</v>
      </c>
      <c r="H138" s="4" t="s">
        <v>409</v>
      </c>
    </row>
    <row r="139" customFormat="false" ht="17.15" hidden="false" customHeight="false" outlineLevel="0" collapsed="false">
      <c r="A139" s="0" t="s">
        <v>410</v>
      </c>
      <c r="B139" s="0" t="s">
        <v>411</v>
      </c>
      <c r="C139" s="0" t="s">
        <v>128</v>
      </c>
      <c r="D139" s="0" t="n">
        <f aca="false">E44</f>
        <v>1</v>
      </c>
      <c r="E139" s="0" t="n">
        <f aca="false">E46</f>
        <v>0.85</v>
      </c>
      <c r="F139" s="0" t="n">
        <f aca="false">E48</f>
        <v>0.6</v>
      </c>
      <c r="G139" s="0" t="s">
        <v>42</v>
      </c>
      <c r="H139" s="4" t="s">
        <v>412</v>
      </c>
    </row>
    <row r="140" customFormat="false" ht="17.15" hidden="false" customHeight="false" outlineLevel="0" collapsed="false">
      <c r="A140" s="0" t="s">
        <v>413</v>
      </c>
      <c r="B140" s="4" t="s">
        <v>414</v>
      </c>
      <c r="C140" s="0" t="s">
        <v>32</v>
      </c>
      <c r="D140" s="0" t="n">
        <f aca="false">E49</f>
        <v>116.896831844029</v>
      </c>
      <c r="E140" s="0" t="n">
        <f aca="false">E54</f>
        <v>116.896831844029</v>
      </c>
      <c r="F140" s="0" t="n">
        <f aca="false">E59</f>
        <v>116.896831844029</v>
      </c>
      <c r="G140" s="0" t="s">
        <v>42</v>
      </c>
      <c r="H140" s="4" t="s">
        <v>415</v>
      </c>
    </row>
    <row r="141" customFormat="false" ht="17.15" hidden="false" customHeight="false" outlineLevel="0" collapsed="false">
      <c r="A141" s="0" t="s">
        <v>416</v>
      </c>
      <c r="B141" s="4" t="s">
        <v>417</v>
      </c>
      <c r="C141" s="0" t="s">
        <v>32</v>
      </c>
      <c r="D141" s="0" t="n">
        <f aca="false">E50</f>
        <v>160.0450143593</v>
      </c>
      <c r="E141" s="0" t="n">
        <f aca="false">E55</f>
        <v>160.0450143593</v>
      </c>
      <c r="F141" s="0" t="n">
        <f aca="false">E60</f>
        <v>160.0450143593</v>
      </c>
      <c r="G141" s="0" t="s">
        <v>42</v>
      </c>
      <c r="H141" s="4" t="s">
        <v>418</v>
      </c>
    </row>
    <row r="142" customFormat="false" ht="17.15" hidden="false" customHeight="false" outlineLevel="0" collapsed="false">
      <c r="A142" s="0" t="s">
        <v>419</v>
      </c>
      <c r="B142" s="4" t="s">
        <v>420</v>
      </c>
      <c r="C142" s="0" t="s">
        <v>32</v>
      </c>
      <c r="D142" s="0" t="n">
        <f aca="false">E51</f>
        <v>192.795469377561</v>
      </c>
      <c r="E142" s="0" t="n">
        <f aca="false">E56</f>
        <v>192.795469377561</v>
      </c>
      <c r="F142" s="0" t="n">
        <f aca="false">E61</f>
        <v>192.795469377561</v>
      </c>
      <c r="G142" s="0" t="s">
        <v>42</v>
      </c>
      <c r="H142" s="4" t="s">
        <v>421</v>
      </c>
    </row>
    <row r="143" customFormat="false" ht="17.15" hidden="false" customHeight="false" outlineLevel="0" collapsed="false">
      <c r="A143" s="0" t="s">
        <v>422</v>
      </c>
      <c r="B143" s="4" t="s">
        <v>423</v>
      </c>
      <c r="C143" s="0" t="s">
        <v>32</v>
      </c>
      <c r="D143" s="0" t="n">
        <f aca="false">E52</f>
        <v>216.628626308958</v>
      </c>
      <c r="E143" s="0" t="n">
        <f aca="false">E57</f>
        <v>192.795469377561</v>
      </c>
      <c r="F143" s="0" t="n">
        <f aca="false">E62</f>
        <v>154.236375502049</v>
      </c>
      <c r="G143" s="0" t="s">
        <v>42</v>
      </c>
      <c r="H143" s="4" t="s">
        <v>424</v>
      </c>
    </row>
    <row r="144" customFormat="false" ht="17.15" hidden="false" customHeight="false" outlineLevel="0" collapsed="false">
      <c r="A144" s="0" t="s">
        <v>425</v>
      </c>
      <c r="B144" s="4" t="s">
        <v>426</v>
      </c>
      <c r="C144" s="0" t="s">
        <v>32</v>
      </c>
      <c r="D144" s="0" t="n">
        <f aca="false">E53</f>
        <v>228.903685855226</v>
      </c>
      <c r="E144" s="0" t="n">
        <f aca="false">E58</f>
        <v>183.155695908683</v>
      </c>
      <c r="F144" s="0" t="n">
        <f aca="false">E63</f>
        <v>154.236375502049</v>
      </c>
      <c r="G144" s="0" t="s">
        <v>42</v>
      </c>
      <c r="H144" s="4" t="s">
        <v>427</v>
      </c>
    </row>
    <row r="145" customFormat="false" ht="17.15" hidden="false" customHeight="false" outlineLevel="0" collapsed="false">
      <c r="A145" s="0" t="s">
        <v>428</v>
      </c>
      <c r="B145" s="0" t="s">
        <v>429</v>
      </c>
      <c r="C145" s="0" t="s">
        <v>99</v>
      </c>
      <c r="D145" s="0" t="n">
        <f aca="false">E75</f>
        <v>0.08</v>
      </c>
      <c r="E145" s="0" t="n">
        <f aca="false">E76</f>
        <v>0.05</v>
      </c>
      <c r="F145" s="0" t="n">
        <f aca="false">E77</f>
        <v>0.02</v>
      </c>
      <c r="G145" s="0" t="s">
        <v>42</v>
      </c>
      <c r="H145" s="4" t="s">
        <v>430</v>
      </c>
    </row>
    <row r="146" customFormat="false" ht="17.15" hidden="false" customHeight="false" outlineLevel="0" collapsed="false">
      <c r="A146" s="0" t="s">
        <v>431</v>
      </c>
      <c r="B146" s="4" t="s">
        <v>432</v>
      </c>
      <c r="C146" s="4" t="s">
        <v>317</v>
      </c>
      <c r="D146" s="0" t="n">
        <f aca="false">E105</f>
        <v>2029</v>
      </c>
      <c r="E146" s="0" t="n">
        <f aca="false">E106</f>
        <v>2028</v>
      </c>
      <c r="F146" s="0" t="n">
        <f aca="false">E107</f>
        <v>2027</v>
      </c>
      <c r="G146" s="0" t="s">
        <v>42</v>
      </c>
      <c r="H146" s="4" t="s">
        <v>433</v>
      </c>
    </row>
    <row r="147" customFormat="false" ht="17.15" hidden="false" customHeight="false" outlineLevel="0" collapsed="false">
      <c r="A147" s="0" t="s">
        <v>434</v>
      </c>
      <c r="B147" s="0" t="s">
        <v>435</v>
      </c>
      <c r="C147" s="0" t="s">
        <v>269</v>
      </c>
      <c r="D147" s="0" t="n">
        <v>0</v>
      </c>
      <c r="E147" s="0" t="n">
        <v>0</v>
      </c>
      <c r="F147" s="0" t="n">
        <f aca="false">E90</f>
        <v>-0.01</v>
      </c>
      <c r="G147" s="0" t="s">
        <v>42</v>
      </c>
      <c r="H147" s="4" t="s">
        <v>436</v>
      </c>
    </row>
    <row r="148" customFormat="false" ht="17.15" hidden="false" customHeight="false" outlineLevel="0" collapsed="false">
      <c r="A148" s="0" t="s">
        <v>437</v>
      </c>
      <c r="B148" s="0" t="s">
        <v>438</v>
      </c>
      <c r="C148" s="0" t="s">
        <v>269</v>
      </c>
      <c r="D148" s="0" t="n">
        <v>0</v>
      </c>
      <c r="E148" s="0" t="n">
        <v>0</v>
      </c>
      <c r="F148" s="0" t="n">
        <f aca="false">E91</f>
        <v>-0.02</v>
      </c>
      <c r="G148" s="0" t="s">
        <v>42</v>
      </c>
      <c r="H148" s="4" t="s">
        <v>439</v>
      </c>
    </row>
    <row r="149" customFormat="false" ht="17.15" hidden="false" customHeight="false" outlineLevel="0" collapsed="false">
      <c r="A149" s="0" t="s">
        <v>440</v>
      </c>
      <c r="B149" s="4" t="s">
        <v>441</v>
      </c>
      <c r="C149" s="0" t="s">
        <v>99</v>
      </c>
      <c r="D149" s="0" t="n">
        <f aca="false">E111</f>
        <v>0.3</v>
      </c>
      <c r="E149" s="0" t="n">
        <f aca="false">E112</f>
        <v>0.5</v>
      </c>
      <c r="F149" s="0" t="n">
        <f aca="false">E113</f>
        <v>0.2</v>
      </c>
      <c r="G149" s="0" t="s">
        <v>42</v>
      </c>
      <c r="H149" s="4" t="s">
        <v>442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10" min="2" style="0" width="13"/>
    <col collapsed="false" customWidth="true" hidden="false" outlineLevel="0" max="11" min="11" style="0" width="18"/>
    <col collapsed="false" customWidth="true" hidden="false" outlineLevel="0" max="12" min="12" style="0" width="80"/>
    <col collapsed="false" customWidth="true" hidden="false" outlineLevel="0" max="13" min="13" style="0" width="60"/>
  </cols>
  <sheetData>
    <row r="1" customFormat="false" ht="17.15" hidden="false" customHeight="false" outlineLevel="0" collapsed="false">
      <c r="A1" s="0" t="s">
        <v>443</v>
      </c>
    </row>
    <row r="2" customFormat="false" ht="17.15" hidden="false" customHeight="false" outlineLevel="0" collapsed="false">
      <c r="A2" s="0" t="s">
        <v>444</v>
      </c>
    </row>
    <row r="3" customFormat="false" ht="17.15" hidden="false" customHeight="false" outlineLevel="0" collapsed="false">
      <c r="A3" s="5" t="s">
        <v>21</v>
      </c>
      <c r="B3" s="15" t="s">
        <v>445</v>
      </c>
      <c r="C3" s="15" t="s">
        <v>446</v>
      </c>
      <c r="D3" s="15" t="s">
        <v>447</v>
      </c>
      <c r="E3" s="15" t="s">
        <v>448</v>
      </c>
      <c r="F3" s="15" t="s">
        <v>449</v>
      </c>
      <c r="G3" s="15" t="s">
        <v>450</v>
      </c>
      <c r="H3" s="15" t="s">
        <v>451</v>
      </c>
      <c r="I3" s="15" t="s">
        <v>452</v>
      </c>
      <c r="J3" s="5" t="s">
        <v>453</v>
      </c>
      <c r="K3" s="5" t="s">
        <v>26</v>
      </c>
      <c r="L3" s="5" t="s">
        <v>454</v>
      </c>
      <c r="M3" s="5" t="s">
        <v>28</v>
      </c>
    </row>
    <row r="4" customFormat="false" ht="17.15" hidden="false" customHeight="false" outlineLevel="0" collapsed="false">
      <c r="A4" s="0" t="s">
        <v>455</v>
      </c>
      <c r="B4" s="16" t="n">
        <v>406.4</v>
      </c>
      <c r="C4" s="16" t="n">
        <v>396.6</v>
      </c>
      <c r="D4" s="16" t="n">
        <v>440.2</v>
      </c>
      <c r="E4" s="9" t="n">
        <f aca="false">F4-SUM(B4:D4)</f>
        <v>646.5</v>
      </c>
      <c r="F4" s="16" t="n">
        <v>1889.7</v>
      </c>
      <c r="G4" s="9" t="n">
        <f aca="false">J4-H4</f>
        <v>881.8</v>
      </c>
      <c r="H4" s="16" t="n">
        <v>843</v>
      </c>
      <c r="I4" s="4" t="s">
        <v>456</v>
      </c>
      <c r="J4" s="16" t="n">
        <v>1724.8</v>
      </c>
      <c r="K4" s="8" t="s">
        <v>457</v>
      </c>
      <c r="L4" s="8" t="s">
        <v>458</v>
      </c>
      <c r="M4" s="8" t="s">
        <v>459</v>
      </c>
    </row>
    <row r="5" customFormat="false" ht="17.15" hidden="false" customHeight="false" outlineLevel="0" collapsed="false">
      <c r="A5" s="4" t="s">
        <v>460</v>
      </c>
      <c r="B5" s="16" t="n">
        <v>109.4</v>
      </c>
      <c r="C5" s="16" t="n">
        <v>60.9</v>
      </c>
      <c r="D5" s="16" t="n">
        <v>128.1</v>
      </c>
      <c r="E5" s="9" t="n">
        <f aca="false">F5-SUM(B5:D5)</f>
        <v>206.5</v>
      </c>
      <c r="F5" s="16" t="n">
        <v>504.9</v>
      </c>
      <c r="G5" s="9" t="n">
        <f aca="false">J5-H5</f>
        <v>202.5</v>
      </c>
      <c r="H5" s="16" t="n">
        <v>212.3</v>
      </c>
      <c r="J5" s="16" t="n">
        <v>414.8</v>
      </c>
      <c r="K5" s="8" t="s">
        <v>457</v>
      </c>
      <c r="L5" s="8" t="s">
        <v>461</v>
      </c>
      <c r="M5" s="4" t="s">
        <v>462</v>
      </c>
    </row>
    <row r="6" customFormat="false" ht="17.15" hidden="false" customHeight="false" outlineLevel="0" collapsed="false">
      <c r="A6" s="0" t="s">
        <v>463</v>
      </c>
      <c r="B6" s="16" t="n">
        <v>26.7</v>
      </c>
      <c r="C6" s="16" t="n">
        <v>34.3</v>
      </c>
      <c r="D6" s="16" t="n">
        <v>37.6</v>
      </c>
      <c r="E6" s="9" t="n">
        <f aca="false">F6-SUM(B6:D6)</f>
        <v>30.6</v>
      </c>
      <c r="F6" s="16" t="n">
        <v>129.2</v>
      </c>
      <c r="G6" s="9" t="n">
        <f aca="false">J6-H6</f>
        <v>26.6</v>
      </c>
      <c r="H6" s="16" t="n">
        <v>66.5</v>
      </c>
      <c r="J6" s="16" t="n">
        <v>93.1</v>
      </c>
      <c r="K6" s="8" t="s">
        <v>457</v>
      </c>
      <c r="L6" s="8" t="s">
        <v>464</v>
      </c>
      <c r="M6" s="4" t="s">
        <v>465</v>
      </c>
    </row>
    <row r="7" customFormat="false" ht="17.15" hidden="false" customHeight="false" outlineLevel="0" collapsed="false">
      <c r="A7" s="4" t="s">
        <v>466</v>
      </c>
      <c r="B7" s="9" t="n">
        <f aca="false">B4+B5+B6</f>
        <v>542.5</v>
      </c>
      <c r="C7" s="9" t="n">
        <f aca="false">C4+C5+C6</f>
        <v>491.8</v>
      </c>
      <c r="D7" s="9" t="n">
        <f aca="false">D4+D5+D6</f>
        <v>605.9</v>
      </c>
      <c r="E7" s="9" t="n">
        <f aca="false">E4+E5+E6</f>
        <v>883.6</v>
      </c>
      <c r="F7" s="9" t="n">
        <f aca="false">F4+F5+F6</f>
        <v>2523.8</v>
      </c>
      <c r="G7" s="9" t="n">
        <f aca="false">G4+G5+G6</f>
        <v>1110.9</v>
      </c>
      <c r="H7" s="9" t="n">
        <f aca="false">H4+H5+H6</f>
        <v>1121.8</v>
      </c>
      <c r="J7" s="9" t="n">
        <f aca="false">J4+J5+J6</f>
        <v>2232.7</v>
      </c>
      <c r="K7" s="8" t="s">
        <v>42</v>
      </c>
      <c r="L7" s="4" t="s">
        <v>467</v>
      </c>
      <c r="M7" s="4" t="s">
        <v>468</v>
      </c>
    </row>
    <row r="8" customFormat="false" ht="17.15" hidden="false" customHeight="false" outlineLevel="0" collapsed="false">
      <c r="A8" s="0" t="s">
        <v>469</v>
      </c>
      <c r="B8" s="16" t="n">
        <v>74.2</v>
      </c>
      <c r="C8" s="16" t="n">
        <v>85.1</v>
      </c>
      <c r="D8" s="16" t="n">
        <v>88.3</v>
      </c>
      <c r="E8" s="9" t="n">
        <f aca="false">F8-SUM(B8:D8)</f>
        <v>110.4</v>
      </c>
      <c r="F8" s="16" t="n">
        <v>358</v>
      </c>
      <c r="G8" s="9" t="n">
        <f aca="false">J8-H8</f>
        <v>80.5</v>
      </c>
      <c r="H8" s="16" t="n">
        <v>107.2</v>
      </c>
      <c r="J8" s="16" t="n">
        <v>187.7</v>
      </c>
      <c r="K8" s="8" t="s">
        <v>457</v>
      </c>
      <c r="L8" s="4" t="s">
        <v>470</v>
      </c>
      <c r="M8" s="8" t="s">
        <v>471</v>
      </c>
    </row>
    <row r="9" customFormat="false" ht="17.15" hidden="false" customHeight="false" outlineLevel="0" collapsed="false">
      <c r="A9" s="4" t="s">
        <v>472</v>
      </c>
      <c r="B9" s="16" t="n">
        <v>69</v>
      </c>
      <c r="C9" s="16" t="n">
        <v>74.9</v>
      </c>
      <c r="D9" s="16" t="n">
        <v>75.1</v>
      </c>
      <c r="E9" s="9" t="n">
        <f aca="false">F9-SUM(B9:D9)</f>
        <v>89.3</v>
      </c>
      <c r="F9" s="16" t="n">
        <v>308.3</v>
      </c>
      <c r="G9" s="9" t="n">
        <f aca="false">J9-H9</f>
        <v>91.3</v>
      </c>
      <c r="H9" s="16" t="n">
        <v>99.9</v>
      </c>
      <c r="J9" s="16" t="n">
        <v>191.2</v>
      </c>
      <c r="K9" s="8" t="s">
        <v>457</v>
      </c>
      <c r="L9" s="4" t="s">
        <v>473</v>
      </c>
      <c r="M9" s="8" t="s">
        <v>471</v>
      </c>
    </row>
    <row r="10" customFormat="false" ht="17.15" hidden="false" customHeight="false" outlineLevel="0" collapsed="false">
      <c r="A10" s="4" t="s">
        <v>474</v>
      </c>
      <c r="B10" s="16" t="n">
        <v>685.7</v>
      </c>
      <c r="C10" s="16" t="n">
        <v>651.8</v>
      </c>
      <c r="D10" s="16" t="n">
        <v>769.2</v>
      </c>
      <c r="E10" s="16" t="n">
        <v>1083.3</v>
      </c>
      <c r="F10" s="16" t="n">
        <v>3190</v>
      </c>
      <c r="G10" s="16" t="n">
        <v>1282.5</v>
      </c>
      <c r="H10" s="16" t="n">
        <v>1329</v>
      </c>
      <c r="J10" s="16" t="n">
        <v>2611.5</v>
      </c>
      <c r="K10" s="8" t="s">
        <v>260</v>
      </c>
      <c r="L10" s="4" t="s">
        <v>475</v>
      </c>
      <c r="M10" s="8" t="s">
        <v>476</v>
      </c>
    </row>
    <row r="11" customFormat="false" ht="17.15" hidden="false" customHeight="false" outlineLevel="0" collapsed="false">
      <c r="A11" s="4" t="s">
        <v>477</v>
      </c>
      <c r="B11" s="9" t="n">
        <f aca="false">B7+B8+B9-B10</f>
        <v>0</v>
      </c>
      <c r="C11" s="9" t="n">
        <f aca="false">C7+C8+C9-C10</f>
        <v>0</v>
      </c>
      <c r="D11" s="9" t="n">
        <f aca="false">D7+D8+D9-D10</f>
        <v>0.0999999999999091</v>
      </c>
      <c r="E11" s="9" t="n">
        <f aca="false">E7+E8+E9-E10</f>
        <v>0</v>
      </c>
      <c r="F11" s="9" t="n">
        <f aca="false">F7+F8+F9-F10</f>
        <v>0.0999999999999091</v>
      </c>
      <c r="G11" s="9" t="n">
        <f aca="false">G7+G8+G9-G10</f>
        <v>0.199999999999818</v>
      </c>
      <c r="H11" s="9" t="n">
        <f aca="false">H7+H8+H9-H10</f>
        <v>-0.0999999999999091</v>
      </c>
      <c r="J11" s="9" t="n">
        <f aca="false">J7+J8+J9-J10</f>
        <v>0.0999999999994543</v>
      </c>
      <c r="K11" s="8" t="s">
        <v>216</v>
      </c>
      <c r="L11" s="8" t="s">
        <v>216</v>
      </c>
      <c r="M11" s="8" t="s">
        <v>216</v>
      </c>
    </row>
    <row r="12" customFormat="false" ht="17.15" hidden="false" customHeight="false" outlineLevel="0" collapsed="false">
      <c r="A12" s="4" t="s">
        <v>478</v>
      </c>
      <c r="B12" s="16" t="n">
        <v>415.3</v>
      </c>
      <c r="C12" s="16" t="n">
        <v>373</v>
      </c>
      <c r="D12" s="16" t="n">
        <v>449.3</v>
      </c>
      <c r="E12" s="16" t="n">
        <v>619.7</v>
      </c>
      <c r="F12" s="16" t="n">
        <v>1857.3</v>
      </c>
      <c r="G12" s="16" t="n">
        <v>780.9</v>
      </c>
      <c r="H12" s="16" t="n">
        <v>794.6</v>
      </c>
      <c r="J12" s="16" t="n">
        <v>1575.6</v>
      </c>
      <c r="K12" s="8" t="s">
        <v>260</v>
      </c>
      <c r="L12" s="4" t="s">
        <v>479</v>
      </c>
      <c r="M12" s="8" t="s">
        <v>216</v>
      </c>
    </row>
    <row r="13" customFormat="false" ht="17.15" hidden="false" customHeight="false" outlineLevel="0" collapsed="false">
      <c r="A13" s="4" t="s">
        <v>480</v>
      </c>
      <c r="B13" s="11" t="n">
        <f aca="false">B12/B10</f>
        <v>0.605658451217734</v>
      </c>
      <c r="C13" s="11" t="n">
        <f aca="false">C12/C10</f>
        <v>0.572261429886468</v>
      </c>
      <c r="D13" s="11" t="n">
        <f aca="false">D12/D10</f>
        <v>0.584113364534581</v>
      </c>
      <c r="E13" s="11" t="n">
        <f aca="false">E12/E10</f>
        <v>0.572048370719099</v>
      </c>
      <c r="F13" s="11" t="n">
        <f aca="false">F12/F10</f>
        <v>0.582225705329154</v>
      </c>
      <c r="G13" s="11" t="n">
        <f aca="false">G12/G10</f>
        <v>0.608888888888889</v>
      </c>
      <c r="H13" s="11" t="n">
        <f aca="false">H12/H10</f>
        <v>0.597893152746426</v>
      </c>
      <c r="J13" s="11" t="n">
        <f aca="false">J12/J10</f>
        <v>0.603331418724871</v>
      </c>
      <c r="K13" s="8" t="s">
        <v>42</v>
      </c>
      <c r="L13" s="8" t="s">
        <v>216</v>
      </c>
      <c r="M13" s="4" t="s">
        <v>481</v>
      </c>
    </row>
    <row r="14" customFormat="false" ht="17.15" hidden="false" customHeight="false" outlineLevel="0" collapsed="false">
      <c r="A14" s="4" t="s">
        <v>482</v>
      </c>
      <c r="B14" s="16" t="n">
        <v>120.8</v>
      </c>
      <c r="C14" s="16" t="n">
        <v>90.7</v>
      </c>
      <c r="D14" s="16" t="n">
        <v>145.3</v>
      </c>
      <c r="E14" s="16" t="n">
        <v>293.2</v>
      </c>
      <c r="F14" s="16" t="n">
        <v>650.1</v>
      </c>
      <c r="G14" s="16" t="n">
        <v>473</v>
      </c>
      <c r="H14" s="16" t="n">
        <v>437.8</v>
      </c>
      <c r="J14" s="16" t="n">
        <v>910.8</v>
      </c>
      <c r="K14" s="8" t="s">
        <v>457</v>
      </c>
      <c r="L14" s="4" t="s">
        <v>483</v>
      </c>
      <c r="M14" s="8" t="s">
        <v>216</v>
      </c>
    </row>
    <row r="15" customFormat="false" ht="17.15" hidden="false" customHeight="false" outlineLevel="0" collapsed="false">
      <c r="A15" s="4" t="s">
        <v>484</v>
      </c>
      <c r="B15" s="16" t="n">
        <v>119</v>
      </c>
      <c r="C15" s="16" t="n">
        <v>96.6</v>
      </c>
      <c r="D15" s="16" t="n">
        <v>148.1</v>
      </c>
      <c r="E15" s="16" t="n">
        <v>289.6</v>
      </c>
      <c r="F15" s="16" t="n">
        <v>653.3</v>
      </c>
      <c r="G15" s="16" t="n">
        <v>465.7</v>
      </c>
      <c r="H15" s="16" t="n">
        <v>443.6</v>
      </c>
      <c r="J15" s="16" t="n">
        <v>909.3</v>
      </c>
      <c r="K15" s="8" t="s">
        <v>457</v>
      </c>
      <c r="L15" s="4" t="s">
        <v>485</v>
      </c>
      <c r="M15" s="8" t="s">
        <v>216</v>
      </c>
    </row>
    <row r="16" customFormat="false" ht="17.15" hidden="false" customHeight="false" outlineLevel="0" collapsed="false">
      <c r="A16" s="4" t="s">
        <v>486</v>
      </c>
      <c r="B16" s="16" t="n">
        <v>14.5</v>
      </c>
      <c r="C16" s="16" t="n">
        <v>12.3</v>
      </c>
      <c r="D16" s="16" t="n">
        <v>23.3</v>
      </c>
      <c r="E16" s="16" t="n">
        <v>29.2</v>
      </c>
      <c r="F16" s="16" t="n">
        <v>79.3</v>
      </c>
      <c r="G16" s="16" t="n">
        <v>62.2</v>
      </c>
      <c r="H16" s="16" t="n">
        <v>66.8</v>
      </c>
      <c r="J16" s="16" t="n">
        <v>128.9</v>
      </c>
      <c r="K16" s="8" t="s">
        <v>457</v>
      </c>
      <c r="L16" s="4" t="s">
        <v>479</v>
      </c>
      <c r="M16" s="8" t="s">
        <v>216</v>
      </c>
    </row>
    <row r="17" customFormat="false" ht="17.15" hidden="false" customHeight="false" outlineLevel="0" collapsed="false">
      <c r="A17" s="4" t="s">
        <v>487</v>
      </c>
      <c r="B17" s="16" t="n">
        <v>-5.6</v>
      </c>
      <c r="C17" s="16" t="n">
        <v>-5.9</v>
      </c>
      <c r="D17" s="16" t="n">
        <v>-5.2</v>
      </c>
      <c r="E17" s="16" t="n">
        <v>-3.2</v>
      </c>
      <c r="F17" s="16" t="n">
        <v>-19.9</v>
      </c>
      <c r="G17" s="16" t="n">
        <v>-4.6</v>
      </c>
      <c r="H17" s="16" t="n">
        <v>-1.9</v>
      </c>
      <c r="J17" s="16" t="n">
        <v>-6.6</v>
      </c>
      <c r="K17" s="8" t="s">
        <v>457</v>
      </c>
      <c r="L17" s="4" t="s">
        <v>479</v>
      </c>
      <c r="M17" s="8" t="s">
        <v>216</v>
      </c>
    </row>
    <row r="18" customFormat="false" ht="17.15" hidden="false" customHeight="false" outlineLevel="0" collapsed="false">
      <c r="A18" s="4" t="s">
        <v>488</v>
      </c>
      <c r="B18" s="16" t="n">
        <v>98.9</v>
      </c>
      <c r="C18" s="16" t="n">
        <v>78.4</v>
      </c>
      <c r="D18" s="16" t="n">
        <v>119.6</v>
      </c>
      <c r="E18" s="16" t="n">
        <v>257.2</v>
      </c>
      <c r="F18" s="16" t="n">
        <v>554</v>
      </c>
      <c r="G18" s="16" t="n">
        <v>398.9</v>
      </c>
      <c r="H18" s="16" t="n">
        <v>374.5</v>
      </c>
      <c r="J18" s="16" t="n">
        <v>773.4</v>
      </c>
      <c r="K18" s="8" t="s">
        <v>260</v>
      </c>
      <c r="L18" s="4" t="s">
        <v>479</v>
      </c>
      <c r="M18" s="8" t="s">
        <v>216</v>
      </c>
    </row>
    <row r="19" customFormat="false" ht="17.15" hidden="false" customHeight="false" outlineLevel="0" collapsed="false">
      <c r="A19" s="0" t="s">
        <v>489</v>
      </c>
      <c r="B19" s="17" t="n">
        <v>0.61</v>
      </c>
      <c r="C19" s="17" t="n">
        <v>0.49</v>
      </c>
      <c r="D19" s="17" t="n">
        <v>0.75</v>
      </c>
      <c r="E19" s="17" t="n">
        <v>1.63</v>
      </c>
      <c r="F19" s="17" t="n">
        <v>3.47</v>
      </c>
      <c r="G19" s="17" t="n">
        <v>2.53</v>
      </c>
      <c r="H19" s="17" t="n">
        <v>2.38</v>
      </c>
      <c r="J19" s="17" t="n">
        <v>4.91</v>
      </c>
      <c r="K19" s="8" t="s">
        <v>260</v>
      </c>
      <c r="L19" s="4" t="s">
        <v>490</v>
      </c>
      <c r="M19" s="8" t="s">
        <v>491</v>
      </c>
    </row>
    <row r="20" customFormat="false" ht="17.15" hidden="false" customHeight="false" outlineLevel="0" collapsed="false">
      <c r="A20" s="4" t="s">
        <v>492</v>
      </c>
      <c r="B20" s="16" t="n">
        <v>162</v>
      </c>
      <c r="C20" s="16" t="n">
        <v>160.1</v>
      </c>
      <c r="D20" s="16" t="n">
        <v>159.1</v>
      </c>
      <c r="E20" s="16" t="n">
        <v>157.7</v>
      </c>
      <c r="F20" s="16" t="n">
        <v>159.7</v>
      </c>
      <c r="G20" s="16" t="n">
        <v>157.6</v>
      </c>
      <c r="H20" s="16" t="n">
        <v>157.7</v>
      </c>
      <c r="J20" s="16" t="n">
        <v>157.7</v>
      </c>
      <c r="K20" s="8" t="s">
        <v>260</v>
      </c>
      <c r="L20" s="4" t="s">
        <v>479</v>
      </c>
      <c r="M20" s="8" t="s">
        <v>216</v>
      </c>
    </row>
    <row r="22" customFormat="false" ht="17.15" hidden="false" customHeight="false" outlineLevel="0" collapsed="false">
      <c r="A22" s="1" t="s">
        <v>493</v>
      </c>
    </row>
    <row r="23" customFormat="false" ht="17.15" hidden="false" customHeight="false" outlineLevel="0" collapsed="false">
      <c r="A23" s="5" t="s">
        <v>494</v>
      </c>
      <c r="B23" s="15" t="s">
        <v>495</v>
      </c>
      <c r="C23" s="15" t="s">
        <v>449</v>
      </c>
      <c r="D23" s="5" t="s">
        <v>453</v>
      </c>
      <c r="E23" s="15" t="s">
        <v>451</v>
      </c>
      <c r="F23" s="5"/>
      <c r="G23" s="5"/>
      <c r="H23" s="5"/>
      <c r="I23" s="5"/>
      <c r="J23" s="5"/>
      <c r="K23" s="5" t="s">
        <v>26</v>
      </c>
      <c r="L23" s="5" t="s">
        <v>27</v>
      </c>
      <c r="M23" s="5" t="s">
        <v>28</v>
      </c>
    </row>
    <row r="24" customFormat="false" ht="17.15" hidden="false" customHeight="false" outlineLevel="0" collapsed="false">
      <c r="A24" s="4" t="s">
        <v>496</v>
      </c>
      <c r="B24" s="16" t="n">
        <v>558.2</v>
      </c>
      <c r="C24" s="16" t="n">
        <v>700.7</v>
      </c>
      <c r="D24" s="16" t="n">
        <v>895.4</v>
      </c>
      <c r="E24" s="16" t="n">
        <v>427.3</v>
      </c>
      <c r="K24" s="8" t="s">
        <v>260</v>
      </c>
      <c r="L24" s="8" t="s">
        <v>497</v>
      </c>
      <c r="M24" s="8" t="s">
        <v>498</v>
      </c>
    </row>
    <row r="25" customFormat="false" ht="17.15" hidden="false" customHeight="false" outlineLevel="0" collapsed="false">
      <c r="A25" s="0" t="s">
        <v>469</v>
      </c>
      <c r="B25" s="16" t="n">
        <v>65.7</v>
      </c>
      <c r="C25" s="16" t="n">
        <v>60.7</v>
      </c>
      <c r="D25" s="16" t="n">
        <v>22.7</v>
      </c>
      <c r="E25" s="16" t="n">
        <v>18</v>
      </c>
      <c r="K25" s="8" t="s">
        <v>260</v>
      </c>
      <c r="L25" s="8" t="s">
        <v>497</v>
      </c>
      <c r="M25" s="8" t="s">
        <v>498</v>
      </c>
    </row>
    <row r="26" customFormat="false" ht="17.15" hidden="false" customHeight="false" outlineLevel="0" collapsed="false">
      <c r="A26" s="4" t="s">
        <v>499</v>
      </c>
      <c r="B26" s="16" t="n">
        <v>-77.6</v>
      </c>
      <c r="C26" s="16" t="n">
        <v>-99.4</v>
      </c>
      <c r="D26" s="16" t="n">
        <v>-3.5</v>
      </c>
      <c r="E26" s="16" t="n">
        <v>-2.6</v>
      </c>
      <c r="K26" s="8" t="s">
        <v>260</v>
      </c>
      <c r="L26" s="8" t="s">
        <v>497</v>
      </c>
      <c r="M26" s="8" t="s">
        <v>498</v>
      </c>
    </row>
    <row r="27" customFormat="false" ht="17.15" hidden="false" customHeight="false" outlineLevel="0" collapsed="false">
      <c r="A27" s="4" t="s">
        <v>500</v>
      </c>
      <c r="B27" s="16" t="n">
        <v>62.7</v>
      </c>
      <c r="C27" s="16" t="n">
        <v>-8.8</v>
      </c>
      <c r="D27" s="16" t="n">
        <v>-5.2</v>
      </c>
      <c r="E27" s="16" t="n">
        <v>0.9</v>
      </c>
      <c r="K27" s="8" t="s">
        <v>260</v>
      </c>
      <c r="L27" s="8" t="s">
        <v>497</v>
      </c>
      <c r="M27" s="8" t="s">
        <v>498</v>
      </c>
    </row>
    <row r="28" customFormat="false" ht="17.15" hidden="false" customHeight="false" outlineLevel="0" collapsed="false">
      <c r="A28" s="4" t="s">
        <v>501</v>
      </c>
      <c r="B28" s="9" t="n">
        <f aca="false">SUM(B24:B27)</f>
        <v>609</v>
      </c>
      <c r="C28" s="9" t="n">
        <f aca="false">SUM(C24:C27)</f>
        <v>653.2</v>
      </c>
      <c r="D28" s="9" t="n">
        <f aca="false">SUM(D24:D27)</f>
        <v>909.4</v>
      </c>
      <c r="E28" s="9" t="n">
        <f aca="false">SUM(E24:E27)</f>
        <v>443.6</v>
      </c>
      <c r="M28" s="8" t="s">
        <v>502</v>
      </c>
    </row>
    <row r="30" customFormat="false" ht="17.15" hidden="false" customHeight="false" outlineLevel="0" collapsed="false">
      <c r="A30" s="6" t="s">
        <v>503</v>
      </c>
    </row>
    <row r="31" customFormat="false" ht="15" hidden="false" customHeight="false" outlineLevel="0" collapsed="false">
      <c r="A31" s="5" t="s">
        <v>21</v>
      </c>
      <c r="B31" s="5" t="s">
        <v>504</v>
      </c>
      <c r="C31" s="5" t="s">
        <v>505</v>
      </c>
      <c r="D31" s="15" t="s">
        <v>506</v>
      </c>
      <c r="E31" s="5"/>
      <c r="F31" s="5"/>
      <c r="G31" s="5"/>
      <c r="H31" s="5"/>
      <c r="I31" s="5"/>
      <c r="J31" s="5"/>
      <c r="K31" s="5" t="s">
        <v>26</v>
      </c>
      <c r="L31" s="5" t="s">
        <v>374</v>
      </c>
      <c r="M31" s="5"/>
    </row>
    <row r="32" customFormat="false" ht="17.15" hidden="false" customHeight="false" outlineLevel="0" collapsed="false">
      <c r="A32" s="0" t="s">
        <v>507</v>
      </c>
      <c r="B32" s="9" t="n">
        <f aca="false">J4</f>
        <v>1724.8</v>
      </c>
      <c r="C32" s="9" t="n">
        <f aca="false">C40-C33-C34-C35-C36</f>
        <v>1524.52</v>
      </c>
      <c r="D32" s="9" t="n">
        <f aca="false">B32+C32</f>
        <v>3249.32</v>
      </c>
      <c r="L32" s="8" t="s">
        <v>508</v>
      </c>
    </row>
    <row r="33" customFormat="false" ht="17.15" hidden="false" customHeight="false" outlineLevel="0" collapsed="false">
      <c r="A33" s="4" t="s">
        <v>460</v>
      </c>
      <c r="B33" s="9" t="n">
        <f aca="false">J5</f>
        <v>414.8</v>
      </c>
      <c r="C33" s="9" t="n">
        <f aca="false">B33*(1+h2g)</f>
        <v>456.28</v>
      </c>
      <c r="D33" s="9" t="n">
        <f aca="false">B33+C33</f>
        <v>871.08</v>
      </c>
      <c r="L33" s="4" t="s">
        <v>509</v>
      </c>
    </row>
    <row r="34" customFormat="false" ht="15" hidden="false" customHeight="false" outlineLevel="0" collapsed="false">
      <c r="A34" s="0" t="s">
        <v>510</v>
      </c>
      <c r="B34" s="9" t="n">
        <f aca="false">J6</f>
        <v>93.1</v>
      </c>
      <c r="C34" s="9" t="n">
        <f aca="false">B34*(1+h2g)</f>
        <v>102.41</v>
      </c>
      <c r="D34" s="9" t="n">
        <f aca="false">B34+C34</f>
        <v>195.51</v>
      </c>
      <c r="L34" s="4" t="s">
        <v>39</v>
      </c>
    </row>
    <row r="35" customFormat="false" ht="15" hidden="false" customHeight="false" outlineLevel="0" collapsed="false">
      <c r="A35" s="0" t="s">
        <v>469</v>
      </c>
      <c r="B35" s="9" t="n">
        <f aca="false">J8</f>
        <v>187.7</v>
      </c>
      <c r="C35" s="9" t="n">
        <f aca="false">B35*(1+h2g)</f>
        <v>206.47</v>
      </c>
      <c r="D35" s="9" t="n">
        <f aca="false">B35+C35</f>
        <v>394.17</v>
      </c>
      <c r="L35" s="4" t="s">
        <v>39</v>
      </c>
    </row>
    <row r="36" customFormat="false" ht="17.15" hidden="false" customHeight="false" outlineLevel="0" collapsed="false">
      <c r="A36" s="4" t="s">
        <v>499</v>
      </c>
      <c r="B36" s="9" t="n">
        <f aca="false">J9</f>
        <v>191.2</v>
      </c>
      <c r="C36" s="9" t="n">
        <f aca="false">B36*(1+h2g)</f>
        <v>210.32</v>
      </c>
      <c r="D36" s="9" t="n">
        <f aca="false">B36+C36</f>
        <v>401.52</v>
      </c>
      <c r="L36" s="4" t="s">
        <v>511</v>
      </c>
    </row>
    <row r="37" customFormat="false" ht="17.15" hidden="false" customHeight="false" outlineLevel="0" collapsed="false">
      <c r="A37" s="4" t="s">
        <v>512</v>
      </c>
      <c r="B37" s="0" t="n">
        <f aca="false">B32+B33+B34+B35</f>
        <v>2420.4</v>
      </c>
      <c r="C37" s="0" t="n">
        <f aca="false">C32+C33+C34+C35</f>
        <v>2289.68</v>
      </c>
      <c r="D37" s="0" t="n">
        <f aca="false">B37+C37</f>
        <v>4710.08</v>
      </c>
    </row>
    <row r="38" customFormat="false" ht="15" hidden="false" customHeight="false" outlineLevel="0" collapsed="false">
      <c r="A38" s="4" t="s">
        <v>513</v>
      </c>
    </row>
    <row r="39" customFormat="false" ht="17.15" hidden="false" customHeight="false" outlineLevel="0" collapsed="false">
      <c r="A39" s="4" t="s">
        <v>514</v>
      </c>
      <c r="C39" s="9" t="n">
        <f aca="false">q3_rev*(1+q4_eq_q3)</f>
        <v>2500</v>
      </c>
      <c r="L39" s="8" t="s">
        <v>515</v>
      </c>
    </row>
    <row r="40" customFormat="false" ht="15" hidden="false" customHeight="false" outlineLevel="0" collapsed="false">
      <c r="A40" s="4" t="s">
        <v>474</v>
      </c>
      <c r="B40" s="9" t="n">
        <f aca="false">J10</f>
        <v>2611.5</v>
      </c>
      <c r="C40" s="9" t="n">
        <f aca="false">C39</f>
        <v>2500</v>
      </c>
      <c r="D40" s="9" t="n">
        <f aca="false">B40+C40</f>
        <v>5111.5</v>
      </c>
    </row>
    <row r="41" customFormat="false" ht="17.15" hidden="false" customHeight="false" outlineLevel="0" collapsed="false">
      <c r="A41" s="4" t="s">
        <v>516</v>
      </c>
      <c r="D41" s="11" t="n">
        <f aca="false">B40/D40</f>
        <v>0.510906778832045</v>
      </c>
    </row>
    <row r="42" customFormat="false" ht="17.15" hidden="false" customHeight="false" outlineLevel="0" collapsed="false">
      <c r="A42" s="4" t="s">
        <v>517</v>
      </c>
      <c r="B42" s="9" t="n">
        <f aca="false">J18</f>
        <v>773.4</v>
      </c>
      <c r="C42" s="9" t="n">
        <f aca="false">q3_eps*(1+q4_eq_q3)*sh26</f>
        <v>611.876</v>
      </c>
      <c r="D42" s="9" t="n">
        <f aca="false">B42+C42</f>
        <v>1385.276</v>
      </c>
    </row>
    <row r="43" customFormat="false" ht="15" hidden="false" customHeight="false" outlineLevel="0" collapsed="false">
      <c r="A43" s="4" t="s">
        <v>518</v>
      </c>
      <c r="B43" s="9" t="n">
        <f aca="false">J17</f>
        <v>-6.6</v>
      </c>
      <c r="C43" s="9" t="n">
        <f aca="false">B43</f>
        <v>-6.6</v>
      </c>
      <c r="D43" s="9" t="n">
        <f aca="false">B43+C43</f>
        <v>-13.2</v>
      </c>
    </row>
    <row r="44" customFormat="false" ht="17.15" hidden="false" customHeight="false" outlineLevel="0" collapsed="false">
      <c r="A44" s="4" t="s">
        <v>519</v>
      </c>
      <c r="B44" s="9" t="n">
        <f aca="false">J15</f>
        <v>909.3</v>
      </c>
      <c r="C44" s="9" t="n">
        <f aca="false">(C42-C43)/(1-etr)</f>
        <v>720.630736545361</v>
      </c>
      <c r="D44" s="9" t="n">
        <f aca="false">B44+C44</f>
        <v>1629.93073654536</v>
      </c>
    </row>
    <row r="45" customFormat="false" ht="15" hidden="false" customHeight="false" outlineLevel="0" collapsed="false">
      <c r="A45" s="4" t="s">
        <v>486</v>
      </c>
      <c r="B45" s="9" t="n">
        <f aca="false">J16</f>
        <v>128.9</v>
      </c>
      <c r="C45" s="9" t="n">
        <f aca="false">C44*etr</f>
        <v>102.154736545361</v>
      </c>
      <c r="D45" s="9" t="n">
        <f aca="false">B45+C45</f>
        <v>231.054736545361</v>
      </c>
    </row>
    <row r="46" customFormat="false" ht="15" hidden="false" customHeight="false" outlineLevel="0" collapsed="false">
      <c r="A46" s="4" t="s">
        <v>520</v>
      </c>
      <c r="B46" s="9" t="n">
        <f aca="false">D26</f>
        <v>-3.5</v>
      </c>
      <c r="C46" s="9" t="n">
        <f aca="false">rob_h2</f>
        <v>0</v>
      </c>
      <c r="D46" s="9" t="n">
        <f aca="false">B46+C46</f>
        <v>-3.5</v>
      </c>
    </row>
    <row r="47" customFormat="false" ht="15" hidden="false" customHeight="false" outlineLevel="0" collapsed="false">
      <c r="A47" s="4" t="s">
        <v>521</v>
      </c>
      <c r="B47" s="9" t="n">
        <f aca="false">D27</f>
        <v>-5.2</v>
      </c>
      <c r="C47" s="9" t="n">
        <f aca="false">B47</f>
        <v>-5.2</v>
      </c>
      <c r="D47" s="9" t="n">
        <f aca="false">B47+C47</f>
        <v>-10.4</v>
      </c>
    </row>
    <row r="48" customFormat="false" ht="15" hidden="false" customHeight="false" outlineLevel="0" collapsed="false">
      <c r="A48" s="4" t="s">
        <v>522</v>
      </c>
      <c r="B48" s="9" t="n">
        <f aca="false">B44-B46-B47</f>
        <v>918</v>
      </c>
      <c r="C48" s="9" t="n">
        <f aca="false">C44-C46-C47</f>
        <v>725.830736545361</v>
      </c>
      <c r="D48" s="9" t="n">
        <f aca="false">B48+C48</f>
        <v>1643.83073654536</v>
      </c>
    </row>
    <row r="49" customFormat="false" ht="17.15" hidden="false" customHeight="false" outlineLevel="0" collapsed="false">
      <c r="A49" s="0" t="s">
        <v>489</v>
      </c>
      <c r="D49" s="18" t="n">
        <f aca="false">D42/sh26</f>
        <v>8.78424857324033</v>
      </c>
    </row>
    <row r="50" customFormat="false" ht="17.15" hidden="false" customHeight="false" outlineLevel="0" collapsed="false">
      <c r="A50" s="4" t="s">
        <v>523</v>
      </c>
      <c r="B50" s="11" t="n">
        <f aca="false">J13</f>
        <v>0.603331418724871</v>
      </c>
      <c r="C50" s="19" t="n">
        <v>0.585</v>
      </c>
      <c r="D50" s="11" t="n">
        <f aca="false">(B40*B50+C40*C50)/D40</f>
        <v>0.594365646092145</v>
      </c>
    </row>
    <row r="51" customFormat="false" ht="17.15" hidden="false" customHeight="false" outlineLevel="0" collapsed="false">
      <c r="A51" s="4" t="s">
        <v>524</v>
      </c>
      <c r="B51" s="9" t="n">
        <f aca="false">F7+F8</f>
        <v>2881.8</v>
      </c>
      <c r="C51" s="9" t="n">
        <f aca="false">C24+C25</f>
        <v>761.4</v>
      </c>
    </row>
    <row r="52" customFormat="false" ht="17.15" hidden="false" customHeight="false" outlineLevel="0" collapsed="false">
      <c r="A52" s="4" t="s">
        <v>525</v>
      </c>
      <c r="B52" s="9" t="n">
        <f aca="false">J15</f>
        <v>909.3</v>
      </c>
      <c r="C52" s="9" t="n">
        <f aca="false">J16</f>
        <v>128.9</v>
      </c>
      <c r="D52" s="9" t="n">
        <f aca="false">J17</f>
        <v>-6.6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0"/>
    <col collapsed="false" customWidth="true" hidden="false" outlineLevel="0" max="7" min="3" style="0" width="12"/>
    <col collapsed="false" customWidth="true" hidden="false" outlineLevel="0" max="8" min="8" style="0" width="90"/>
  </cols>
  <sheetData>
    <row r="1" customFormat="false" ht="17.15" hidden="false" customHeight="false" outlineLevel="0" collapsed="false">
      <c r="A1" s="0" t="s">
        <v>526</v>
      </c>
    </row>
    <row r="3" customFormat="false" ht="15" hidden="false" customHeight="false" outlineLevel="0" collapsed="false">
      <c r="A3" s="5" t="s">
        <v>21</v>
      </c>
      <c r="B3" s="5" t="s">
        <v>22</v>
      </c>
      <c r="C3" s="15" t="s">
        <v>527</v>
      </c>
      <c r="D3" s="15" t="s">
        <v>528</v>
      </c>
      <c r="E3" s="15" t="s">
        <v>529</v>
      </c>
      <c r="F3" s="15" t="s">
        <v>530</v>
      </c>
      <c r="G3" s="15" t="s">
        <v>531</v>
      </c>
      <c r="H3" s="5" t="s">
        <v>374</v>
      </c>
    </row>
    <row r="4" customFormat="false" ht="17.15" hidden="false" customHeight="false" outlineLevel="0" collapsed="false">
      <c r="A4" s="1" t="s">
        <v>532</v>
      </c>
    </row>
    <row r="5" customFormat="false" ht="17.15" hidden="false" customHeight="false" outlineLevel="0" collapsed="false">
      <c r="A5" s="0" t="s">
        <v>533</v>
      </c>
      <c r="B5" s="0" t="s">
        <v>32</v>
      </c>
      <c r="C5" s="18" t="n">
        <f aca="false">mk_soc25</f>
        <v>6.9</v>
      </c>
      <c r="D5" s="18" t="n">
        <f aca="false">ms_A_2026</f>
        <v>11</v>
      </c>
      <c r="E5" s="18" t="n">
        <f aca="false">ms_A_2027</f>
        <v>15.4143580786026</v>
      </c>
      <c r="F5" s="18" t="n">
        <f aca="false">ms_A_2028</f>
        <v>17.2991836614041</v>
      </c>
      <c r="G5" s="18" t="n">
        <f aca="false">ms_A_2029</f>
        <v>19.2361762010077</v>
      </c>
    </row>
    <row r="6" customFormat="false" ht="15" hidden="false" customHeight="false" outlineLevel="0" collapsed="false">
      <c r="A6" s="4" t="s">
        <v>534</v>
      </c>
      <c r="B6" s="0" t="s">
        <v>32</v>
      </c>
      <c r="C6" s="18" t="n">
        <f aca="false">mk_mem25</f>
        <v>2.1</v>
      </c>
      <c r="D6" s="18" t="n">
        <f aca="false">mm_A_2026</f>
        <v>2.75</v>
      </c>
      <c r="E6" s="18" t="n">
        <f aca="false">mm_A_2027</f>
        <v>3.88007408374579</v>
      </c>
      <c r="F6" s="18" t="n">
        <f aca="false">mm_A_2028</f>
        <v>5.04607694610671</v>
      </c>
      <c r="G6" s="18" t="n">
        <f aca="false">mm_A_2029</f>
        <v>6.20223782078096</v>
      </c>
    </row>
    <row r="7" customFormat="false" ht="17.15" hidden="false" customHeight="false" outlineLevel="0" collapsed="false">
      <c r="A7" s="0" t="s">
        <v>535</v>
      </c>
      <c r="B7" s="0" t="s">
        <v>99</v>
      </c>
      <c r="C7" s="11" t="n">
        <f aca="false">as_A_2026</f>
        <v>0.66</v>
      </c>
      <c r="D7" s="11" t="n">
        <f aca="false">as_A_2026</f>
        <v>0.66</v>
      </c>
      <c r="E7" s="11" t="n">
        <f aca="false">as_A_2027</f>
        <v>0.66</v>
      </c>
      <c r="F7" s="11" t="n">
        <f aca="false">as_A_2028</f>
        <v>0.66</v>
      </c>
      <c r="G7" s="11" t="n">
        <f aca="false">as_A_2029</f>
        <v>0.66</v>
      </c>
    </row>
    <row r="8" customFormat="false" ht="17.15" hidden="false" customHeight="false" outlineLevel="0" collapsed="false">
      <c r="A8" s="4" t="s">
        <v>536</v>
      </c>
      <c r="B8" s="0" t="s">
        <v>99</v>
      </c>
      <c r="C8" s="11" t="n">
        <f aca="false">a25_soc/(mk_soc25*1000)</f>
        <v>0.273869565217391</v>
      </c>
      <c r="D8" s="11" t="n">
        <f aca="false">s_soc</f>
        <v>0.295392727272727</v>
      </c>
      <c r="E8" s="11" t="n">
        <f aca="false">s_soc</f>
        <v>0.295392727272727</v>
      </c>
      <c r="F8" s="11" t="n">
        <f aca="false">s_soc</f>
        <v>0.295392727272727</v>
      </c>
      <c r="G8" s="11" t="n">
        <f aca="false">s_soc</f>
        <v>0.295392727272727</v>
      </c>
    </row>
    <row r="9" customFormat="false" ht="17.15" hidden="false" customHeight="false" outlineLevel="0" collapsed="false">
      <c r="A9" s="4" t="s">
        <v>537</v>
      </c>
      <c r="B9" s="0" t="s">
        <v>99</v>
      </c>
      <c r="C9" s="11" t="n">
        <f aca="false">1-C7-C8</f>
        <v>0.0661304347826087</v>
      </c>
      <c r="D9" s="11" t="n">
        <f aca="false">1-D7-D8</f>
        <v>0.0446072727272727</v>
      </c>
      <c r="E9" s="11" t="n">
        <f aca="false">1-E7-E8</f>
        <v>0.0446072727272727</v>
      </c>
      <c r="F9" s="11" t="n">
        <f aca="false">1-F7-F8</f>
        <v>0.0446072727272727</v>
      </c>
      <c r="G9" s="11" t="n">
        <f aca="false">1-G7-G8</f>
        <v>0.0446072727272727</v>
      </c>
      <c r="H9" s="8" t="s">
        <v>538</v>
      </c>
    </row>
    <row r="10" customFormat="false" ht="17.15" hidden="false" customHeight="false" outlineLevel="0" collapsed="false">
      <c r="A10" s="0" t="s">
        <v>539</v>
      </c>
      <c r="B10" s="0" t="s">
        <v>99</v>
      </c>
      <c r="C10" s="11" t="n">
        <f aca="false">(mk_soc25+mk_mem25)/wfe_A_2025</f>
        <v>0.0769909659485756</v>
      </c>
      <c r="D10" s="11" t="n">
        <f aca="false">(ms_A_2026+mm_A_2026)/wfe_A_2026</f>
        <v>0.0859133291658267</v>
      </c>
      <c r="E10" s="11" t="n">
        <f aca="false">(ms_A_2027+mm_A_2027)/wfe_A_2027</f>
        <v>0.100077207336046</v>
      </c>
      <c r="F10" s="11" t="n">
        <f aca="false">(ms_A_2028+mm_A_2028)/wfe_A_2028</f>
        <v>0.103150082185545</v>
      </c>
      <c r="G10" s="11" t="n">
        <f aca="false">(ms_A_2029+mm_A_2029)/wfe_A_2029</f>
        <v>0.111131517724348</v>
      </c>
      <c r="H10" s="4" t="s">
        <v>540</v>
      </c>
    </row>
    <row r="12" customFormat="false" ht="17.15" hidden="false" customHeight="false" outlineLevel="0" collapsed="false">
      <c r="A12" s="1" t="s">
        <v>541</v>
      </c>
    </row>
    <row r="13" customFormat="false" ht="17.15" hidden="false" customHeight="false" outlineLevel="0" collapsed="false">
      <c r="A13" s="0" t="s">
        <v>533</v>
      </c>
      <c r="B13" s="0" t="s">
        <v>32</v>
      </c>
      <c r="C13" s="18" t="n">
        <f aca="false">mk_soc25</f>
        <v>6.9</v>
      </c>
      <c r="D13" s="18" t="n">
        <f aca="false">ms_B_2026</f>
        <v>11</v>
      </c>
      <c r="E13" s="18" t="n">
        <f aca="false">ms_B_2027</f>
        <v>15.4143580786026</v>
      </c>
      <c r="F13" s="18" t="n">
        <f aca="false">ms_B_2028</f>
        <v>14.7695229291233</v>
      </c>
      <c r="G13" s="18" t="n">
        <f aca="false">ms_B_2029</f>
        <v>17.0762870508566</v>
      </c>
    </row>
    <row r="14" customFormat="false" ht="15" hidden="false" customHeight="false" outlineLevel="0" collapsed="false">
      <c r="A14" s="4" t="s">
        <v>534</v>
      </c>
      <c r="B14" s="0" t="s">
        <v>32</v>
      </c>
      <c r="C14" s="18" t="n">
        <f aca="false">mk_mem25</f>
        <v>2.1</v>
      </c>
      <c r="D14" s="18" t="n">
        <f aca="false">mm_B_2026</f>
        <v>2.75</v>
      </c>
      <c r="E14" s="18" t="n">
        <f aca="false">mm_B_2027</f>
        <v>3.88007408374579</v>
      </c>
      <c r="F14" s="18" t="n">
        <f aca="false">mm_B_2028</f>
        <v>4.73784910426688</v>
      </c>
      <c r="G14" s="18" t="n">
        <f aca="false">mm_B_2029</f>
        <v>5.78997368915325</v>
      </c>
    </row>
    <row r="15" customFormat="false" ht="17.15" hidden="false" customHeight="false" outlineLevel="0" collapsed="false">
      <c r="A15" s="0" t="s">
        <v>535</v>
      </c>
      <c r="B15" s="0" t="s">
        <v>99</v>
      </c>
      <c r="C15" s="11" t="n">
        <f aca="false">as_A_2026</f>
        <v>0.66</v>
      </c>
      <c r="D15" s="11" t="n">
        <f aca="false">as_B_2026</f>
        <v>0.66</v>
      </c>
      <c r="E15" s="11" t="n">
        <f aca="false">as_B_2027</f>
        <v>0.66</v>
      </c>
      <c r="F15" s="11" t="n">
        <f aca="false">as_B_2028</f>
        <v>0.66</v>
      </c>
      <c r="G15" s="11" t="n">
        <f aca="false">as_B_2029</f>
        <v>0.66</v>
      </c>
    </row>
    <row r="16" customFormat="false" ht="17.15" hidden="false" customHeight="false" outlineLevel="0" collapsed="false">
      <c r="A16" s="4" t="s">
        <v>536</v>
      </c>
      <c r="B16" s="0" t="s">
        <v>99</v>
      </c>
      <c r="C16" s="11" t="n">
        <f aca="false">a25_soc/(mk_soc25*1000)</f>
        <v>0.273869565217391</v>
      </c>
      <c r="D16" s="11" t="n">
        <f aca="false">s_soc</f>
        <v>0.295392727272727</v>
      </c>
      <c r="E16" s="11" t="n">
        <f aca="false">s_soc</f>
        <v>0.295392727272727</v>
      </c>
      <c r="F16" s="11" t="n">
        <f aca="false">s_soc</f>
        <v>0.295392727272727</v>
      </c>
      <c r="G16" s="11" t="n">
        <f aca="false">s_soc</f>
        <v>0.295392727272727</v>
      </c>
    </row>
    <row r="17" customFormat="false" ht="17.15" hidden="false" customHeight="false" outlineLevel="0" collapsed="false">
      <c r="A17" s="4" t="s">
        <v>537</v>
      </c>
      <c r="B17" s="0" t="s">
        <v>99</v>
      </c>
      <c r="C17" s="11" t="n">
        <f aca="false">1-C15-C16</f>
        <v>0.0661304347826087</v>
      </c>
      <c r="D17" s="11" t="n">
        <f aca="false">1-D15-D16</f>
        <v>0.0446072727272727</v>
      </c>
      <c r="E17" s="11" t="n">
        <f aca="false">1-E15-E16</f>
        <v>0.0446072727272727</v>
      </c>
      <c r="F17" s="11" t="n">
        <f aca="false">1-F15-F16</f>
        <v>0.0446072727272727</v>
      </c>
      <c r="G17" s="11" t="n">
        <f aca="false">1-G15-G16</f>
        <v>0.0446072727272727</v>
      </c>
      <c r="H17" s="8" t="s">
        <v>538</v>
      </c>
    </row>
    <row r="18" customFormat="false" ht="17.15" hidden="false" customHeight="false" outlineLevel="0" collapsed="false">
      <c r="A18" s="0" t="s">
        <v>539</v>
      </c>
      <c r="B18" s="0" t="s">
        <v>99</v>
      </c>
      <c r="C18" s="11" t="n">
        <f aca="false">(mk_soc25+mk_mem25)/wfe_B_2025</f>
        <v>0.0769909659485756</v>
      </c>
      <c r="D18" s="11" t="n">
        <f aca="false">(ms_B_2026+mm_B_2026)/wfe_B_2026</f>
        <v>0.0859133291658267</v>
      </c>
      <c r="E18" s="11" t="n">
        <f aca="false">(ms_B_2027+mm_B_2027)/wfe_B_2027</f>
        <v>0.100077207336046</v>
      </c>
      <c r="F18" s="11" t="n">
        <f aca="false">(ms_B_2028+mm_B_2028)/wfe_B_2028</f>
        <v>0.101181693202489</v>
      </c>
      <c r="G18" s="11" t="n">
        <f aca="false">(ms_B_2029+mm_B_2029)/wfe_B_2029</f>
        <v>0.124846025817348</v>
      </c>
      <c r="H18" s="4" t="s">
        <v>540</v>
      </c>
    </row>
    <row r="20" customFormat="false" ht="17.15" hidden="false" customHeight="false" outlineLevel="0" collapsed="false">
      <c r="A20" s="1" t="s">
        <v>542</v>
      </c>
    </row>
    <row r="21" customFormat="false" ht="17.15" hidden="false" customHeight="false" outlineLevel="0" collapsed="false">
      <c r="A21" s="0" t="s">
        <v>533</v>
      </c>
      <c r="B21" s="0" t="s">
        <v>32</v>
      </c>
      <c r="C21" s="18" t="n">
        <f aca="false">mk_soc25</f>
        <v>6.9</v>
      </c>
      <c r="D21" s="18" t="n">
        <f aca="false">ms_C_2026</f>
        <v>11</v>
      </c>
      <c r="E21" s="18" t="n">
        <f aca="false">ms_C_2027</f>
        <v>15.4143580786026</v>
      </c>
      <c r="F21" s="18" t="n">
        <f aca="false">ms_C_2028</f>
        <v>12.2398621968425</v>
      </c>
      <c r="G21" s="18" t="n">
        <f aca="false">ms_C_2029</f>
        <v>13.4764718006046</v>
      </c>
    </row>
    <row r="22" customFormat="false" ht="15" hidden="false" customHeight="false" outlineLevel="0" collapsed="false">
      <c r="A22" s="4" t="s">
        <v>534</v>
      </c>
      <c r="B22" s="0" t="s">
        <v>32</v>
      </c>
      <c r="C22" s="18" t="n">
        <f aca="false">mk_mem25</f>
        <v>2.1</v>
      </c>
      <c r="D22" s="18" t="n">
        <f aca="false">mm_C_2026</f>
        <v>2.75</v>
      </c>
      <c r="E22" s="18" t="n">
        <f aca="false">mm_C_2027</f>
        <v>3.88007408374579</v>
      </c>
      <c r="F22" s="18" t="n">
        <f aca="false">mm_C_2028</f>
        <v>3.64082803238745</v>
      </c>
      <c r="G22" s="18" t="n">
        <f aca="false">mm_C_2029</f>
        <v>4.31335866200469</v>
      </c>
    </row>
    <row r="23" customFormat="false" ht="17.15" hidden="false" customHeight="false" outlineLevel="0" collapsed="false">
      <c r="A23" s="0" t="s">
        <v>535</v>
      </c>
      <c r="B23" s="0" t="s">
        <v>99</v>
      </c>
      <c r="C23" s="11" t="n">
        <f aca="false">as_A_2026</f>
        <v>0.66</v>
      </c>
      <c r="D23" s="11" t="n">
        <f aca="false">as_C_2026</f>
        <v>0.66</v>
      </c>
      <c r="E23" s="11" t="n">
        <f aca="false">as_C_2027</f>
        <v>0.66</v>
      </c>
      <c r="F23" s="11" t="n">
        <f aca="false">as_C_2028</f>
        <v>0.61</v>
      </c>
      <c r="G23" s="11" t="n">
        <f aca="false">as_C_2029</f>
        <v>0.56</v>
      </c>
    </row>
    <row r="24" customFormat="false" ht="17.15" hidden="false" customHeight="false" outlineLevel="0" collapsed="false">
      <c r="A24" s="4" t="s">
        <v>536</v>
      </c>
      <c r="B24" s="0" t="s">
        <v>99</v>
      </c>
      <c r="C24" s="11" t="n">
        <f aca="false">a25_soc/(mk_soc25*1000)</f>
        <v>0.273869565217391</v>
      </c>
      <c r="D24" s="11" t="n">
        <f aca="false">s_soc</f>
        <v>0.295392727272727</v>
      </c>
      <c r="E24" s="11" t="n">
        <f aca="false">(s_soc+adv_sh26-as_C_2027)</f>
        <v>0.295392727272727</v>
      </c>
      <c r="F24" s="11" t="n">
        <f aca="false">(s_soc+adv_sh26-as_C_2028)</f>
        <v>0.345392727272727</v>
      </c>
      <c r="G24" s="11" t="n">
        <f aca="false">(s_soc+adv_sh26-as_C_2029)</f>
        <v>0.395392727272727</v>
      </c>
    </row>
    <row r="25" customFormat="false" ht="17.15" hidden="false" customHeight="false" outlineLevel="0" collapsed="false">
      <c r="A25" s="4" t="s">
        <v>537</v>
      </c>
      <c r="B25" s="0" t="s">
        <v>99</v>
      </c>
      <c r="C25" s="11" t="n">
        <f aca="false">1-C23-C24</f>
        <v>0.0661304347826087</v>
      </c>
      <c r="D25" s="11" t="n">
        <f aca="false">1-D23-D24</f>
        <v>0.0446072727272727</v>
      </c>
      <c r="E25" s="11" t="n">
        <f aca="false">1-E23-E24</f>
        <v>0.0446072727272727</v>
      </c>
      <c r="F25" s="11" t="n">
        <f aca="false">1-F23-F24</f>
        <v>0.0446072727272727</v>
      </c>
      <c r="G25" s="11" t="n">
        <f aca="false">1-G23-G24</f>
        <v>0.0446072727272727</v>
      </c>
      <c r="H25" s="8" t="s">
        <v>538</v>
      </c>
    </row>
    <row r="26" customFormat="false" ht="17.15" hidden="false" customHeight="false" outlineLevel="0" collapsed="false">
      <c r="A26" s="0" t="s">
        <v>539</v>
      </c>
      <c r="B26" s="0" t="s">
        <v>99</v>
      </c>
      <c r="C26" s="11" t="n">
        <f aca="false">(mk_soc25+mk_mem25)/wfe_C_2025</f>
        <v>0.0769909659485756</v>
      </c>
      <c r="D26" s="11" t="n">
        <f aca="false">(ms_C_2026+mm_C_2026)/wfe_C_2026</f>
        <v>0.0859133291658267</v>
      </c>
      <c r="E26" s="11" t="n">
        <f aca="false">(ms_C_2027+mm_C_2027)/wfe_C_2027</f>
        <v>0.100077207336046</v>
      </c>
      <c r="F26" s="11" t="n">
        <f aca="false">(ms_C_2028+mm_C_2028)/wfe_C_2028</f>
        <v>0.102963326112516</v>
      </c>
      <c r="G26" s="11" t="n">
        <f aca="false">(ms_C_2029+mm_C_2029)/wfe_C_2029</f>
        <v>0.115341341526616</v>
      </c>
      <c r="H26" s="4" t="s">
        <v>540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8" min="8" style="0" width="60"/>
    <col collapsed="false" customWidth="true" hidden="false" outlineLevel="0" max="10" min="9" style="0" width="14"/>
    <col collapsed="false" customWidth="true" hidden="false" outlineLevel="0" max="11" min="11" style="0" width="40"/>
  </cols>
  <sheetData>
    <row r="1" customFormat="false" ht="17.15" hidden="false" customHeight="false" outlineLevel="0" collapsed="false">
      <c r="A1" s="0" t="s">
        <v>543</v>
      </c>
    </row>
    <row r="3" customFormat="false" ht="15" hidden="false" customHeight="false" outlineLevel="0" collapsed="false">
      <c r="A3" s="5" t="s">
        <v>544</v>
      </c>
      <c r="B3" s="5" t="s">
        <v>22</v>
      </c>
      <c r="C3" s="15" t="s">
        <v>545</v>
      </c>
      <c r="D3" s="15" t="s">
        <v>506</v>
      </c>
      <c r="E3" s="15" t="s">
        <v>546</v>
      </c>
      <c r="F3" s="15" t="s">
        <v>547</v>
      </c>
      <c r="G3" s="15" t="s">
        <v>548</v>
      </c>
      <c r="H3" s="5" t="s">
        <v>374</v>
      </c>
    </row>
    <row r="4" customFormat="false" ht="17.15" hidden="false" customHeight="false" outlineLevel="0" collapsed="false">
      <c r="A4" s="1" t="s">
        <v>532</v>
      </c>
    </row>
    <row r="5" customFormat="false" ht="15" hidden="false" customHeight="false" outlineLevel="0" collapsed="false">
      <c r="A5" s="4" t="s">
        <v>474</v>
      </c>
      <c r="B5" s="0" t="s">
        <v>197</v>
      </c>
      <c r="C5" s="20" t="n">
        <f aca="false">C61</f>
        <v>3190.1</v>
      </c>
      <c r="D5" s="20" t="n">
        <f aca="false">D61</f>
        <v>5111.6</v>
      </c>
      <c r="E5" s="20" t="n">
        <f aca="false">E61</f>
        <v>6923.67222467179</v>
      </c>
      <c r="F5" s="20" t="n">
        <f aca="false">F61</f>
        <v>7961.49851319757</v>
      </c>
      <c r="G5" s="20" t="n">
        <f aca="false">G61</f>
        <v>9019.68544869644</v>
      </c>
    </row>
    <row r="6" customFormat="false" ht="17.15" hidden="false" customHeight="false" outlineLevel="0" collapsed="false">
      <c r="A6" s="0" t="s">
        <v>549</v>
      </c>
      <c r="B6" s="0" t="s">
        <v>197</v>
      </c>
      <c r="C6" s="20" t="n">
        <f aca="false">C49</f>
        <v>1889.7</v>
      </c>
      <c r="D6" s="20" t="n">
        <f aca="false">D49</f>
        <v>3249.32</v>
      </c>
      <c r="E6" s="20" t="n">
        <f aca="false">E49</f>
        <v>4553.28927199682</v>
      </c>
      <c r="F6" s="20" t="n">
        <f aca="false">F49</f>
        <v>5110.05304133396</v>
      </c>
      <c r="G6" s="20" t="n">
        <f aca="false">G49</f>
        <v>5682.22655031439</v>
      </c>
    </row>
    <row r="7" customFormat="false" ht="15" hidden="false" customHeight="false" outlineLevel="0" collapsed="false">
      <c r="A7" s="4" t="s">
        <v>550</v>
      </c>
      <c r="B7" s="0" t="s">
        <v>197</v>
      </c>
      <c r="C7" s="20" t="n">
        <f aca="false">C51</f>
        <v>504.9</v>
      </c>
      <c r="D7" s="20" t="n">
        <f aca="false">D51</f>
        <v>871.08</v>
      </c>
      <c r="E7" s="20" t="n">
        <f aca="false">E51</f>
        <v>1229.03815740701</v>
      </c>
      <c r="F7" s="20" t="n">
        <f aca="false">F51</f>
        <v>1598.37698407805</v>
      </c>
      <c r="G7" s="20" t="n">
        <f aca="false">G51</f>
        <v>1964.5982985185</v>
      </c>
    </row>
    <row r="8" customFormat="false" ht="17.15" hidden="false" customHeight="false" outlineLevel="0" collapsed="false">
      <c r="A8" s="4" t="s">
        <v>551</v>
      </c>
      <c r="B8" s="0" t="s">
        <v>197</v>
      </c>
      <c r="C8" s="20" t="n">
        <f aca="false">C58</f>
        <v>308.3</v>
      </c>
      <c r="D8" s="20" t="n">
        <f aca="false">D58</f>
        <v>401.52</v>
      </c>
      <c r="E8" s="20" t="n">
        <f aca="false">E58</f>
        <v>441.672</v>
      </c>
      <c r="F8" s="20" t="n">
        <f aca="false">F58</f>
        <v>485.8392</v>
      </c>
      <c r="G8" s="20" t="n">
        <f aca="false">G58</f>
        <v>534.42312</v>
      </c>
    </row>
    <row r="9" customFormat="false" ht="15" hidden="false" customHeight="false" outlineLevel="0" collapsed="false">
      <c r="A9" s="4" t="s">
        <v>552</v>
      </c>
      <c r="B9" s="0" t="s">
        <v>99</v>
      </c>
      <c r="C9" s="11" t="n">
        <f aca="false">C71</f>
        <v>0.582225705329154</v>
      </c>
      <c r="D9" s="11" t="n">
        <f aca="false">D71</f>
        <v>0.594365646092145</v>
      </c>
      <c r="E9" s="11" t="n">
        <f aca="false">E71</f>
        <v>0.601175024106483</v>
      </c>
      <c r="F9" s="11" t="n">
        <f aca="false">F71</f>
        <v>0.596278377073082</v>
      </c>
      <c r="G9" s="11" t="n">
        <f aca="false">G71</f>
        <v>0.592600095867661</v>
      </c>
    </row>
    <row r="10" customFormat="false" ht="15" hidden="false" customHeight="false" outlineLevel="0" collapsed="false">
      <c r="A10" s="4" t="s">
        <v>553</v>
      </c>
      <c r="B10" s="0" t="s">
        <v>197</v>
      </c>
      <c r="C10" s="20" t="n">
        <f aca="false">C63</f>
        <v>653.2</v>
      </c>
      <c r="D10" s="20" t="n">
        <f aca="false">D63</f>
        <v>1629.93073654536</v>
      </c>
      <c r="E10" s="20" t="n">
        <f aca="false">E63</f>
        <v>2497.49251627273</v>
      </c>
      <c r="F10" s="20" t="n">
        <f aca="false">F63</f>
        <v>2987.68839621597</v>
      </c>
      <c r="G10" s="20" t="n">
        <f aca="false">G63</f>
        <v>3482.26717188148</v>
      </c>
    </row>
    <row r="11" customFormat="false" ht="15" hidden="false" customHeight="false" outlineLevel="0" collapsed="false">
      <c r="A11" s="4" t="s">
        <v>554</v>
      </c>
      <c r="B11" s="0" t="s">
        <v>99</v>
      </c>
      <c r="C11" s="11" t="n">
        <f aca="false">C64</f>
        <v>0.204758471521269</v>
      </c>
      <c r="D11" s="11" t="n">
        <f aca="false">D64</f>
        <v>0.318868991420565</v>
      </c>
      <c r="E11" s="11" t="n">
        <f aca="false">E64</f>
        <v>0.36071790160331</v>
      </c>
      <c r="F11" s="11" t="n">
        <f aca="false">F64</f>
        <v>0.375267092151479</v>
      </c>
      <c r="G11" s="11" t="n">
        <f aca="false">G64</f>
        <v>0.386074125498994</v>
      </c>
    </row>
    <row r="12" customFormat="false" ht="15" hidden="false" customHeight="false" outlineLevel="0" collapsed="false">
      <c r="A12" s="4" t="s">
        <v>555</v>
      </c>
      <c r="B12" s="0" t="s">
        <v>197</v>
      </c>
      <c r="C12" s="20" t="n">
        <f aca="false">C67</f>
        <v>554</v>
      </c>
      <c r="D12" s="20" t="n">
        <f aca="false">D67</f>
        <v>1385.276</v>
      </c>
      <c r="E12" s="20" t="n">
        <f aca="false">E67</f>
        <v>2130.2544811385</v>
      </c>
      <c r="F12" s="20" t="n">
        <f aca="false">F67</f>
        <v>2550.96146970961</v>
      </c>
      <c r="G12" s="20" t="n">
        <f aca="false">G67</f>
        <v>2975.43004611933</v>
      </c>
    </row>
    <row r="13" customFormat="false" ht="15" hidden="false" customHeight="false" outlineLevel="0" collapsed="false">
      <c r="A13" s="0" t="s">
        <v>556</v>
      </c>
      <c r="B13" s="0" t="s">
        <v>202</v>
      </c>
      <c r="C13" s="18" t="n">
        <f aca="false">C69</f>
        <v>3.47</v>
      </c>
      <c r="D13" s="18" t="n">
        <f aca="false">D69</f>
        <v>8.78424857324033</v>
      </c>
      <c r="E13" s="18" t="n">
        <f aca="false">E69</f>
        <v>13.6447191069765</v>
      </c>
      <c r="F13" s="18" t="n">
        <f aca="false">F69</f>
        <v>16.5044788870469</v>
      </c>
      <c r="G13" s="18" t="n">
        <f aca="false">G69</f>
        <v>19.4452023619426</v>
      </c>
    </row>
    <row r="15" customFormat="false" ht="17.15" hidden="false" customHeight="false" outlineLevel="0" collapsed="false">
      <c r="A15" s="1" t="s">
        <v>541</v>
      </c>
    </row>
    <row r="16" customFormat="false" ht="15" hidden="false" customHeight="false" outlineLevel="0" collapsed="false">
      <c r="A16" s="4" t="s">
        <v>474</v>
      </c>
      <c r="B16" s="0" t="s">
        <v>197</v>
      </c>
      <c r="C16" s="20" t="n">
        <f aca="false">C91</f>
        <v>3190.1</v>
      </c>
      <c r="D16" s="20" t="n">
        <f aca="false">D91</f>
        <v>5111.6</v>
      </c>
      <c r="E16" s="20" t="n">
        <f aca="false">E91</f>
        <v>6911.84712467179</v>
      </c>
      <c r="F16" s="20" t="n">
        <f aca="false">F91</f>
        <v>7046.47326708282</v>
      </c>
      <c r="G16" s="20" t="n">
        <f aca="false">G91</f>
        <v>8172.45389770389</v>
      </c>
    </row>
    <row r="17" customFormat="false" ht="17.15" hidden="false" customHeight="false" outlineLevel="0" collapsed="false">
      <c r="A17" s="0" t="s">
        <v>549</v>
      </c>
      <c r="B17" s="0" t="s">
        <v>197</v>
      </c>
      <c r="C17" s="20" t="n">
        <f aca="false">C79</f>
        <v>1889.7</v>
      </c>
      <c r="D17" s="20" t="n">
        <f aca="false">D79</f>
        <v>3249.32</v>
      </c>
      <c r="E17" s="20" t="n">
        <f aca="false">E79</f>
        <v>4553.28927199682</v>
      </c>
      <c r="F17" s="20" t="n">
        <f aca="false">F79</f>
        <v>4362.80965855081</v>
      </c>
      <c r="G17" s="20" t="n">
        <f aca="false">G79</f>
        <v>5044.21100364449</v>
      </c>
    </row>
    <row r="18" customFormat="false" ht="15" hidden="false" customHeight="false" outlineLevel="0" collapsed="false">
      <c r="A18" s="4" t="s">
        <v>550</v>
      </c>
      <c r="B18" s="0" t="s">
        <v>197</v>
      </c>
      <c r="C18" s="20" t="n">
        <f aca="false">C81</f>
        <v>504.9</v>
      </c>
      <c r="D18" s="20" t="n">
        <f aca="false">D81</f>
        <v>871.08</v>
      </c>
      <c r="E18" s="20" t="n">
        <f aca="false">E81</f>
        <v>1229.03815740701</v>
      </c>
      <c r="F18" s="20" t="n">
        <f aca="false">F81</f>
        <v>1500.74385372538</v>
      </c>
      <c r="G18" s="20" t="n">
        <f aca="false">G81</f>
        <v>1834.01101132641</v>
      </c>
    </row>
    <row r="19" customFormat="false" ht="17.15" hidden="false" customHeight="false" outlineLevel="0" collapsed="false">
      <c r="A19" s="4" t="s">
        <v>551</v>
      </c>
      <c r="B19" s="0" t="s">
        <v>197</v>
      </c>
      <c r="C19" s="20" t="n">
        <f aca="false">C88</f>
        <v>308.3</v>
      </c>
      <c r="D19" s="20" t="n">
        <f aca="false">D88</f>
        <v>401.52</v>
      </c>
      <c r="E19" s="20" t="n">
        <f aca="false">E88</f>
        <v>441.672</v>
      </c>
      <c r="F19" s="20" t="n">
        <f aca="false">F88</f>
        <v>485.8392</v>
      </c>
      <c r="G19" s="20" t="n">
        <f aca="false">G88</f>
        <v>534.42312</v>
      </c>
    </row>
    <row r="20" customFormat="false" ht="15" hidden="false" customHeight="false" outlineLevel="0" collapsed="false">
      <c r="A20" s="4" t="s">
        <v>552</v>
      </c>
      <c r="B20" s="0" t="s">
        <v>99</v>
      </c>
      <c r="C20" s="11" t="n">
        <f aca="false">C101</f>
        <v>0.582225705329154</v>
      </c>
      <c r="D20" s="11" t="n">
        <f aca="false">D101</f>
        <v>0.594365646092145</v>
      </c>
      <c r="E20" s="11" t="n">
        <f aca="false">E101</f>
        <v>0.601523822319888</v>
      </c>
      <c r="F20" s="11" t="n">
        <f aca="false">F101</f>
        <v>0.589241891206701</v>
      </c>
      <c r="G20" s="11" t="n">
        <f aca="false">G101</f>
        <v>0.588644542452108</v>
      </c>
    </row>
    <row r="21" customFormat="false" ht="15" hidden="false" customHeight="false" outlineLevel="0" collapsed="false">
      <c r="A21" s="4" t="s">
        <v>553</v>
      </c>
      <c r="B21" s="0" t="s">
        <v>197</v>
      </c>
      <c r="C21" s="20" t="n">
        <f aca="false">C93</f>
        <v>653.2</v>
      </c>
      <c r="D21" s="20" t="n">
        <f aca="false">D93</f>
        <v>1629.93073654536</v>
      </c>
      <c r="E21" s="20" t="n">
        <f aca="false">E93</f>
        <v>2491.78505805915</v>
      </c>
      <c r="F21" s="20" t="n">
        <f aca="false">F93</f>
        <v>2546.04575838881</v>
      </c>
      <c r="G21" s="20" t="n">
        <f aca="false">G93</f>
        <v>3073.34558352147</v>
      </c>
    </row>
    <row r="22" customFormat="false" ht="15" hidden="false" customHeight="false" outlineLevel="0" collapsed="false">
      <c r="A22" s="4" t="s">
        <v>554</v>
      </c>
      <c r="B22" s="0" t="s">
        <v>99</v>
      </c>
      <c r="C22" s="11" t="n">
        <f aca="false">C94</f>
        <v>0.204758471521269</v>
      </c>
      <c r="D22" s="11" t="n">
        <f aca="false">D94</f>
        <v>0.318868991420565</v>
      </c>
      <c r="E22" s="11" t="n">
        <f aca="false">E94</f>
        <v>0.3605092840038</v>
      </c>
      <c r="F22" s="11" t="n">
        <f aca="false">F94</f>
        <v>0.361321992135061</v>
      </c>
      <c r="G22" s="11" t="n">
        <f aca="false">G94</f>
        <v>0.376061538185606</v>
      </c>
    </row>
    <row r="23" customFormat="false" ht="15" hidden="false" customHeight="false" outlineLevel="0" collapsed="false">
      <c r="A23" s="4" t="s">
        <v>555</v>
      </c>
      <c r="B23" s="0" t="s">
        <v>197</v>
      </c>
      <c r="C23" s="20" t="n">
        <f aca="false">C97</f>
        <v>554</v>
      </c>
      <c r="D23" s="20" t="n">
        <f aca="false">D97</f>
        <v>1385.276</v>
      </c>
      <c r="E23" s="20" t="n">
        <f aca="false">E97</f>
        <v>2125.35609733791</v>
      </c>
      <c r="F23" s="20" t="n">
        <f aca="false">F97</f>
        <v>2171.92494209461</v>
      </c>
      <c r="G23" s="20" t="n">
        <f aca="false">G97</f>
        <v>2624.47611721122</v>
      </c>
    </row>
    <row r="24" customFormat="false" ht="15" hidden="false" customHeight="false" outlineLevel="0" collapsed="false">
      <c r="A24" s="0" t="s">
        <v>556</v>
      </c>
      <c r="B24" s="0" t="s">
        <v>202</v>
      </c>
      <c r="C24" s="18" t="n">
        <f aca="false">C99</f>
        <v>3.47</v>
      </c>
      <c r="D24" s="18" t="n">
        <f aca="false">D99</f>
        <v>8.78424857324033</v>
      </c>
      <c r="E24" s="18" t="n">
        <f aca="false">E99</f>
        <v>13.6133439489243</v>
      </c>
      <c r="F24" s="18" t="n">
        <f aca="false">F99</f>
        <v>14.0521484846777</v>
      </c>
      <c r="G24" s="18" t="n">
        <f aca="false">G99</f>
        <v>17.1516279671294</v>
      </c>
    </row>
    <row r="26" customFormat="false" ht="17.15" hidden="false" customHeight="false" outlineLevel="0" collapsed="false">
      <c r="A26" s="1" t="s">
        <v>542</v>
      </c>
    </row>
    <row r="27" customFormat="false" ht="15" hidden="false" customHeight="false" outlineLevel="0" collapsed="false">
      <c r="A27" s="4" t="s">
        <v>474</v>
      </c>
      <c r="B27" s="0" t="s">
        <v>197</v>
      </c>
      <c r="C27" s="20" t="n">
        <f aca="false">C121</f>
        <v>3190.1</v>
      </c>
      <c r="D27" s="20" t="n">
        <f aca="false">D121</f>
        <v>5111.6</v>
      </c>
      <c r="E27" s="20" t="n">
        <f aca="false">E121</f>
        <v>6900.02202467179</v>
      </c>
      <c r="F27" s="20" t="n">
        <f aca="false">F121</f>
        <v>6494.29536160187</v>
      </c>
      <c r="G27" s="20" t="n">
        <f aca="false">G121</f>
        <v>7887.02813069982</v>
      </c>
    </row>
    <row r="28" customFormat="false" ht="17.15" hidden="false" customHeight="false" outlineLevel="0" collapsed="false">
      <c r="A28" s="0" t="s">
        <v>549</v>
      </c>
      <c r="B28" s="0" t="s">
        <v>197</v>
      </c>
      <c r="C28" s="20" t="n">
        <f aca="false">C109</f>
        <v>1889.7</v>
      </c>
      <c r="D28" s="20" t="n">
        <f aca="false">D109</f>
        <v>3249.32</v>
      </c>
      <c r="E28" s="20" t="n">
        <f aca="false">E109</f>
        <v>4553.28927199682</v>
      </c>
      <c r="F28" s="20" t="n">
        <f aca="false">F109</f>
        <v>4227.55938560979</v>
      </c>
      <c r="G28" s="20" t="n">
        <f aca="false">G109</f>
        <v>5328.49893925505</v>
      </c>
    </row>
    <row r="29" customFormat="false" ht="15" hidden="false" customHeight="false" outlineLevel="0" collapsed="false">
      <c r="A29" s="4" t="s">
        <v>550</v>
      </c>
      <c r="B29" s="0" t="s">
        <v>197</v>
      </c>
      <c r="C29" s="20" t="n">
        <f aca="false">C111</f>
        <v>504.9</v>
      </c>
      <c r="D29" s="20" t="n">
        <f aca="false">D111</f>
        <v>871.08</v>
      </c>
      <c r="E29" s="20" t="n">
        <f aca="false">E111</f>
        <v>1229.03815740701</v>
      </c>
      <c r="F29" s="20" t="n">
        <f aca="false">F111</f>
        <v>1153.25544816439</v>
      </c>
      <c r="G29" s="20" t="n">
        <f aca="false">G111</f>
        <v>1366.28380483602</v>
      </c>
    </row>
    <row r="30" customFormat="false" ht="17.15" hidden="false" customHeight="false" outlineLevel="0" collapsed="false">
      <c r="A30" s="4" t="s">
        <v>551</v>
      </c>
      <c r="B30" s="0" t="s">
        <v>197</v>
      </c>
      <c r="C30" s="20" t="n">
        <f aca="false">C118</f>
        <v>308.3</v>
      </c>
      <c r="D30" s="20" t="n">
        <f aca="false">D118</f>
        <v>401.52</v>
      </c>
      <c r="E30" s="20" t="n">
        <f aca="false">E118</f>
        <v>441.672</v>
      </c>
      <c r="F30" s="20" t="n">
        <f aca="false">F118</f>
        <v>485.8392</v>
      </c>
      <c r="G30" s="20" t="n">
        <f aca="false">G118</f>
        <v>534.42312</v>
      </c>
    </row>
    <row r="31" customFormat="false" ht="15" hidden="false" customHeight="false" outlineLevel="0" collapsed="false">
      <c r="A31" s="4" t="s">
        <v>552</v>
      </c>
      <c r="B31" s="0" t="s">
        <v>99</v>
      </c>
      <c r="C31" s="11" t="n">
        <f aca="false">C131</f>
        <v>0.582225705329154</v>
      </c>
      <c r="D31" s="11" t="n">
        <f aca="false">D131</f>
        <v>0.594365646092145</v>
      </c>
      <c r="E31" s="11" t="n">
        <f aca="false">E131</f>
        <v>0.601873816058102</v>
      </c>
      <c r="F31" s="11" t="n">
        <f aca="false">F131</f>
        <v>0.589105486037201</v>
      </c>
      <c r="G31" s="11" t="n">
        <f aca="false">G131</f>
        <v>0.586743440937406</v>
      </c>
    </row>
    <row r="32" customFormat="false" ht="15" hidden="false" customHeight="false" outlineLevel="0" collapsed="false">
      <c r="A32" s="4" t="s">
        <v>553</v>
      </c>
      <c r="B32" s="0" t="s">
        <v>197</v>
      </c>
      <c r="C32" s="20" t="n">
        <f aca="false">C123</f>
        <v>653.2</v>
      </c>
      <c r="D32" s="20" t="n">
        <f aca="false">D123</f>
        <v>1629.93073654536</v>
      </c>
      <c r="E32" s="20" t="n">
        <f aca="false">E123</f>
        <v>2486.07759984557</v>
      </c>
      <c r="F32" s="20" t="n">
        <f aca="false">F123</f>
        <v>2219.44908930696</v>
      </c>
      <c r="G32" s="20" t="n">
        <f aca="false">G123</f>
        <v>2788.53095797961</v>
      </c>
    </row>
    <row r="33" customFormat="false" ht="15" hidden="false" customHeight="false" outlineLevel="0" collapsed="false">
      <c r="A33" s="4" t="s">
        <v>554</v>
      </c>
      <c r="B33" s="0" t="s">
        <v>99</v>
      </c>
      <c r="C33" s="11" t="n">
        <f aca="false">C124</f>
        <v>0.204758471521269</v>
      </c>
      <c r="D33" s="11" t="n">
        <f aca="false">D124</f>
        <v>0.318868991420565</v>
      </c>
      <c r="E33" s="11" t="n">
        <f aca="false">E124</f>
        <v>0.360299951356144</v>
      </c>
      <c r="F33" s="11" t="n">
        <f aca="false">F124</f>
        <v>0.341753641577447</v>
      </c>
      <c r="G33" s="11" t="n">
        <f aca="false">G124</f>
        <v>0.353559149500864</v>
      </c>
    </row>
    <row r="34" customFormat="false" ht="15" hidden="false" customHeight="false" outlineLevel="0" collapsed="false">
      <c r="A34" s="4" t="s">
        <v>555</v>
      </c>
      <c r="B34" s="0" t="s">
        <v>197</v>
      </c>
      <c r="C34" s="20" t="n">
        <f aca="false">C127</f>
        <v>554</v>
      </c>
      <c r="D34" s="20" t="n">
        <f aca="false">D127</f>
        <v>1385.276</v>
      </c>
      <c r="E34" s="20" t="n">
        <f aca="false">E127</f>
        <v>2120.45771353732</v>
      </c>
      <c r="F34" s="20" t="n">
        <f aca="false">F127</f>
        <v>1891.62576629842</v>
      </c>
      <c r="G34" s="20" t="n">
        <f aca="false">G127</f>
        <v>2380.03607127163</v>
      </c>
    </row>
    <row r="35" customFormat="false" ht="15" hidden="false" customHeight="false" outlineLevel="0" collapsed="false">
      <c r="A35" s="0" t="s">
        <v>556</v>
      </c>
      <c r="B35" s="0" t="s">
        <v>202</v>
      </c>
      <c r="C35" s="18" t="n">
        <f aca="false">C129</f>
        <v>3.47</v>
      </c>
      <c r="D35" s="18" t="n">
        <f aca="false">D129</f>
        <v>8.78424857324033</v>
      </c>
      <c r="E35" s="18" t="n">
        <f aca="false">E129</f>
        <v>13.5819687908721</v>
      </c>
      <c r="F35" s="18" t="n">
        <f aca="false">F129</f>
        <v>12.2386393886303</v>
      </c>
      <c r="G35" s="18" t="n">
        <f aca="false">G129</f>
        <v>15.5541492548145</v>
      </c>
    </row>
    <row r="37" customFormat="false" ht="17.15" hidden="false" customHeight="false" outlineLevel="0" collapsed="false">
      <c r="A37" s="1" t="s">
        <v>557</v>
      </c>
      <c r="C37" s="21" t="n">
        <f aca="false">ABS(D13-f26_eps)+ABS(D35-f26_eps)</f>
        <v>0</v>
      </c>
    </row>
    <row r="44" customFormat="false" ht="17.15" hidden="false" customHeight="false" outlineLevel="0" collapsed="false">
      <c r="A44" s="1" t="s">
        <v>558</v>
      </c>
    </row>
    <row r="45" customFormat="false" ht="17.15" hidden="false" customHeight="false" outlineLevel="0" collapsed="false">
      <c r="A45" s="5" t="s">
        <v>21</v>
      </c>
      <c r="B45" s="5" t="s">
        <v>22</v>
      </c>
      <c r="C45" s="15" t="s">
        <v>545</v>
      </c>
      <c r="D45" s="15" t="s">
        <v>559</v>
      </c>
      <c r="E45" s="15" t="s">
        <v>546</v>
      </c>
      <c r="F45" s="15" t="s">
        <v>547</v>
      </c>
      <c r="G45" s="15" t="s">
        <v>548</v>
      </c>
      <c r="H45" s="5" t="s">
        <v>374</v>
      </c>
    </row>
    <row r="46" customFormat="false" ht="17.15" hidden="false" customHeight="false" outlineLevel="0" collapsed="false">
      <c r="A46" s="0" t="s">
        <v>560</v>
      </c>
      <c r="B46" s="0" t="s">
        <v>32</v>
      </c>
      <c r="C46" s="18" t="n">
        <f aca="false">mk_soc25</f>
        <v>6.9</v>
      </c>
      <c r="D46" s="18" t="n">
        <f aca="false">ms_A_2026</f>
        <v>11</v>
      </c>
      <c r="E46" s="18" t="n">
        <f aca="false">ms_A_2027*m_soc</f>
        <v>15.4143580786026</v>
      </c>
      <c r="F46" s="18" t="n">
        <f aca="false">ms_A_2028*m_soc</f>
        <v>17.2991836614041</v>
      </c>
      <c r="G46" s="18" t="n">
        <f aca="false">ms_A_2029*m_soc</f>
        <v>19.2361762010077</v>
      </c>
    </row>
    <row r="47" customFormat="false" ht="17.15" hidden="false" customHeight="false" outlineLevel="0" collapsed="false">
      <c r="A47" s="4" t="s">
        <v>561</v>
      </c>
      <c r="B47" s="0" t="s">
        <v>32</v>
      </c>
      <c r="C47" s="18" t="n">
        <f aca="false">mk_mem25</f>
        <v>2.1</v>
      </c>
      <c r="D47" s="18" t="n">
        <f aca="false">mm_A_2026</f>
        <v>2.75</v>
      </c>
      <c r="E47" s="18" t="n">
        <f aca="false">mm_A_2027</f>
        <v>3.88007408374579</v>
      </c>
      <c r="F47" s="18" t="n">
        <f aca="false">mm_A_2028</f>
        <v>5.04607694610671</v>
      </c>
      <c r="G47" s="18" t="n">
        <f aca="false">mm_A_2029</f>
        <v>6.20223782078096</v>
      </c>
    </row>
    <row r="48" customFormat="false" ht="17.15" hidden="false" customHeight="false" outlineLevel="0" collapsed="false">
      <c r="A48" s="4" t="s">
        <v>562</v>
      </c>
      <c r="B48" s="0" t="s">
        <v>99</v>
      </c>
      <c r="C48" s="11" t="n">
        <f aca="false">a25_soc/(C46*1000)</f>
        <v>0.273869565217391</v>
      </c>
      <c r="D48" s="11" t="n">
        <f aca="false">f26_soc/(D46*1000)</f>
        <v>0.295392727272727</v>
      </c>
      <c r="E48" s="11" t="n">
        <f aca="false">s_soc</f>
        <v>0.295392727272727</v>
      </c>
      <c r="F48" s="11" t="n">
        <f aca="false">s_soc</f>
        <v>0.295392727272727</v>
      </c>
      <c r="G48" s="11" t="n">
        <f aca="false">s_soc</f>
        <v>0.295392727272727</v>
      </c>
      <c r="H48" s="8" t="s">
        <v>563</v>
      </c>
    </row>
    <row r="49" customFormat="false" ht="17.15" hidden="false" customHeight="false" outlineLevel="0" collapsed="false">
      <c r="A49" s="0" t="s">
        <v>564</v>
      </c>
      <c r="B49" s="0" t="s">
        <v>197</v>
      </c>
      <c r="C49" s="9" t="n">
        <f aca="false">a25_soc</f>
        <v>1889.7</v>
      </c>
      <c r="D49" s="9" t="n">
        <f aca="false">f26_soc</f>
        <v>3249.32</v>
      </c>
      <c r="E49" s="9" t="n">
        <f aca="false">E46*1000*E48</f>
        <v>4553.28927199682</v>
      </c>
      <c r="F49" s="9" t="n">
        <f aca="false">F46*1000*F48</f>
        <v>5110.05304133396</v>
      </c>
      <c r="G49" s="9" t="n">
        <f aca="false">G46*1000*G48</f>
        <v>5682.22655031439</v>
      </c>
      <c r="H49" s="4" t="s">
        <v>565</v>
      </c>
    </row>
    <row r="50" customFormat="false" ht="15" hidden="false" customHeight="false" outlineLevel="0" collapsed="false">
      <c r="A50" s="4" t="s">
        <v>566</v>
      </c>
      <c r="B50" s="0" t="s">
        <v>99</v>
      </c>
      <c r="C50" s="11" t="n">
        <f aca="false">a25_mem/(C47*1000)</f>
        <v>0.240428571428571</v>
      </c>
      <c r="D50" s="11" t="n">
        <f aca="false">f26_mem/(D47*1000)</f>
        <v>0.316756363636364</v>
      </c>
      <c r="E50" s="11" t="n">
        <f aca="false">s_mem</f>
        <v>0.316756363636364</v>
      </c>
      <c r="F50" s="11" t="n">
        <f aca="false">s_mem</f>
        <v>0.316756363636364</v>
      </c>
      <c r="G50" s="11" t="n">
        <f aca="false">s_mem</f>
        <v>0.316756363636364</v>
      </c>
    </row>
    <row r="51" customFormat="false" ht="15" hidden="false" customHeight="false" outlineLevel="0" collapsed="false">
      <c r="A51" s="4" t="s">
        <v>567</v>
      </c>
      <c r="B51" s="0" t="s">
        <v>197</v>
      </c>
      <c r="C51" s="9" t="n">
        <f aca="false">a25_mem</f>
        <v>504.9</v>
      </c>
      <c r="D51" s="9" t="n">
        <f aca="false">f26_mem</f>
        <v>871.08</v>
      </c>
      <c r="E51" s="9" t="n">
        <f aca="false">E47*1000*E50</f>
        <v>1229.03815740701</v>
      </c>
      <c r="F51" s="9" t="n">
        <f aca="false">F47*1000*F50</f>
        <v>1598.37698407805</v>
      </c>
      <c r="G51" s="9" t="n">
        <f aca="false">G47*1000*G50</f>
        <v>1964.5982985185</v>
      </c>
    </row>
    <row r="52" customFormat="false" ht="17.15" hidden="false" customHeight="false" outlineLevel="0" collapsed="false">
      <c r="A52" s="0" t="s">
        <v>568</v>
      </c>
      <c r="B52" s="0" t="s">
        <v>197</v>
      </c>
      <c r="C52" s="9" t="n">
        <f aca="false">a25_ist</f>
        <v>129.2</v>
      </c>
      <c r="D52" s="9" t="n">
        <f aca="false">f26_ist</f>
        <v>195.51</v>
      </c>
      <c r="E52" s="9" t="n">
        <f aca="false">$D52*E46/$D46</f>
        <v>273.969195267963</v>
      </c>
      <c r="F52" s="9" t="n">
        <f aca="false">$D52*F46/$D46</f>
        <v>307.469399785556</v>
      </c>
      <c r="G52" s="9" t="n">
        <f aca="false">$D52*G46/$D46</f>
        <v>341.896800823547</v>
      </c>
      <c r="H52" s="8" t="s">
        <v>569</v>
      </c>
    </row>
    <row r="53" customFormat="false" ht="15" hidden="false" customHeight="false" outlineLevel="0" collapsed="false">
      <c r="A53" s="4" t="s">
        <v>570</v>
      </c>
      <c r="B53" s="0" t="s">
        <v>197</v>
      </c>
      <c r="C53" s="9" t="n">
        <f aca="false">C49+C51+C52</f>
        <v>2523.8</v>
      </c>
      <c r="D53" s="9" t="n">
        <f aca="false">D49+D51+D52</f>
        <v>4315.91</v>
      </c>
      <c r="E53" s="9" t="n">
        <f aca="false">E49+E51+E52</f>
        <v>6056.29662467179</v>
      </c>
      <c r="F53" s="9" t="n">
        <f aca="false">F49+F51+F52</f>
        <v>7015.89942519757</v>
      </c>
      <c r="G53" s="9" t="n">
        <f aca="false">G49+G51+G52</f>
        <v>7988.72164965644</v>
      </c>
    </row>
    <row r="54" customFormat="false" ht="17.15" hidden="false" customHeight="false" outlineLevel="0" collapsed="false">
      <c r="A54" s="0" t="s">
        <v>571</v>
      </c>
      <c r="B54" s="0" t="s">
        <v>197</v>
      </c>
      <c r="C54" s="9" t="n">
        <f aca="false">a25_pt</f>
        <v>358</v>
      </c>
      <c r="D54" s="9" t="n">
        <f aca="false">f26_pt</f>
        <v>394.17</v>
      </c>
      <c r="E54" s="9" t="n">
        <f aca="false">D54*(1+g_pt_A)</f>
        <v>425.7036</v>
      </c>
      <c r="F54" s="9" t="n">
        <f aca="false">E54*(1+g_pt_A)</f>
        <v>459.759888</v>
      </c>
      <c r="G54" s="9" t="n">
        <f aca="false">F54*(1+g_pt_A)</f>
        <v>496.54067904</v>
      </c>
    </row>
    <row r="55" customFormat="false" ht="17.15" hidden="false" customHeight="false" outlineLevel="0" collapsed="false">
      <c r="A55" s="4" t="s">
        <v>512</v>
      </c>
      <c r="B55" s="0" t="s">
        <v>197</v>
      </c>
      <c r="C55" s="9" t="n">
        <f aca="false">C53+C54</f>
        <v>2881.8</v>
      </c>
      <c r="D55" s="9" t="n">
        <f aca="false">D53+D54</f>
        <v>4710.08</v>
      </c>
      <c r="E55" s="9" t="n">
        <f aca="false">E53+E54</f>
        <v>6482.00022467179</v>
      </c>
      <c r="F55" s="9" t="n">
        <f aca="false">F53+F54</f>
        <v>7475.65931319757</v>
      </c>
      <c r="G55" s="9" t="n">
        <f aca="false">G53+G54</f>
        <v>8485.26232869644</v>
      </c>
    </row>
    <row r="56" customFormat="false" ht="17.15" hidden="false" customHeight="false" outlineLevel="0" collapsed="false">
      <c r="A56" s="4" t="s">
        <v>572</v>
      </c>
      <c r="B56" s="0" t="s">
        <v>197</v>
      </c>
      <c r="C56" s="9" t="n">
        <f aca="false">a25_ttest</f>
        <v>761.4</v>
      </c>
      <c r="D56" s="9" t="n">
        <f aca="false">f26_ttest</f>
        <v>1643.83073654536</v>
      </c>
      <c r="E56" s="9" t="n">
        <f aca="false">t_inc*E55-t_fix+0*E55</f>
        <v>2499.05907627273</v>
      </c>
      <c r="F56" s="9" t="n">
        <f aca="false">t_inc*F55-t_fix+0*F55</f>
        <v>2978.65482821597</v>
      </c>
      <c r="G56" s="9" t="n">
        <f aca="false">t_inc*G55-t_fix+0*G55</f>
        <v>3465.94601588148</v>
      </c>
      <c r="H56" s="4" t="s">
        <v>573</v>
      </c>
    </row>
    <row r="57" customFormat="false" ht="15" hidden="false" customHeight="false" outlineLevel="0" collapsed="false">
      <c r="A57" s="4" t="s">
        <v>574</v>
      </c>
      <c r="B57" s="0" t="s">
        <v>99</v>
      </c>
      <c r="C57" s="11" t="n">
        <f aca="false">C56/C55</f>
        <v>0.26420986883198</v>
      </c>
      <c r="D57" s="11" t="n">
        <f aca="false">D56/D55</f>
        <v>0.349002721088678</v>
      </c>
      <c r="E57" s="11" t="n">
        <f aca="false">E56/E55</f>
        <v>0.385538258200117</v>
      </c>
      <c r="F57" s="11" t="n">
        <f aca="false">F56/F55</f>
        <v>0.398447107261488</v>
      </c>
      <c r="G57" s="11" t="n">
        <f aca="false">G56/G55</f>
        <v>0.408466571995063</v>
      </c>
    </row>
    <row r="58" customFormat="false" ht="17.15" hidden="false" customHeight="false" outlineLevel="0" collapsed="false">
      <c r="A58" s="4" t="s">
        <v>575</v>
      </c>
      <c r="B58" s="0" t="s">
        <v>197</v>
      </c>
      <c r="C58" s="9" t="n">
        <f aca="false">a25_rob</f>
        <v>308.3</v>
      </c>
      <c r="D58" s="9" t="n">
        <f aca="false">f26_rob</f>
        <v>401.52</v>
      </c>
      <c r="E58" s="9" t="n">
        <f aca="false">D58*(1+g_rob)</f>
        <v>441.672</v>
      </c>
      <c r="F58" s="9" t="n">
        <f aca="false">E58*(1+g_rob)</f>
        <v>485.8392</v>
      </c>
      <c r="G58" s="9" t="n">
        <f aca="false">F58*(1+g_rob)</f>
        <v>534.42312</v>
      </c>
    </row>
    <row r="59" customFormat="false" ht="15" hidden="false" customHeight="false" outlineLevel="0" collapsed="false">
      <c r="A59" s="4" t="s">
        <v>520</v>
      </c>
      <c r="B59" s="0" t="s">
        <v>197</v>
      </c>
      <c r="C59" s="9" t="n">
        <f aca="false">a25_trob</f>
        <v>-99.4</v>
      </c>
      <c r="D59" s="9" t="n">
        <f aca="false">f26_trob</f>
        <v>-3.5</v>
      </c>
      <c r="E59" s="9" t="n">
        <f aca="false">E58*rm_2027</f>
        <v>8.83344</v>
      </c>
      <c r="F59" s="9" t="n">
        <f aca="false">F58*rm_2028</f>
        <v>19.433568</v>
      </c>
      <c r="G59" s="9" t="n">
        <f aca="false">G58*rm_2029</f>
        <v>26.721156</v>
      </c>
    </row>
    <row r="60" customFormat="false" ht="15" hidden="false" customHeight="false" outlineLevel="0" collapsed="false">
      <c r="A60" s="4" t="s">
        <v>500</v>
      </c>
      <c r="B60" s="0" t="s">
        <v>197</v>
      </c>
      <c r="C60" s="9" t="n">
        <f aca="false">a25_corp</f>
        <v>-8.8</v>
      </c>
      <c r="D60" s="9" t="n">
        <f aca="false">f26_corp</f>
        <v>-10.4</v>
      </c>
      <c r="E60" s="9" t="n">
        <f aca="false">corp</f>
        <v>-10.4</v>
      </c>
      <c r="F60" s="9" t="n">
        <f aca="false">corp</f>
        <v>-10.4</v>
      </c>
      <c r="G60" s="9" t="n">
        <f aca="false">corp</f>
        <v>-10.4</v>
      </c>
    </row>
    <row r="61" customFormat="false" ht="15" hidden="false" customHeight="false" outlineLevel="0" collapsed="false">
      <c r="A61" s="4" t="s">
        <v>474</v>
      </c>
      <c r="B61" s="0" t="s">
        <v>197</v>
      </c>
      <c r="C61" s="9" t="n">
        <f aca="false">C55+C58</f>
        <v>3190.1</v>
      </c>
      <c r="D61" s="9" t="n">
        <f aca="false">D55+D58</f>
        <v>5111.6</v>
      </c>
      <c r="E61" s="9" t="n">
        <f aca="false">E55+E58</f>
        <v>6923.67222467179</v>
      </c>
      <c r="F61" s="9" t="n">
        <f aca="false">F55+F58</f>
        <v>7961.49851319757</v>
      </c>
      <c r="G61" s="9" t="n">
        <f aca="false">G55+G58</f>
        <v>9019.68544869644</v>
      </c>
    </row>
    <row r="62" customFormat="false" ht="17.15" hidden="false" customHeight="false" outlineLevel="0" collapsed="false">
      <c r="A62" s="4" t="s">
        <v>576</v>
      </c>
      <c r="B62" s="0" t="s">
        <v>197</v>
      </c>
      <c r="C62" s="9" t="n">
        <f aca="false">ROUND(C53+C54+C58-a25_rev,0)</f>
        <v>0</v>
      </c>
      <c r="D62" s="9" t="n">
        <f aca="false">ROUND(D53+D54+D58-f26_rev,0)</f>
        <v>0</v>
      </c>
      <c r="H62" s="8" t="s">
        <v>577</v>
      </c>
    </row>
    <row r="63" customFormat="false" ht="15" hidden="false" customHeight="false" outlineLevel="0" collapsed="false">
      <c r="A63" s="4" t="s">
        <v>553</v>
      </c>
      <c r="B63" s="0" t="s">
        <v>197</v>
      </c>
      <c r="C63" s="9" t="n">
        <f aca="false">C56+C59+C60</f>
        <v>653.2</v>
      </c>
      <c r="D63" s="9" t="n">
        <f aca="false">D56+D59+D60</f>
        <v>1629.93073654536</v>
      </c>
      <c r="E63" s="9" t="n">
        <f aca="false">E56+E59+E60</f>
        <v>2497.49251627273</v>
      </c>
      <c r="F63" s="9" t="n">
        <f aca="false">F56+F59+F60</f>
        <v>2987.68839621597</v>
      </c>
      <c r="G63" s="9" t="n">
        <f aca="false">G56+G59+G60</f>
        <v>3482.26717188148</v>
      </c>
    </row>
    <row r="64" customFormat="false" ht="15" hidden="false" customHeight="false" outlineLevel="0" collapsed="false">
      <c r="A64" s="4" t="s">
        <v>554</v>
      </c>
      <c r="B64" s="0" t="s">
        <v>99</v>
      </c>
      <c r="C64" s="11" t="n">
        <f aca="false">C63/C61</f>
        <v>0.204758471521269</v>
      </c>
      <c r="D64" s="11" t="n">
        <f aca="false">D63/D61</f>
        <v>0.318868991420565</v>
      </c>
      <c r="E64" s="11" t="n">
        <f aca="false">E63/E61</f>
        <v>0.36071790160331</v>
      </c>
      <c r="F64" s="11" t="n">
        <f aca="false">F63/F61</f>
        <v>0.375267092151479</v>
      </c>
      <c r="G64" s="11" t="n">
        <f aca="false">G63/G61</f>
        <v>0.386074125498994</v>
      </c>
    </row>
    <row r="65" customFormat="false" ht="15" hidden="false" customHeight="false" outlineLevel="0" collapsed="false">
      <c r="A65" s="4" t="s">
        <v>486</v>
      </c>
      <c r="B65" s="0" t="s">
        <v>197</v>
      </c>
      <c r="C65" s="9" t="n">
        <f aca="false">a25_tax</f>
        <v>79.3</v>
      </c>
      <c r="D65" s="9" t="n">
        <f aca="false">f26_tax</f>
        <v>231.054736545361</v>
      </c>
      <c r="E65" s="9" t="n">
        <f aca="false">E63*etr</f>
        <v>354.038035134229</v>
      </c>
      <c r="F65" s="9" t="n">
        <f aca="false">F63*etr</f>
        <v>423.526926506366</v>
      </c>
      <c r="G65" s="9" t="n">
        <f aca="false">G63*etr</f>
        <v>493.63712576215</v>
      </c>
    </row>
    <row r="66" customFormat="false" ht="17.15" hidden="false" customHeight="false" outlineLevel="0" collapsed="false">
      <c r="A66" s="4" t="s">
        <v>487</v>
      </c>
      <c r="B66" s="0" t="s">
        <v>197</v>
      </c>
      <c r="C66" s="9" t="n">
        <f aca="false">a25_aff</f>
        <v>-19.9</v>
      </c>
      <c r="D66" s="9" t="n">
        <f aca="false">f26_aff</f>
        <v>-13.2</v>
      </c>
      <c r="E66" s="9" t="n">
        <f aca="false">aff</f>
        <v>-13.2</v>
      </c>
      <c r="F66" s="9" t="n">
        <f aca="false">aff</f>
        <v>-13.2</v>
      </c>
      <c r="G66" s="9" t="n">
        <f aca="false">aff</f>
        <v>-13.2</v>
      </c>
    </row>
    <row r="67" customFormat="false" ht="17.15" hidden="false" customHeight="false" outlineLevel="0" collapsed="false">
      <c r="A67" s="4" t="s">
        <v>555</v>
      </c>
      <c r="B67" s="0" t="s">
        <v>197</v>
      </c>
      <c r="C67" s="9" t="n">
        <f aca="false">a25_ni</f>
        <v>554</v>
      </c>
      <c r="D67" s="9" t="n">
        <f aca="false">f26_ni</f>
        <v>1385.276</v>
      </c>
      <c r="E67" s="9" t="n">
        <f aca="false">E63-E65+E66</f>
        <v>2130.2544811385</v>
      </c>
      <c r="F67" s="9" t="n">
        <f aca="false">F63-F65+F66</f>
        <v>2550.96146970961</v>
      </c>
      <c r="G67" s="9" t="n">
        <f aca="false">G63-G65+G66</f>
        <v>2975.43004611933</v>
      </c>
      <c r="H67" s="8" t="s">
        <v>578</v>
      </c>
    </row>
    <row r="68" customFormat="false" ht="15" hidden="false" customHeight="false" outlineLevel="0" collapsed="false">
      <c r="A68" s="4" t="s">
        <v>579</v>
      </c>
      <c r="B68" s="4" t="s">
        <v>259</v>
      </c>
      <c r="C68" s="9" t="n">
        <f aca="false">a25_dsh</f>
        <v>159.7</v>
      </c>
      <c r="D68" s="9" t="n">
        <f aca="false">sh26</f>
        <v>157.7</v>
      </c>
      <c r="E68" s="9" t="n">
        <f aca="false">sh26*(1-bb)^1</f>
        <v>156.123</v>
      </c>
      <c r="F68" s="9" t="n">
        <f aca="false">sh26*(1-bb)^2</f>
        <v>154.56177</v>
      </c>
      <c r="G68" s="9" t="n">
        <f aca="false">sh26*(1-bb)^3</f>
        <v>153.0161523</v>
      </c>
    </row>
    <row r="69" customFormat="false" ht="17.15" hidden="false" customHeight="false" outlineLevel="0" collapsed="false">
      <c r="A69" s="0" t="s">
        <v>489</v>
      </c>
      <c r="B69" s="0" t="s">
        <v>202</v>
      </c>
      <c r="C69" s="18" t="n">
        <f aca="false">a25_eps</f>
        <v>3.47</v>
      </c>
      <c r="D69" s="18" t="n">
        <f aca="false">D67/D68</f>
        <v>8.78424857324033</v>
      </c>
      <c r="E69" s="18" t="n">
        <f aca="false">E67/E68</f>
        <v>13.6447191069765</v>
      </c>
      <c r="F69" s="18" t="n">
        <f aca="false">F67/F68</f>
        <v>16.5044788870469</v>
      </c>
      <c r="G69" s="18" t="n">
        <f aca="false">G67/G68</f>
        <v>19.4452023619426</v>
      </c>
    </row>
    <row r="70" customFormat="false" ht="17.15" hidden="false" customHeight="false" outlineLevel="0" collapsed="false">
      <c r="A70" s="0" t="s">
        <v>580</v>
      </c>
      <c r="B70" s="0" t="s">
        <v>99</v>
      </c>
      <c r="C70" s="11" t="n">
        <f aca="false">C49/C61</f>
        <v>0.592363875740573</v>
      </c>
      <c r="D70" s="11" t="n">
        <f aca="false">D49/D61</f>
        <v>0.635675717974802</v>
      </c>
      <c r="E70" s="11" t="n">
        <f aca="false">E49/E61</f>
        <v>0.657640790066815</v>
      </c>
      <c r="F70" s="11" t="n">
        <f aca="false">F49/F61</f>
        <v>0.641845631555813</v>
      </c>
      <c r="G70" s="11" t="n">
        <f aca="false">G49/G61</f>
        <v>0.629980566687679</v>
      </c>
    </row>
    <row r="71" customFormat="false" ht="17.15" hidden="false" customHeight="false" outlineLevel="0" collapsed="false">
      <c r="A71" s="4" t="s">
        <v>581</v>
      </c>
      <c r="B71" s="0" t="s">
        <v>99</v>
      </c>
      <c r="C71" s="11" t="n">
        <f aca="false">a25_gp/a25_rev</f>
        <v>0.582225705329154</v>
      </c>
      <c r="D71" s="11" t="n">
        <f aca="false">f26_gm</f>
        <v>0.594365646092145</v>
      </c>
      <c r="E71" s="11" t="n">
        <f aca="false">f26_gm+(Q!J13-a25_gp/a25_rev)/(Q!J4/Q!J10-a25_soc/a25_rev)*(E70-D70)</f>
        <v>0.601175024106483</v>
      </c>
      <c r="F71" s="11" t="n">
        <f aca="false">f26_gm+(Q!J13-a25_gp/a25_rev)/(Q!J4/Q!J10-a25_soc/a25_rev)*(F70-D70)</f>
        <v>0.596278377073082</v>
      </c>
      <c r="G71" s="11" t="n">
        <f aca="false">f26_gm+(Q!J13-a25_gp/a25_rev)/(Q!J4/Q!J10-a25_soc/a25_rev)*(G70-D70)</f>
        <v>0.592600095867661</v>
      </c>
      <c r="H71" s="8" t="s">
        <v>582</v>
      </c>
    </row>
    <row r="74" customFormat="false" ht="17.15" hidden="false" customHeight="false" outlineLevel="0" collapsed="false">
      <c r="A74" s="1" t="s">
        <v>583</v>
      </c>
    </row>
    <row r="75" customFormat="false" ht="17.15" hidden="false" customHeight="false" outlineLevel="0" collapsed="false">
      <c r="A75" s="5" t="s">
        <v>21</v>
      </c>
      <c r="B75" s="5" t="s">
        <v>22</v>
      </c>
      <c r="C75" s="15" t="s">
        <v>545</v>
      </c>
      <c r="D75" s="15" t="s">
        <v>559</v>
      </c>
      <c r="E75" s="15" t="s">
        <v>546</v>
      </c>
      <c r="F75" s="15" t="s">
        <v>547</v>
      </c>
      <c r="G75" s="15" t="s">
        <v>548</v>
      </c>
      <c r="H75" s="5" t="s">
        <v>374</v>
      </c>
    </row>
    <row r="76" customFormat="false" ht="17.15" hidden="false" customHeight="false" outlineLevel="0" collapsed="false">
      <c r="A76" s="0" t="s">
        <v>560</v>
      </c>
      <c r="B76" s="0" t="s">
        <v>32</v>
      </c>
      <c r="C76" s="18" t="n">
        <f aca="false">mk_soc25</f>
        <v>6.9</v>
      </c>
      <c r="D76" s="18" t="n">
        <f aca="false">ms_B_2026</f>
        <v>11</v>
      </c>
      <c r="E76" s="18" t="n">
        <f aca="false">ms_B_2027*m_soc</f>
        <v>15.4143580786026</v>
      </c>
      <c r="F76" s="18" t="n">
        <f aca="false">ms_B_2028*m_soc</f>
        <v>14.7695229291233</v>
      </c>
      <c r="G76" s="18" t="n">
        <f aca="false">ms_B_2029*m_soc</f>
        <v>17.0762870508566</v>
      </c>
    </row>
    <row r="77" customFormat="false" ht="17.15" hidden="false" customHeight="false" outlineLevel="0" collapsed="false">
      <c r="A77" s="4" t="s">
        <v>561</v>
      </c>
      <c r="B77" s="0" t="s">
        <v>32</v>
      </c>
      <c r="C77" s="18" t="n">
        <f aca="false">mk_mem25</f>
        <v>2.1</v>
      </c>
      <c r="D77" s="18" t="n">
        <f aca="false">mm_B_2026</f>
        <v>2.75</v>
      </c>
      <c r="E77" s="18" t="n">
        <f aca="false">mm_B_2027</f>
        <v>3.88007408374579</v>
      </c>
      <c r="F77" s="18" t="n">
        <f aca="false">mm_B_2028</f>
        <v>4.73784910426688</v>
      </c>
      <c r="G77" s="18" t="n">
        <f aca="false">mm_B_2029</f>
        <v>5.78997368915325</v>
      </c>
    </row>
    <row r="78" customFormat="false" ht="17.15" hidden="false" customHeight="false" outlineLevel="0" collapsed="false">
      <c r="A78" s="4" t="s">
        <v>562</v>
      </c>
      <c r="B78" s="0" t="s">
        <v>99</v>
      </c>
      <c r="C78" s="11" t="n">
        <f aca="false">a25_soc/(C76*1000)</f>
        <v>0.273869565217391</v>
      </c>
      <c r="D78" s="11" t="n">
        <f aca="false">f26_soc/(D76*1000)</f>
        <v>0.295392727272727</v>
      </c>
      <c r="E78" s="11" t="n">
        <f aca="false">s_soc</f>
        <v>0.295392727272727</v>
      </c>
      <c r="F78" s="11" t="n">
        <f aca="false">s_soc</f>
        <v>0.295392727272727</v>
      </c>
      <c r="G78" s="11" t="n">
        <f aca="false">s_soc</f>
        <v>0.295392727272727</v>
      </c>
      <c r="H78" s="8" t="s">
        <v>563</v>
      </c>
    </row>
    <row r="79" customFormat="false" ht="17.15" hidden="false" customHeight="false" outlineLevel="0" collapsed="false">
      <c r="A79" s="0" t="s">
        <v>564</v>
      </c>
      <c r="B79" s="0" t="s">
        <v>197</v>
      </c>
      <c r="C79" s="9" t="n">
        <f aca="false">a25_soc</f>
        <v>1889.7</v>
      </c>
      <c r="D79" s="9" t="n">
        <f aca="false">f26_soc</f>
        <v>3249.32</v>
      </c>
      <c r="E79" s="9" t="n">
        <f aca="false">E76*1000*E78</f>
        <v>4553.28927199682</v>
      </c>
      <c r="F79" s="9" t="n">
        <f aca="false">F76*1000*F78</f>
        <v>4362.80965855081</v>
      </c>
      <c r="G79" s="9" t="n">
        <f aca="false">G76*1000*G78</f>
        <v>5044.21100364449</v>
      </c>
      <c r="H79" s="4" t="s">
        <v>565</v>
      </c>
    </row>
    <row r="80" customFormat="false" ht="15" hidden="false" customHeight="false" outlineLevel="0" collapsed="false">
      <c r="A80" s="4" t="s">
        <v>566</v>
      </c>
      <c r="B80" s="0" t="s">
        <v>99</v>
      </c>
      <c r="C80" s="11" t="n">
        <f aca="false">a25_mem/(C77*1000)</f>
        <v>0.240428571428571</v>
      </c>
      <c r="D80" s="11" t="n">
        <f aca="false">f26_mem/(D77*1000)</f>
        <v>0.316756363636364</v>
      </c>
      <c r="E80" s="11" t="n">
        <f aca="false">s_mem</f>
        <v>0.316756363636364</v>
      </c>
      <c r="F80" s="11" t="n">
        <f aca="false">s_mem</f>
        <v>0.316756363636364</v>
      </c>
      <c r="G80" s="11" t="n">
        <f aca="false">s_mem</f>
        <v>0.316756363636364</v>
      </c>
    </row>
    <row r="81" customFormat="false" ht="15" hidden="false" customHeight="false" outlineLevel="0" collapsed="false">
      <c r="A81" s="4" t="s">
        <v>567</v>
      </c>
      <c r="B81" s="0" t="s">
        <v>197</v>
      </c>
      <c r="C81" s="9" t="n">
        <f aca="false">a25_mem</f>
        <v>504.9</v>
      </c>
      <c r="D81" s="9" t="n">
        <f aca="false">f26_mem</f>
        <v>871.08</v>
      </c>
      <c r="E81" s="9" t="n">
        <f aca="false">E77*1000*E80</f>
        <v>1229.03815740701</v>
      </c>
      <c r="F81" s="9" t="n">
        <f aca="false">F77*1000*F80</f>
        <v>1500.74385372538</v>
      </c>
      <c r="G81" s="9" t="n">
        <f aca="false">G77*1000*G80</f>
        <v>1834.01101132641</v>
      </c>
    </row>
    <row r="82" customFormat="false" ht="17.15" hidden="false" customHeight="false" outlineLevel="0" collapsed="false">
      <c r="A82" s="0" t="s">
        <v>568</v>
      </c>
      <c r="B82" s="0" t="s">
        <v>197</v>
      </c>
      <c r="C82" s="9" t="n">
        <f aca="false">a25_ist</f>
        <v>129.2</v>
      </c>
      <c r="D82" s="9" t="n">
        <f aca="false">f26_ist</f>
        <v>195.51</v>
      </c>
      <c r="E82" s="9" t="n">
        <f aca="false">$D82*E76/$D76</f>
        <v>273.969195267963</v>
      </c>
      <c r="F82" s="9" t="n">
        <f aca="false">$D82*F76/$D76</f>
        <v>262.508129806627</v>
      </c>
      <c r="G82" s="9" t="n">
        <f aca="false">$D82*G76/$D76</f>
        <v>303.507716482998</v>
      </c>
      <c r="H82" s="8" t="s">
        <v>569</v>
      </c>
    </row>
    <row r="83" customFormat="false" ht="15" hidden="false" customHeight="false" outlineLevel="0" collapsed="false">
      <c r="A83" s="4" t="s">
        <v>570</v>
      </c>
      <c r="B83" s="0" t="s">
        <v>197</v>
      </c>
      <c r="C83" s="9" t="n">
        <f aca="false">C79+C81+C82</f>
        <v>2523.8</v>
      </c>
      <c r="D83" s="9" t="n">
        <f aca="false">D79+D81+D82</f>
        <v>4315.91</v>
      </c>
      <c r="E83" s="9" t="n">
        <f aca="false">E79+E81+E82</f>
        <v>6056.29662467179</v>
      </c>
      <c r="F83" s="9" t="n">
        <f aca="false">F79+F81+F82</f>
        <v>6126.06164208282</v>
      </c>
      <c r="G83" s="9" t="n">
        <f aca="false">G79+G81+G82</f>
        <v>7181.72973145389</v>
      </c>
    </row>
    <row r="84" customFormat="false" ht="17.15" hidden="false" customHeight="false" outlineLevel="0" collapsed="false">
      <c r="A84" s="0" t="s">
        <v>571</v>
      </c>
      <c r="B84" s="0" t="s">
        <v>197</v>
      </c>
      <c r="C84" s="9" t="n">
        <f aca="false">a25_pt</f>
        <v>358</v>
      </c>
      <c r="D84" s="9" t="n">
        <f aca="false">f26_pt</f>
        <v>394.17</v>
      </c>
      <c r="E84" s="9" t="n">
        <f aca="false">D84*(1+g_pt_B)</f>
        <v>413.8785</v>
      </c>
      <c r="F84" s="9" t="n">
        <f aca="false">E84*(1+g_pt_B)</f>
        <v>434.572425</v>
      </c>
      <c r="G84" s="9" t="n">
        <f aca="false">F84*(1+g_pt_B)</f>
        <v>456.30104625</v>
      </c>
    </row>
    <row r="85" customFormat="false" ht="17.15" hidden="false" customHeight="false" outlineLevel="0" collapsed="false">
      <c r="A85" s="4" t="s">
        <v>512</v>
      </c>
      <c r="B85" s="0" t="s">
        <v>197</v>
      </c>
      <c r="C85" s="9" t="n">
        <f aca="false">C83+C84</f>
        <v>2881.8</v>
      </c>
      <c r="D85" s="9" t="n">
        <f aca="false">D83+D84</f>
        <v>4710.08</v>
      </c>
      <c r="E85" s="9" t="n">
        <f aca="false">E83+E84</f>
        <v>6470.17512467179</v>
      </c>
      <c r="F85" s="9" t="n">
        <f aca="false">F83+F84</f>
        <v>6560.63406708282</v>
      </c>
      <c r="G85" s="9" t="n">
        <f aca="false">G83+G84</f>
        <v>7638.03077770389</v>
      </c>
    </row>
    <row r="86" customFormat="false" ht="17.15" hidden="false" customHeight="false" outlineLevel="0" collapsed="false">
      <c r="A86" s="4" t="s">
        <v>572</v>
      </c>
      <c r="B86" s="0" t="s">
        <v>197</v>
      </c>
      <c r="C86" s="9" t="n">
        <f aca="false">a25_ttest</f>
        <v>761.4</v>
      </c>
      <c r="D86" s="9" t="n">
        <f aca="false">f26_ttest</f>
        <v>1643.83073654536</v>
      </c>
      <c r="E86" s="9" t="n">
        <f aca="false">t_inc*E85-t_fix+0*E85</f>
        <v>2493.35161805915</v>
      </c>
      <c r="F86" s="9" t="n">
        <f aca="false">t_inc*F85-t_fix+0*F85</f>
        <v>2537.01219038881</v>
      </c>
      <c r="G86" s="9" t="n">
        <f aca="false">t_inc*G85-t_fix+0*G85</f>
        <v>3057.02442752147</v>
      </c>
      <c r="H86" s="4" t="s">
        <v>573</v>
      </c>
    </row>
    <row r="87" customFormat="false" ht="15" hidden="false" customHeight="false" outlineLevel="0" collapsed="false">
      <c r="A87" s="4" t="s">
        <v>574</v>
      </c>
      <c r="B87" s="0" t="s">
        <v>99</v>
      </c>
      <c r="C87" s="11" t="n">
        <f aca="false">C86/C85</f>
        <v>0.26420986883198</v>
      </c>
      <c r="D87" s="11" t="n">
        <f aca="false">D86/D85</f>
        <v>0.349002721088678</v>
      </c>
      <c r="E87" s="11" t="n">
        <f aca="false">E86/E85</f>
        <v>0.385360762269264</v>
      </c>
      <c r="F87" s="11" t="n">
        <f aca="false">F86/F85</f>
        <v>0.38670228585343</v>
      </c>
      <c r="G87" s="11" t="n">
        <f aca="false">G86/G85</f>
        <v>0.400237249167051</v>
      </c>
    </row>
    <row r="88" customFormat="false" ht="17.15" hidden="false" customHeight="false" outlineLevel="0" collapsed="false">
      <c r="A88" s="4" t="s">
        <v>575</v>
      </c>
      <c r="B88" s="0" t="s">
        <v>197</v>
      </c>
      <c r="C88" s="9" t="n">
        <f aca="false">a25_rob</f>
        <v>308.3</v>
      </c>
      <c r="D88" s="9" t="n">
        <f aca="false">f26_rob</f>
        <v>401.52</v>
      </c>
      <c r="E88" s="9" t="n">
        <f aca="false">D88*(1+g_rob)</f>
        <v>441.672</v>
      </c>
      <c r="F88" s="9" t="n">
        <f aca="false">E88*(1+g_rob)</f>
        <v>485.8392</v>
      </c>
      <c r="G88" s="9" t="n">
        <f aca="false">F88*(1+g_rob)</f>
        <v>534.42312</v>
      </c>
    </row>
    <row r="89" customFormat="false" ht="15" hidden="false" customHeight="false" outlineLevel="0" collapsed="false">
      <c r="A89" s="4" t="s">
        <v>520</v>
      </c>
      <c r="B89" s="0" t="s">
        <v>197</v>
      </c>
      <c r="C89" s="9" t="n">
        <f aca="false">a25_trob</f>
        <v>-99.4</v>
      </c>
      <c r="D89" s="9" t="n">
        <f aca="false">f26_trob</f>
        <v>-3.5</v>
      </c>
      <c r="E89" s="9" t="n">
        <f aca="false">E88*rm_2027</f>
        <v>8.83344</v>
      </c>
      <c r="F89" s="9" t="n">
        <f aca="false">F88*rm_2028</f>
        <v>19.433568</v>
      </c>
      <c r="G89" s="9" t="n">
        <f aca="false">G88*rm_2029</f>
        <v>26.721156</v>
      </c>
    </row>
    <row r="90" customFormat="false" ht="15" hidden="false" customHeight="false" outlineLevel="0" collapsed="false">
      <c r="A90" s="4" t="s">
        <v>500</v>
      </c>
      <c r="B90" s="0" t="s">
        <v>197</v>
      </c>
      <c r="C90" s="9" t="n">
        <f aca="false">a25_corp</f>
        <v>-8.8</v>
      </c>
      <c r="D90" s="9" t="n">
        <f aca="false">f26_corp</f>
        <v>-10.4</v>
      </c>
      <c r="E90" s="9" t="n">
        <f aca="false">corp</f>
        <v>-10.4</v>
      </c>
      <c r="F90" s="9" t="n">
        <f aca="false">corp</f>
        <v>-10.4</v>
      </c>
      <c r="G90" s="9" t="n">
        <f aca="false">corp</f>
        <v>-10.4</v>
      </c>
    </row>
    <row r="91" customFormat="false" ht="15" hidden="false" customHeight="false" outlineLevel="0" collapsed="false">
      <c r="A91" s="4" t="s">
        <v>474</v>
      </c>
      <c r="B91" s="0" t="s">
        <v>197</v>
      </c>
      <c r="C91" s="9" t="n">
        <f aca="false">C85+C88</f>
        <v>3190.1</v>
      </c>
      <c r="D91" s="9" t="n">
        <f aca="false">D85+D88</f>
        <v>5111.6</v>
      </c>
      <c r="E91" s="9" t="n">
        <f aca="false">E85+E88</f>
        <v>6911.84712467179</v>
      </c>
      <c r="F91" s="9" t="n">
        <f aca="false">F85+F88</f>
        <v>7046.47326708282</v>
      </c>
      <c r="G91" s="9" t="n">
        <f aca="false">G85+G88</f>
        <v>8172.45389770389</v>
      </c>
    </row>
    <row r="92" customFormat="false" ht="17.15" hidden="false" customHeight="false" outlineLevel="0" collapsed="false">
      <c r="A92" s="4" t="s">
        <v>576</v>
      </c>
      <c r="B92" s="0" t="s">
        <v>197</v>
      </c>
      <c r="C92" s="9" t="n">
        <f aca="false">ROUND(C83+C84+C88-a25_rev,0)</f>
        <v>0</v>
      </c>
      <c r="D92" s="9" t="n">
        <f aca="false">ROUND(D83+D84+D88-f26_rev,0)</f>
        <v>0</v>
      </c>
      <c r="H92" s="8" t="s">
        <v>577</v>
      </c>
    </row>
    <row r="93" customFormat="false" ht="15" hidden="false" customHeight="false" outlineLevel="0" collapsed="false">
      <c r="A93" s="4" t="s">
        <v>553</v>
      </c>
      <c r="B93" s="0" t="s">
        <v>197</v>
      </c>
      <c r="C93" s="9" t="n">
        <f aca="false">C86+C89+C90</f>
        <v>653.2</v>
      </c>
      <c r="D93" s="9" t="n">
        <f aca="false">D86+D89+D90</f>
        <v>1629.93073654536</v>
      </c>
      <c r="E93" s="9" t="n">
        <f aca="false">E86+E89+E90</f>
        <v>2491.78505805915</v>
      </c>
      <c r="F93" s="9" t="n">
        <f aca="false">F86+F89+F90</f>
        <v>2546.04575838881</v>
      </c>
      <c r="G93" s="9" t="n">
        <f aca="false">G86+G89+G90</f>
        <v>3073.34558352147</v>
      </c>
    </row>
    <row r="94" customFormat="false" ht="15" hidden="false" customHeight="false" outlineLevel="0" collapsed="false">
      <c r="A94" s="4" t="s">
        <v>554</v>
      </c>
      <c r="B94" s="0" t="s">
        <v>99</v>
      </c>
      <c r="C94" s="11" t="n">
        <f aca="false">C93/C91</f>
        <v>0.204758471521269</v>
      </c>
      <c r="D94" s="11" t="n">
        <f aca="false">D93/D91</f>
        <v>0.318868991420565</v>
      </c>
      <c r="E94" s="11" t="n">
        <f aca="false">E93/E91</f>
        <v>0.3605092840038</v>
      </c>
      <c r="F94" s="11" t="n">
        <f aca="false">F93/F91</f>
        <v>0.361321992135061</v>
      </c>
      <c r="G94" s="11" t="n">
        <f aca="false">G93/G91</f>
        <v>0.376061538185606</v>
      </c>
    </row>
    <row r="95" customFormat="false" ht="15" hidden="false" customHeight="false" outlineLevel="0" collapsed="false">
      <c r="A95" s="4" t="s">
        <v>486</v>
      </c>
      <c r="B95" s="0" t="s">
        <v>197</v>
      </c>
      <c r="C95" s="9" t="n">
        <f aca="false">a25_tax</f>
        <v>79.3</v>
      </c>
      <c r="D95" s="9" t="n">
        <f aca="false">f26_tax</f>
        <v>231.054736545361</v>
      </c>
      <c r="E95" s="9" t="n">
        <f aca="false">E93*etr</f>
        <v>353.228960721241</v>
      </c>
      <c r="F95" s="9" t="n">
        <f aca="false">F93*etr</f>
        <v>360.920816294202</v>
      </c>
      <c r="G95" s="9" t="n">
        <f aca="false">G93*etr</f>
        <v>435.669466310259</v>
      </c>
    </row>
    <row r="96" customFormat="false" ht="17.15" hidden="false" customHeight="false" outlineLevel="0" collapsed="false">
      <c r="A96" s="4" t="s">
        <v>487</v>
      </c>
      <c r="B96" s="0" t="s">
        <v>197</v>
      </c>
      <c r="C96" s="9" t="n">
        <f aca="false">a25_aff</f>
        <v>-19.9</v>
      </c>
      <c r="D96" s="9" t="n">
        <f aca="false">f26_aff</f>
        <v>-13.2</v>
      </c>
      <c r="E96" s="9" t="n">
        <f aca="false">aff</f>
        <v>-13.2</v>
      </c>
      <c r="F96" s="9" t="n">
        <f aca="false">aff</f>
        <v>-13.2</v>
      </c>
      <c r="G96" s="9" t="n">
        <f aca="false">aff</f>
        <v>-13.2</v>
      </c>
    </row>
    <row r="97" customFormat="false" ht="17.15" hidden="false" customHeight="false" outlineLevel="0" collapsed="false">
      <c r="A97" s="4" t="s">
        <v>555</v>
      </c>
      <c r="B97" s="0" t="s">
        <v>197</v>
      </c>
      <c r="C97" s="9" t="n">
        <f aca="false">a25_ni</f>
        <v>554</v>
      </c>
      <c r="D97" s="9" t="n">
        <f aca="false">f26_ni</f>
        <v>1385.276</v>
      </c>
      <c r="E97" s="9" t="n">
        <f aca="false">E93-E95+E96</f>
        <v>2125.35609733791</v>
      </c>
      <c r="F97" s="9" t="n">
        <f aca="false">F93-F95+F96</f>
        <v>2171.92494209461</v>
      </c>
      <c r="G97" s="9" t="n">
        <f aca="false">G93-G95+G96</f>
        <v>2624.47611721122</v>
      </c>
      <c r="H97" s="8" t="s">
        <v>578</v>
      </c>
    </row>
    <row r="98" customFormat="false" ht="15" hidden="false" customHeight="false" outlineLevel="0" collapsed="false">
      <c r="A98" s="4" t="s">
        <v>579</v>
      </c>
      <c r="B98" s="4" t="s">
        <v>259</v>
      </c>
      <c r="C98" s="9" t="n">
        <f aca="false">a25_dsh</f>
        <v>159.7</v>
      </c>
      <c r="D98" s="9" t="n">
        <f aca="false">sh26</f>
        <v>157.7</v>
      </c>
      <c r="E98" s="9" t="n">
        <f aca="false">sh26*(1-bb)^1</f>
        <v>156.123</v>
      </c>
      <c r="F98" s="9" t="n">
        <f aca="false">sh26*(1-bb)^2</f>
        <v>154.56177</v>
      </c>
      <c r="G98" s="9" t="n">
        <f aca="false">sh26*(1-bb)^3</f>
        <v>153.0161523</v>
      </c>
    </row>
    <row r="99" customFormat="false" ht="17.15" hidden="false" customHeight="false" outlineLevel="0" collapsed="false">
      <c r="A99" s="0" t="s">
        <v>489</v>
      </c>
      <c r="B99" s="0" t="s">
        <v>202</v>
      </c>
      <c r="C99" s="18" t="n">
        <f aca="false">a25_eps</f>
        <v>3.47</v>
      </c>
      <c r="D99" s="18" t="n">
        <f aca="false">D97/D98</f>
        <v>8.78424857324033</v>
      </c>
      <c r="E99" s="18" t="n">
        <f aca="false">E97/E98</f>
        <v>13.6133439489243</v>
      </c>
      <c r="F99" s="18" t="n">
        <f aca="false">F97/F98</f>
        <v>14.0521484846777</v>
      </c>
      <c r="G99" s="18" t="n">
        <f aca="false">G97/G98</f>
        <v>17.1516279671294</v>
      </c>
    </row>
    <row r="100" customFormat="false" ht="17.15" hidden="false" customHeight="false" outlineLevel="0" collapsed="false">
      <c r="A100" s="0" t="s">
        <v>580</v>
      </c>
      <c r="B100" s="0" t="s">
        <v>99</v>
      </c>
      <c r="C100" s="11" t="n">
        <f aca="false">C79/C91</f>
        <v>0.592363875740573</v>
      </c>
      <c r="D100" s="11" t="n">
        <f aca="false">D79/D91</f>
        <v>0.635675717974802</v>
      </c>
      <c r="E100" s="11" t="n">
        <f aca="false">E79/E91</f>
        <v>0.658765911610499</v>
      </c>
      <c r="F100" s="11" t="n">
        <f aca="false">F79/F91</f>
        <v>0.619147975616599</v>
      </c>
      <c r="G100" s="11" t="n">
        <f aca="false">G79/G91</f>
        <v>0.617221102349895</v>
      </c>
    </row>
    <row r="101" customFormat="false" ht="17.15" hidden="false" customHeight="false" outlineLevel="0" collapsed="false">
      <c r="A101" s="4" t="s">
        <v>581</v>
      </c>
      <c r="B101" s="0" t="s">
        <v>99</v>
      </c>
      <c r="C101" s="11" t="n">
        <f aca="false">a25_gp/a25_rev</f>
        <v>0.582225705329154</v>
      </c>
      <c r="D101" s="11" t="n">
        <f aca="false">f26_gm</f>
        <v>0.594365646092145</v>
      </c>
      <c r="E101" s="11" t="n">
        <f aca="false">f26_gm+(Q!J13-a25_gp/a25_rev)/(Q!J4/Q!J10-a25_soc/a25_rev)*(E100-D100)</f>
        <v>0.601523822319888</v>
      </c>
      <c r="F101" s="11" t="n">
        <f aca="false">f26_gm+(Q!J13-a25_gp/a25_rev)/(Q!J4/Q!J10-a25_soc/a25_rev)*(F100-D100)</f>
        <v>0.589241891206701</v>
      </c>
      <c r="G101" s="11" t="n">
        <f aca="false">f26_gm+(Q!J13-a25_gp/a25_rev)/(Q!J4/Q!J10-a25_soc/a25_rev)*(G100-D100)</f>
        <v>0.588644542452108</v>
      </c>
      <c r="H101" s="8" t="s">
        <v>582</v>
      </c>
    </row>
    <row r="104" customFormat="false" ht="17.15" hidden="false" customHeight="false" outlineLevel="0" collapsed="false">
      <c r="A104" s="1" t="s">
        <v>584</v>
      </c>
    </row>
    <row r="105" customFormat="false" ht="17.15" hidden="false" customHeight="false" outlineLevel="0" collapsed="false">
      <c r="A105" s="5" t="s">
        <v>21</v>
      </c>
      <c r="B105" s="5" t="s">
        <v>22</v>
      </c>
      <c r="C105" s="15" t="s">
        <v>545</v>
      </c>
      <c r="D105" s="15" t="s">
        <v>559</v>
      </c>
      <c r="E105" s="15" t="s">
        <v>546</v>
      </c>
      <c r="F105" s="15" t="s">
        <v>547</v>
      </c>
      <c r="G105" s="15" t="s">
        <v>548</v>
      </c>
      <c r="H105" s="5" t="s">
        <v>374</v>
      </c>
    </row>
    <row r="106" customFormat="false" ht="17.15" hidden="false" customHeight="false" outlineLevel="0" collapsed="false">
      <c r="A106" s="0" t="s">
        <v>560</v>
      </c>
      <c r="B106" s="0" t="s">
        <v>32</v>
      </c>
      <c r="C106" s="18" t="n">
        <f aca="false">mk_soc25</f>
        <v>6.9</v>
      </c>
      <c r="D106" s="18" t="n">
        <f aca="false">ms_C_2026</f>
        <v>11</v>
      </c>
      <c r="E106" s="18" t="n">
        <f aca="false">ms_C_2027*m_soc</f>
        <v>15.4143580786026</v>
      </c>
      <c r="F106" s="18" t="n">
        <f aca="false">ms_C_2028*m_soc</f>
        <v>12.2398621968425</v>
      </c>
      <c r="G106" s="18" t="n">
        <f aca="false">ms_C_2029*m_soc</f>
        <v>13.4764718006046</v>
      </c>
    </row>
    <row r="107" customFormat="false" ht="17.15" hidden="false" customHeight="false" outlineLevel="0" collapsed="false">
      <c r="A107" s="4" t="s">
        <v>561</v>
      </c>
      <c r="B107" s="0" t="s">
        <v>32</v>
      </c>
      <c r="C107" s="18" t="n">
        <f aca="false">mk_mem25</f>
        <v>2.1</v>
      </c>
      <c r="D107" s="18" t="n">
        <f aca="false">mm_C_2026</f>
        <v>2.75</v>
      </c>
      <c r="E107" s="18" t="n">
        <f aca="false">mm_C_2027</f>
        <v>3.88007408374579</v>
      </c>
      <c r="F107" s="18" t="n">
        <f aca="false">mm_C_2028</f>
        <v>3.64082803238745</v>
      </c>
      <c r="G107" s="18" t="n">
        <f aca="false">mm_C_2029</f>
        <v>4.31335866200469</v>
      </c>
    </row>
    <row r="108" customFormat="false" ht="17.15" hidden="false" customHeight="false" outlineLevel="0" collapsed="false">
      <c r="A108" s="4" t="s">
        <v>562</v>
      </c>
      <c r="B108" s="0" t="s">
        <v>99</v>
      </c>
      <c r="C108" s="11" t="n">
        <f aca="false">a25_soc/(C106*1000)</f>
        <v>0.273869565217391</v>
      </c>
      <c r="D108" s="11" t="n">
        <f aca="false">f26_soc/(D106*1000)</f>
        <v>0.295392727272727</v>
      </c>
      <c r="E108" s="11" t="n">
        <f aca="false">(s_soc+adv_sh26-as_C_2027)</f>
        <v>0.295392727272727</v>
      </c>
      <c r="F108" s="11" t="n">
        <f aca="false">(s_soc+adv_sh26-as_C_2028)</f>
        <v>0.345392727272727</v>
      </c>
      <c r="G108" s="11" t="n">
        <f aca="false">(s_soc+adv_sh26-as_C_2029)</f>
        <v>0.395392727272727</v>
      </c>
      <c r="H108" s="8" t="s">
        <v>585</v>
      </c>
    </row>
    <row r="109" customFormat="false" ht="17.15" hidden="false" customHeight="false" outlineLevel="0" collapsed="false">
      <c r="A109" s="0" t="s">
        <v>564</v>
      </c>
      <c r="B109" s="0" t="s">
        <v>197</v>
      </c>
      <c r="C109" s="9" t="n">
        <f aca="false">a25_soc</f>
        <v>1889.7</v>
      </c>
      <c r="D109" s="9" t="n">
        <f aca="false">f26_soc</f>
        <v>3249.32</v>
      </c>
      <c r="E109" s="9" t="n">
        <f aca="false">E106*1000*E108</f>
        <v>4553.28927199682</v>
      </c>
      <c r="F109" s="9" t="n">
        <f aca="false">F106*1000*F108</f>
        <v>4227.55938560979</v>
      </c>
      <c r="G109" s="9" t="n">
        <f aca="false">G106*1000*G108</f>
        <v>5328.49893925505</v>
      </c>
      <c r="H109" s="4" t="s">
        <v>565</v>
      </c>
    </row>
    <row r="110" customFormat="false" ht="15" hidden="false" customHeight="false" outlineLevel="0" collapsed="false">
      <c r="A110" s="4" t="s">
        <v>566</v>
      </c>
      <c r="B110" s="0" t="s">
        <v>99</v>
      </c>
      <c r="C110" s="11" t="n">
        <f aca="false">a25_mem/(C107*1000)</f>
        <v>0.240428571428571</v>
      </c>
      <c r="D110" s="11" t="n">
        <f aca="false">f26_mem/(D107*1000)</f>
        <v>0.316756363636364</v>
      </c>
      <c r="E110" s="11" t="n">
        <f aca="false">s_mem</f>
        <v>0.316756363636364</v>
      </c>
      <c r="F110" s="11" t="n">
        <f aca="false">s_mem</f>
        <v>0.316756363636364</v>
      </c>
      <c r="G110" s="11" t="n">
        <f aca="false">s_mem</f>
        <v>0.316756363636364</v>
      </c>
    </row>
    <row r="111" customFormat="false" ht="15" hidden="false" customHeight="false" outlineLevel="0" collapsed="false">
      <c r="A111" s="4" t="s">
        <v>567</v>
      </c>
      <c r="B111" s="0" t="s">
        <v>197</v>
      </c>
      <c r="C111" s="9" t="n">
        <f aca="false">a25_mem</f>
        <v>504.9</v>
      </c>
      <c r="D111" s="9" t="n">
        <f aca="false">f26_mem</f>
        <v>871.08</v>
      </c>
      <c r="E111" s="9" t="n">
        <f aca="false">E107*1000*E110</f>
        <v>1229.03815740701</v>
      </c>
      <c r="F111" s="9" t="n">
        <f aca="false">F107*1000*F110</f>
        <v>1153.25544816439</v>
      </c>
      <c r="G111" s="9" t="n">
        <f aca="false">G107*1000*G110</f>
        <v>1366.28380483602</v>
      </c>
    </row>
    <row r="112" customFormat="false" ht="17.15" hidden="false" customHeight="false" outlineLevel="0" collapsed="false">
      <c r="A112" s="0" t="s">
        <v>568</v>
      </c>
      <c r="B112" s="0" t="s">
        <v>197</v>
      </c>
      <c r="C112" s="9" t="n">
        <f aca="false">a25_ist</f>
        <v>129.2</v>
      </c>
      <c r="D112" s="9" t="n">
        <f aca="false">f26_ist</f>
        <v>195.51</v>
      </c>
      <c r="E112" s="9" t="n">
        <f aca="false">$D112*E106/$D106</f>
        <v>273.969195267963</v>
      </c>
      <c r="F112" s="9" t="n">
        <f aca="false">$D112*F106/$D106</f>
        <v>217.546859827698</v>
      </c>
      <c r="G112" s="9" t="n">
        <f aca="false">$D112*G106/$D106</f>
        <v>239.525909248746</v>
      </c>
      <c r="H112" s="8" t="s">
        <v>569</v>
      </c>
    </row>
    <row r="113" customFormat="false" ht="15" hidden="false" customHeight="false" outlineLevel="0" collapsed="false">
      <c r="A113" s="4" t="s">
        <v>570</v>
      </c>
      <c r="B113" s="0" t="s">
        <v>197</v>
      </c>
      <c r="C113" s="9" t="n">
        <f aca="false">C109+C111+C112</f>
        <v>2523.8</v>
      </c>
      <c r="D113" s="9" t="n">
        <f aca="false">D109+D111+D112</f>
        <v>4315.91</v>
      </c>
      <c r="E113" s="9" t="n">
        <f aca="false">E109+E111+E112</f>
        <v>6056.29662467179</v>
      </c>
      <c r="F113" s="9" t="n">
        <f aca="false">F109+F111+F112</f>
        <v>5598.36169360187</v>
      </c>
      <c r="G113" s="9" t="n">
        <f aca="false">G109+G111+G112</f>
        <v>6934.30865333982</v>
      </c>
    </row>
    <row r="114" customFormat="false" ht="17.15" hidden="false" customHeight="false" outlineLevel="0" collapsed="false">
      <c r="A114" s="0" t="s">
        <v>571</v>
      </c>
      <c r="B114" s="0" t="s">
        <v>197</v>
      </c>
      <c r="C114" s="9" t="n">
        <f aca="false">a25_pt</f>
        <v>358</v>
      </c>
      <c r="D114" s="9" t="n">
        <f aca="false">f26_pt</f>
        <v>394.17</v>
      </c>
      <c r="E114" s="9" t="n">
        <f aca="false">D114*(1+g_pt_C)</f>
        <v>402.0534</v>
      </c>
      <c r="F114" s="9" t="n">
        <f aca="false">E114*(1+g_pt_C)</f>
        <v>410.094468</v>
      </c>
      <c r="G114" s="9" t="n">
        <f aca="false">F114*(1+g_pt_C)</f>
        <v>418.29635736</v>
      </c>
    </row>
    <row r="115" customFormat="false" ht="17.15" hidden="false" customHeight="false" outlineLevel="0" collapsed="false">
      <c r="A115" s="4" t="s">
        <v>512</v>
      </c>
      <c r="B115" s="0" t="s">
        <v>197</v>
      </c>
      <c r="C115" s="9" t="n">
        <f aca="false">C113+C114</f>
        <v>2881.8</v>
      </c>
      <c r="D115" s="9" t="n">
        <f aca="false">D113+D114</f>
        <v>4710.08</v>
      </c>
      <c r="E115" s="9" t="n">
        <f aca="false">E113+E114</f>
        <v>6458.35002467179</v>
      </c>
      <c r="F115" s="9" t="n">
        <f aca="false">F113+F114</f>
        <v>6008.45616160187</v>
      </c>
      <c r="G115" s="9" t="n">
        <f aca="false">G113+G114</f>
        <v>7352.60501069982</v>
      </c>
    </row>
    <row r="116" customFormat="false" ht="17.15" hidden="false" customHeight="false" outlineLevel="0" collapsed="false">
      <c r="A116" s="4" t="s">
        <v>572</v>
      </c>
      <c r="B116" s="0" t="s">
        <v>197</v>
      </c>
      <c r="C116" s="9" t="n">
        <f aca="false">a25_ttest</f>
        <v>761.4</v>
      </c>
      <c r="D116" s="9" t="n">
        <f aca="false">f26_ttest</f>
        <v>1643.83073654536</v>
      </c>
      <c r="E116" s="9" t="n">
        <f aca="false">t_inc*E115-t_fix+0*E115</f>
        <v>2487.64415984557</v>
      </c>
      <c r="F116" s="9" t="n">
        <f aca="false">t_inc*F115-t_fix+gm_adj_C28*F115</f>
        <v>2210.41552130696</v>
      </c>
      <c r="G116" s="9" t="n">
        <f aca="false">t_inc*G115-t_fix+gm_adj_C29*G115</f>
        <v>2772.20980197961</v>
      </c>
      <c r="H116" s="4" t="s">
        <v>573</v>
      </c>
    </row>
    <row r="117" customFormat="false" ht="15" hidden="false" customHeight="false" outlineLevel="0" collapsed="false">
      <c r="A117" s="4" t="s">
        <v>574</v>
      </c>
      <c r="B117" s="0" t="s">
        <v>99</v>
      </c>
      <c r="C117" s="11" t="n">
        <f aca="false">C116/C115</f>
        <v>0.26420986883198</v>
      </c>
      <c r="D117" s="11" t="n">
        <f aca="false">D116/D115</f>
        <v>0.349002721088678</v>
      </c>
      <c r="E117" s="11" t="n">
        <f aca="false">E116/E115</f>
        <v>0.385182616355946</v>
      </c>
      <c r="F117" s="11" t="n">
        <f aca="false">F116/F115</f>
        <v>0.367884105643148</v>
      </c>
      <c r="G117" s="11" t="n">
        <f aca="false">G116/G115</f>
        <v>0.377037770687447</v>
      </c>
    </row>
    <row r="118" customFormat="false" ht="17.15" hidden="false" customHeight="false" outlineLevel="0" collapsed="false">
      <c r="A118" s="4" t="s">
        <v>575</v>
      </c>
      <c r="B118" s="0" t="s">
        <v>197</v>
      </c>
      <c r="C118" s="9" t="n">
        <f aca="false">a25_rob</f>
        <v>308.3</v>
      </c>
      <c r="D118" s="9" t="n">
        <f aca="false">f26_rob</f>
        <v>401.52</v>
      </c>
      <c r="E118" s="9" t="n">
        <f aca="false">D118*(1+g_rob)</f>
        <v>441.672</v>
      </c>
      <c r="F118" s="9" t="n">
        <f aca="false">E118*(1+g_rob)</f>
        <v>485.8392</v>
      </c>
      <c r="G118" s="9" t="n">
        <f aca="false">F118*(1+g_rob)</f>
        <v>534.42312</v>
      </c>
    </row>
    <row r="119" customFormat="false" ht="15" hidden="false" customHeight="false" outlineLevel="0" collapsed="false">
      <c r="A119" s="4" t="s">
        <v>520</v>
      </c>
      <c r="B119" s="0" t="s">
        <v>197</v>
      </c>
      <c r="C119" s="9" t="n">
        <f aca="false">a25_trob</f>
        <v>-99.4</v>
      </c>
      <c r="D119" s="9" t="n">
        <f aca="false">f26_trob</f>
        <v>-3.5</v>
      </c>
      <c r="E119" s="9" t="n">
        <f aca="false">E118*rm_2027</f>
        <v>8.83344</v>
      </c>
      <c r="F119" s="9" t="n">
        <f aca="false">F118*rm_2028</f>
        <v>19.433568</v>
      </c>
      <c r="G119" s="9" t="n">
        <f aca="false">G118*rm_2029</f>
        <v>26.721156</v>
      </c>
    </row>
    <row r="120" customFormat="false" ht="15" hidden="false" customHeight="false" outlineLevel="0" collapsed="false">
      <c r="A120" s="4" t="s">
        <v>500</v>
      </c>
      <c r="B120" s="0" t="s">
        <v>197</v>
      </c>
      <c r="C120" s="9" t="n">
        <f aca="false">a25_corp</f>
        <v>-8.8</v>
      </c>
      <c r="D120" s="9" t="n">
        <f aca="false">f26_corp</f>
        <v>-10.4</v>
      </c>
      <c r="E120" s="9" t="n">
        <f aca="false">corp</f>
        <v>-10.4</v>
      </c>
      <c r="F120" s="9" t="n">
        <f aca="false">corp</f>
        <v>-10.4</v>
      </c>
      <c r="G120" s="9" t="n">
        <f aca="false">corp</f>
        <v>-10.4</v>
      </c>
    </row>
    <row r="121" customFormat="false" ht="15" hidden="false" customHeight="false" outlineLevel="0" collapsed="false">
      <c r="A121" s="4" t="s">
        <v>474</v>
      </c>
      <c r="B121" s="0" t="s">
        <v>197</v>
      </c>
      <c r="C121" s="9" t="n">
        <f aca="false">C115+C118</f>
        <v>3190.1</v>
      </c>
      <c r="D121" s="9" t="n">
        <f aca="false">D115+D118</f>
        <v>5111.6</v>
      </c>
      <c r="E121" s="9" t="n">
        <f aca="false">E115+E118</f>
        <v>6900.02202467179</v>
      </c>
      <c r="F121" s="9" t="n">
        <f aca="false">F115+F118</f>
        <v>6494.29536160187</v>
      </c>
      <c r="G121" s="9" t="n">
        <f aca="false">G115+G118</f>
        <v>7887.02813069982</v>
      </c>
    </row>
    <row r="122" customFormat="false" ht="17.15" hidden="false" customHeight="false" outlineLevel="0" collapsed="false">
      <c r="A122" s="4" t="s">
        <v>576</v>
      </c>
      <c r="B122" s="0" t="s">
        <v>197</v>
      </c>
      <c r="C122" s="9" t="n">
        <f aca="false">ROUND(C113+C114+C118-a25_rev,0)</f>
        <v>0</v>
      </c>
      <c r="D122" s="9" t="n">
        <f aca="false">ROUND(D113+D114+D118-f26_rev,0)</f>
        <v>0</v>
      </c>
      <c r="H122" s="8" t="s">
        <v>577</v>
      </c>
    </row>
    <row r="123" customFormat="false" ht="15" hidden="false" customHeight="false" outlineLevel="0" collapsed="false">
      <c r="A123" s="4" t="s">
        <v>553</v>
      </c>
      <c r="B123" s="0" t="s">
        <v>197</v>
      </c>
      <c r="C123" s="9" t="n">
        <f aca="false">C116+C119+C120</f>
        <v>653.2</v>
      </c>
      <c r="D123" s="9" t="n">
        <f aca="false">D116+D119+D120</f>
        <v>1629.93073654536</v>
      </c>
      <c r="E123" s="9" t="n">
        <f aca="false">E116+E119+E120</f>
        <v>2486.07759984557</v>
      </c>
      <c r="F123" s="9" t="n">
        <f aca="false">F116+F119+F120</f>
        <v>2219.44908930696</v>
      </c>
      <c r="G123" s="9" t="n">
        <f aca="false">G116+G119+G120</f>
        <v>2788.53095797961</v>
      </c>
    </row>
    <row r="124" customFormat="false" ht="15" hidden="false" customHeight="false" outlineLevel="0" collapsed="false">
      <c r="A124" s="4" t="s">
        <v>554</v>
      </c>
      <c r="B124" s="0" t="s">
        <v>99</v>
      </c>
      <c r="C124" s="11" t="n">
        <f aca="false">C123/C121</f>
        <v>0.204758471521269</v>
      </c>
      <c r="D124" s="11" t="n">
        <f aca="false">D123/D121</f>
        <v>0.318868991420565</v>
      </c>
      <c r="E124" s="11" t="n">
        <f aca="false">E123/E121</f>
        <v>0.360299951356144</v>
      </c>
      <c r="F124" s="11" t="n">
        <f aca="false">F123/F121</f>
        <v>0.341753641577447</v>
      </c>
      <c r="G124" s="11" t="n">
        <f aca="false">G123/G121</f>
        <v>0.353559149500864</v>
      </c>
    </row>
    <row r="125" customFormat="false" ht="15" hidden="false" customHeight="false" outlineLevel="0" collapsed="false">
      <c r="A125" s="4" t="s">
        <v>486</v>
      </c>
      <c r="B125" s="0" t="s">
        <v>197</v>
      </c>
      <c r="C125" s="9" t="n">
        <f aca="false">a25_tax</f>
        <v>79.3</v>
      </c>
      <c r="D125" s="9" t="n">
        <f aca="false">f26_tax</f>
        <v>231.054736545361</v>
      </c>
      <c r="E125" s="9" t="n">
        <f aca="false">E123*etr</f>
        <v>352.419886308253</v>
      </c>
      <c r="F125" s="9" t="n">
        <f aca="false">F123*etr</f>
        <v>314.623323008542</v>
      </c>
      <c r="G125" s="9" t="n">
        <f aca="false">G123*etr</f>
        <v>395.294886707986</v>
      </c>
    </row>
    <row r="126" customFormat="false" ht="17.15" hidden="false" customHeight="false" outlineLevel="0" collapsed="false">
      <c r="A126" s="4" t="s">
        <v>487</v>
      </c>
      <c r="B126" s="0" t="s">
        <v>197</v>
      </c>
      <c r="C126" s="9" t="n">
        <f aca="false">a25_aff</f>
        <v>-19.9</v>
      </c>
      <c r="D126" s="9" t="n">
        <f aca="false">f26_aff</f>
        <v>-13.2</v>
      </c>
      <c r="E126" s="9" t="n">
        <f aca="false">aff</f>
        <v>-13.2</v>
      </c>
      <c r="F126" s="9" t="n">
        <f aca="false">aff</f>
        <v>-13.2</v>
      </c>
      <c r="G126" s="9" t="n">
        <f aca="false">aff</f>
        <v>-13.2</v>
      </c>
    </row>
    <row r="127" customFormat="false" ht="17.15" hidden="false" customHeight="false" outlineLevel="0" collapsed="false">
      <c r="A127" s="4" t="s">
        <v>555</v>
      </c>
      <c r="B127" s="0" t="s">
        <v>197</v>
      </c>
      <c r="C127" s="9" t="n">
        <f aca="false">a25_ni</f>
        <v>554</v>
      </c>
      <c r="D127" s="9" t="n">
        <f aca="false">f26_ni</f>
        <v>1385.276</v>
      </c>
      <c r="E127" s="9" t="n">
        <f aca="false">E123-E125+E126</f>
        <v>2120.45771353732</v>
      </c>
      <c r="F127" s="9" t="n">
        <f aca="false">F123-F125+F126</f>
        <v>1891.62576629842</v>
      </c>
      <c r="G127" s="9" t="n">
        <f aca="false">G123-G125+G126</f>
        <v>2380.03607127163</v>
      </c>
      <c r="H127" s="8" t="s">
        <v>578</v>
      </c>
    </row>
    <row r="128" customFormat="false" ht="15" hidden="false" customHeight="false" outlineLevel="0" collapsed="false">
      <c r="A128" s="4" t="s">
        <v>579</v>
      </c>
      <c r="B128" s="4" t="s">
        <v>259</v>
      </c>
      <c r="C128" s="9" t="n">
        <f aca="false">a25_dsh</f>
        <v>159.7</v>
      </c>
      <c r="D128" s="9" t="n">
        <f aca="false">sh26</f>
        <v>157.7</v>
      </c>
      <c r="E128" s="9" t="n">
        <f aca="false">sh26*(1-bb)^1</f>
        <v>156.123</v>
      </c>
      <c r="F128" s="9" t="n">
        <f aca="false">sh26*(1-bb)^2</f>
        <v>154.56177</v>
      </c>
      <c r="G128" s="9" t="n">
        <f aca="false">sh26*(1-bb)^3</f>
        <v>153.0161523</v>
      </c>
    </row>
    <row r="129" customFormat="false" ht="17.15" hidden="false" customHeight="false" outlineLevel="0" collapsed="false">
      <c r="A129" s="0" t="s">
        <v>489</v>
      </c>
      <c r="B129" s="0" t="s">
        <v>202</v>
      </c>
      <c r="C129" s="18" t="n">
        <f aca="false">a25_eps</f>
        <v>3.47</v>
      </c>
      <c r="D129" s="18" t="n">
        <f aca="false">D127/D128</f>
        <v>8.78424857324033</v>
      </c>
      <c r="E129" s="18" t="n">
        <f aca="false">E127/E128</f>
        <v>13.5819687908721</v>
      </c>
      <c r="F129" s="18" t="n">
        <f aca="false">F127/F128</f>
        <v>12.2386393886303</v>
      </c>
      <c r="G129" s="18" t="n">
        <f aca="false">G127/G128</f>
        <v>15.5541492548145</v>
      </c>
    </row>
    <row r="130" customFormat="false" ht="17.15" hidden="false" customHeight="false" outlineLevel="0" collapsed="false">
      <c r="A130" s="0" t="s">
        <v>580</v>
      </c>
      <c r="B130" s="0" t="s">
        <v>99</v>
      </c>
      <c r="C130" s="11" t="n">
        <f aca="false">C109/C121</f>
        <v>0.592363875740573</v>
      </c>
      <c r="D130" s="11" t="n">
        <f aca="false">D109/D121</f>
        <v>0.635675717974802</v>
      </c>
      <c r="E130" s="11" t="n">
        <f aca="false">E109/E121</f>
        <v>0.659894889569342</v>
      </c>
      <c r="F130" s="11" t="n">
        <f aca="false">F109/F121</f>
        <v>0.650965062446286</v>
      </c>
      <c r="G130" s="11" t="n">
        <f aca="false">G109/G121</f>
        <v>0.675602882474093</v>
      </c>
    </row>
    <row r="131" customFormat="false" ht="17.15" hidden="false" customHeight="false" outlineLevel="0" collapsed="false">
      <c r="A131" s="4" t="s">
        <v>581</v>
      </c>
      <c r="B131" s="0" t="s">
        <v>99</v>
      </c>
      <c r="C131" s="11" t="n">
        <f aca="false">a25_gp/a25_rev</f>
        <v>0.582225705329154</v>
      </c>
      <c r="D131" s="11" t="n">
        <f aca="false">f26_gm</f>
        <v>0.594365646092145</v>
      </c>
      <c r="E131" s="11" t="n">
        <f aca="false">f26_gm+(Q!J13-a25_gp/a25_rev)/(Q!J4/Q!J10-a25_soc/a25_rev)*(E130-D130)</f>
        <v>0.601873816058102</v>
      </c>
      <c r="F131" s="11" t="n">
        <f aca="false">f26_gm+(Q!J13-a25_gp/a25_rev)/(Q!J4/Q!J10-a25_soc/a25_rev)*(F130-D130)+gm_adj_C28</f>
        <v>0.589105486037201</v>
      </c>
      <c r="G131" s="11" t="n">
        <f aca="false">f26_gm+(Q!J13-a25_gp/a25_rev)/(Q!J4/Q!J10-a25_soc/a25_rev)*(G130-D130)+gm_adj_C29</f>
        <v>0.586743440937406</v>
      </c>
      <c r="H131" s="8" t="s">
        <v>582</v>
      </c>
    </row>
    <row r="134" customFormat="false" ht="17.15" hidden="false" customHeight="false" outlineLevel="0" collapsed="false">
      <c r="A134" s="1" t="s">
        <v>586</v>
      </c>
    </row>
    <row r="135" customFormat="false" ht="17.15" hidden="false" customHeight="false" outlineLevel="0" collapsed="false">
      <c r="A135" s="4" t="s">
        <v>587</v>
      </c>
    </row>
    <row r="136" customFormat="false" ht="17.15" hidden="false" customHeight="false" outlineLevel="0" collapsed="false">
      <c r="A136" s="5" t="s">
        <v>588</v>
      </c>
      <c r="B136" s="5" t="s">
        <v>22</v>
      </c>
      <c r="C136" s="15" t="s">
        <v>545</v>
      </c>
      <c r="D136" s="15" t="s">
        <v>506</v>
      </c>
      <c r="E136" s="15" t="s">
        <v>546</v>
      </c>
      <c r="F136" s="15" t="s">
        <v>547</v>
      </c>
      <c r="G136" s="15" t="s">
        <v>548</v>
      </c>
      <c r="H136" s="15" t="s">
        <v>589</v>
      </c>
      <c r="I136" s="15" t="s">
        <v>590</v>
      </c>
      <c r="J136" s="15" t="s">
        <v>591</v>
      </c>
      <c r="K136" s="5" t="s">
        <v>374</v>
      </c>
    </row>
    <row r="137" customFormat="false" ht="17.15" hidden="false" customHeight="false" outlineLevel="0" collapsed="false">
      <c r="A137" s="1" t="s">
        <v>592</v>
      </c>
    </row>
    <row r="138" customFormat="false" ht="17.15" hidden="false" customHeight="false" outlineLevel="0" collapsed="false">
      <c r="A138" s="4" t="s">
        <v>474</v>
      </c>
      <c r="B138" s="0" t="s">
        <v>197</v>
      </c>
      <c r="C138" s="20" t="n">
        <f aca="false">C5</f>
        <v>3190.1</v>
      </c>
      <c r="D138" s="20" t="n">
        <f aca="false">D5</f>
        <v>5111.6</v>
      </c>
      <c r="E138" s="20" t="n">
        <f aca="false">E5</f>
        <v>6923.67222467179</v>
      </c>
      <c r="F138" s="20" t="n">
        <f aca="false">F5</f>
        <v>7961.49851319757</v>
      </c>
      <c r="G138" s="20" t="n">
        <f aca="false">G5</f>
        <v>9019.68544869644</v>
      </c>
      <c r="H138" s="22" t="n">
        <f aca="false">G138*(1+H139)</f>
        <v>9999.30167323895</v>
      </c>
      <c r="I138" s="22" t="n">
        <f aca="false">H138*(1+I139)</f>
        <v>10842.286253336</v>
      </c>
      <c r="J138" s="22" t="n">
        <f aca="false">I138*(1+J139)</f>
        <v>11492.8234285362</v>
      </c>
      <c r="K138" s="8" t="s">
        <v>593</v>
      </c>
    </row>
    <row r="139" customFormat="false" ht="15" hidden="false" customHeight="false" outlineLevel="0" collapsed="false">
      <c r="A139" s="4" t="s">
        <v>594</v>
      </c>
      <c r="B139" s="0" t="s">
        <v>99</v>
      </c>
      <c r="D139" s="11" t="n">
        <f aca="false">D138/C138-1</f>
        <v>0.602332215291057</v>
      </c>
      <c r="E139" s="11" t="n">
        <f aca="false">E138/D138-1</f>
        <v>0.35450196116124</v>
      </c>
      <c r="F139" s="11" t="n">
        <f aca="false">F138/E138-1</f>
        <v>0.149895352473155</v>
      </c>
      <c r="G139" s="11" t="n">
        <f aca="false">G138/F138-1</f>
        <v>0.132913035623224</v>
      </c>
      <c r="H139" s="23" t="n">
        <f aca="false">$G139+((tp_g+0.02)-$G139)*1/3</f>
        <v>0.108608690415483</v>
      </c>
      <c r="I139" s="23" t="n">
        <f aca="false">$G139+((tp_g+0.02)-$G139)*2/3</f>
        <v>0.0843043452077415</v>
      </c>
      <c r="J139" s="23" t="n">
        <f aca="false">$G139+((tp_g+0.02)-$G139)*3/3</f>
        <v>0.06</v>
      </c>
    </row>
    <row r="140" customFormat="false" ht="17.15" hidden="false" customHeight="false" outlineLevel="0" collapsed="false">
      <c r="A140" s="4" t="s">
        <v>595</v>
      </c>
      <c r="B140" s="0" t="s">
        <v>99</v>
      </c>
      <c r="C140" s="11" t="n">
        <f aca="false">C141/C138</f>
        <v>0.173662267640513</v>
      </c>
      <c r="D140" s="11" t="n">
        <f aca="false">D141/D138</f>
        <v>0.271006338524141</v>
      </c>
      <c r="E140" s="11" t="n">
        <f aca="false">E141/E138</f>
        <v>0.307676968523663</v>
      </c>
      <c r="F140" s="11" t="n">
        <f aca="false">F141/F138</f>
        <v>0.320412227105355</v>
      </c>
      <c r="G140" s="11" t="n">
        <f aca="false">G141/G138</f>
        <v>0.329881797213821</v>
      </c>
      <c r="H140" s="23" t="n">
        <f aca="false">$G140+($G140-$G140)*1/3</f>
        <v>0.329881797213821</v>
      </c>
      <c r="I140" s="23" t="n">
        <f aca="false">$G140+($G140-$G140)*2/3</f>
        <v>0.329881797213821</v>
      </c>
      <c r="J140" s="23" t="n">
        <f aca="false">$G140+($G140-$G140)*3/3</f>
        <v>0.329881797213821</v>
      </c>
    </row>
    <row r="141" customFormat="false" ht="15" hidden="false" customHeight="false" outlineLevel="0" collapsed="false">
      <c r="A141" s="4" t="s">
        <v>596</v>
      </c>
      <c r="B141" s="0" t="s">
        <v>197</v>
      </c>
      <c r="C141" s="20" t="n">
        <f aca="false">C12</f>
        <v>554</v>
      </c>
      <c r="D141" s="20" t="n">
        <f aca="false">D12</f>
        <v>1385.276</v>
      </c>
      <c r="E141" s="20" t="n">
        <f aca="false">E12</f>
        <v>2130.2544811385</v>
      </c>
      <c r="F141" s="20" t="n">
        <f aca="false">F12</f>
        <v>2550.96146970961</v>
      </c>
      <c r="G141" s="20" t="n">
        <f aca="false">G12</f>
        <v>2975.43004611933</v>
      </c>
      <c r="H141" s="22" t="n">
        <f aca="false">H138*H140</f>
        <v>3298.58760685123</v>
      </c>
      <c r="I141" s="22" t="n">
        <f aca="false">I138*I140</f>
        <v>3576.67287515719</v>
      </c>
      <c r="J141" s="22" t="n">
        <f aca="false">J138*J140</f>
        <v>3791.27324766662</v>
      </c>
    </row>
    <row r="142" customFormat="false" ht="17.15" hidden="false" customHeight="false" outlineLevel="0" collapsed="false">
      <c r="A142" s="0" t="s">
        <v>597</v>
      </c>
      <c r="B142" s="0" t="s">
        <v>202</v>
      </c>
      <c r="C142" s="14" t="n">
        <f aca="false">C13</f>
        <v>3.47</v>
      </c>
      <c r="D142" s="14" t="n">
        <f aca="false">D13</f>
        <v>8.78424857324033</v>
      </c>
      <c r="E142" s="14" t="n">
        <f aca="false">E13</f>
        <v>13.6447191069765</v>
      </c>
      <c r="F142" s="14" t="n">
        <f aca="false">F13</f>
        <v>16.5044788870469</v>
      </c>
      <c r="G142" s="14" t="n">
        <f aca="false">G13</f>
        <v>19.4452023619426</v>
      </c>
      <c r="H142" s="24" t="n">
        <f aca="false">$G142*H141/$G141</f>
        <v>21.5571203253372</v>
      </c>
      <c r="I142" s="24" t="n">
        <f aca="false">$G142*I141/$G141</f>
        <v>23.3744792389293</v>
      </c>
      <c r="J142" s="24" t="n">
        <f aca="false">$G142*J141/$G141</f>
        <v>24.7769479932651</v>
      </c>
    </row>
    <row r="144" customFormat="false" ht="17.15" hidden="false" customHeight="false" outlineLevel="0" collapsed="false">
      <c r="A144" s="1" t="s">
        <v>598</v>
      </c>
    </row>
    <row r="145" customFormat="false" ht="17.15" hidden="false" customHeight="false" outlineLevel="0" collapsed="false">
      <c r="A145" s="4" t="s">
        <v>474</v>
      </c>
      <c r="B145" s="0" t="s">
        <v>197</v>
      </c>
      <c r="C145" s="20" t="n">
        <f aca="false">C16</f>
        <v>3190.1</v>
      </c>
      <c r="D145" s="20" t="n">
        <f aca="false">D16</f>
        <v>5111.6</v>
      </c>
      <c r="E145" s="20" t="n">
        <f aca="false">E16</f>
        <v>6911.84712467179</v>
      </c>
      <c r="F145" s="20" t="n">
        <f aca="false">F16</f>
        <v>7046.47326708282</v>
      </c>
      <c r="G145" s="20" t="n">
        <f aca="false">G16</f>
        <v>8172.45389770389</v>
      </c>
      <c r="H145" s="22" t="n">
        <f aca="false">G145*(1+H146)</f>
        <v>9152.02329451199</v>
      </c>
      <c r="I145" s="22" t="n">
        <f aca="false">H145*(1+I146)</f>
        <v>9883.55519580191</v>
      </c>
      <c r="J145" s="22" t="n">
        <f aca="false">I145*(1+J146)</f>
        <v>10278.897403634</v>
      </c>
      <c r="K145" s="8" t="s">
        <v>593</v>
      </c>
    </row>
    <row r="146" customFormat="false" ht="15" hidden="false" customHeight="false" outlineLevel="0" collapsed="false">
      <c r="A146" s="4" t="s">
        <v>594</v>
      </c>
      <c r="B146" s="0" t="s">
        <v>99</v>
      </c>
      <c r="D146" s="11" t="n">
        <f aca="false">D145/C145-1</f>
        <v>0.602332215291057</v>
      </c>
      <c r="E146" s="11" t="n">
        <f aca="false">E145/D145-1</f>
        <v>0.352188575919828</v>
      </c>
      <c r="F146" s="11" t="n">
        <f aca="false">F145/E145-1</f>
        <v>0.0194775926004611</v>
      </c>
      <c r="G146" s="11" t="n">
        <f aca="false">G145/F145-1</f>
        <v>0.159793500655289</v>
      </c>
      <c r="H146" s="23" t="n">
        <f aca="false">$G146+((tp_g)-$G146)*1/3</f>
        <v>0.119862333770193</v>
      </c>
      <c r="I146" s="23" t="n">
        <f aca="false">$G146+((tp_g)-$G146)*2/3</f>
        <v>0.0799311668850963</v>
      </c>
      <c r="J146" s="23" t="n">
        <f aca="false">$G146+((tp_g)-$G146)*3/3</f>
        <v>0.04</v>
      </c>
    </row>
    <row r="147" customFormat="false" ht="17.15" hidden="false" customHeight="false" outlineLevel="0" collapsed="false">
      <c r="A147" s="4" t="s">
        <v>595</v>
      </c>
      <c r="B147" s="0" t="s">
        <v>99</v>
      </c>
      <c r="C147" s="11" t="n">
        <f aca="false">C148/C145</f>
        <v>0.173662267640513</v>
      </c>
      <c r="D147" s="11" t="n">
        <f aca="false">D148/D145</f>
        <v>0.271006338524141</v>
      </c>
      <c r="E147" s="11" t="n">
        <f aca="false">E148/E145</f>
        <v>0.307494662280863</v>
      </c>
      <c r="F147" s="11" t="n">
        <f aca="false">F148/F145</f>
        <v>0.308228649960347</v>
      </c>
      <c r="G147" s="11" t="n">
        <f aca="false">G148/G145</f>
        <v>0.321136851925048</v>
      </c>
      <c r="H147" s="23" t="n">
        <f aca="false">$G147+(($G147+nim10)/2-$G147)*1/3</f>
        <v>0.297619215603529</v>
      </c>
      <c r="I147" s="23" t="n">
        <f aca="false">$G147+(($G147+nim10)/2-$G147)*2/3</f>
        <v>0.274101579282011</v>
      </c>
      <c r="J147" s="23" t="n">
        <f aca="false">$G147+(($G147+nim10)/2-$G147)*3/3</f>
        <v>0.250583942960492</v>
      </c>
    </row>
    <row r="148" customFormat="false" ht="15" hidden="false" customHeight="false" outlineLevel="0" collapsed="false">
      <c r="A148" s="4" t="s">
        <v>596</v>
      </c>
      <c r="B148" s="0" t="s">
        <v>197</v>
      </c>
      <c r="C148" s="20" t="n">
        <f aca="false">C23</f>
        <v>554</v>
      </c>
      <c r="D148" s="20" t="n">
        <f aca="false">D23</f>
        <v>1385.276</v>
      </c>
      <c r="E148" s="20" t="n">
        <f aca="false">E23</f>
        <v>2125.35609733791</v>
      </c>
      <c r="F148" s="20" t="n">
        <f aca="false">F23</f>
        <v>2171.92494209461</v>
      </c>
      <c r="G148" s="20" t="n">
        <f aca="false">G23</f>
        <v>2624.47611721122</v>
      </c>
      <c r="H148" s="22" t="n">
        <f aca="false">H145*H147</f>
        <v>2723.81799409789</v>
      </c>
      <c r="I148" s="22" t="n">
        <f aca="false">I145*I147</f>
        <v>2709.09808809023</v>
      </c>
      <c r="J148" s="22" t="n">
        <f aca="false">J145*J147</f>
        <v>2575.72664068897</v>
      </c>
    </row>
    <row r="149" customFormat="false" ht="17.15" hidden="false" customHeight="false" outlineLevel="0" collapsed="false">
      <c r="A149" s="0" t="s">
        <v>597</v>
      </c>
      <c r="B149" s="0" t="s">
        <v>202</v>
      </c>
      <c r="C149" s="14" t="n">
        <f aca="false">C24</f>
        <v>3.47</v>
      </c>
      <c r="D149" s="14" t="n">
        <f aca="false">D24</f>
        <v>8.78424857324033</v>
      </c>
      <c r="E149" s="14" t="n">
        <f aca="false">E24</f>
        <v>13.6133439489243</v>
      </c>
      <c r="F149" s="14" t="n">
        <f aca="false">F24</f>
        <v>14.0521484846777</v>
      </c>
      <c r="G149" s="14" t="n">
        <f aca="false">G24</f>
        <v>17.1516279671294</v>
      </c>
      <c r="H149" s="24" t="n">
        <f aca="false">$G149*H148/$G148</f>
        <v>17.8008527410729</v>
      </c>
      <c r="I149" s="24" t="n">
        <f aca="false">$G149*I148/$G148</f>
        <v>17.7046543607947</v>
      </c>
      <c r="J149" s="24" t="n">
        <f aca="false">$G149*J148/$G148</f>
        <v>16.8330375713478</v>
      </c>
    </row>
    <row r="151" customFormat="false" ht="17.15" hidden="false" customHeight="false" outlineLevel="0" collapsed="false">
      <c r="A151" s="1" t="s">
        <v>599</v>
      </c>
    </row>
    <row r="152" customFormat="false" ht="17.15" hidden="false" customHeight="false" outlineLevel="0" collapsed="false">
      <c r="A152" s="4" t="s">
        <v>474</v>
      </c>
      <c r="B152" s="0" t="s">
        <v>197</v>
      </c>
      <c r="C152" s="20" t="n">
        <f aca="false">C27</f>
        <v>3190.1</v>
      </c>
      <c r="D152" s="20" t="n">
        <f aca="false">D27</f>
        <v>5111.6</v>
      </c>
      <c r="E152" s="20" t="n">
        <f aca="false">E27</f>
        <v>6900.02202467179</v>
      </c>
      <c r="F152" s="20" t="n">
        <f aca="false">F27</f>
        <v>6494.29536160187</v>
      </c>
      <c r="G152" s="20" t="n">
        <f aca="false">G27</f>
        <v>7887.02813069982</v>
      </c>
      <c r="H152" s="22" t="n">
        <f aca="false">G152*(1+H153)</f>
        <v>9067.21564300574</v>
      </c>
      <c r="I152" s="22" t="n">
        <f aca="false">H152*(1+I153)</f>
        <v>9836.281136947</v>
      </c>
      <c r="J152" s="22" t="n">
        <f aca="false">I152*(1+J153)</f>
        <v>10033.0067596859</v>
      </c>
      <c r="K152" s="8" t="s">
        <v>593</v>
      </c>
    </row>
    <row r="153" customFormat="false" ht="15" hidden="false" customHeight="false" outlineLevel="0" collapsed="false">
      <c r="A153" s="4" t="s">
        <v>594</v>
      </c>
      <c r="B153" s="0" t="s">
        <v>99</v>
      </c>
      <c r="D153" s="11" t="n">
        <f aca="false">D152/C152-1</f>
        <v>0.602332215291057</v>
      </c>
      <c r="E153" s="11" t="n">
        <f aca="false">E152/D152-1</f>
        <v>0.349875190678416</v>
      </c>
      <c r="F153" s="11" t="n">
        <f aca="false">F152/E152-1</f>
        <v>-0.0588007779713169</v>
      </c>
      <c r="G153" s="11" t="n">
        <f aca="false">G152/F152-1</f>
        <v>0.214454793253262</v>
      </c>
      <c r="H153" s="23" t="n">
        <f aca="false">$G153+((tp_g-0.02)-$G153)*1/3</f>
        <v>0.149636528835508</v>
      </c>
      <c r="I153" s="23" t="n">
        <f aca="false">$G153+((tp_g-0.02)-$G153)*2/3</f>
        <v>0.0848182644177539</v>
      </c>
      <c r="J153" s="23" t="n">
        <f aca="false">$G153+((tp_g-0.02)-$G153)*3/3</f>
        <v>0.02</v>
      </c>
    </row>
    <row r="154" customFormat="false" ht="17.15" hidden="false" customHeight="false" outlineLevel="0" collapsed="false">
      <c r="A154" s="4" t="s">
        <v>595</v>
      </c>
      <c r="B154" s="0" t="s">
        <v>99</v>
      </c>
      <c r="C154" s="11" t="n">
        <f aca="false">C155/C152</f>
        <v>0.173662267640513</v>
      </c>
      <c r="D154" s="11" t="n">
        <f aca="false">D155/D152</f>
        <v>0.271006338524141</v>
      </c>
      <c r="E154" s="11" t="n">
        <f aca="false">E155/E152</f>
        <v>0.307311731173522</v>
      </c>
      <c r="F154" s="11" t="n">
        <f aca="false">F155/F152</f>
        <v>0.291274982268721</v>
      </c>
      <c r="G154" s="11" t="n">
        <f aca="false">G155/G152</f>
        <v>0.30176589100874</v>
      </c>
      <c r="H154" s="23" t="n">
        <f aca="false">$G154+(nim10-$G154)*1/3</f>
        <v>0.261187605337805</v>
      </c>
      <c r="I154" s="23" t="n">
        <f aca="false">$G154+(nim10-$G154)*2/3</f>
        <v>0.220609319666871</v>
      </c>
      <c r="J154" s="23" t="n">
        <f aca="false">$G154+(nim10-$G154)*3/3</f>
        <v>0.180031033995936</v>
      </c>
    </row>
    <row r="155" customFormat="false" ht="15" hidden="false" customHeight="false" outlineLevel="0" collapsed="false">
      <c r="A155" s="4" t="s">
        <v>596</v>
      </c>
      <c r="B155" s="0" t="s">
        <v>197</v>
      </c>
      <c r="C155" s="20" t="n">
        <f aca="false">C34</f>
        <v>554</v>
      </c>
      <c r="D155" s="20" t="n">
        <f aca="false">D34</f>
        <v>1385.276</v>
      </c>
      <c r="E155" s="20" t="n">
        <f aca="false">E34</f>
        <v>2120.45771353732</v>
      </c>
      <c r="F155" s="20" t="n">
        <f aca="false">F34</f>
        <v>1891.62576629842</v>
      </c>
      <c r="G155" s="20" t="n">
        <f aca="false">G34</f>
        <v>2380.03607127163</v>
      </c>
      <c r="H155" s="22" t="n">
        <f aca="false">H152*H154</f>
        <v>2368.24434087816</v>
      </c>
      <c r="I155" s="22" t="n">
        <f aca="false">I152*I154</f>
        <v>2169.97528967395</v>
      </c>
      <c r="J155" s="22" t="n">
        <f aca="false">J152*J154</f>
        <v>1806.25258103447</v>
      </c>
    </row>
    <row r="156" customFormat="false" ht="17.15" hidden="false" customHeight="false" outlineLevel="0" collapsed="false">
      <c r="A156" s="0" t="s">
        <v>597</v>
      </c>
      <c r="B156" s="0" t="s">
        <v>202</v>
      </c>
      <c r="C156" s="14" t="n">
        <f aca="false">C35</f>
        <v>3.47</v>
      </c>
      <c r="D156" s="14" t="n">
        <f aca="false">D35</f>
        <v>8.78424857324033</v>
      </c>
      <c r="E156" s="14" t="n">
        <f aca="false">E35</f>
        <v>13.5819687908721</v>
      </c>
      <c r="F156" s="14" t="n">
        <f aca="false">F35</f>
        <v>12.2386393886303</v>
      </c>
      <c r="G156" s="14" t="n">
        <f aca="false">G35</f>
        <v>15.5541492548145</v>
      </c>
      <c r="H156" s="24" t="n">
        <f aca="false">$G156*H155/$G155</f>
        <v>15.4770872570043</v>
      </c>
      <c r="I156" s="24" t="n">
        <f aca="false">$G156*I155/$G155</f>
        <v>14.1813478973092</v>
      </c>
      <c r="J156" s="24" t="n">
        <f aca="false">$G156*J155/$G155</f>
        <v>11.8043262353975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0" min="2" style="0" width="16"/>
    <col collapsed="false" customWidth="true" hidden="false" outlineLevel="0" max="11" min="11" style="0" width="80"/>
  </cols>
  <sheetData>
    <row r="1" customFormat="false" ht="17.15" hidden="false" customHeight="false" outlineLevel="0" collapsed="false">
      <c r="A1" s="0" t="s">
        <v>600</v>
      </c>
    </row>
    <row r="2" customFormat="false" ht="17.15" hidden="false" customHeight="false" outlineLevel="0" collapsed="false">
      <c r="A2" s="0" t="s">
        <v>601</v>
      </c>
    </row>
    <row r="3" customFormat="false" ht="17.15" hidden="false" customHeight="false" outlineLevel="0" collapsed="false">
      <c r="A3" s="4" t="s">
        <v>602</v>
      </c>
    </row>
    <row r="4" customFormat="false" ht="17.15" hidden="false" customHeight="false" outlineLevel="0" collapsed="false">
      <c r="A4" s="6" t="s">
        <v>603</v>
      </c>
    </row>
    <row r="5" customFormat="false" ht="17.15" hidden="false" customHeight="false" outlineLevel="0" collapsed="false">
      <c r="A5" s="5" t="s">
        <v>604</v>
      </c>
      <c r="B5" s="5" t="s">
        <v>605</v>
      </c>
      <c r="C5" s="5" t="s">
        <v>606</v>
      </c>
      <c r="D5" s="5" t="s">
        <v>607</v>
      </c>
      <c r="E5" s="5" t="s">
        <v>608</v>
      </c>
      <c r="F5" s="5" t="s">
        <v>609</v>
      </c>
      <c r="G5" s="5" t="s">
        <v>610</v>
      </c>
      <c r="H5" s="5" t="s">
        <v>374</v>
      </c>
    </row>
    <row r="6" customFormat="false" ht="15" hidden="false" customHeight="false" outlineLevel="0" collapsed="false">
      <c r="A6" s="0" t="n">
        <v>2015</v>
      </c>
      <c r="B6" s="17" t="n">
        <v>0.97</v>
      </c>
      <c r="C6" s="17" t="n">
        <v>0.97</v>
      </c>
      <c r="D6" s="18" t="n">
        <f aca="false">IF(C6="","",B6-C6)</f>
        <v>0</v>
      </c>
      <c r="E6" s="16" t="n">
        <v>206.5</v>
      </c>
      <c r="F6" s="16" t="n">
        <v>1639.6</v>
      </c>
      <c r="G6" s="16" t="n">
        <v>1965.8</v>
      </c>
    </row>
    <row r="7" customFormat="false" ht="17.15" hidden="false" customHeight="false" outlineLevel="0" collapsed="false">
      <c r="A7" s="0" t="n">
        <v>2016</v>
      </c>
      <c r="B7" s="17" t="n">
        <v>-0.21</v>
      </c>
      <c r="C7" s="17" t="n">
        <v>-0.21</v>
      </c>
      <c r="D7" s="18" t="n">
        <f aca="false">IF(C7="","",B7-C7)</f>
        <v>0</v>
      </c>
      <c r="E7" s="16" t="n">
        <v>-43.4</v>
      </c>
      <c r="F7" s="16" t="n">
        <v>1753.3</v>
      </c>
      <c r="G7" s="16" t="n">
        <v>1828.7</v>
      </c>
      <c r="H7" s="4" t="s">
        <v>611</v>
      </c>
    </row>
    <row r="8" customFormat="false" ht="15" hidden="false" customHeight="false" outlineLevel="0" collapsed="false">
      <c r="A8" s="0" t="n">
        <v>2017</v>
      </c>
      <c r="B8" s="17" t="n">
        <v>1.28</v>
      </c>
      <c r="C8" s="17" t="n">
        <v>1.28</v>
      </c>
      <c r="D8" s="18" t="n">
        <f aca="false">IF(C8="","",B8-C8)</f>
        <v>0</v>
      </c>
      <c r="E8" s="16" t="n">
        <v>257.7</v>
      </c>
      <c r="F8" s="16" t="n">
        <v>2136.6</v>
      </c>
      <c r="G8" s="16" t="n">
        <v>1953.6</v>
      </c>
    </row>
    <row r="9" customFormat="false" ht="15" hidden="false" customHeight="false" outlineLevel="0" collapsed="false">
      <c r="A9" s="0" t="n">
        <v>2018</v>
      </c>
      <c r="B9" s="17" t="n">
        <v>2.35</v>
      </c>
      <c r="C9" s="17" t="n">
        <v>2.35</v>
      </c>
      <c r="D9" s="18" t="n">
        <f aca="false">IF(C9="","",B9-C9)</f>
        <v>0</v>
      </c>
      <c r="E9" s="16" t="n">
        <v>451.8</v>
      </c>
      <c r="F9" s="16" t="n">
        <v>2100.8</v>
      </c>
      <c r="G9" s="16" t="n">
        <v>1522.4</v>
      </c>
    </row>
    <row r="10" customFormat="false" ht="15" hidden="false" customHeight="false" outlineLevel="0" collapsed="false">
      <c r="A10" s="0" t="n">
        <v>2019</v>
      </c>
      <c r="B10" s="17" t="n">
        <v>2.6</v>
      </c>
      <c r="C10" s="17" t="n">
        <v>2.6</v>
      </c>
      <c r="D10" s="18" t="n">
        <f aca="false">IF(C10="","",B10-C10)</f>
        <v>0</v>
      </c>
      <c r="E10" s="16" t="n">
        <v>467.5</v>
      </c>
      <c r="F10" s="16" t="n">
        <v>2295</v>
      </c>
      <c r="G10" s="16" t="n">
        <v>1480.2</v>
      </c>
    </row>
    <row r="11" customFormat="false" ht="15" hidden="false" customHeight="false" outlineLevel="0" collapsed="false">
      <c r="A11" s="0" t="n">
        <v>2020</v>
      </c>
      <c r="B11" s="17" t="n">
        <v>4.28</v>
      </c>
      <c r="C11" s="17" t="n">
        <v>4.28</v>
      </c>
      <c r="D11" s="18" t="n">
        <f aca="false">IF(C11="","",B11-C11)</f>
        <v>0</v>
      </c>
      <c r="E11" s="16" t="n">
        <v>784.1</v>
      </c>
      <c r="F11" s="16" t="n">
        <v>3121.5</v>
      </c>
      <c r="G11" s="16" t="n">
        <v>2207</v>
      </c>
    </row>
    <row r="12" customFormat="false" ht="15" hidden="false" customHeight="false" outlineLevel="0" collapsed="false">
      <c r="A12" s="0" t="n">
        <v>2021</v>
      </c>
      <c r="B12" s="17" t="n">
        <v>5.53</v>
      </c>
      <c r="C12" s="17" t="n">
        <v>5.53</v>
      </c>
      <c r="D12" s="18" t="n">
        <f aca="false">IF(C12="","",B12-C12)</f>
        <v>0</v>
      </c>
      <c r="E12" s="16" t="n">
        <v>1014.6</v>
      </c>
      <c r="F12" s="16" t="n">
        <v>3702.9</v>
      </c>
      <c r="G12" s="16" t="n">
        <v>2562.4</v>
      </c>
    </row>
    <row r="13" customFormat="false" ht="15" hidden="false" customHeight="false" outlineLevel="0" collapsed="false">
      <c r="A13" s="0" t="n">
        <v>2022</v>
      </c>
      <c r="B13" s="17" t="n">
        <v>4.22</v>
      </c>
      <c r="C13" s="17" t="n">
        <v>4.22</v>
      </c>
      <c r="D13" s="18" t="n">
        <f aca="false">IF(C13="","",B13-C13)</f>
        <v>0</v>
      </c>
      <c r="E13" s="16" t="n">
        <v>715.5</v>
      </c>
      <c r="F13" s="16" t="n">
        <v>3155</v>
      </c>
      <c r="G13" s="16" t="n">
        <v>2451.3</v>
      </c>
    </row>
    <row r="14" customFormat="false" ht="15" hidden="false" customHeight="false" outlineLevel="0" collapsed="false">
      <c r="A14" s="0" t="n">
        <v>2023</v>
      </c>
      <c r="B14" s="17" t="n">
        <v>2.73</v>
      </c>
      <c r="C14" s="17" t="n">
        <v>2.73</v>
      </c>
      <c r="D14" s="18" t="n">
        <f aca="false">IF(C14="","",B14-C14)</f>
        <v>0</v>
      </c>
      <c r="E14" s="16" t="n">
        <v>448.8</v>
      </c>
      <c r="F14" s="16" t="n">
        <v>2676.3</v>
      </c>
      <c r="G14" s="16" t="n">
        <v>2525.9</v>
      </c>
    </row>
    <row r="15" customFormat="false" ht="15" hidden="false" customHeight="false" outlineLevel="0" collapsed="false">
      <c r="A15" s="0" t="n">
        <v>2024</v>
      </c>
      <c r="B15" s="17" t="n">
        <v>3.32</v>
      </c>
      <c r="C15" s="17" t="n">
        <v>3.32</v>
      </c>
      <c r="D15" s="18" t="n">
        <f aca="false">IF(C15="","",B15-C15)</f>
        <v>0</v>
      </c>
      <c r="E15" s="16" t="n">
        <v>542.4</v>
      </c>
      <c r="F15" s="16" t="n">
        <v>2819.9</v>
      </c>
      <c r="G15" s="16" t="n">
        <v>2819.3</v>
      </c>
    </row>
    <row r="16" customFormat="false" ht="17.15" hidden="false" customHeight="false" outlineLevel="0" collapsed="false">
      <c r="A16" s="0" t="n">
        <v>2025</v>
      </c>
      <c r="B16" s="17" t="n">
        <v>3.47</v>
      </c>
      <c r="C16" s="18"/>
      <c r="D16" s="18" t="str">
        <f aca="false">IF(C16="","",B16-C16)</f>
        <v/>
      </c>
      <c r="E16" s="16" t="n">
        <v>554</v>
      </c>
      <c r="F16" s="16" t="n">
        <v>3190</v>
      </c>
      <c r="G16" s="16" t="n">
        <v>2795.8</v>
      </c>
      <c r="H16" s="8" t="s">
        <v>612</v>
      </c>
    </row>
    <row r="17" customFormat="false" ht="17.15" hidden="false" customHeight="false" outlineLevel="0" collapsed="false">
      <c r="A17" s="1" t="s">
        <v>613</v>
      </c>
    </row>
    <row r="18" customFormat="false" ht="17.15" hidden="false" customHeight="false" outlineLevel="0" collapsed="false">
      <c r="A18" s="6" t="s">
        <v>614</v>
      </c>
    </row>
    <row r="19" customFormat="false" ht="17.15" hidden="false" customHeight="false" outlineLevel="0" collapsed="false">
      <c r="A19" s="5" t="s">
        <v>615</v>
      </c>
      <c r="B19" s="5" t="s">
        <v>616</v>
      </c>
      <c r="C19" s="5" t="s">
        <v>617</v>
      </c>
      <c r="D19" s="5"/>
      <c r="E19" s="15" t="s">
        <v>618</v>
      </c>
      <c r="F19" s="5"/>
      <c r="G19" s="15" t="s">
        <v>619</v>
      </c>
      <c r="H19" s="5" t="s">
        <v>620</v>
      </c>
      <c r="I19" s="5"/>
      <c r="J19" s="5" t="s">
        <v>26</v>
      </c>
      <c r="K19" s="5" t="s">
        <v>621</v>
      </c>
    </row>
    <row r="20" customFormat="false" ht="17.15" hidden="false" customHeight="false" outlineLevel="0" collapsed="false">
      <c r="A20" s="0" t="s">
        <v>622</v>
      </c>
      <c r="B20" s="13" t="n">
        <v>24.1472</v>
      </c>
      <c r="C20" s="14" t="n">
        <f aca="false">B7</f>
        <v>-0.21</v>
      </c>
      <c r="E20" s="25" t="str">
        <f aca="false">IF(C20&lt;=0,"",B20/C20)</f>
        <v/>
      </c>
      <c r="G20" s="26" t="n">
        <v>-115</v>
      </c>
      <c r="H20" s="25" t="str">
        <f aca="false">IF(E20="","",E20-G20)</f>
        <v/>
      </c>
      <c r="J20" s="8" t="s">
        <v>457</v>
      </c>
      <c r="K20" s="8" t="s">
        <v>623</v>
      </c>
    </row>
    <row r="21" customFormat="false" ht="17.15" hidden="false" customHeight="false" outlineLevel="0" collapsed="false">
      <c r="A21" s="0" t="s">
        <v>624</v>
      </c>
      <c r="B21" s="13" t="n">
        <v>40.1225</v>
      </c>
      <c r="C21" s="14" t="n">
        <f aca="false">B8</f>
        <v>1.28</v>
      </c>
      <c r="E21" s="25" t="n">
        <f aca="false">IF(C21&lt;=0,"",B21/C21)</f>
        <v>31.345703125</v>
      </c>
      <c r="G21" s="26" t="n">
        <v>31.2</v>
      </c>
      <c r="H21" s="25" t="n">
        <f aca="false">IF(E21="","",E21-G21)</f>
        <v>0.145703125000001</v>
      </c>
      <c r="J21" s="8" t="s">
        <v>457</v>
      </c>
      <c r="K21" s="4" t="s">
        <v>625</v>
      </c>
    </row>
    <row r="22" customFormat="false" ht="17.15" hidden="false" customHeight="false" outlineLevel="0" collapsed="false">
      <c r="A22" s="0" t="s">
        <v>626</v>
      </c>
      <c r="B22" s="13" t="n">
        <v>30.3431</v>
      </c>
      <c r="C22" s="14" t="n">
        <f aca="false">B9</f>
        <v>2.35</v>
      </c>
      <c r="E22" s="25" t="n">
        <f aca="false">IF(C22&lt;=0,"",B22/C22)</f>
        <v>12.9119574468085</v>
      </c>
      <c r="G22" s="26" t="n">
        <v>12.5</v>
      </c>
      <c r="H22" s="25" t="n">
        <f aca="false">IF(E22="","",E22-G22)</f>
        <v>0.411957446808509</v>
      </c>
      <c r="J22" s="8" t="s">
        <v>457</v>
      </c>
      <c r="K22" s="4" t="s">
        <v>625</v>
      </c>
    </row>
    <row r="23" customFormat="false" ht="17.15" hidden="false" customHeight="false" outlineLevel="0" collapsed="false">
      <c r="A23" s="0" t="s">
        <v>627</v>
      </c>
      <c r="B23" s="13" t="n">
        <v>66.4325</v>
      </c>
      <c r="C23" s="14" t="n">
        <f aca="false">B10</f>
        <v>2.6</v>
      </c>
      <c r="E23" s="25" t="n">
        <f aca="false">IF(C23&lt;=0,"",B23/C23)</f>
        <v>25.5509615384615</v>
      </c>
      <c r="G23" s="26" t="n">
        <v>23.6</v>
      </c>
      <c r="H23" s="25" t="n">
        <f aca="false">IF(E23="","",E23-G23)</f>
        <v>1.95096153846154</v>
      </c>
      <c r="J23" s="8" t="s">
        <v>457</v>
      </c>
      <c r="K23" s="4" t="s">
        <v>625</v>
      </c>
    </row>
    <row r="24" customFormat="false" ht="17.15" hidden="false" customHeight="false" outlineLevel="0" collapsed="false">
      <c r="A24" s="0" t="s">
        <v>628</v>
      </c>
      <c r="B24" s="13" t="n">
        <v>117.399</v>
      </c>
      <c r="C24" s="14" t="n">
        <f aca="false">B11</f>
        <v>4.28</v>
      </c>
      <c r="E24" s="25" t="n">
        <f aca="false">IF(C24&lt;=0,"",B24/C24)</f>
        <v>27.4296728971963</v>
      </c>
      <c r="G24" s="26" t="n">
        <v>24.9</v>
      </c>
      <c r="H24" s="25" t="n">
        <f aca="false">IF(E24="","",E24-G24)</f>
        <v>2.52967289719626</v>
      </c>
      <c r="J24" s="8" t="s">
        <v>457</v>
      </c>
      <c r="K24" s="4" t="s">
        <v>625</v>
      </c>
    </row>
    <row r="25" customFormat="false" ht="17.15" hidden="false" customHeight="false" outlineLevel="0" collapsed="false">
      <c r="A25" s="0" t="s">
        <v>629</v>
      </c>
      <c r="B25" s="13" t="n">
        <v>160.61</v>
      </c>
      <c r="C25" s="14" t="n">
        <f aca="false">B12</f>
        <v>5.53</v>
      </c>
      <c r="E25" s="25" t="n">
        <f aca="false">IF(C25&lt;=0,"",B25/C25)</f>
        <v>29.0433996383364</v>
      </c>
      <c r="G25" s="26" t="n">
        <v>26</v>
      </c>
      <c r="H25" s="25" t="n">
        <f aca="false">IF(E25="","",E25-G25)</f>
        <v>3.04339963833635</v>
      </c>
      <c r="J25" s="8" t="s">
        <v>457</v>
      </c>
      <c r="K25" s="4" t="s">
        <v>625</v>
      </c>
    </row>
    <row r="26" customFormat="false" ht="17.15" hidden="false" customHeight="false" outlineLevel="0" collapsed="false">
      <c r="A26" s="0" t="s">
        <v>630</v>
      </c>
      <c r="B26" s="13" t="n">
        <v>86.1704</v>
      </c>
      <c r="C26" s="14" t="n">
        <f aca="false">B13</f>
        <v>4.22</v>
      </c>
      <c r="E26" s="25" t="n">
        <f aca="false">IF(C26&lt;=0,"",B26/C26)</f>
        <v>20.4195260663507</v>
      </c>
      <c r="G26" s="26" t="n">
        <v>19.1</v>
      </c>
      <c r="H26" s="25" t="n">
        <f aca="false">IF(E26="","",E26-G26)</f>
        <v>1.31952606635071</v>
      </c>
      <c r="J26" s="8" t="s">
        <v>457</v>
      </c>
      <c r="K26" s="4" t="s">
        <v>625</v>
      </c>
    </row>
    <row r="27" customFormat="false" ht="17.15" hidden="false" customHeight="false" outlineLevel="0" collapsed="false">
      <c r="A27" s="0" t="s">
        <v>631</v>
      </c>
      <c r="B27" s="13" t="n">
        <v>107.522</v>
      </c>
      <c r="C27" s="14" t="n">
        <f aca="false">B14</f>
        <v>2.73</v>
      </c>
      <c r="E27" s="25" t="n">
        <f aca="false">IF(C27&lt;=0,"",B27/C27)</f>
        <v>39.385347985348</v>
      </c>
      <c r="G27" s="26" t="n">
        <v>36.9</v>
      </c>
      <c r="H27" s="25" t="n">
        <f aca="false">IF(E27="","",E27-G27)</f>
        <v>2.48534798534799</v>
      </c>
      <c r="J27" s="8" t="s">
        <v>457</v>
      </c>
      <c r="K27" s="4" t="s">
        <v>625</v>
      </c>
    </row>
    <row r="28" customFormat="false" ht="17.15" hidden="false" customHeight="false" outlineLevel="0" collapsed="false">
      <c r="A28" s="0" t="s">
        <v>632</v>
      </c>
      <c r="B28" s="13" t="n">
        <v>125.274</v>
      </c>
      <c r="C28" s="14" t="n">
        <f aca="false">B15</f>
        <v>3.32</v>
      </c>
      <c r="E28" s="25" t="n">
        <f aca="false">IF(C28&lt;=0,"",B28/C28)</f>
        <v>37.7331325301205</v>
      </c>
      <c r="G28" s="26" t="n">
        <v>37</v>
      </c>
      <c r="H28" s="25" t="n">
        <f aca="false">IF(E28="","",E28-G28)</f>
        <v>0.733132530120486</v>
      </c>
      <c r="J28" s="8" t="s">
        <v>457</v>
      </c>
      <c r="K28" s="4" t="s">
        <v>625</v>
      </c>
    </row>
    <row r="29" customFormat="false" ht="17.15" hidden="false" customHeight="false" outlineLevel="0" collapsed="false">
      <c r="A29" s="0" t="s">
        <v>633</v>
      </c>
      <c r="B29" s="13" t="n">
        <v>193.406</v>
      </c>
      <c r="C29" s="14" t="n">
        <f aca="false">B16</f>
        <v>3.47</v>
      </c>
      <c r="E29" s="25" t="n">
        <f aca="false">IF(C29&lt;=0,"",B29/C29)</f>
        <v>55.7365994236311</v>
      </c>
      <c r="G29" s="26" t="n">
        <v>55.5</v>
      </c>
      <c r="H29" s="25" t="n">
        <f aca="false">IF(E29="","",E29-G29)</f>
        <v>0.23659942363112</v>
      </c>
      <c r="J29" s="8" t="s">
        <v>457</v>
      </c>
      <c r="K29" s="8" t="s">
        <v>634</v>
      </c>
    </row>
    <row r="31" customFormat="false" ht="17.15" hidden="false" customHeight="false" outlineLevel="0" collapsed="false">
      <c r="A31" s="4" t="s">
        <v>635</v>
      </c>
    </row>
    <row r="33" customFormat="false" ht="17.15" hidden="false" customHeight="false" outlineLevel="0" collapsed="false">
      <c r="A33" s="6" t="s">
        <v>636</v>
      </c>
    </row>
    <row r="34" customFormat="false" ht="17.15" hidden="false" customHeight="false" outlineLevel="0" collapsed="false">
      <c r="A34" s="5" t="s">
        <v>637</v>
      </c>
      <c r="B34" s="15" t="s">
        <v>618</v>
      </c>
      <c r="C34" s="5"/>
      <c r="D34" s="15" t="s">
        <v>638</v>
      </c>
      <c r="E34" s="5" t="s">
        <v>639</v>
      </c>
    </row>
    <row r="35" customFormat="false" ht="17.15" hidden="false" customHeight="false" outlineLevel="0" collapsed="false">
      <c r="A35" s="0" t="s">
        <v>640</v>
      </c>
      <c r="B35" s="25" t="n">
        <f aca="false">PERCENTILE(E20:E29,0.25)</f>
        <v>25.5509615384615</v>
      </c>
      <c r="D35" s="25" t="n">
        <f aca="false">PERCENTILE(G21:G29,0.25)</f>
        <v>23.6</v>
      </c>
      <c r="E35" s="4" t="s">
        <v>641</v>
      </c>
    </row>
    <row r="36" customFormat="false" ht="15" hidden="false" customHeight="false" outlineLevel="0" collapsed="false">
      <c r="A36" s="4" t="s">
        <v>642</v>
      </c>
      <c r="B36" s="25" t="n">
        <f aca="false">PERCENTILE(E20:E29,0.5)</f>
        <v>29.0433996383364</v>
      </c>
      <c r="D36" s="25" t="n">
        <f aca="false">PERCENTILE(G21:G29,0.5)</f>
        <v>26</v>
      </c>
      <c r="E36" s="4" t="s">
        <v>643</v>
      </c>
    </row>
    <row r="37" customFormat="false" ht="17.15" hidden="false" customHeight="false" outlineLevel="0" collapsed="false">
      <c r="A37" s="0" t="s">
        <v>644</v>
      </c>
      <c r="B37" s="25" t="n">
        <f aca="false">PERCENTILE(E20:E29,0.75)</f>
        <v>37.7331325301205</v>
      </c>
      <c r="D37" s="25" t="n">
        <f aca="false">PERCENTILE(G21:G29,0.75)</f>
        <v>36.9</v>
      </c>
      <c r="E37" s="4" t="s">
        <v>645</v>
      </c>
    </row>
    <row r="38" customFormat="false" ht="15" hidden="false" customHeight="false" outlineLevel="0" collapsed="false">
      <c r="A38" s="4" t="s">
        <v>646</v>
      </c>
      <c r="B38" s="0" t="n">
        <f aca="false">COUNT(E20:E29)</f>
        <v>9</v>
      </c>
      <c r="D38" s="0" t="n">
        <f aca="false">COUNT(G21:G29)</f>
        <v>9</v>
      </c>
    </row>
    <row r="40" customFormat="false" ht="17.15" hidden="false" customHeight="false" outlineLevel="0" collapsed="false">
      <c r="A40" s="6" t="s">
        <v>647</v>
      </c>
    </row>
    <row r="41" customFormat="false" ht="17.15" hidden="false" customHeight="false" outlineLevel="0" collapsed="false">
      <c r="A41" s="4" t="s">
        <v>648</v>
      </c>
    </row>
    <row r="42" customFormat="false" ht="17.15" hidden="false" customHeight="false" outlineLevel="0" collapsed="false">
      <c r="A42" s="5" t="s">
        <v>649</v>
      </c>
      <c r="B42" s="5" t="s">
        <v>650</v>
      </c>
      <c r="C42" s="15" t="s">
        <v>651</v>
      </c>
      <c r="D42" s="5" t="s">
        <v>652</v>
      </c>
      <c r="E42" s="5" t="s">
        <v>653</v>
      </c>
      <c r="F42" s="5" t="s">
        <v>654</v>
      </c>
    </row>
    <row r="43" customFormat="false" ht="15" hidden="false" customHeight="false" outlineLevel="0" collapsed="false">
      <c r="A43" s="0" t="s">
        <v>655</v>
      </c>
      <c r="B43" s="0" t="n">
        <f aca="false">pk_A</f>
        <v>2029</v>
      </c>
      <c r="C43" s="7" t="n">
        <v>2027</v>
      </c>
      <c r="D43" s="0" t="str">
        <f aca="false">IF(C43&lt;pk_A,"中段",IF(C43=pk_A,"見頂","谷底"))</f>
        <v>中段</v>
      </c>
      <c r="E43" s="25" t="n">
        <f aca="false">IF(D43="見頂",pe_peak,IF(D43="谷底",pe_trough,pe_mid))</f>
        <v>29.0433996383364</v>
      </c>
      <c r="F43" s="8" t="s">
        <v>656</v>
      </c>
    </row>
    <row r="44" customFormat="false" ht="15" hidden="false" customHeight="false" outlineLevel="0" collapsed="false">
      <c r="A44" s="0" t="s">
        <v>657</v>
      </c>
      <c r="B44" s="0" t="n">
        <f aca="false">pk_B</f>
        <v>2028</v>
      </c>
      <c r="C44" s="7" t="n">
        <v>2027</v>
      </c>
      <c r="D44" s="0" t="str">
        <f aca="false">IF(C44&lt;pk_B,"中段",IF(C44=pk_B,"見頂","谷底"))</f>
        <v>中段</v>
      </c>
      <c r="E44" s="25" t="n">
        <f aca="false">IF(D44="見頂",pe_peak,IF(D44="谷底",pe_trough,pe_mid))</f>
        <v>29.0433996383364</v>
      </c>
      <c r="F44" s="8" t="s">
        <v>656</v>
      </c>
    </row>
    <row r="45" customFormat="false" ht="15" hidden="false" customHeight="false" outlineLevel="0" collapsed="false">
      <c r="A45" s="0" t="s">
        <v>658</v>
      </c>
      <c r="B45" s="0" t="n">
        <f aca="false">pk_C</f>
        <v>2027</v>
      </c>
      <c r="C45" s="7" t="n">
        <v>2027</v>
      </c>
      <c r="D45" s="0" t="str">
        <f aca="false">IF(C45&lt;pk_C,"中段",IF(C45=pk_C,"見頂","谷底"))</f>
        <v>見頂</v>
      </c>
      <c r="E45" s="25" t="n">
        <f aca="false">IF(D45="見頂",pe_peak,IF(D45="谷底",pe_trough,pe_mid))</f>
        <v>25.5509615384615</v>
      </c>
      <c r="F45" s="8" t="s">
        <v>656</v>
      </c>
    </row>
    <row r="47" customFormat="false" ht="17.15" hidden="false" customHeight="false" outlineLevel="0" collapsed="false">
      <c r="A47" s="6" t="s">
        <v>659</v>
      </c>
    </row>
    <row r="48" customFormat="false" ht="17.15" hidden="false" customHeight="false" outlineLevel="0" collapsed="false">
      <c r="A48" s="5" t="s">
        <v>649</v>
      </c>
      <c r="B48" s="15" t="s">
        <v>660</v>
      </c>
      <c r="C48" s="15" t="s">
        <v>556</v>
      </c>
      <c r="D48" s="5" t="s">
        <v>661</v>
      </c>
      <c r="E48" s="5" t="s">
        <v>653</v>
      </c>
      <c r="F48" s="5" t="s">
        <v>662</v>
      </c>
      <c r="G48" s="5" t="s">
        <v>663</v>
      </c>
      <c r="H48" s="5" t="s">
        <v>664</v>
      </c>
    </row>
    <row r="49" customFormat="false" ht="15" hidden="false" customHeight="false" outlineLevel="0" collapsed="false">
      <c r="A49" s="27" t="s">
        <v>655</v>
      </c>
      <c r="B49" s="27" t="s">
        <v>546</v>
      </c>
      <c r="C49" s="28" t="n">
        <f aca="false">PL!E13</f>
        <v>13.6447191069765</v>
      </c>
      <c r="D49" s="27" t="str">
        <f aca="false">"規則值："&amp;D43</f>
        <v>規則值：中段</v>
      </c>
      <c r="E49" s="29" t="n">
        <f aca="false">E43</f>
        <v>29.0433996383364</v>
      </c>
      <c r="F49" s="30" t="n">
        <f aca="false">C49*E49</f>
        <v>396.289029976764</v>
      </c>
      <c r="G49" s="31" t="n">
        <f aca="false">F49/px-1</f>
        <v>0.283111639879436</v>
      </c>
      <c r="H49" s="27"/>
    </row>
    <row r="50" customFormat="false" ht="17.15" hidden="false" customHeight="false" outlineLevel="0" collapsed="false">
      <c r="A50" s="0" t="s">
        <v>655</v>
      </c>
      <c r="B50" s="0" t="s">
        <v>546</v>
      </c>
      <c r="C50" s="18" t="n">
        <f aca="false">PL!E13</f>
        <v>13.6447191069765</v>
      </c>
      <c r="D50" s="4" t="s">
        <v>665</v>
      </c>
      <c r="E50" s="25" t="n">
        <f aca="false">pe_peak</f>
        <v>25.5509615384615</v>
      </c>
      <c r="F50" s="14" t="n">
        <f aca="false">C50*E50</f>
        <v>348.635693105469</v>
      </c>
      <c r="G50" s="32" t="n">
        <f aca="false">F50/px-1</f>
        <v>0.128818821775843</v>
      </c>
    </row>
    <row r="51" customFormat="false" ht="15" hidden="false" customHeight="false" outlineLevel="0" collapsed="false">
      <c r="A51" s="0" t="s">
        <v>655</v>
      </c>
      <c r="B51" s="0" t="s">
        <v>546</v>
      </c>
      <c r="C51" s="18" t="n">
        <f aca="false">PL!E13</f>
        <v>13.6447191069765</v>
      </c>
      <c r="D51" s="4" t="s">
        <v>666</v>
      </c>
      <c r="E51" s="25" t="n">
        <f aca="false">pe_mid</f>
        <v>29.0433996383364</v>
      </c>
      <c r="F51" s="14" t="n">
        <f aca="false">C51*E51</f>
        <v>396.289029976764</v>
      </c>
      <c r="G51" s="32" t="n">
        <f aca="false">F51/px-1</f>
        <v>0.283111639879436</v>
      </c>
    </row>
    <row r="52" customFormat="false" ht="17.15" hidden="false" customHeight="false" outlineLevel="0" collapsed="false">
      <c r="A52" s="0" t="s">
        <v>655</v>
      </c>
      <c r="B52" s="0" t="s">
        <v>546</v>
      </c>
      <c r="C52" s="18" t="n">
        <f aca="false">PL!E13</f>
        <v>13.6447191069765</v>
      </c>
      <c r="D52" s="4" t="s">
        <v>667</v>
      </c>
      <c r="E52" s="25" t="n">
        <f aca="false">pe_trough</f>
        <v>37.7331325301205</v>
      </c>
      <c r="F52" s="14" t="n">
        <f aca="false">C52*E52</f>
        <v>514.857994399813</v>
      </c>
      <c r="G52" s="32" t="n">
        <f aca="false">F52/px-1</f>
        <v>0.667016332847056</v>
      </c>
    </row>
    <row r="53" customFormat="false" ht="17.15" hidden="false" customHeight="false" outlineLevel="0" collapsed="false">
      <c r="A53" s="0" t="s">
        <v>655</v>
      </c>
      <c r="B53" s="0" t="s">
        <v>547</v>
      </c>
      <c r="C53" s="18" t="n">
        <f aca="false">PL!F13</f>
        <v>16.5044788870469</v>
      </c>
      <c r="D53" s="4" t="s">
        <v>665</v>
      </c>
      <c r="E53" s="25" t="n">
        <f aca="false">pe_peak</f>
        <v>25.5509615384615</v>
      </c>
      <c r="F53" s="14" t="n">
        <f aca="false">C53*E53</f>
        <v>421.705305255287</v>
      </c>
      <c r="G53" s="32" t="n">
        <f aca="false">F53/px-1</f>
        <v>0.365404906120405</v>
      </c>
    </row>
    <row r="54" customFormat="false" ht="15" hidden="false" customHeight="false" outlineLevel="0" collapsed="false">
      <c r="A54" s="0" t="s">
        <v>655</v>
      </c>
      <c r="B54" s="0" t="s">
        <v>547</v>
      </c>
      <c r="C54" s="18" t="n">
        <f aca="false">PL!F13</f>
        <v>16.5044788870469</v>
      </c>
      <c r="D54" s="4" t="s">
        <v>666</v>
      </c>
      <c r="E54" s="25" t="n">
        <f aca="false">pe_mid</f>
        <v>29.0433996383364</v>
      </c>
      <c r="F54" s="14" t="n">
        <f aca="false">C54*E54</f>
        <v>479.346176138989</v>
      </c>
      <c r="G54" s="32" t="n">
        <f aca="false">F54/px-1</f>
        <v>0.552035538737216</v>
      </c>
    </row>
    <row r="55" customFormat="false" ht="17.15" hidden="false" customHeight="false" outlineLevel="0" collapsed="false">
      <c r="A55" s="0" t="s">
        <v>655</v>
      </c>
      <c r="B55" s="0" t="s">
        <v>547</v>
      </c>
      <c r="C55" s="18" t="n">
        <f aca="false">PL!F13</f>
        <v>16.5044788870469</v>
      </c>
      <c r="D55" s="4" t="s">
        <v>667</v>
      </c>
      <c r="E55" s="25" t="n">
        <f aca="false">pe_trough</f>
        <v>37.7331325301205</v>
      </c>
      <c r="F55" s="14" t="n">
        <f aca="false">C55*E55</f>
        <v>622.765689185518</v>
      </c>
      <c r="G55" s="32" t="n">
        <f aca="false">F55/px-1</f>
        <v>1.0164017781626</v>
      </c>
    </row>
    <row r="56" customFormat="false" ht="15" hidden="false" customHeight="false" outlineLevel="0" collapsed="false">
      <c r="A56" s="27" t="s">
        <v>657</v>
      </c>
      <c r="B56" s="27" t="s">
        <v>546</v>
      </c>
      <c r="C56" s="28" t="n">
        <f aca="false">PL!E24</f>
        <v>13.6133439489243</v>
      </c>
      <c r="D56" s="27" t="str">
        <f aca="false">"規則值："&amp;D44</f>
        <v>規則值：中段</v>
      </c>
      <c r="E56" s="29" t="n">
        <f aca="false">E44</f>
        <v>29.0433996383364</v>
      </c>
      <c r="F56" s="30" t="n">
        <f aca="false">C56*E56</f>
        <v>395.377788722736</v>
      </c>
      <c r="G56" s="31" t="n">
        <f aca="false">F56/px-1</f>
        <v>0.280161206808277</v>
      </c>
      <c r="H56" s="27"/>
    </row>
    <row r="57" customFormat="false" ht="17.15" hidden="false" customHeight="false" outlineLevel="0" collapsed="false">
      <c r="A57" s="0" t="s">
        <v>657</v>
      </c>
      <c r="B57" s="0" t="s">
        <v>546</v>
      </c>
      <c r="C57" s="18" t="n">
        <f aca="false">PL!E24</f>
        <v>13.6133439489243</v>
      </c>
      <c r="D57" s="4" t="s">
        <v>665</v>
      </c>
      <c r="E57" s="25" t="n">
        <f aca="false">pe_peak</f>
        <v>25.5509615384615</v>
      </c>
      <c r="F57" s="14" t="n">
        <f aca="false">C57*E57</f>
        <v>347.834027648813</v>
      </c>
      <c r="G57" s="32" t="n">
        <f aca="false">F57/px-1</f>
        <v>0.126223175162095</v>
      </c>
    </row>
    <row r="58" customFormat="false" ht="15" hidden="false" customHeight="false" outlineLevel="0" collapsed="false">
      <c r="A58" s="0" t="s">
        <v>657</v>
      </c>
      <c r="B58" s="0" t="s">
        <v>546</v>
      </c>
      <c r="C58" s="18" t="n">
        <f aca="false">PL!E24</f>
        <v>13.6133439489243</v>
      </c>
      <c r="D58" s="4" t="s">
        <v>666</v>
      </c>
      <c r="E58" s="25" t="n">
        <f aca="false">pe_mid</f>
        <v>29.0433996383364</v>
      </c>
      <c r="F58" s="14" t="n">
        <f aca="false">C58*E58</f>
        <v>395.377788722736</v>
      </c>
      <c r="G58" s="32" t="n">
        <f aca="false">F58/px-1</f>
        <v>0.280161206808277</v>
      </c>
    </row>
    <row r="59" customFormat="false" ht="17.15" hidden="false" customHeight="false" outlineLevel="0" collapsed="false">
      <c r="A59" s="0" t="s">
        <v>657</v>
      </c>
      <c r="B59" s="0" t="s">
        <v>546</v>
      </c>
      <c r="C59" s="18" t="n">
        <f aca="false">PL!E24</f>
        <v>13.6133439489243</v>
      </c>
      <c r="D59" s="4" t="s">
        <v>667</v>
      </c>
      <c r="E59" s="25" t="n">
        <f aca="false">pe_trough</f>
        <v>37.7331325301205</v>
      </c>
      <c r="F59" s="14" t="n">
        <f aca="false">C59*E59</f>
        <v>513.674111402875</v>
      </c>
      <c r="G59" s="32" t="n">
        <f aca="false">F59/px-1</f>
        <v>0.663183135511978</v>
      </c>
    </row>
    <row r="60" customFormat="false" ht="17.15" hidden="false" customHeight="false" outlineLevel="0" collapsed="false">
      <c r="A60" s="0" t="s">
        <v>657</v>
      </c>
      <c r="B60" s="0" t="s">
        <v>547</v>
      </c>
      <c r="C60" s="18" t="n">
        <f aca="false">PL!F24</f>
        <v>14.0521484846777</v>
      </c>
      <c r="D60" s="4" t="s">
        <v>665</v>
      </c>
      <c r="E60" s="25" t="n">
        <f aca="false">pe_peak</f>
        <v>25.5509615384615</v>
      </c>
      <c r="F60" s="14" t="n">
        <f aca="false">C60*E60</f>
        <v>359.045905464752</v>
      </c>
      <c r="G60" s="32" t="n">
        <f aca="false">F60/px-1</f>
        <v>0.162525191726572</v>
      </c>
    </row>
    <row r="61" customFormat="false" ht="15" hidden="false" customHeight="false" outlineLevel="0" collapsed="false">
      <c r="A61" s="0" t="s">
        <v>657</v>
      </c>
      <c r="B61" s="0" t="s">
        <v>547</v>
      </c>
      <c r="C61" s="18" t="n">
        <f aca="false">PL!F24</f>
        <v>14.0521484846777</v>
      </c>
      <c r="D61" s="4" t="s">
        <v>666</v>
      </c>
      <c r="E61" s="25" t="n">
        <f aca="false">pe_mid</f>
        <v>29.0433996383364</v>
      </c>
      <c r="F61" s="14" t="n">
        <f aca="false">C61*E61</f>
        <v>408.122164217738</v>
      </c>
      <c r="G61" s="32" t="n">
        <f aca="false">F61/px-1</f>
        <v>0.321425171499881</v>
      </c>
    </row>
    <row r="62" customFormat="false" ht="17.15" hidden="false" customHeight="false" outlineLevel="0" collapsed="false">
      <c r="A62" s="0" t="s">
        <v>657</v>
      </c>
      <c r="B62" s="0" t="s">
        <v>547</v>
      </c>
      <c r="C62" s="18" t="n">
        <f aca="false">PL!F24</f>
        <v>14.0521484846777</v>
      </c>
      <c r="D62" s="4" t="s">
        <v>667</v>
      </c>
      <c r="E62" s="25" t="n">
        <f aca="false">pe_trough</f>
        <v>37.7331325301205</v>
      </c>
      <c r="F62" s="14" t="n">
        <f aca="false">C62*E62</f>
        <v>530.231581105277</v>
      </c>
      <c r="G62" s="32" t="n">
        <f aca="false">F62/px-1</f>
        <v>0.716793204161493</v>
      </c>
    </row>
    <row r="63" customFormat="false" ht="15" hidden="false" customHeight="false" outlineLevel="0" collapsed="false">
      <c r="A63" s="27" t="s">
        <v>658</v>
      </c>
      <c r="B63" s="27" t="s">
        <v>546</v>
      </c>
      <c r="C63" s="28" t="n">
        <f aca="false">PL!E35</f>
        <v>13.5819687908721</v>
      </c>
      <c r="D63" s="27" t="str">
        <f aca="false">"規則值："&amp;D45</f>
        <v>規則值：見頂</v>
      </c>
      <c r="E63" s="29" t="n">
        <f aca="false">E45</f>
        <v>25.5509615384615</v>
      </c>
      <c r="F63" s="30" t="n">
        <f aca="false">C63*E63</f>
        <v>347.032362192157</v>
      </c>
      <c r="G63" s="31" t="n">
        <f aca="false">F63/px-1</f>
        <v>0.123627528548347</v>
      </c>
      <c r="H63" s="27"/>
    </row>
    <row r="64" customFormat="false" ht="17.15" hidden="false" customHeight="false" outlineLevel="0" collapsed="false">
      <c r="A64" s="0" t="s">
        <v>658</v>
      </c>
      <c r="B64" s="0" t="s">
        <v>546</v>
      </c>
      <c r="C64" s="18" t="n">
        <f aca="false">PL!E35</f>
        <v>13.5819687908721</v>
      </c>
      <c r="D64" s="4" t="s">
        <v>665</v>
      </c>
      <c r="E64" s="25" t="n">
        <f aca="false">pe_peak</f>
        <v>25.5509615384615</v>
      </c>
      <c r="F64" s="14" t="n">
        <f aca="false">C64*E64</f>
        <v>347.032362192157</v>
      </c>
      <c r="G64" s="32" t="n">
        <f aca="false">F64/px-1</f>
        <v>0.123627528548347</v>
      </c>
    </row>
    <row r="65" customFormat="false" ht="15" hidden="false" customHeight="false" outlineLevel="0" collapsed="false">
      <c r="A65" s="0" t="s">
        <v>658</v>
      </c>
      <c r="B65" s="0" t="s">
        <v>546</v>
      </c>
      <c r="C65" s="18" t="n">
        <f aca="false">PL!E35</f>
        <v>13.5819687908721</v>
      </c>
      <c r="D65" s="4" t="s">
        <v>666</v>
      </c>
      <c r="E65" s="25" t="n">
        <f aca="false">pe_mid</f>
        <v>29.0433996383364</v>
      </c>
      <c r="F65" s="14" t="n">
        <f aca="false">C65*E65</f>
        <v>394.466547468709</v>
      </c>
      <c r="G65" s="32" t="n">
        <f aca="false">F65/px-1</f>
        <v>0.277210773737119</v>
      </c>
    </row>
    <row r="66" customFormat="false" ht="17.15" hidden="false" customHeight="false" outlineLevel="0" collapsed="false">
      <c r="A66" s="0" t="s">
        <v>658</v>
      </c>
      <c r="B66" s="0" t="s">
        <v>546</v>
      </c>
      <c r="C66" s="18" t="n">
        <f aca="false">PL!E35</f>
        <v>13.5819687908721</v>
      </c>
      <c r="D66" s="4" t="s">
        <v>667</v>
      </c>
      <c r="E66" s="25" t="n">
        <f aca="false">pe_trough</f>
        <v>37.7331325301205</v>
      </c>
      <c r="F66" s="14" t="n">
        <f aca="false">C66*E66</f>
        <v>512.490228405936</v>
      </c>
      <c r="G66" s="32" t="n">
        <f aca="false">F66/px-1</f>
        <v>0.6593499381769</v>
      </c>
    </row>
    <row r="67" customFormat="false" ht="17.15" hidden="false" customHeight="false" outlineLevel="0" collapsed="false">
      <c r="A67" s="0" t="s">
        <v>658</v>
      </c>
      <c r="B67" s="0" t="s">
        <v>547</v>
      </c>
      <c r="C67" s="18" t="n">
        <f aca="false">PL!F35</f>
        <v>12.2386393886303</v>
      </c>
      <c r="D67" s="4" t="s">
        <v>665</v>
      </c>
      <c r="E67" s="25" t="n">
        <f aca="false">pe_peak</f>
        <v>25.5509615384615</v>
      </c>
      <c r="F67" s="14" t="n">
        <f aca="false">C67*E67</f>
        <v>312.709004301994</v>
      </c>
      <c r="G67" s="32" t="n">
        <f aca="false">F67/px-1</f>
        <v>0.0124947524752921</v>
      </c>
    </row>
    <row r="68" customFormat="false" ht="15" hidden="false" customHeight="false" outlineLevel="0" collapsed="false">
      <c r="A68" s="0" t="s">
        <v>658</v>
      </c>
      <c r="B68" s="0" t="s">
        <v>547</v>
      </c>
      <c r="C68" s="18" t="n">
        <f aca="false">PL!F35</f>
        <v>12.2386393886303</v>
      </c>
      <c r="D68" s="4" t="s">
        <v>666</v>
      </c>
      <c r="E68" s="25" t="n">
        <f aca="false">pe_mid</f>
        <v>29.0433996383364</v>
      </c>
      <c r="F68" s="14" t="n">
        <f aca="false">C68*E68</f>
        <v>355.451694793475</v>
      </c>
      <c r="G68" s="32" t="n">
        <f aca="false">F68/px-1</f>
        <v>0.15088779275854</v>
      </c>
    </row>
    <row r="69" customFormat="false" ht="17.15" hidden="false" customHeight="false" outlineLevel="0" collapsed="false">
      <c r="A69" s="0" t="s">
        <v>658</v>
      </c>
      <c r="B69" s="0" t="s">
        <v>547</v>
      </c>
      <c r="C69" s="18" t="n">
        <f aca="false">PL!F35</f>
        <v>12.2386393886303</v>
      </c>
      <c r="D69" s="4" t="s">
        <v>667</v>
      </c>
      <c r="E69" s="25" t="n">
        <f aca="false">pe_trough</f>
        <v>37.7331325301205</v>
      </c>
      <c r="F69" s="14" t="n">
        <f aca="false">C69*E69</f>
        <v>461.802202039541</v>
      </c>
      <c r="G69" s="32" t="n">
        <f aca="false">F69/px-1</f>
        <v>0.495231348679103</v>
      </c>
    </row>
    <row r="71" customFormat="false" ht="17.15" hidden="false" customHeight="false" outlineLevel="0" collapsed="false">
      <c r="A71" s="6" t="s">
        <v>668</v>
      </c>
    </row>
    <row r="72" customFormat="false" ht="17.15" hidden="false" customHeight="false" outlineLevel="0" collapsed="false">
      <c r="A72" s="5" t="s">
        <v>21</v>
      </c>
      <c r="B72" s="15" t="s">
        <v>669</v>
      </c>
      <c r="C72" s="15" t="s">
        <v>670</v>
      </c>
      <c r="D72" s="15" t="s">
        <v>671</v>
      </c>
      <c r="E72" s="5" t="s">
        <v>664</v>
      </c>
    </row>
    <row r="73" customFormat="false" ht="17.15" hidden="false" customHeight="false" outlineLevel="0" collapsed="false">
      <c r="A73" s="4" t="s">
        <v>672</v>
      </c>
      <c r="B73" s="14" t="n">
        <f aca="false">px</f>
        <v>308.85</v>
      </c>
      <c r="E73" s="8" t="s">
        <v>673</v>
      </c>
    </row>
    <row r="74" customFormat="false" ht="17.15" hidden="false" customHeight="false" outlineLevel="0" collapsed="false">
      <c r="A74" s="4" t="s">
        <v>674</v>
      </c>
      <c r="B74" s="25" t="n">
        <f aca="false">sa_fpe</f>
        <v>32.52</v>
      </c>
      <c r="E74" s="4" t="s">
        <v>675</v>
      </c>
    </row>
    <row r="75" customFormat="false" ht="17.15" hidden="false" customHeight="false" outlineLevel="0" collapsed="false">
      <c r="A75" s="4" t="s">
        <v>676</v>
      </c>
      <c r="B75" s="25" t="n">
        <f aca="false">px/f26_eps</f>
        <v>35.1595241670252</v>
      </c>
      <c r="E75" s="8" t="s">
        <v>677</v>
      </c>
    </row>
    <row r="76" customFormat="false" ht="17.15" hidden="false" customHeight="false" outlineLevel="0" collapsed="false">
      <c r="A76" s="4" t="s">
        <v>678</v>
      </c>
      <c r="B76" s="25" t="n">
        <f aca="false">px/PL!E13</f>
        <v>22.635130674261</v>
      </c>
      <c r="C76" s="25" t="n">
        <f aca="false">px/PL!E24</f>
        <v>22.6872986651017</v>
      </c>
      <c r="D76" s="25" t="n">
        <f aca="false">px/PL!E35</f>
        <v>22.7397076782835</v>
      </c>
    </row>
    <row r="77" customFormat="false" ht="17.15" hidden="false" customHeight="false" outlineLevel="0" collapsed="false">
      <c r="A77" s="4" t="s">
        <v>679</v>
      </c>
      <c r="B77" s="25" t="n">
        <f aca="false">px/PL!F13</f>
        <v>18.713102189636</v>
      </c>
      <c r="C77" s="25" t="n">
        <f aca="false">px/PL!F24</f>
        <v>21.9788454652871</v>
      </c>
      <c r="D77" s="25" t="n">
        <f aca="false">px/PL!F35</f>
        <v>25.2356483586665</v>
      </c>
    </row>
    <row r="78" customFormat="false" ht="17.15" hidden="false" customHeight="false" outlineLevel="0" collapsed="false">
      <c r="A78" s="4" t="s">
        <v>680</v>
      </c>
      <c r="B78" s="25" t="n">
        <f aca="false">px/cons_eps27</f>
        <v>27.3318584070796</v>
      </c>
      <c r="E78" s="8" t="s">
        <v>681</v>
      </c>
    </row>
    <row r="80" customFormat="false" ht="15" hidden="false" customHeight="false" outlineLevel="0" collapsed="false">
      <c r="A80" s="1" t="s">
        <v>682</v>
      </c>
    </row>
    <row r="81" customFormat="false" ht="15" hidden="false" customHeight="false" outlineLevel="0" collapsed="false">
      <c r="A81" s="5" t="s">
        <v>21</v>
      </c>
      <c r="B81" s="5" t="s">
        <v>683</v>
      </c>
      <c r="C81" s="5"/>
      <c r="D81" s="5"/>
      <c r="E81" s="5" t="s">
        <v>374</v>
      </c>
    </row>
    <row r="82" customFormat="false" ht="17.15" hidden="false" customHeight="false" outlineLevel="0" collapsed="false">
      <c r="A82" s="4" t="s">
        <v>684</v>
      </c>
      <c r="B82" s="14" t="n">
        <f aca="false">tp_wA*B84+tp_wB*B85+tp_wC*B86</f>
        <v>385.982075792829</v>
      </c>
      <c r="E82" s="4" t="s">
        <v>685</v>
      </c>
    </row>
    <row r="83" customFormat="false" ht="17.15" hidden="false" customHeight="false" outlineLevel="0" collapsed="false">
      <c r="A83" s="4" t="s">
        <v>686</v>
      </c>
      <c r="B83" s="11" t="n">
        <f aca="false">B82/px-1</f>
        <v>0.249739601077639</v>
      </c>
      <c r="E83" s="4" t="s">
        <v>687</v>
      </c>
    </row>
    <row r="84" customFormat="false" ht="17.15" hidden="false" customHeight="false" outlineLevel="0" collapsed="false">
      <c r="A84" s="4" t="s">
        <v>688</v>
      </c>
      <c r="B84" s="14" t="n">
        <f aca="false">F49</f>
        <v>396.289029976764</v>
      </c>
      <c r="E84" s="0" t="str">
        <f aca="false">"FY2027 EPS × "&amp;D49&amp;" "&amp;TEXT(E49,"0.0")&amp;"x（第 5 節 F49）"</f>
        <v>FY2027 EPS × 規則值：中段 29.0x（第 5 節 F49）</v>
      </c>
    </row>
    <row r="85" customFormat="false" ht="17.15" hidden="false" customHeight="false" outlineLevel="0" collapsed="false">
      <c r="A85" s="4" t="s">
        <v>689</v>
      </c>
      <c r="B85" s="14" t="n">
        <f aca="false">F56</f>
        <v>395.377788722736</v>
      </c>
      <c r="E85" s="0" t="str">
        <f aca="false">"FY2027 EPS × "&amp;D56&amp;" "&amp;TEXT(E56,"0.0")&amp;"x（第 5 節 F56）"</f>
        <v>FY2027 EPS × 規則值：中段 29.0x（第 5 節 F56）</v>
      </c>
    </row>
    <row r="86" customFormat="false" ht="17.15" hidden="false" customHeight="false" outlineLevel="0" collapsed="false">
      <c r="A86" s="4" t="s">
        <v>690</v>
      </c>
      <c r="B86" s="14" t="n">
        <f aca="false">F63</f>
        <v>347.032362192157</v>
      </c>
      <c r="E86" s="0" t="str">
        <f aca="false">"FY2027 EPS × "&amp;D63&amp;" "&amp;TEXT(E63,"0.0")&amp;"x（第 5 節 F63）"</f>
        <v>FY2027 EPS × 規則值：見頂 25.6x（第 5 節 F63）</v>
      </c>
    </row>
    <row r="87" customFormat="false" ht="17.15" hidden="false" customHeight="false" outlineLevel="0" collapsed="false">
      <c r="A87" s="4" t="s">
        <v>691</v>
      </c>
      <c r="B87" s="32" t="n">
        <f aca="false">tp_wA</f>
        <v>0.3</v>
      </c>
      <c r="C87" s="32" t="n">
        <f aca="false">tp_wB</f>
        <v>0.5</v>
      </c>
      <c r="D87" s="32" t="n">
        <f aca="false">tp_wC</f>
        <v>0.2</v>
      </c>
      <c r="E87" s="0" t="str">
        <f aca="false">"合計 "&amp;TEXT(B87+C87+D87,"0%")&amp;"；In 頁 tp_wA／tp_wB／tp_wC（Assumed，Andy 可改）"</f>
        <v>合計 100%；In 頁 tp_wA／tp_wB／tp_wC（Assumed，Andy 可改）</v>
      </c>
    </row>
    <row r="88" customFormat="false" ht="17.15" hidden="false" customHeight="false" outlineLevel="0" collapsed="false">
      <c r="A88" s="4" t="s">
        <v>692</v>
      </c>
      <c r="B88" s="0" t="s">
        <v>693</v>
      </c>
    </row>
    <row r="91" customFormat="false" ht="17.15" hidden="false" customHeight="false" outlineLevel="0" collapsed="false">
      <c r="A91" s="6" t="s">
        <v>694</v>
      </c>
    </row>
    <row r="92" customFormat="false" ht="17.15" hidden="false" customHeight="false" outlineLevel="0" collapsed="false">
      <c r="A92" s="6" t="s">
        <v>695</v>
      </c>
    </row>
    <row r="93" customFormat="false" ht="17.15" hidden="false" customHeight="false" outlineLevel="0" collapsed="false">
      <c r="A93" s="5" t="s">
        <v>21</v>
      </c>
      <c r="B93" s="15" t="s">
        <v>669</v>
      </c>
      <c r="C93" s="15" t="s">
        <v>670</v>
      </c>
      <c r="D93" s="15" t="s">
        <v>671</v>
      </c>
      <c r="E93" s="5" t="s">
        <v>374</v>
      </c>
    </row>
    <row r="94" customFormat="false" ht="17.15" hidden="false" customHeight="false" outlineLevel="0" collapsed="false">
      <c r="A94" s="4" t="s">
        <v>696</v>
      </c>
      <c r="E94" s="0" t="s">
        <v>697</v>
      </c>
    </row>
    <row r="95" customFormat="false" ht="15" hidden="false" customHeight="false" outlineLevel="0" collapsed="false">
      <c r="A95" s="0" t="s">
        <v>698</v>
      </c>
      <c r="B95" s="14" t="n">
        <f aca="false">PL!E142</f>
        <v>13.6447191069765</v>
      </c>
      <c r="C95" s="14" t="n">
        <f aca="false">PL!E149</f>
        <v>13.6133439489243</v>
      </c>
      <c r="D95" s="14" t="n">
        <f aca="false">PL!E156</f>
        <v>13.5819687908721</v>
      </c>
    </row>
    <row r="96" customFormat="false" ht="15" hidden="false" customHeight="false" outlineLevel="0" collapsed="false">
      <c r="A96" s="0" t="s">
        <v>699</v>
      </c>
      <c r="B96" s="14" t="n">
        <f aca="false">PL!F142</f>
        <v>16.5044788870469</v>
      </c>
      <c r="C96" s="14" t="n">
        <f aca="false">PL!F149</f>
        <v>14.0521484846777</v>
      </c>
      <c r="D96" s="14" t="n">
        <f aca="false">PL!F156</f>
        <v>12.2386393886303</v>
      </c>
    </row>
    <row r="97" customFormat="false" ht="15" hidden="false" customHeight="false" outlineLevel="0" collapsed="false">
      <c r="A97" s="0" t="s">
        <v>700</v>
      </c>
      <c r="B97" s="14" t="n">
        <f aca="false">PL!G142</f>
        <v>19.4452023619426</v>
      </c>
      <c r="C97" s="14" t="n">
        <f aca="false">PL!G149</f>
        <v>17.1516279671294</v>
      </c>
      <c r="D97" s="14" t="n">
        <f aca="false">PL!G156</f>
        <v>15.5541492548145</v>
      </c>
    </row>
    <row r="98" customFormat="false" ht="15" hidden="false" customHeight="false" outlineLevel="0" collapsed="false">
      <c r="A98" s="0" t="s">
        <v>701</v>
      </c>
      <c r="B98" s="14" t="n">
        <f aca="false">PL!H142</f>
        <v>21.5571203253372</v>
      </c>
      <c r="C98" s="14" t="n">
        <f aca="false">PL!H149</f>
        <v>17.8008527410729</v>
      </c>
      <c r="D98" s="14" t="n">
        <f aca="false">PL!H156</f>
        <v>15.4770872570043</v>
      </c>
    </row>
    <row r="99" customFormat="false" ht="15" hidden="false" customHeight="false" outlineLevel="0" collapsed="false">
      <c r="A99" s="0" t="s">
        <v>702</v>
      </c>
      <c r="B99" s="14" t="n">
        <f aca="false">PL!I142</f>
        <v>23.3744792389293</v>
      </c>
      <c r="C99" s="14" t="n">
        <f aca="false">PL!I149</f>
        <v>17.7046543607947</v>
      </c>
      <c r="D99" s="14" t="n">
        <f aca="false">PL!I156</f>
        <v>14.1813478973092</v>
      </c>
    </row>
    <row r="100" customFormat="false" ht="15" hidden="false" customHeight="false" outlineLevel="0" collapsed="false">
      <c r="A100" s="0" t="s">
        <v>703</v>
      </c>
      <c r="B100" s="14" t="n">
        <f aca="false">PL!J142</f>
        <v>24.7769479932651</v>
      </c>
      <c r="C100" s="14" t="n">
        <f aca="false">PL!J149</f>
        <v>16.8330375713478</v>
      </c>
      <c r="D100" s="14" t="n">
        <f aca="false">PL!J156</f>
        <v>11.8043262353975</v>
      </c>
    </row>
    <row r="101" customFormat="false" ht="17.15" hidden="false" customHeight="false" outlineLevel="0" collapsed="false">
      <c r="A101" s="4" t="s">
        <v>704</v>
      </c>
      <c r="E101" s="4" t="s">
        <v>705</v>
      </c>
    </row>
    <row r="102" customFormat="false" ht="17.15" hidden="false" customHeight="false" outlineLevel="0" collapsed="false">
      <c r="A102" s="4" t="s">
        <v>706</v>
      </c>
      <c r="B102" s="11" t="n">
        <f aca="false">MIN(tp_g/tp_roe,0.8)</f>
        <v>0.206677092441274</v>
      </c>
      <c r="E102" s="8" t="s">
        <v>707</v>
      </c>
    </row>
    <row r="103" customFormat="false" ht="15" hidden="false" customHeight="false" outlineLevel="0" collapsed="false">
      <c r="A103" s="0" t="s">
        <v>698</v>
      </c>
      <c r="B103" s="14" t="n">
        <f aca="false">B95*(1-$B$102)</f>
        <v>10.8246682347687</v>
      </c>
      <c r="C103" s="14" t="n">
        <f aca="false">C95*(1-$B$102)</f>
        <v>10.7997776031576</v>
      </c>
      <c r="D103" s="14" t="n">
        <f aca="false">D95*(1-$B$102)</f>
        <v>10.7748869715465</v>
      </c>
    </row>
    <row r="104" customFormat="false" ht="15" hidden="false" customHeight="false" outlineLevel="0" collapsed="false">
      <c r="A104" s="0" t="s">
        <v>699</v>
      </c>
      <c r="B104" s="14" t="n">
        <f aca="false">B96*(1-$B$102)</f>
        <v>13.0933811784137</v>
      </c>
      <c r="C104" s="14" t="n">
        <f aca="false">C96*(1-$B$102)</f>
        <v>11.1478912933115</v>
      </c>
      <c r="D104" s="14" t="n">
        <f aca="false">D96*(1-$B$102)</f>
        <v>9.70919298435096</v>
      </c>
    </row>
    <row r="105" customFormat="false" ht="15" hidden="false" customHeight="false" outlineLevel="0" collapsed="false">
      <c r="A105" s="0" t="s">
        <v>700</v>
      </c>
      <c r="B105" s="14" t="n">
        <f aca="false">B97*(1-$B$102)</f>
        <v>15.4263244758441</v>
      </c>
      <c r="C105" s="14" t="n">
        <f aca="false">C97*(1-$B$102)</f>
        <v>13.6067793682487</v>
      </c>
      <c r="D105" s="14" t="n">
        <f aca="false">D97*(1-$B$102)</f>
        <v>12.3394629114318</v>
      </c>
    </row>
    <row r="106" customFormat="false" ht="15" hidden="false" customHeight="false" outlineLevel="0" collapsed="false">
      <c r="A106" s="0" t="s">
        <v>701</v>
      </c>
      <c r="B106" s="14" t="n">
        <f aca="false">B98*(1-$B$102)</f>
        <v>17.1017573750898</v>
      </c>
      <c r="C106" s="14" t="n">
        <f aca="false">C98*(1-$B$102)</f>
        <v>14.1218242535727</v>
      </c>
      <c r="D106" s="14" t="n">
        <f aca="false">D98*(1-$B$102)</f>
        <v>12.2783278632667</v>
      </c>
    </row>
    <row r="107" customFormat="false" ht="15" hidden="false" customHeight="false" outlineLevel="0" collapsed="false">
      <c r="A107" s="0" t="s">
        <v>702</v>
      </c>
      <c r="B107" s="14" t="n">
        <f aca="false">B99*(1-$B$102)</f>
        <v>18.5435098324985</v>
      </c>
      <c r="C107" s="14" t="n">
        <f aca="false">C99*(1-$B$102)</f>
        <v>14.045507874828</v>
      </c>
      <c r="D107" s="14" t="n">
        <f aca="false">D99*(1-$B$102)</f>
        <v>11.2503881469952</v>
      </c>
    </row>
    <row r="108" customFormat="false" ht="15" hidden="false" customHeight="false" outlineLevel="0" collapsed="false">
      <c r="A108" s="0" t="s">
        <v>703</v>
      </c>
      <c r="B108" s="14" t="n">
        <f aca="false">B100*(1-$B$102)</f>
        <v>19.6561204224484</v>
      </c>
      <c r="C108" s="14" t="n">
        <f aca="false">C100*(1-$B$102)</f>
        <v>13.3540343091469</v>
      </c>
      <c r="D108" s="14" t="n">
        <f aca="false">D100*(1-$B$102)</f>
        <v>9.36464241083732</v>
      </c>
    </row>
    <row r="109" customFormat="false" ht="17.15" hidden="false" customHeight="false" outlineLevel="0" collapsed="false">
      <c r="A109" s="0" t="s">
        <v>708</v>
      </c>
      <c r="B109" s="14" t="n">
        <f aca="false">MAX(0,SUMPRODUCT(B103:B108,1/(1+tp_r)^{1;2;3;4;5;6})+B108*(1+tp_g)/(tp_r-tp_g)/(1+tp_r)^6)</f>
        <v>258.861472274415</v>
      </c>
      <c r="C109" s="14" t="n">
        <f aca="false">MAX(0,SUMPRODUCT(C103:C108,1/(1+tp_r)^{1;2;3;4;5;6})+C108*(1+tp_g)/(tp_r-tp_g)/(1+tp_r)^6)</f>
        <v>185.81738317384</v>
      </c>
      <c r="D109" s="14" t="n">
        <f aca="false">MAX(0,SUMPRODUCT(D103:D108,1/(1+tp_r)^{1;2;3;4;5;6})+D108*(1+tp_g)/(tp_r-tp_g)/(1+tp_r)^6)</f>
        <v>139.373937641237</v>
      </c>
      <c r="E109" s="8" t="s">
        <v>709</v>
      </c>
    </row>
    <row r="110" customFormat="false" ht="17.15" hidden="false" customHeight="false" outlineLevel="0" collapsed="false">
      <c r="A110" s="0" t="s">
        <v>710</v>
      </c>
      <c r="B110" s="14" t="n">
        <f aca="false">B109*(1+tp_r)</f>
        <v>284.747619501857</v>
      </c>
      <c r="C110" s="14" t="n">
        <f aca="false">C109*(1+tp_r)</f>
        <v>204.399121491224</v>
      </c>
      <c r="D110" s="14" t="n">
        <f aca="false">D109*(1+tp_r)</f>
        <v>153.311331405361</v>
      </c>
    </row>
    <row r="111" customFormat="false" ht="17.15" hidden="false" customHeight="false" outlineLevel="0" collapsed="false">
      <c r="A111" s="0" t="s">
        <v>711</v>
      </c>
      <c r="B111" s="30" t="n">
        <f aca="false">tp_wA*B110+tp_wB*C110+tp_wC*D110</f>
        <v>218.286112877241</v>
      </c>
      <c r="E111" s="8" t="s">
        <v>712</v>
      </c>
    </row>
    <row r="113" customFormat="false" ht="17.15" hidden="false" customHeight="false" outlineLevel="0" collapsed="false">
      <c r="A113" s="6" t="s">
        <v>713</v>
      </c>
    </row>
    <row r="114" customFormat="false" ht="17.15" hidden="false" customHeight="false" outlineLevel="0" collapsed="false">
      <c r="A114" s="5" t="s">
        <v>714</v>
      </c>
      <c r="B114" s="5" t="s">
        <v>715</v>
      </c>
      <c r="C114" s="5" t="s">
        <v>716</v>
      </c>
      <c r="D114" s="5" t="s">
        <v>717</v>
      </c>
      <c r="E114" s="5" t="s">
        <v>718</v>
      </c>
      <c r="F114" s="5" t="s">
        <v>26</v>
      </c>
    </row>
    <row r="115" customFormat="false" ht="17.15" hidden="false" customHeight="false" outlineLevel="0" collapsed="false">
      <c r="A115" s="0" t="s">
        <v>719</v>
      </c>
      <c r="B115" s="0" t="s">
        <v>720</v>
      </c>
      <c r="C115" s="26" t="n">
        <v>37.69</v>
      </c>
      <c r="D115" s="8" t="s">
        <v>721</v>
      </c>
      <c r="E115" s="8" t="s">
        <v>722</v>
      </c>
      <c r="F115" s="8" t="s">
        <v>33</v>
      </c>
    </row>
    <row r="116" customFormat="false" ht="17.15" hidden="false" customHeight="false" outlineLevel="0" collapsed="false">
      <c r="A116" s="4" t="s">
        <v>723</v>
      </c>
      <c r="B116" s="0" t="s">
        <v>724</v>
      </c>
      <c r="C116" s="26" t="n">
        <v>26.65</v>
      </c>
      <c r="D116" s="8" t="s">
        <v>725</v>
      </c>
      <c r="E116" s="8" t="s">
        <v>722</v>
      </c>
      <c r="F116" s="8" t="s">
        <v>33</v>
      </c>
    </row>
    <row r="117" customFormat="false" ht="17.15" hidden="false" customHeight="false" outlineLevel="0" collapsed="false">
      <c r="A117" s="0" t="s">
        <v>726</v>
      </c>
      <c r="B117" s="0" t="s">
        <v>727</v>
      </c>
      <c r="C117" s="26" t="n">
        <v>33.89</v>
      </c>
      <c r="D117" s="8" t="s">
        <v>725</v>
      </c>
      <c r="E117" s="8" t="s">
        <v>728</v>
      </c>
      <c r="F117" s="8" t="s">
        <v>33</v>
      </c>
    </row>
    <row r="118" customFormat="false" ht="17.15" hidden="false" customHeight="false" outlineLevel="0" collapsed="false">
      <c r="A118" s="0" t="s">
        <v>729</v>
      </c>
      <c r="B118" s="0" t="s">
        <v>730</v>
      </c>
      <c r="C118" s="26" t="n">
        <v>28.17</v>
      </c>
      <c r="D118" s="8" t="s">
        <v>725</v>
      </c>
      <c r="E118" s="8" t="s">
        <v>722</v>
      </c>
      <c r="F118" s="8" t="s">
        <v>33</v>
      </c>
    </row>
    <row r="119" customFormat="false" ht="17.15" hidden="false" customHeight="false" outlineLevel="0" collapsed="false">
      <c r="A119" s="4" t="s">
        <v>731</v>
      </c>
      <c r="B119" s="0" t="s">
        <v>732</v>
      </c>
      <c r="C119" s="26" t="n">
        <v>21.39</v>
      </c>
      <c r="D119" s="8" t="s">
        <v>725</v>
      </c>
      <c r="E119" s="8" t="s">
        <v>722</v>
      </c>
      <c r="F119" s="8" t="s">
        <v>33</v>
      </c>
    </row>
    <row r="120" customFormat="false" ht="17.15" hidden="false" customHeight="false" outlineLevel="0" collapsed="false">
      <c r="A120" s="4" t="s">
        <v>733</v>
      </c>
      <c r="B120" s="25" t="n">
        <f aca="false">MEDIAN(C115:C119)</f>
        <v>28.17</v>
      </c>
      <c r="E120" s="4" t="s">
        <v>734</v>
      </c>
    </row>
    <row r="121" customFormat="false" ht="17.15" hidden="false" customHeight="false" outlineLevel="0" collapsed="false">
      <c r="A121" s="0" t="s">
        <v>735</v>
      </c>
      <c r="B121" s="14" t="n">
        <f aca="false">tp_wA*(2/12*B95+10/12*B96)+tp_wB*(2/12*C95+10/12*C96)+tp_wC*(2/12*D95+10/12*D96)</f>
        <v>14.2903683992708</v>
      </c>
      <c r="E121" s="4" t="s">
        <v>736</v>
      </c>
    </row>
    <row r="122" customFormat="false" ht="17.15" hidden="false" customHeight="false" outlineLevel="0" collapsed="false">
      <c r="A122" s="0" t="s">
        <v>737</v>
      </c>
      <c r="B122" s="30" t="n">
        <f aca="false">B120*B121</f>
        <v>402.559677807458</v>
      </c>
      <c r="E122" s="4" t="s">
        <v>738</v>
      </c>
    </row>
    <row r="124" customFormat="false" ht="17.15" hidden="false" customHeight="false" outlineLevel="0" collapsed="false">
      <c r="A124" s="6" t="s">
        <v>739</v>
      </c>
    </row>
    <row r="125" customFormat="false" ht="15" hidden="false" customHeight="false" outlineLevel="0" collapsed="false">
      <c r="A125" s="5" t="s">
        <v>21</v>
      </c>
      <c r="B125" s="5" t="s">
        <v>683</v>
      </c>
      <c r="C125" s="5"/>
      <c r="D125" s="5"/>
      <c r="E125" s="5" t="s">
        <v>374</v>
      </c>
    </row>
    <row r="126" customFormat="false" ht="17.15" hidden="false" customHeight="false" outlineLevel="0" collapsed="false">
      <c r="A126" s="4" t="s">
        <v>740</v>
      </c>
      <c r="B126" s="30" t="n">
        <f aca="false">tp_w_dcf*B111+(1-tp_w_dcf)*tp_comp_adj</f>
        <v>354.251953735619</v>
      </c>
      <c r="E126" s="8" t="s">
        <v>741</v>
      </c>
    </row>
    <row r="127" customFormat="false" ht="17.15" hidden="false" customHeight="false" outlineLevel="0" collapsed="false">
      <c r="A127" s="0" t="s">
        <v>742</v>
      </c>
      <c r="B127" s="14" t="n">
        <f aca="false">B122</f>
        <v>402.559677807458</v>
      </c>
      <c r="E127" s="4" t="s">
        <v>743</v>
      </c>
    </row>
    <row r="128" customFormat="false" ht="17.15" hidden="false" customHeight="false" outlineLevel="0" collapsed="false">
      <c r="A128" s="4" t="s">
        <v>744</v>
      </c>
      <c r="B128" s="14" t="n">
        <f aca="false">cons_tp</f>
        <v>446.47</v>
      </c>
      <c r="E128" s="8" t="s">
        <v>365</v>
      </c>
    </row>
    <row r="129" customFormat="false" ht="17.15" hidden="false" customHeight="false" outlineLevel="0" collapsed="false">
      <c r="A129" s="4" t="s">
        <v>745</v>
      </c>
      <c r="B129" s="11" t="n">
        <f aca="false">B126/px-1</f>
        <v>0.147003249912964</v>
      </c>
      <c r="E129" s="4" t="s">
        <v>687</v>
      </c>
    </row>
    <row r="130" customFormat="false" ht="17.15" hidden="false" customHeight="false" outlineLevel="0" collapsed="false">
      <c r="A130" s="4" t="s">
        <v>746</v>
      </c>
      <c r="B130" s="11" t="n">
        <f aca="false">B127/px-1</f>
        <v>0.30341485448424</v>
      </c>
    </row>
    <row r="131" customFormat="false" ht="17.15" hidden="false" customHeight="false" outlineLevel="0" collapsed="false">
      <c r="A131" s="4" t="s">
        <v>747</v>
      </c>
      <c r="B131" s="11" t="n">
        <f aca="false">B121/cons_feps-1</f>
        <v>0.264634371616882</v>
      </c>
      <c r="E131" s="4" t="s">
        <v>748</v>
      </c>
    </row>
    <row r="132" customFormat="false" ht="17.15" hidden="false" customHeight="false" outlineLevel="0" collapsed="false">
      <c r="A132" s="4" t="s">
        <v>749</v>
      </c>
      <c r="B132" s="11" t="n">
        <f aca="false">(cons_tp/cons_feps)/B120-1</f>
        <v>0.40257790092391</v>
      </c>
      <c r="E132" s="0" t="str">
        <f aca="false">"共識目標價 ÷ 共識前瞻 EPS 隱含 "&amp;TEXT(cons_tp/cons_feps,"0.0")&amp;"x，同業中位數 "&amp;TEXT(B120,"0.0")&amp;"x"</f>
        <v>共識目標價 ÷ 共識前瞻 EPS 隱含 39.5x，同業中位數 28.2x</v>
      </c>
    </row>
    <row r="133" customFormat="false" ht="17.15" hidden="false" customHeight="false" outlineLevel="0" collapsed="false">
      <c r="A133" s="4" t="s">
        <v>750</v>
      </c>
      <c r="B133" s="33" t="str">
        <f aca="false">TEXT(D110,"#,##0.00")&amp;"～"&amp;TEXT(B110,"#,##0.00")</f>
        <v>153.31～284.75</v>
      </c>
      <c r="E133" s="8" t="s">
        <v>751</v>
      </c>
    </row>
    <row r="134" customFormat="false" ht="17.15" hidden="false" customHeight="false" outlineLevel="0" collapsed="false">
      <c r="A134" s="4" t="s">
        <v>752</v>
      </c>
      <c r="B134" s="32" t="n">
        <f aca="false">IF(px/B96&lt;MIN(E20:E29),0,IF(px/B96&gt;MAX(E20:E29),1,PERCENTRANK(E20:E29,px/B96)))</f>
        <v>0.0966</v>
      </c>
      <c r="C134" s="32" t="n">
        <f aca="false">IF(px/C96&lt;MIN(E20:E29),0,IF(px/C96&gt;MAX(E20:E29),1,PERCENTRANK(E20:E29,px/C96)))</f>
        <v>0.163</v>
      </c>
      <c r="D134" s="32" t="n">
        <f aca="false">IF(px/D96&lt;MIN(E20:E29),0,IF(px/D96&gt;MAX(E20:E29),1,PERCENTRANK(E20:E29,px/D96)))</f>
        <v>0.242</v>
      </c>
      <c r="E134" s="4" t="s">
        <v>753</v>
      </c>
    </row>
    <row r="135" customFormat="false" ht="17.15" hidden="false" customHeight="false" outlineLevel="0" collapsed="false">
      <c r="A135" s="4" t="s">
        <v>754</v>
      </c>
      <c r="B135" s="0" t="s">
        <v>755</v>
      </c>
    </row>
    <row r="137" customFormat="false" ht="17.15" hidden="false" customHeight="false" outlineLevel="0" collapsed="false">
      <c r="A137" s="4" t="s">
        <v>756</v>
      </c>
      <c r="B137" s="0" t="str">
        <f aca="false">IF(B129&gt;0.5,"大於 50%",IF(B129&gt;0.25,"25%–50%",IF(B129&gt;=0,"0%–25%",IF(B129&gt;=-0.25,"0%～−25%",IF(B129&gt;=-0.5,"−25%～−50%","小於 −50%")))))</f>
        <v>0%–25%</v>
      </c>
      <c r="E137" s="4" t="s">
        <v>757</v>
      </c>
    </row>
    <row r="138" customFormat="false" ht="17.15" hidden="false" customHeight="false" outlineLevel="0" collapsed="false">
      <c r="A138" s="4" t="s">
        <v>758</v>
      </c>
      <c r="B138" s="0" t="str">
        <f aca="false">IF(B129&gt;0.5,"強力買進",IF(B129&gt;0.25,"買進",IF(B129&gt;=-0.25,"中立",IF(B129&gt;=-0.5,"放空","強力放空"))))</f>
        <v>中立</v>
      </c>
      <c r="E138" s="4" t="s">
        <v>759</v>
      </c>
    </row>
    <row r="141" customFormat="false" ht="17.15" hidden="false" customHeight="false" outlineLevel="0" collapsed="false">
      <c r="A141" s="6" t="s">
        <v>760</v>
      </c>
    </row>
    <row r="142" customFormat="false" ht="17.15" hidden="false" customHeight="false" outlineLevel="0" collapsed="false">
      <c r="A142" s="4" t="s">
        <v>761</v>
      </c>
    </row>
    <row r="143" customFormat="false" ht="17.15" hidden="false" customHeight="false" outlineLevel="0" collapsed="false">
      <c r="A143" s="5" t="s">
        <v>762</v>
      </c>
      <c r="B143" s="5" t="s">
        <v>715</v>
      </c>
      <c r="C143" s="5" t="s">
        <v>763</v>
      </c>
      <c r="D143" s="15" t="s">
        <v>764</v>
      </c>
      <c r="E143" s="15" t="s">
        <v>765</v>
      </c>
      <c r="F143" s="15" t="s">
        <v>766</v>
      </c>
      <c r="G143" s="15" t="s">
        <v>767</v>
      </c>
      <c r="H143" s="15" t="s">
        <v>768</v>
      </c>
      <c r="I143" s="15" t="s">
        <v>769</v>
      </c>
      <c r="J143" s="15" t="s">
        <v>770</v>
      </c>
      <c r="K143" s="15" t="s">
        <v>771</v>
      </c>
      <c r="L143" s="15" t="s">
        <v>772</v>
      </c>
      <c r="M143" s="15" t="s">
        <v>773</v>
      </c>
      <c r="N143" s="5" t="s">
        <v>774</v>
      </c>
      <c r="O143" s="15" t="s">
        <v>775</v>
      </c>
      <c r="P143" s="5" t="s">
        <v>776</v>
      </c>
      <c r="Q143" s="5" t="s">
        <v>718</v>
      </c>
    </row>
    <row r="144" customFormat="false" ht="17.15" hidden="false" customHeight="false" outlineLevel="0" collapsed="false">
      <c r="A144" s="4" t="s">
        <v>777</v>
      </c>
      <c r="B144" s="0" t="s">
        <v>778</v>
      </c>
      <c r="C144" s="4" t="s">
        <v>779</v>
      </c>
      <c r="D144" s="17" t="n">
        <v>17.063</v>
      </c>
      <c r="E144" s="17" t="n">
        <v>17.1795</v>
      </c>
      <c r="F144" s="17" t="n">
        <v>17.9435</v>
      </c>
      <c r="G144" s="17" t="n">
        <v>19.976</v>
      </c>
      <c r="H144" s="17" t="n">
        <v>23.2035</v>
      </c>
      <c r="I144" s="17" t="n">
        <v>20.8505</v>
      </c>
      <c r="J144" s="17" t="n">
        <v>27.7495</v>
      </c>
      <c r="K144" s="17" t="n">
        <v>32.015</v>
      </c>
      <c r="L144" s="17" t="n">
        <v>26.7775</v>
      </c>
      <c r="M144" s="17" t="n">
        <v>39.7645</v>
      </c>
      <c r="N144" s="8" t="n">
        <f aca="false">COUNT(D144:M144)</f>
        <v>10</v>
      </c>
      <c r="O144" s="18" t="n">
        <f aca="false">IF(N144&gt;0,MEDIAN(D144:M144),"")</f>
        <v>22.027</v>
      </c>
      <c r="P144" s="18" t="n">
        <f aca="false">IF(N144&gt;=7,O144,"")</f>
        <v>22.027</v>
      </c>
      <c r="Q144" s="8" t="s">
        <v>780</v>
      </c>
    </row>
    <row r="145" customFormat="false" ht="17.15" hidden="false" customHeight="false" outlineLevel="0" collapsed="false">
      <c r="A145" s="0" t="s">
        <v>719</v>
      </c>
      <c r="B145" s="0" t="s">
        <v>720</v>
      </c>
      <c r="C145" s="4" t="s">
        <v>781</v>
      </c>
      <c r="D145" s="17" t="n">
        <v>22.23</v>
      </c>
      <c r="E145" s="17" t="n">
        <v>17.0615</v>
      </c>
      <c r="F145" s="17" t="n">
        <v>16.77</v>
      </c>
      <c r="G145" s="17" t="n">
        <v>20.9025</v>
      </c>
      <c r="H145" s="17" t="n">
        <v>27.204</v>
      </c>
      <c r="I145" s="17" t="n">
        <v>15.2445</v>
      </c>
      <c r="J145" s="17" t="n">
        <v>23.799</v>
      </c>
      <c r="K145" s="17" t="n">
        <v>41.1</v>
      </c>
      <c r="L145" s="17" t="n">
        <v>33.0075</v>
      </c>
      <c r="M145" s="17" t="n">
        <v>38.411</v>
      </c>
      <c r="N145" s="8" t="n">
        <f aca="false">COUNT(D145:M145)</f>
        <v>10</v>
      </c>
      <c r="O145" s="18" t="n">
        <f aca="false">IF(N145&gt;0,MEDIAN(D145:M145),"")</f>
        <v>23.0145</v>
      </c>
      <c r="P145" s="18" t="n">
        <f aca="false">IF(N145&gt;=7,O145,"")</f>
        <v>23.0145</v>
      </c>
      <c r="Q145" s="8" t="s">
        <v>782</v>
      </c>
    </row>
    <row r="146" customFormat="false" ht="17.15" hidden="false" customHeight="false" outlineLevel="0" collapsed="false">
      <c r="A146" s="4" t="s">
        <v>723</v>
      </c>
      <c r="B146" s="0" t="s">
        <v>724</v>
      </c>
      <c r="C146" s="4" t="s">
        <v>781</v>
      </c>
      <c r="D146" s="17" t="n">
        <v>14.9505</v>
      </c>
      <c r="E146" s="17" t="n">
        <v>12.9745</v>
      </c>
      <c r="F146" s="17" t="n">
        <v>13.1095</v>
      </c>
      <c r="G146" s="17" t="n">
        <v>16.7925</v>
      </c>
      <c r="H146" s="17" t="n">
        <v>19.551</v>
      </c>
      <c r="I146" s="17" t="n">
        <v>15.3265</v>
      </c>
      <c r="J146" s="17" t="n">
        <v>19.384</v>
      </c>
      <c r="K146" s="17" t="n">
        <v>25.5595</v>
      </c>
      <c r="L146" s="17" t="n">
        <v>22.843</v>
      </c>
      <c r="M146" s="17" t="n">
        <v>33.323</v>
      </c>
      <c r="N146" s="8" t="n">
        <f aca="false">COUNT(D146:M146)</f>
        <v>10</v>
      </c>
      <c r="O146" s="18" t="n">
        <f aca="false">IF(N146&gt;0,MEDIAN(D146:M146),"")</f>
        <v>18.08825</v>
      </c>
      <c r="P146" s="18" t="n">
        <f aca="false">IF(N146&gt;=7,O146,"")</f>
        <v>18.08825</v>
      </c>
      <c r="Q146" s="8" t="s">
        <v>783</v>
      </c>
    </row>
    <row r="147" customFormat="false" ht="17.15" hidden="false" customHeight="false" outlineLevel="0" collapsed="false">
      <c r="A147" s="0" t="s">
        <v>726</v>
      </c>
      <c r="B147" s="0" t="s">
        <v>727</v>
      </c>
      <c r="C147" s="4" t="s">
        <v>781</v>
      </c>
      <c r="D147" s="17" t="n">
        <v>14.348</v>
      </c>
      <c r="E147" s="17" t="n">
        <v>13.1595</v>
      </c>
      <c r="F147" s="17" t="n">
        <v>14.213</v>
      </c>
      <c r="G147" s="17" t="n">
        <v>19.2795</v>
      </c>
      <c r="H147" s="17" t="n">
        <v>11.91</v>
      </c>
      <c r="I147" s="17" t="n">
        <v>10.4</v>
      </c>
      <c r="J147" s="17" t="n">
        <v>16.4895</v>
      </c>
      <c r="K147" s="17" t="n">
        <v>36.1015</v>
      </c>
      <c r="L147" s="17" t="n">
        <v>49.838</v>
      </c>
      <c r="M147" s="17" t="n">
        <v>43.1865</v>
      </c>
      <c r="N147" s="8" t="n">
        <f aca="false">COUNT(D147:M147)</f>
        <v>10</v>
      </c>
      <c r="O147" s="18" t="n">
        <f aca="false">IF(N147&gt;0,MEDIAN(D147:M147),"")</f>
        <v>15.41875</v>
      </c>
      <c r="P147" s="18" t="n">
        <f aca="false">IF(N147&gt;=7,O147,"")</f>
        <v>15.41875</v>
      </c>
      <c r="Q147" s="8" t="s">
        <v>784</v>
      </c>
    </row>
    <row r="148" customFormat="false" ht="17.15" hidden="false" customHeight="false" outlineLevel="0" collapsed="false">
      <c r="A148" s="0" t="s">
        <v>729</v>
      </c>
      <c r="B148" s="0" t="s">
        <v>730</v>
      </c>
      <c r="C148" s="4" t="s">
        <v>781</v>
      </c>
      <c r="D148" s="17" t="n">
        <v>13.11</v>
      </c>
      <c r="E148" s="17" t="n">
        <v>11.4445</v>
      </c>
      <c r="F148" s="17" t="n">
        <v>17.0315</v>
      </c>
      <c r="G148" s="17" t="n">
        <v>21.322</v>
      </c>
      <c r="H148" s="17" t="n">
        <v>24.026</v>
      </c>
      <c r="I148" s="17" t="n">
        <v>20.6985</v>
      </c>
      <c r="J148" s="17" t="n">
        <v>32.431</v>
      </c>
      <c r="K148" s="17" t="n">
        <v>35.799</v>
      </c>
      <c r="L148" s="17" t="n">
        <v>23.8575</v>
      </c>
      <c r="M148" s="17" t="n">
        <v>41.8845</v>
      </c>
      <c r="N148" s="8" t="n">
        <f aca="false">COUNT(D148:M148)</f>
        <v>10</v>
      </c>
      <c r="O148" s="18" t="n">
        <f aca="false">IF(N148&gt;0,MEDIAN(D148:M148),"")</f>
        <v>22.58975</v>
      </c>
      <c r="P148" s="18" t="n">
        <f aca="false">IF(N148&gt;=7,O148,"")</f>
        <v>22.58975</v>
      </c>
      <c r="Q148" s="8" t="s">
        <v>785</v>
      </c>
    </row>
    <row r="149" customFormat="false" ht="17.15" hidden="false" customHeight="false" outlineLevel="0" collapsed="false">
      <c r="A149" s="4" t="s">
        <v>731</v>
      </c>
      <c r="B149" s="0" t="s">
        <v>732</v>
      </c>
      <c r="C149" s="4" t="s">
        <v>781</v>
      </c>
      <c r="D149" s="17" t="n">
        <v>13.7225</v>
      </c>
      <c r="E149" s="17" t="n">
        <v>10.8895</v>
      </c>
      <c r="F149" s="17" t="n">
        <v>12.359</v>
      </c>
      <c r="G149" s="17" t="n">
        <v>13.5995</v>
      </c>
      <c r="H149" s="17" t="n">
        <v>19.002</v>
      </c>
      <c r="I149" s="17" t="n">
        <v>13.6035</v>
      </c>
      <c r="J149" s="17" t="n">
        <v>17.242</v>
      </c>
      <c r="K149" s="17" t="n">
        <v>21.6845</v>
      </c>
      <c r="L149" s="17" t="n">
        <v>17.552</v>
      </c>
      <c r="M149" s="17" t="n">
        <v>29.4305</v>
      </c>
      <c r="N149" s="8" t="n">
        <f aca="false">COUNT(D149:M149)</f>
        <v>10</v>
      </c>
      <c r="O149" s="18" t="n">
        <f aca="false">IF(N149&gt;0,MEDIAN(D149:M149),"")</f>
        <v>15.48225</v>
      </c>
      <c r="P149" s="18" t="n">
        <f aca="false">IF(N149&gt;=7,O149,"")</f>
        <v>15.48225</v>
      </c>
      <c r="Q149" s="8" t="s">
        <v>786</v>
      </c>
    </row>
    <row r="151" customFormat="false" ht="17.15" hidden="false" customHeight="false" outlineLevel="0" collapsed="false">
      <c r="A151" s="4" t="s">
        <v>787</v>
      </c>
      <c r="B151" s="18" t="n">
        <f aca="false">P144</f>
        <v>22.027</v>
      </c>
      <c r="E151" s="4" t="s">
        <v>788</v>
      </c>
    </row>
    <row r="152" customFormat="false" ht="15" hidden="false" customHeight="false" outlineLevel="0" collapsed="false">
      <c r="A152" s="4" t="s">
        <v>789</v>
      </c>
      <c r="B152" s="34" t="n">
        <f aca="false">COUNT(P145:P149)</f>
        <v>5</v>
      </c>
    </row>
    <row r="153" customFormat="false" ht="17.15" hidden="false" customHeight="false" outlineLevel="0" collapsed="false">
      <c r="A153" s="4" t="s">
        <v>790</v>
      </c>
      <c r="B153" s="18" t="n">
        <f aca="false">IF(B152&gt;0,MEDIAN(P145:P149),"")</f>
        <v>18.08825</v>
      </c>
    </row>
    <row r="154" customFormat="false" ht="17.15" hidden="false" customHeight="false" outlineLevel="0" collapsed="false">
      <c r="A154" s="4" t="s">
        <v>791</v>
      </c>
      <c r="B154" s="18" t="n">
        <f aca="false">IF(AND(ISNUMBER(B151),B152&gt;=2),B151/B153,"")</f>
        <v>1.2177518554863</v>
      </c>
      <c r="E154" s="4" t="s">
        <v>792</v>
      </c>
    </row>
    <row r="155" customFormat="false" ht="17.15" hidden="false" customHeight="false" outlineLevel="0" collapsed="false">
      <c r="A155" s="4" t="s">
        <v>793</v>
      </c>
      <c r="B155" s="17" t="n">
        <v>0.5</v>
      </c>
      <c r="E155" s="8" t="s">
        <v>794</v>
      </c>
    </row>
    <row r="156" customFormat="false" ht="17.15" hidden="false" customHeight="false" outlineLevel="0" collapsed="false">
      <c r="A156" s="4" t="s">
        <v>795</v>
      </c>
      <c r="B156" s="17" t="n">
        <v>2</v>
      </c>
      <c r="E156" s="8" t="s">
        <v>796</v>
      </c>
    </row>
    <row r="157" customFormat="false" ht="17.15" hidden="false" customHeight="false" outlineLevel="0" collapsed="false">
      <c r="A157" s="1" t="s">
        <v>797</v>
      </c>
      <c r="B157" s="28" t="n">
        <f aca="false">IF(ISNUMBER(B154),MIN(MAX(B154,B155),B156),1)</f>
        <v>1.2177518554863</v>
      </c>
      <c r="E157" s="4" t="s">
        <v>798</v>
      </c>
    </row>
    <row r="158" customFormat="false" ht="17.15" hidden="false" customHeight="false" outlineLevel="0" collapsed="false">
      <c r="A158" s="6" t="s">
        <v>799</v>
      </c>
      <c r="B158" s="30" t="n">
        <f aca="false">Val!$B$122*B157</f>
        <v>490.217794593997</v>
      </c>
      <c r="E158" s="4" t="s">
        <v>800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8" min="2" style="0" width="12"/>
    <col collapsed="false" customWidth="true" hidden="false" outlineLevel="0" max="9" min="9" style="0" width="38"/>
    <col collapsed="false" customWidth="true" hidden="false" outlineLevel="0" max="10" min="10" style="0" width="80"/>
  </cols>
  <sheetData>
    <row r="1" customFormat="false" ht="17.15" hidden="false" customHeight="false" outlineLevel="0" collapsed="false">
      <c r="A1" s="0" t="s">
        <v>801</v>
      </c>
    </row>
    <row r="3" customFormat="false" ht="17.15" hidden="false" customHeight="false" outlineLevel="0" collapsed="false">
      <c r="A3" s="5" t="s">
        <v>21</v>
      </c>
      <c r="B3" s="5" t="s">
        <v>802</v>
      </c>
      <c r="C3" s="5" t="s">
        <v>803</v>
      </c>
      <c r="D3" s="5" t="s">
        <v>804</v>
      </c>
      <c r="E3" s="5" t="s">
        <v>805</v>
      </c>
      <c r="F3" s="5" t="s">
        <v>806</v>
      </c>
      <c r="G3" s="5" t="s">
        <v>807</v>
      </c>
      <c r="H3" s="5" t="s">
        <v>808</v>
      </c>
      <c r="I3" s="5" t="s">
        <v>809</v>
      </c>
      <c r="J3" s="5" t="s">
        <v>374</v>
      </c>
    </row>
    <row r="4" customFormat="false" ht="17.15" hidden="false" customHeight="false" outlineLevel="0" collapsed="false">
      <c r="A4" s="6" t="s">
        <v>810</v>
      </c>
    </row>
    <row r="5" customFormat="false" ht="17.15" hidden="false" customHeight="false" outlineLevel="0" collapsed="false">
      <c r="A5" s="4" t="s">
        <v>811</v>
      </c>
      <c r="B5" s="9" t="n">
        <f aca="false">Q!J10/0.51</f>
        <v>5120.58823529412</v>
      </c>
      <c r="C5" s="9" t="n">
        <f aca="false">PL!D5</f>
        <v>5111.6</v>
      </c>
      <c r="D5" s="11" t="n">
        <f aca="false">C5/B5-1</f>
        <v>-0.00175531303848342</v>
      </c>
      <c r="E5" s="9" t="n">
        <f aca="false">PL!D16</f>
        <v>5111.6</v>
      </c>
      <c r="F5" s="11" t="n">
        <f aca="false">E5/B5-1</f>
        <v>-0.00175531303848342</v>
      </c>
      <c r="G5" s="9" t="n">
        <f aca="false">PL!D27</f>
        <v>5111.6</v>
      </c>
      <c r="H5" s="11" t="n">
        <f aca="false">G5/B5-1</f>
        <v>-0.00175531303848342</v>
      </c>
      <c r="I5" s="4" t="s">
        <v>812</v>
      </c>
      <c r="J5" s="4" t="s">
        <v>813</v>
      </c>
    </row>
    <row r="6" customFormat="false" ht="15" hidden="false" customHeight="false" outlineLevel="0" collapsed="false">
      <c r="A6" s="4" t="s">
        <v>814</v>
      </c>
      <c r="B6" s="9" t="n">
        <f aca="false">cons_rev26</f>
        <v>5100</v>
      </c>
      <c r="C6" s="9" t="n">
        <f aca="false">PL!D5</f>
        <v>5111.6</v>
      </c>
      <c r="D6" s="11" t="n">
        <f aca="false">C6/B6-1</f>
        <v>0.00227450980392163</v>
      </c>
      <c r="E6" s="9" t="n">
        <f aca="false">PL!D16</f>
        <v>5111.6</v>
      </c>
      <c r="F6" s="11" t="n">
        <f aca="false">E6/B6-1</f>
        <v>0.00227450980392163</v>
      </c>
      <c r="G6" s="9" t="n">
        <f aca="false">PL!D27</f>
        <v>5111.6</v>
      </c>
      <c r="H6" s="11" t="n">
        <f aca="false">G6/B6-1</f>
        <v>0.00227450980392163</v>
      </c>
      <c r="I6" s="8" t="s">
        <v>815</v>
      </c>
    </row>
    <row r="7" customFormat="false" ht="17.15" hidden="false" customHeight="false" outlineLevel="0" collapsed="false">
      <c r="A7" s="0" t="s">
        <v>816</v>
      </c>
      <c r="B7" s="18" t="n">
        <f aca="false">cons_eps26</f>
        <v>9.09</v>
      </c>
      <c r="C7" s="18" t="n">
        <f aca="false">PL!D13</f>
        <v>8.78424857324033</v>
      </c>
      <c r="D7" s="11" t="n">
        <f aca="false">C7/B7-1</f>
        <v>-0.0336360205456183</v>
      </c>
      <c r="E7" s="18" t="n">
        <f aca="false">PL!D24</f>
        <v>8.78424857324033</v>
      </c>
      <c r="F7" s="11" t="n">
        <f aca="false">E7/B7-1</f>
        <v>-0.0336360205456183</v>
      </c>
      <c r="G7" s="18" t="n">
        <f aca="false">PL!D35</f>
        <v>8.78424857324033</v>
      </c>
      <c r="H7" s="11" t="n">
        <f aca="false">G7/B7-1</f>
        <v>-0.0336360205456183</v>
      </c>
      <c r="I7" s="8" t="s">
        <v>815</v>
      </c>
      <c r="J7" s="4" t="s">
        <v>817</v>
      </c>
    </row>
    <row r="8" customFormat="false" ht="17.15" hidden="false" customHeight="false" outlineLevel="0" collapsed="false">
      <c r="A8" s="6" t="s">
        <v>818</v>
      </c>
    </row>
    <row r="9" customFormat="false" ht="17.15" hidden="false" customHeight="false" outlineLevel="0" collapsed="false">
      <c r="A9" s="0" t="s">
        <v>816</v>
      </c>
      <c r="B9" s="18" t="n">
        <f aca="false">cons_eps27</f>
        <v>11.3</v>
      </c>
      <c r="C9" s="18" t="n">
        <f aca="false">PL!E13</f>
        <v>13.6447191069765</v>
      </c>
      <c r="D9" s="11" t="n">
        <f aca="false">C9/B9-1</f>
        <v>0.207497266104119</v>
      </c>
      <c r="E9" s="18" t="n">
        <f aca="false">PL!E24</f>
        <v>13.6133439489243</v>
      </c>
      <c r="F9" s="11" t="n">
        <f aca="false">E9/B9-1</f>
        <v>0.204720703444629</v>
      </c>
      <c r="G9" s="18" t="n">
        <f aca="false">PL!E35</f>
        <v>13.5819687908721</v>
      </c>
      <c r="H9" s="11" t="n">
        <f aca="false">G9/B9-1</f>
        <v>0.201944140785138</v>
      </c>
      <c r="I9" s="8" t="s">
        <v>819</v>
      </c>
      <c r="J9" s="4" t="s">
        <v>820</v>
      </c>
    </row>
    <row r="10" customFormat="false" ht="17.15" hidden="false" customHeight="false" outlineLevel="0" collapsed="false">
      <c r="A10" s="6" t="s">
        <v>821</v>
      </c>
    </row>
    <row r="11" customFormat="false" ht="17.15" hidden="false" customHeight="false" outlineLevel="0" collapsed="false">
      <c r="A11" s="4" t="s">
        <v>822</v>
      </c>
      <c r="B11" s="9" t="n">
        <f aca="false">tm_rev</f>
        <v>6000</v>
      </c>
      <c r="C11" s="9" t="n">
        <f aca="false">PL!E5</f>
        <v>6923.67222467179</v>
      </c>
      <c r="D11" s="11" t="n">
        <f aca="false">C11/B11-1</f>
        <v>0.153945370778632</v>
      </c>
      <c r="E11" s="9" t="n">
        <f aca="false">PL!E16</f>
        <v>6911.84712467179</v>
      </c>
      <c r="F11" s="11" t="n">
        <f aca="false">E11/B11-1</f>
        <v>0.151974520778632</v>
      </c>
      <c r="G11" s="9" t="n">
        <f aca="false">PL!E27</f>
        <v>6900.02202467179</v>
      </c>
      <c r="H11" s="11" t="n">
        <f aca="false">G11/B11-1</f>
        <v>0.150003670778632</v>
      </c>
      <c r="I11" s="4" t="s">
        <v>823</v>
      </c>
      <c r="J11" s="4" t="s">
        <v>824</v>
      </c>
    </row>
    <row r="12" customFormat="false" ht="17.15" hidden="false" customHeight="false" outlineLevel="0" collapsed="false">
      <c r="A12" s="0" t="s">
        <v>825</v>
      </c>
      <c r="B12" s="18" t="n">
        <f aca="false">tm_eps_hi</f>
        <v>11</v>
      </c>
      <c r="C12" s="18" t="n">
        <f aca="false">PL!E13</f>
        <v>13.6447191069765</v>
      </c>
      <c r="D12" s="11" t="n">
        <f aca="false">C12/B12-1</f>
        <v>0.240429009725141</v>
      </c>
      <c r="E12" s="18" t="n">
        <f aca="false">PL!E24</f>
        <v>13.6133439489243</v>
      </c>
      <c r="F12" s="11" t="n">
        <f aca="false">E12/B12-1</f>
        <v>0.237576722629482</v>
      </c>
      <c r="G12" s="18" t="n">
        <f aca="false">PL!E35</f>
        <v>13.5819687908721</v>
      </c>
      <c r="H12" s="11" t="n">
        <f aca="false">G12/B12-1</f>
        <v>0.234724435533824</v>
      </c>
      <c r="I12" s="4" t="s">
        <v>39</v>
      </c>
    </row>
    <row r="13" customFormat="false" ht="17.15" hidden="false" customHeight="false" outlineLevel="0" collapsed="false">
      <c r="A13" s="6" t="s">
        <v>826</v>
      </c>
    </row>
    <row r="14" customFormat="false" ht="17.15" hidden="false" customHeight="false" outlineLevel="0" collapsed="false">
      <c r="A14" s="0" t="s">
        <v>827</v>
      </c>
      <c r="B14" s="11" t="n">
        <f aca="false">1-as_A_2026</f>
        <v>0.34</v>
      </c>
      <c r="C14" s="11" t="n">
        <f aca="false">PL!C48</f>
        <v>0.273869565217391</v>
      </c>
      <c r="D14" s="11" t="n">
        <f aca="false">C14-B14</f>
        <v>-0.0661304347826087</v>
      </c>
      <c r="E14" s="11" t="n">
        <f aca="false">PL!C78</f>
        <v>0.273869565217391</v>
      </c>
      <c r="F14" s="11" t="n">
        <f aca="false">E14-B14</f>
        <v>-0.0661304347826087</v>
      </c>
      <c r="G14" s="11" t="n">
        <f aca="false">PL!C108</f>
        <v>0.273869565217391</v>
      </c>
      <c r="H14" s="11" t="n">
        <f aca="false">G14-B14</f>
        <v>-0.0661304347826087</v>
      </c>
      <c r="I14" s="8" t="s">
        <v>828</v>
      </c>
      <c r="J14" s="4" t="s">
        <v>829</v>
      </c>
    </row>
    <row r="15" customFormat="false" ht="17.15" hidden="false" customHeight="false" outlineLevel="0" collapsed="false">
      <c r="A15" s="0" t="s">
        <v>830</v>
      </c>
      <c r="B15" s="11" t="n">
        <f aca="false">an_share</f>
        <v>0.37</v>
      </c>
      <c r="C15" s="11" t="n">
        <f aca="false">PL!D48</f>
        <v>0.295392727272727</v>
      </c>
      <c r="D15" s="11" t="n">
        <f aca="false">C15-B15</f>
        <v>-0.0746072727272727</v>
      </c>
      <c r="E15" s="11" t="n">
        <f aca="false">PL!D78</f>
        <v>0.295392727272727</v>
      </c>
      <c r="F15" s="11" t="n">
        <f aca="false">E15-B15</f>
        <v>-0.0746072727272727</v>
      </c>
      <c r="G15" s="11" t="n">
        <f aca="false">PL!D108</f>
        <v>0.295392727272727</v>
      </c>
      <c r="H15" s="11" t="n">
        <f aca="false">G15-B15</f>
        <v>-0.0746072727272727</v>
      </c>
      <c r="I15" s="8" t="s">
        <v>831</v>
      </c>
      <c r="J15" s="4" t="s">
        <v>832</v>
      </c>
    </row>
    <row r="16" customFormat="false" ht="17.15" hidden="false" customHeight="false" outlineLevel="0" collapsed="false">
      <c r="A16" s="0" t="s">
        <v>833</v>
      </c>
      <c r="B16" s="11" t="n">
        <f aca="false">tw_hi</f>
        <v>0.09</v>
      </c>
      <c r="C16" s="11" t="n">
        <f aca="false">Units!D10</f>
        <v>0.0859133291658267</v>
      </c>
      <c r="D16" s="11" t="n">
        <f aca="false">C16-B16</f>
        <v>-0.00408667083417331</v>
      </c>
      <c r="E16" s="11" t="n">
        <f aca="false">Units!D18</f>
        <v>0.0859133291658267</v>
      </c>
      <c r="F16" s="11" t="n">
        <f aca="false">E16-B16</f>
        <v>-0.00408667083417331</v>
      </c>
      <c r="G16" s="11" t="n">
        <f aca="false">Units!D26</f>
        <v>0.0859133291658267</v>
      </c>
      <c r="H16" s="11" t="n">
        <f aca="false">G16-B16</f>
        <v>-0.00408667083417331</v>
      </c>
      <c r="I16" s="4" t="s">
        <v>834</v>
      </c>
    </row>
    <row r="17" customFormat="false" ht="17.15" hidden="false" customHeight="false" outlineLevel="0" collapsed="false">
      <c r="A17" s="0" t="s">
        <v>835</v>
      </c>
      <c r="B17" s="11" t="n">
        <f aca="false">tw_hi</f>
        <v>0.09</v>
      </c>
      <c r="C17" s="11" t="n">
        <f aca="false">Units!E10</f>
        <v>0.100077207336046</v>
      </c>
      <c r="D17" s="11" t="n">
        <f aca="false">C17-B17</f>
        <v>0.0100772073360455</v>
      </c>
      <c r="E17" s="11" t="n">
        <f aca="false">Units!E18</f>
        <v>0.100077207336046</v>
      </c>
      <c r="F17" s="11" t="n">
        <f aca="false">E17-B17</f>
        <v>0.0100772073360455</v>
      </c>
      <c r="G17" s="11" t="n">
        <f aca="false">Units!E26</f>
        <v>0.100077207336046</v>
      </c>
      <c r="H17" s="11" t="n">
        <f aca="false">G17-B17</f>
        <v>0.0100772073360455</v>
      </c>
      <c r="I17" s="4" t="s">
        <v>834</v>
      </c>
      <c r="J17" s="4" t="s">
        <v>836</v>
      </c>
    </row>
    <row r="18" customFormat="false" ht="17.15" hidden="false" customHeight="false" outlineLevel="0" collapsed="false">
      <c r="A18" s="0" t="s">
        <v>837</v>
      </c>
      <c r="B18" s="11" t="n">
        <f aca="false">tw_hi</f>
        <v>0.09</v>
      </c>
      <c r="C18" s="11" t="n">
        <f aca="false">Units!F10</f>
        <v>0.103150082185545</v>
      </c>
      <c r="D18" s="11" t="n">
        <f aca="false">C18-B18</f>
        <v>0.0131500821855454</v>
      </c>
      <c r="E18" s="11" t="n">
        <f aca="false">Units!F18</f>
        <v>0.101181693202489</v>
      </c>
      <c r="F18" s="11" t="n">
        <f aca="false">E18-B18</f>
        <v>0.0111816932024887</v>
      </c>
      <c r="G18" s="11" t="n">
        <f aca="false">Units!F26</f>
        <v>0.102963326112516</v>
      </c>
      <c r="H18" s="11" t="n">
        <f aca="false">G18-B18</f>
        <v>0.0129633261125161</v>
      </c>
      <c r="I18" s="4" t="s">
        <v>834</v>
      </c>
    </row>
    <row r="19" customFormat="false" ht="17.15" hidden="false" customHeight="false" outlineLevel="0" collapsed="false">
      <c r="A19" s="6" t="s">
        <v>838</v>
      </c>
    </row>
    <row r="20" customFormat="false" ht="17.15" hidden="false" customHeight="false" outlineLevel="0" collapsed="false">
      <c r="A20" s="4" t="s">
        <v>839</v>
      </c>
      <c r="C20" s="11" t="n">
        <f aca="false">Q!J10/PL!D5</f>
        <v>0.510896783785899</v>
      </c>
      <c r="J20" s="4" t="s">
        <v>840</v>
      </c>
    </row>
    <row r="21" customFormat="false" ht="17.15" hidden="false" customHeight="false" outlineLevel="0" collapsed="false">
      <c r="A21" s="4" t="s">
        <v>841</v>
      </c>
      <c r="C21" s="11" t="n">
        <f aca="false">(Q!G10+Q!H10)/2/1250-1</f>
        <v>0.0446</v>
      </c>
      <c r="J21" s="4" t="s">
        <v>842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46"/>
    <col collapsed="false" customWidth="true" hidden="false" outlineLevel="0" max="8" min="3" style="0" width="15"/>
  </cols>
  <sheetData>
    <row r="1" customFormat="false" ht="17.15" hidden="false" customHeight="false" outlineLevel="0" collapsed="false">
      <c r="A1" s="0" t="s">
        <v>843</v>
      </c>
    </row>
    <row r="3" customFormat="false" ht="17.15" hidden="false" customHeight="false" outlineLevel="0" collapsed="false">
      <c r="A3" s="5" t="s">
        <v>844</v>
      </c>
      <c r="B3" s="5" t="s">
        <v>845</v>
      </c>
      <c r="C3" s="15" t="s">
        <v>846</v>
      </c>
      <c r="D3" s="15" t="s">
        <v>847</v>
      </c>
      <c r="E3" s="5" t="s">
        <v>848</v>
      </c>
      <c r="F3" s="15" t="s">
        <v>849</v>
      </c>
      <c r="G3" s="15" t="s">
        <v>850</v>
      </c>
      <c r="H3" s="5" t="s">
        <v>848</v>
      </c>
    </row>
    <row r="4" customFormat="false" ht="17.15" hidden="false" customHeight="false" outlineLevel="0" collapsed="false">
      <c r="A4" s="4" t="s">
        <v>851</v>
      </c>
      <c r="B4" s="0" t="s">
        <v>852</v>
      </c>
      <c r="C4" s="20" t="n">
        <f aca="false">PL!E61</f>
        <v>6923.67222467179</v>
      </c>
      <c r="D4" s="18" t="n">
        <f aca="false">PL!E69</f>
        <v>13.6447191069765</v>
      </c>
      <c r="E4" s="11" t="n">
        <f aca="false">D4/D$4-1</f>
        <v>0</v>
      </c>
      <c r="F4" s="20" t="n">
        <f aca="false">PL!F61</f>
        <v>7961.49851319757</v>
      </c>
      <c r="G4" s="18" t="n">
        <f aca="false">PL!F69</f>
        <v>16.5044788870469</v>
      </c>
      <c r="H4" s="11" t="n">
        <f aca="false">G4/G$4-1</f>
        <v>0</v>
      </c>
    </row>
    <row r="5" customFormat="false" ht="17.15" hidden="false" customHeight="false" outlineLevel="0" collapsed="false">
      <c r="A5" s="4" t="s">
        <v>853</v>
      </c>
      <c r="B5" s="0" t="s">
        <v>854</v>
      </c>
      <c r="C5" s="20" t="n">
        <f aca="false">E57</f>
        <v>6152.95432074166</v>
      </c>
      <c r="D5" s="18" t="n">
        <f aca="false">E65</f>
        <v>11.5997980450402</v>
      </c>
      <c r="E5" s="11" t="n">
        <f aca="false">D5/D$4-1</f>
        <v>-0.149869047937438</v>
      </c>
      <c r="F5" s="20" t="n">
        <f aca="false">F57</f>
        <v>7096.53933012736</v>
      </c>
      <c r="G5" s="18" t="n">
        <f aca="false">F65</f>
        <v>14.1863289666397</v>
      </c>
      <c r="H5" s="11" t="n">
        <f aca="false">G5/G$4-1</f>
        <v>-0.140455808164082</v>
      </c>
    </row>
    <row r="6" customFormat="false" ht="17.15" hidden="false" customHeight="false" outlineLevel="0" collapsed="false">
      <c r="A6" s="4" t="s">
        <v>855</v>
      </c>
      <c r="C6" s="20" t="n">
        <f aca="false">E89</f>
        <v>7694.39012860192</v>
      </c>
      <c r="D6" s="18" t="n">
        <f aca="false">E97</f>
        <v>15.6896401689129</v>
      </c>
      <c r="E6" s="11" t="n">
        <f aca="false">D6/D$4-1</f>
        <v>0.149869047937438</v>
      </c>
      <c r="F6" s="20" t="n">
        <f aca="false">F89</f>
        <v>8826.45769626777</v>
      </c>
      <c r="G6" s="18" t="n">
        <f aca="false">F97</f>
        <v>18.8226288074541</v>
      </c>
      <c r="H6" s="11" t="n">
        <f aca="false">G6/G$4-1</f>
        <v>0.140455808164081</v>
      </c>
    </row>
    <row r="7" customFormat="false" ht="17.15" hidden="false" customHeight="false" outlineLevel="0" collapsed="false">
      <c r="A7" s="0" t="s">
        <v>856</v>
      </c>
      <c r="B7" s="4" t="s">
        <v>857</v>
      </c>
      <c r="C7" s="20" t="n">
        <f aca="false">E121</f>
        <v>6199.58345458208</v>
      </c>
      <c r="D7" s="18" t="n">
        <f aca="false">E129</f>
        <v>11.7235176283065</v>
      </c>
      <c r="E7" s="11" t="n">
        <f aca="false">D7/D$4-1</f>
        <v>-0.140801834292634</v>
      </c>
      <c r="F7" s="20" t="n">
        <f aca="false">F121</f>
        <v>7148.87014702964</v>
      </c>
      <c r="G7" s="18" t="n">
        <f aca="false">F129</f>
        <v>14.3265791442334</v>
      </c>
      <c r="H7" s="11" t="n">
        <f aca="false">G7/G$4-1</f>
        <v>-0.131958104083057</v>
      </c>
    </row>
    <row r="8" customFormat="false" ht="17.15" hidden="false" customHeight="false" outlineLevel="0" collapsed="false">
      <c r="A8" s="4" t="s">
        <v>858</v>
      </c>
      <c r="C8" s="20" t="n">
        <f aca="false">E153</f>
        <v>6729.6685204845</v>
      </c>
      <c r="D8" s="18" t="n">
        <f aca="false">E161</f>
        <v>13.129975309326</v>
      </c>
      <c r="E8" s="11" t="n">
        <f aca="false">D8/D$4-1</f>
        <v>-0.0377247632299992</v>
      </c>
      <c r="F8" s="20" t="n">
        <f aca="false">F153</f>
        <v>7709.19466589223</v>
      </c>
      <c r="G8" s="18" t="n">
        <f aca="false">F161</f>
        <v>15.8282872759315</v>
      </c>
      <c r="H8" s="11" t="n">
        <f aca="false">G8/G$4-1</f>
        <v>-0.0409701885011399</v>
      </c>
    </row>
    <row r="9" customFormat="false" ht="17.15" hidden="false" customHeight="false" outlineLevel="0" collapsed="false">
      <c r="A9" s="4" t="s">
        <v>859</v>
      </c>
      <c r="C9" s="20" t="n">
        <f aca="false">E185</f>
        <v>7117.67592885908</v>
      </c>
      <c r="D9" s="18" t="n">
        <f aca="false">E193</f>
        <v>14.1594629046271</v>
      </c>
      <c r="E9" s="11" t="n">
        <f aca="false">D9/D$4-1</f>
        <v>0.0377247632299993</v>
      </c>
      <c r="F9" s="20" t="n">
        <f aca="false">F185</f>
        <v>8213.8023605029</v>
      </c>
      <c r="G9" s="18" t="n">
        <f aca="false">F193</f>
        <v>17.1806704981623</v>
      </c>
      <c r="H9" s="11" t="n">
        <f aca="false">G9/G$4-1</f>
        <v>0.0409701885011393</v>
      </c>
    </row>
    <row r="10" customFormat="false" ht="17.15" hidden="false" customHeight="false" outlineLevel="0" collapsed="false">
      <c r="A10" s="4" t="s">
        <v>860</v>
      </c>
      <c r="B10" s="4" t="s">
        <v>861</v>
      </c>
      <c r="C10" s="20" t="n">
        <f aca="false">E217</f>
        <v>6923.67222467179</v>
      </c>
      <c r="D10" s="18" t="n">
        <f aca="false">E225</f>
        <v>12.8395947739147</v>
      </c>
      <c r="E10" s="11" t="n">
        <f aca="false">D10/D$4-1</f>
        <v>-0.0590062958973072</v>
      </c>
      <c r="F10" s="20" t="n">
        <f aca="false">F217</f>
        <v>7961.49851319757</v>
      </c>
      <c r="G10" s="18" t="n">
        <f aca="false">F225</f>
        <v>15.2351630152606</v>
      </c>
      <c r="H10" s="11" t="n">
        <f aca="false">G10/G$4-1</f>
        <v>-0.0769073583282005</v>
      </c>
    </row>
    <row r="11" customFormat="false" ht="17.15" hidden="false" customHeight="false" outlineLevel="0" collapsed="false">
      <c r="A11" s="4" t="s">
        <v>862</v>
      </c>
      <c r="B11" s="4" t="s">
        <v>39</v>
      </c>
      <c r="C11" s="20" t="n">
        <f aca="false">E249</f>
        <v>6923.67222467179</v>
      </c>
      <c r="D11" s="18" t="n">
        <f aca="false">E257</f>
        <v>14.3980966505722</v>
      </c>
      <c r="E11" s="11" t="n">
        <f aca="false">D11/D$4-1</f>
        <v>0.0552138550958123</v>
      </c>
      <c r="F11" s="20" t="n">
        <f aca="false">F249</f>
        <v>7961.49851319757</v>
      </c>
      <c r="G11" s="18" t="n">
        <f aca="false">F257</f>
        <v>17.6922135439994</v>
      </c>
      <c r="H11" s="11" t="n">
        <f aca="false">G11/G$4-1</f>
        <v>0.0719643840366664</v>
      </c>
    </row>
    <row r="12" customFormat="false" ht="17.15" hidden="false" customHeight="false" outlineLevel="0" collapsed="false">
      <c r="A12" s="0" t="s">
        <v>863</v>
      </c>
      <c r="B12" s="0" t="s">
        <v>864</v>
      </c>
      <c r="C12" s="20" t="n">
        <f aca="false">E281</f>
        <v>6907.90542467179</v>
      </c>
      <c r="D12" s="18" t="n">
        <f aca="false">E289</f>
        <v>13.6028855629069</v>
      </c>
      <c r="E12" s="11" t="n">
        <f aca="false">D12/D$4-1</f>
        <v>-0.00306591464006523</v>
      </c>
      <c r="F12" s="20" t="n">
        <f aca="false">F281</f>
        <v>7928.07289719757</v>
      </c>
      <c r="G12" s="18" t="n">
        <f aca="false">F289</f>
        <v>16.4148959441907</v>
      </c>
      <c r="H12" s="11" t="n">
        <f aca="false">G12/G$4-1</f>
        <v>-0.00542779590130249</v>
      </c>
    </row>
    <row r="13" customFormat="false" ht="17.15" hidden="false" customHeight="false" outlineLevel="0" collapsed="false">
      <c r="A13" s="0" t="s">
        <v>865</v>
      </c>
      <c r="B13" s="0" t="s">
        <v>866</v>
      </c>
      <c r="C13" s="20" t="n">
        <f aca="false">E313</f>
        <v>6939.43902467179</v>
      </c>
      <c r="D13" s="18" t="n">
        <f aca="false">E321</f>
        <v>13.6865526510462</v>
      </c>
      <c r="E13" s="11" t="n">
        <f aca="false">D13/D$4-1</f>
        <v>0.00306591464006556</v>
      </c>
      <c r="F13" s="20" t="n">
        <f aca="false">F313</f>
        <v>7996.18547319757</v>
      </c>
      <c r="G13" s="18" t="n">
        <f aca="false">F321</f>
        <v>16.5974423183129</v>
      </c>
      <c r="H13" s="11" t="n">
        <f aca="false">G13/G$4-1</f>
        <v>0.00563261838814344</v>
      </c>
    </row>
    <row r="14" customFormat="false" ht="17.15" hidden="false" customHeight="false" outlineLevel="0" collapsed="false">
      <c r="A14" s="4" t="s">
        <v>867</v>
      </c>
      <c r="B14" s="4" t="s">
        <v>868</v>
      </c>
      <c r="C14" s="20" t="n">
        <f aca="false">E345</f>
        <v>6883.52022467179</v>
      </c>
      <c r="D14" s="18" t="n">
        <f aca="false">E353</f>
        <v>13.6403046187789</v>
      </c>
      <c r="E14" s="11" t="n">
        <f aca="false">D14/D$4-1</f>
        <v>-0.000323530895946611</v>
      </c>
      <c r="F14" s="20" t="n">
        <f aca="false">F345</f>
        <v>7877.17931319757</v>
      </c>
      <c r="G14" s="18" t="n">
        <f aca="false">F353</f>
        <v>16.4857507552995</v>
      </c>
      <c r="H14" s="11" t="n">
        <f aca="false">G14/G$4-1</f>
        <v>-0.00113473026780586</v>
      </c>
    </row>
    <row r="15" customFormat="false" ht="17.15" hidden="false" customHeight="false" outlineLevel="0" collapsed="false">
      <c r="A15" s="4" t="s">
        <v>869</v>
      </c>
      <c r="C15" s="20" t="n">
        <f aca="false">E377</f>
        <v>6963.82422467179</v>
      </c>
      <c r="D15" s="18" t="n">
        <f aca="false">E385</f>
        <v>13.6491335951742</v>
      </c>
      <c r="E15" s="11" t="n">
        <f aca="false">D15/D$4-1</f>
        <v>0.000323530895947055</v>
      </c>
      <c r="F15" s="20" t="n">
        <f aca="false">F377</f>
        <v>8053.84811319757</v>
      </c>
      <c r="G15" s="18" t="n">
        <f aca="false">F385</f>
        <v>16.5249906503894</v>
      </c>
      <c r="H15" s="11" t="n">
        <f aca="false">G15/G$4-1</f>
        <v>0.00124279981712072</v>
      </c>
    </row>
    <row r="16" customFormat="false" ht="17.15" hidden="false" customHeight="false" outlineLevel="0" collapsed="false">
      <c r="A16" s="4" t="s">
        <v>870</v>
      </c>
      <c r="B16" s="4" t="s">
        <v>871</v>
      </c>
      <c r="C16" s="20" t="n">
        <f aca="false">E409</f>
        <v>6923.67222467179</v>
      </c>
      <c r="D16" s="18" t="n">
        <f aca="false">E417</f>
        <v>13.474761311368</v>
      </c>
      <c r="E16" s="11" t="n">
        <f aca="false">D16/D$4-1</f>
        <v>-0.0124559394939548</v>
      </c>
      <c r="F16" s="20" t="n">
        <f aca="false">F409</f>
        <v>7961.49851319757</v>
      </c>
      <c r="G16" s="18" t="n">
        <f aca="false">F417</f>
        <v>16.3156368919264</v>
      </c>
      <c r="H16" s="11" t="n">
        <f aca="false">G16/G$4-1</f>
        <v>-0.0114418635337086</v>
      </c>
    </row>
    <row r="17" customFormat="false" ht="17.15" hidden="false" customHeight="false" outlineLevel="0" collapsed="false">
      <c r="A17" s="4" t="s">
        <v>872</v>
      </c>
      <c r="B17" s="4" t="s">
        <v>873</v>
      </c>
      <c r="C17" s="20" t="n">
        <f aca="false">E441</f>
        <v>6923.67222467179</v>
      </c>
      <c r="D17" s="18" t="n">
        <f aca="false">E449</f>
        <v>13.7661175324112</v>
      </c>
      <c r="E17" s="11" t="n">
        <f aca="false">D17/D$4-1</f>
        <v>0.00889709963853935</v>
      </c>
      <c r="F17" s="20" t="n">
        <f aca="false">F441</f>
        <v>7961.49851319757</v>
      </c>
      <c r="G17" s="18" t="n">
        <f aca="false">F449</f>
        <v>16.6393660264188</v>
      </c>
      <c r="H17" s="11" t="n">
        <f aca="false">G17/G$4-1</f>
        <v>0.00817275966693476</v>
      </c>
    </row>
    <row r="18" customFormat="false" ht="17.15" hidden="false" customHeight="false" outlineLevel="0" collapsed="false">
      <c r="A18" s="4" t="s">
        <v>874</v>
      </c>
      <c r="C18" s="20" t="n">
        <f aca="false">E473</f>
        <v>6923.67222467179</v>
      </c>
      <c r="D18" s="18" t="n">
        <f aca="false">E481</f>
        <v>13.9927711760599</v>
      </c>
      <c r="E18" s="11" t="n">
        <f aca="false">D18/D$4-1</f>
        <v>0.0255081886519311</v>
      </c>
      <c r="F18" s="20" t="n">
        <f aca="false">F473</f>
        <v>7961.49851319757</v>
      </c>
      <c r="G18" s="18" t="n">
        <f aca="false">F481</f>
        <v>16.9250506685454</v>
      </c>
      <c r="H18" s="11" t="n">
        <f aca="false">G18/G$4-1</f>
        <v>0.0254822817719194</v>
      </c>
    </row>
    <row r="19" customFormat="false" ht="17.15" hidden="false" customHeight="false" outlineLevel="0" collapsed="false">
      <c r="A19" s="4" t="s">
        <v>875</v>
      </c>
      <c r="C19" s="20" t="n">
        <f aca="false">E505</f>
        <v>6923.67222467179</v>
      </c>
      <c r="D19" s="18" t="n">
        <f aca="false">E513</f>
        <v>13.1929234546247</v>
      </c>
      <c r="E19" s="11" t="n">
        <f aca="false">D19/D$4-1</f>
        <v>-0.0331113926794496</v>
      </c>
      <c r="F19" s="20" t="n">
        <f aca="false">F505</f>
        <v>7961.49851319757</v>
      </c>
      <c r="G19" s="18" t="n">
        <f aca="false">F513</f>
        <v>15.9585476334753</v>
      </c>
      <c r="H19" s="11" t="n">
        <f aca="false">G19/G$4-1</f>
        <v>-0.0330777637578176</v>
      </c>
    </row>
    <row r="20" customFormat="false" ht="17.15" hidden="false" customHeight="false" outlineLevel="0" collapsed="false">
      <c r="A20" s="4" t="s">
        <v>876</v>
      </c>
      <c r="C20" s="20" t="n">
        <f aca="false">E537</f>
        <v>6923.67222467179</v>
      </c>
      <c r="D20" s="18" t="n">
        <f aca="false">E545</f>
        <v>13.5082719159068</v>
      </c>
      <c r="E20" s="11" t="n">
        <f aca="false">D20/D$4-1</f>
        <v>-0.01</v>
      </c>
      <c r="F20" s="20" t="n">
        <f aca="false">F537</f>
        <v>7961.49851319757</v>
      </c>
      <c r="G20" s="18" t="n">
        <f aca="false">F545</f>
        <v>16.1760397571947</v>
      </c>
      <c r="H20" s="11" t="n">
        <f aca="false">G20/G$4-1</f>
        <v>-0.0199</v>
      </c>
    </row>
    <row r="21" customFormat="false" ht="17.15" hidden="false" customHeight="false" outlineLevel="0" collapsed="false">
      <c r="A21" s="4" t="s">
        <v>877</v>
      </c>
      <c r="C21" s="20" t="n">
        <f aca="false">E569</f>
        <v>6923.67222467179</v>
      </c>
      <c r="D21" s="18" t="n">
        <f aca="false">E577</f>
        <v>13.7839509345988</v>
      </c>
      <c r="E21" s="11" t="n">
        <f aca="false">D21/D$4-1</f>
        <v>0.010204081632653</v>
      </c>
      <c r="F21" s="20" t="n">
        <f aca="false">F569</f>
        <v>7961.49851319757</v>
      </c>
      <c r="G21" s="18" t="n">
        <f aca="false">F577</f>
        <v>16.8430234872915</v>
      </c>
      <c r="H21" s="11" t="n">
        <f aca="false">G21/G$4-1</f>
        <v>0.020512286547272</v>
      </c>
    </row>
    <row r="22" customFormat="false" ht="17.15" hidden="false" customHeight="false" outlineLevel="0" collapsed="false">
      <c r="A22" s="4" t="s">
        <v>878</v>
      </c>
      <c r="B22" s="0" t="s">
        <v>879</v>
      </c>
      <c r="C22" s="20" t="n">
        <f aca="false">PL!E91</f>
        <v>6911.84712467179</v>
      </c>
      <c r="D22" s="18" t="n">
        <f aca="false">PL!E99</f>
        <v>13.6133439489243</v>
      </c>
      <c r="E22" s="11" t="n">
        <f aca="false">D22/D$4-1</f>
        <v>-0.00229943598004911</v>
      </c>
      <c r="F22" s="20" t="n">
        <f aca="false">PL!F91</f>
        <v>7046.47326708282</v>
      </c>
      <c r="G22" s="18" t="n">
        <f aca="false">PL!F99</f>
        <v>14.0521484846777</v>
      </c>
      <c r="H22" s="11" t="n">
        <f aca="false">G22/G$4-1</f>
        <v>-0.14858575173154</v>
      </c>
    </row>
    <row r="23" customFormat="false" ht="17.15" hidden="false" customHeight="false" outlineLevel="0" collapsed="false">
      <c r="A23" s="4" t="s">
        <v>880</v>
      </c>
      <c r="B23" s="0" t="s">
        <v>881</v>
      </c>
      <c r="C23" s="20" t="n">
        <f aca="false">PL!E121</f>
        <v>6900.02202467179</v>
      </c>
      <c r="D23" s="18" t="n">
        <f aca="false">PL!E129</f>
        <v>13.5819687908721</v>
      </c>
      <c r="E23" s="11" t="n">
        <f aca="false">D23/D$4-1</f>
        <v>-0.00459887196009812</v>
      </c>
      <c r="F23" s="20" t="n">
        <f aca="false">PL!F121</f>
        <v>6494.29536160187</v>
      </c>
      <c r="G23" s="18" t="n">
        <f aca="false">PL!F129</f>
        <v>12.2386393886303</v>
      </c>
      <c r="H23" s="11" t="n">
        <f aca="false">G23/G$4-1</f>
        <v>-0.258465567293042</v>
      </c>
    </row>
    <row r="25" customFormat="false" ht="17.15" hidden="false" customHeight="false" outlineLevel="0" collapsed="false">
      <c r="A25" s="4" t="s">
        <v>882</v>
      </c>
    </row>
    <row r="40" customFormat="false" ht="17.15" hidden="false" customHeight="false" outlineLevel="0" collapsed="false">
      <c r="A40" s="1" t="s">
        <v>883</v>
      </c>
    </row>
    <row r="41" customFormat="false" ht="17.15" hidden="false" customHeight="false" outlineLevel="0" collapsed="false">
      <c r="A41" s="5" t="s">
        <v>21</v>
      </c>
      <c r="B41" s="5" t="s">
        <v>22</v>
      </c>
      <c r="C41" s="15" t="s">
        <v>545</v>
      </c>
      <c r="D41" s="15" t="s">
        <v>559</v>
      </c>
      <c r="E41" s="15" t="s">
        <v>546</v>
      </c>
      <c r="F41" s="15" t="s">
        <v>547</v>
      </c>
      <c r="G41" s="15" t="s">
        <v>548</v>
      </c>
      <c r="H41" s="5" t="s">
        <v>374</v>
      </c>
    </row>
    <row r="42" customFormat="false" ht="17.15" hidden="false" customHeight="false" outlineLevel="0" collapsed="false">
      <c r="A42" s="0" t="s">
        <v>560</v>
      </c>
      <c r="B42" s="0" t="s">
        <v>32</v>
      </c>
      <c r="C42" s="18" t="n">
        <f aca="false">mk_soc25</f>
        <v>6.9</v>
      </c>
      <c r="D42" s="18" t="n">
        <f aca="false">ms_A_2026</f>
        <v>11</v>
      </c>
      <c r="E42" s="18" t="n">
        <f aca="false">ms_A_2027*m_soc</f>
        <v>15.4143580786026</v>
      </c>
      <c r="F42" s="18" t="n">
        <f aca="false">ms_A_2028*m_soc</f>
        <v>17.2991836614041</v>
      </c>
      <c r="G42" s="18" t="n">
        <f aca="false">ms_A_2029*m_soc</f>
        <v>19.2361762010077</v>
      </c>
    </row>
    <row r="43" customFormat="false" ht="17.15" hidden="false" customHeight="false" outlineLevel="0" collapsed="false">
      <c r="A43" s="4" t="s">
        <v>561</v>
      </c>
      <c r="B43" s="0" t="s">
        <v>32</v>
      </c>
      <c r="C43" s="18" t="n">
        <f aca="false">mk_mem25</f>
        <v>2.1</v>
      </c>
      <c r="D43" s="18" t="n">
        <f aca="false">mm_A_2026</f>
        <v>2.75</v>
      </c>
      <c r="E43" s="18" t="n">
        <f aca="false">mm_A_2027</f>
        <v>3.88007408374579</v>
      </c>
      <c r="F43" s="18" t="n">
        <f aca="false">mm_A_2028</f>
        <v>5.04607694610671</v>
      </c>
      <c r="G43" s="18" t="n">
        <f aca="false">mm_A_2029</f>
        <v>6.20223782078096</v>
      </c>
    </row>
    <row r="44" customFormat="false" ht="17.15" hidden="false" customHeight="false" outlineLevel="0" collapsed="false">
      <c r="A44" s="4" t="s">
        <v>562</v>
      </c>
      <c r="B44" s="0" t="s">
        <v>99</v>
      </c>
      <c r="C44" s="11" t="n">
        <f aca="false">a25_soc/(C42*1000)</f>
        <v>0.273869565217391</v>
      </c>
      <c r="D44" s="11" t="n">
        <f aca="false">f26_soc/(D42*1000)</f>
        <v>0.295392727272727</v>
      </c>
      <c r="E44" s="11" t="n">
        <f aca="false">s_soc_lo</f>
        <v>0.245392727272727</v>
      </c>
      <c r="F44" s="11" t="n">
        <f aca="false">s_soc_lo</f>
        <v>0.245392727272727</v>
      </c>
      <c r="G44" s="11" t="n">
        <f aca="false">s_soc_lo</f>
        <v>0.245392727272727</v>
      </c>
      <c r="H44" s="8" t="s">
        <v>563</v>
      </c>
    </row>
    <row r="45" customFormat="false" ht="17.15" hidden="false" customHeight="false" outlineLevel="0" collapsed="false">
      <c r="A45" s="0" t="s">
        <v>564</v>
      </c>
      <c r="B45" s="0" t="s">
        <v>197</v>
      </c>
      <c r="C45" s="9" t="n">
        <f aca="false">a25_soc</f>
        <v>1889.7</v>
      </c>
      <c r="D45" s="9" t="n">
        <f aca="false">f26_soc</f>
        <v>3249.32</v>
      </c>
      <c r="E45" s="9" t="n">
        <f aca="false">E42*1000*E44</f>
        <v>3782.57136806669</v>
      </c>
      <c r="F45" s="9" t="n">
        <f aca="false">F42*1000*F44</f>
        <v>4245.09385826376</v>
      </c>
      <c r="G45" s="9" t="n">
        <f aca="false">G42*1000*G44</f>
        <v>4720.41774026401</v>
      </c>
      <c r="H45" s="4" t="s">
        <v>565</v>
      </c>
    </row>
    <row r="46" customFormat="false" ht="15" hidden="false" customHeight="false" outlineLevel="0" collapsed="false">
      <c r="A46" s="4" t="s">
        <v>566</v>
      </c>
      <c r="B46" s="0" t="s">
        <v>99</v>
      </c>
      <c r="C46" s="11" t="n">
        <f aca="false">a25_mem/(C43*1000)</f>
        <v>0.240428571428571</v>
      </c>
      <c r="D46" s="11" t="n">
        <f aca="false">f26_mem/(D43*1000)</f>
        <v>0.316756363636364</v>
      </c>
      <c r="E46" s="11" t="n">
        <f aca="false">s_mem</f>
        <v>0.316756363636364</v>
      </c>
      <c r="F46" s="11" t="n">
        <f aca="false">s_mem</f>
        <v>0.316756363636364</v>
      </c>
      <c r="G46" s="11" t="n">
        <f aca="false">s_mem</f>
        <v>0.316756363636364</v>
      </c>
    </row>
    <row r="47" customFormat="false" ht="15" hidden="false" customHeight="false" outlineLevel="0" collapsed="false">
      <c r="A47" s="4" t="s">
        <v>567</v>
      </c>
      <c r="B47" s="0" t="s">
        <v>197</v>
      </c>
      <c r="C47" s="9" t="n">
        <f aca="false">a25_mem</f>
        <v>504.9</v>
      </c>
      <c r="D47" s="9" t="n">
        <f aca="false">f26_mem</f>
        <v>871.08</v>
      </c>
      <c r="E47" s="9" t="n">
        <f aca="false">E43*1000*E46</f>
        <v>1229.03815740701</v>
      </c>
      <c r="F47" s="9" t="n">
        <f aca="false">F43*1000*F46</f>
        <v>1598.37698407805</v>
      </c>
      <c r="G47" s="9" t="n">
        <f aca="false">G43*1000*G46</f>
        <v>1964.5982985185</v>
      </c>
    </row>
    <row r="48" customFormat="false" ht="17.15" hidden="false" customHeight="false" outlineLevel="0" collapsed="false">
      <c r="A48" s="0" t="s">
        <v>568</v>
      </c>
      <c r="B48" s="0" t="s">
        <v>197</v>
      </c>
      <c r="C48" s="9" t="n">
        <f aca="false">a25_ist</f>
        <v>129.2</v>
      </c>
      <c r="D48" s="9" t="n">
        <f aca="false">f26_ist</f>
        <v>195.51</v>
      </c>
      <c r="E48" s="9" t="n">
        <f aca="false">$D48*E42/$D42</f>
        <v>273.969195267963</v>
      </c>
      <c r="F48" s="9" t="n">
        <f aca="false">$D48*F42/$D42</f>
        <v>307.469399785556</v>
      </c>
      <c r="G48" s="9" t="n">
        <f aca="false">$D48*G42/$D42</f>
        <v>341.896800823547</v>
      </c>
      <c r="H48" s="8" t="s">
        <v>569</v>
      </c>
    </row>
    <row r="49" customFormat="false" ht="15" hidden="false" customHeight="false" outlineLevel="0" collapsed="false">
      <c r="A49" s="4" t="s">
        <v>570</v>
      </c>
      <c r="B49" s="0" t="s">
        <v>197</v>
      </c>
      <c r="C49" s="9" t="n">
        <f aca="false">C45+C47+C48</f>
        <v>2523.8</v>
      </c>
      <c r="D49" s="9" t="n">
        <f aca="false">D45+D47+D48</f>
        <v>4315.91</v>
      </c>
      <c r="E49" s="9" t="n">
        <f aca="false">E45+E47+E48</f>
        <v>5285.57872074166</v>
      </c>
      <c r="F49" s="9" t="n">
        <f aca="false">F45+F47+F48</f>
        <v>6150.94024212736</v>
      </c>
      <c r="G49" s="9" t="n">
        <f aca="false">G45+G47+G48</f>
        <v>7026.91283960606</v>
      </c>
    </row>
    <row r="50" customFormat="false" ht="17.15" hidden="false" customHeight="false" outlineLevel="0" collapsed="false">
      <c r="A50" s="0" t="s">
        <v>571</v>
      </c>
      <c r="B50" s="0" t="s">
        <v>197</v>
      </c>
      <c r="C50" s="9" t="n">
        <f aca="false">a25_pt</f>
        <v>358</v>
      </c>
      <c r="D50" s="9" t="n">
        <f aca="false">f26_pt</f>
        <v>394.17</v>
      </c>
      <c r="E50" s="9" t="n">
        <f aca="false">D50*(1+g_pt_A)</f>
        <v>425.7036</v>
      </c>
      <c r="F50" s="9" t="n">
        <f aca="false">E50*(1+g_pt_A)</f>
        <v>459.759888</v>
      </c>
      <c r="G50" s="9" t="n">
        <f aca="false">F50*(1+g_pt_A)</f>
        <v>496.54067904</v>
      </c>
    </row>
    <row r="51" customFormat="false" ht="17.15" hidden="false" customHeight="false" outlineLevel="0" collapsed="false">
      <c r="A51" s="4" t="s">
        <v>512</v>
      </c>
      <c r="B51" s="0" t="s">
        <v>197</v>
      </c>
      <c r="C51" s="9" t="n">
        <f aca="false">C49+C50</f>
        <v>2881.8</v>
      </c>
      <c r="D51" s="9" t="n">
        <f aca="false">D49+D50</f>
        <v>4710.08</v>
      </c>
      <c r="E51" s="9" t="n">
        <f aca="false">E49+E50</f>
        <v>5711.28232074166</v>
      </c>
      <c r="F51" s="9" t="n">
        <f aca="false">F49+F50</f>
        <v>6610.70013012736</v>
      </c>
      <c r="G51" s="9" t="n">
        <f aca="false">G49+G50</f>
        <v>7523.45351864606</v>
      </c>
    </row>
    <row r="52" customFormat="false" ht="17.15" hidden="false" customHeight="false" outlineLevel="0" collapsed="false">
      <c r="A52" s="4" t="s">
        <v>572</v>
      </c>
      <c r="B52" s="0" t="s">
        <v>197</v>
      </c>
      <c r="C52" s="9" t="n">
        <f aca="false">a25_ttest</f>
        <v>761.4</v>
      </c>
      <c r="D52" s="9" t="n">
        <f aca="false">f26_ttest</f>
        <v>1643.83073654536</v>
      </c>
      <c r="E52" s="9" t="n">
        <f aca="false">t_inc*E51-t_fix+0*E51</f>
        <v>2127.06727652993</v>
      </c>
      <c r="F52" s="9" t="n">
        <f aca="false">t_inc*F51-t_fix+0*F51</f>
        <v>2561.17688774826</v>
      </c>
      <c r="G52" s="9" t="n">
        <f aca="false">t_inc*G51-t_fix+0*G51</f>
        <v>3001.72299934759</v>
      </c>
      <c r="H52" s="4" t="s">
        <v>573</v>
      </c>
    </row>
    <row r="53" customFormat="false" ht="15" hidden="false" customHeight="false" outlineLevel="0" collapsed="false">
      <c r="A53" s="4" t="s">
        <v>574</v>
      </c>
      <c r="B53" s="0" t="s">
        <v>99</v>
      </c>
      <c r="C53" s="11" t="n">
        <f aca="false">C52/C51</f>
        <v>0.26420986883198</v>
      </c>
      <c r="D53" s="11" t="n">
        <f aca="false">D52/D51</f>
        <v>0.349002721088678</v>
      </c>
      <c r="E53" s="11" t="n">
        <f aca="false">E52/E51</f>
        <v>0.37243252164318</v>
      </c>
      <c r="F53" s="11" t="n">
        <f aca="false">F52/F51</f>
        <v>0.387428991987708</v>
      </c>
      <c r="G53" s="11" t="n">
        <f aca="false">G52/G51</f>
        <v>0.398982062148473</v>
      </c>
    </row>
    <row r="54" customFormat="false" ht="17.15" hidden="false" customHeight="false" outlineLevel="0" collapsed="false">
      <c r="A54" s="4" t="s">
        <v>575</v>
      </c>
      <c r="B54" s="0" t="s">
        <v>197</v>
      </c>
      <c r="C54" s="9" t="n">
        <f aca="false">a25_rob</f>
        <v>308.3</v>
      </c>
      <c r="D54" s="9" t="n">
        <f aca="false">f26_rob</f>
        <v>401.52</v>
      </c>
      <c r="E54" s="9" t="n">
        <f aca="false">D54*(1+g_rob)</f>
        <v>441.672</v>
      </c>
      <c r="F54" s="9" t="n">
        <f aca="false">E54*(1+g_rob)</f>
        <v>485.8392</v>
      </c>
      <c r="G54" s="9" t="n">
        <f aca="false">F54*(1+g_rob)</f>
        <v>534.42312</v>
      </c>
    </row>
    <row r="55" customFormat="false" ht="15" hidden="false" customHeight="false" outlineLevel="0" collapsed="false">
      <c r="A55" s="4" t="s">
        <v>520</v>
      </c>
      <c r="B55" s="0" t="s">
        <v>197</v>
      </c>
      <c r="C55" s="9" t="n">
        <f aca="false">a25_trob</f>
        <v>-99.4</v>
      </c>
      <c r="D55" s="9" t="n">
        <f aca="false">f26_trob</f>
        <v>-3.5</v>
      </c>
      <c r="E55" s="9" t="n">
        <f aca="false">E54*rm_2027</f>
        <v>8.83344</v>
      </c>
      <c r="F55" s="9" t="n">
        <f aca="false">F54*rm_2028</f>
        <v>19.433568</v>
      </c>
      <c r="G55" s="9" t="n">
        <f aca="false">G54*rm_2029</f>
        <v>26.721156</v>
      </c>
    </row>
    <row r="56" customFormat="false" ht="15" hidden="false" customHeight="false" outlineLevel="0" collapsed="false">
      <c r="A56" s="4" t="s">
        <v>500</v>
      </c>
      <c r="B56" s="0" t="s">
        <v>197</v>
      </c>
      <c r="C56" s="9" t="n">
        <f aca="false">a25_corp</f>
        <v>-8.8</v>
      </c>
      <c r="D56" s="9" t="n">
        <f aca="false">f26_corp</f>
        <v>-10.4</v>
      </c>
      <c r="E56" s="9" t="n">
        <f aca="false">corp</f>
        <v>-10.4</v>
      </c>
      <c r="F56" s="9" t="n">
        <f aca="false">corp</f>
        <v>-10.4</v>
      </c>
      <c r="G56" s="9" t="n">
        <f aca="false">corp</f>
        <v>-10.4</v>
      </c>
    </row>
    <row r="57" customFormat="false" ht="15" hidden="false" customHeight="false" outlineLevel="0" collapsed="false">
      <c r="A57" s="4" t="s">
        <v>474</v>
      </c>
      <c r="B57" s="0" t="s">
        <v>197</v>
      </c>
      <c r="C57" s="9" t="n">
        <f aca="false">C51+C54</f>
        <v>3190.1</v>
      </c>
      <c r="D57" s="9" t="n">
        <f aca="false">D51+D54</f>
        <v>5111.6</v>
      </c>
      <c r="E57" s="9" t="n">
        <f aca="false">E51+E54</f>
        <v>6152.95432074166</v>
      </c>
      <c r="F57" s="9" t="n">
        <f aca="false">F51+F54</f>
        <v>7096.53933012736</v>
      </c>
      <c r="G57" s="9" t="n">
        <f aca="false">G51+G54</f>
        <v>8057.87663864606</v>
      </c>
    </row>
    <row r="58" customFormat="false" ht="17.15" hidden="false" customHeight="false" outlineLevel="0" collapsed="false">
      <c r="A58" s="4" t="s">
        <v>576</v>
      </c>
      <c r="B58" s="0" t="s">
        <v>197</v>
      </c>
      <c r="C58" s="9" t="n">
        <f aca="false">ROUND(C49+C50+C54-a25_rev,0)</f>
        <v>0</v>
      </c>
      <c r="D58" s="9" t="n">
        <f aca="false">ROUND(D49+D50+D54-f26_rev,0)</f>
        <v>0</v>
      </c>
      <c r="H58" s="8" t="s">
        <v>577</v>
      </c>
    </row>
    <row r="59" customFormat="false" ht="15" hidden="false" customHeight="false" outlineLevel="0" collapsed="false">
      <c r="A59" s="4" t="s">
        <v>553</v>
      </c>
      <c r="B59" s="0" t="s">
        <v>197</v>
      </c>
      <c r="C59" s="9" t="n">
        <f aca="false">C52+C55+C56</f>
        <v>653.2</v>
      </c>
      <c r="D59" s="9" t="n">
        <f aca="false">D52+D55+D56</f>
        <v>1629.93073654536</v>
      </c>
      <c r="E59" s="9" t="n">
        <f aca="false">E52+E55+E56</f>
        <v>2125.50071652993</v>
      </c>
      <c r="F59" s="9" t="n">
        <f aca="false">F52+F55+F56</f>
        <v>2570.21045574826</v>
      </c>
      <c r="G59" s="9" t="n">
        <f aca="false">G52+G55+G56</f>
        <v>3018.04415534759</v>
      </c>
    </row>
    <row r="60" customFormat="false" ht="15" hidden="false" customHeight="false" outlineLevel="0" collapsed="false">
      <c r="A60" s="4" t="s">
        <v>554</v>
      </c>
      <c r="B60" s="0" t="s">
        <v>99</v>
      </c>
      <c r="C60" s="11" t="n">
        <f aca="false">C59/C57</f>
        <v>0.204758471521269</v>
      </c>
      <c r="D60" s="11" t="n">
        <f aca="false">D59/D57</f>
        <v>0.318868991420565</v>
      </c>
      <c r="E60" s="11" t="n">
        <f aca="false">E59/E57</f>
        <v>0.345443929165027</v>
      </c>
      <c r="F60" s="11" t="n">
        <f aca="false">F59/F57</f>
        <v>0.362178004825083</v>
      </c>
      <c r="G60" s="11" t="n">
        <f aca="false">G59/G57</f>
        <v>0.374545837655651</v>
      </c>
    </row>
    <row r="61" customFormat="false" ht="15" hidden="false" customHeight="false" outlineLevel="0" collapsed="false">
      <c r="A61" s="4" t="s">
        <v>486</v>
      </c>
      <c r="B61" s="0" t="s">
        <v>197</v>
      </c>
      <c r="C61" s="9" t="n">
        <f aca="false">a25_tax</f>
        <v>79.3</v>
      </c>
      <c r="D61" s="9" t="n">
        <f aca="false">f26_tax</f>
        <v>231.054736545361</v>
      </c>
      <c r="E61" s="9" t="n">
        <f aca="false">E59*etr</f>
        <v>301.30544634412</v>
      </c>
      <c r="F61" s="9" t="n">
        <f aca="false">F59*etr</f>
        <v>364.346340862147</v>
      </c>
      <c r="G61" s="9" t="n">
        <f aca="false">G59*etr</f>
        <v>427.830079868365</v>
      </c>
    </row>
    <row r="62" customFormat="false" ht="17.15" hidden="false" customHeight="false" outlineLevel="0" collapsed="false">
      <c r="A62" s="4" t="s">
        <v>487</v>
      </c>
      <c r="B62" s="0" t="s">
        <v>197</v>
      </c>
      <c r="C62" s="9" t="n">
        <f aca="false">a25_aff</f>
        <v>-19.9</v>
      </c>
      <c r="D62" s="9" t="n">
        <f aca="false">f26_aff</f>
        <v>-13.2</v>
      </c>
      <c r="E62" s="9" t="n">
        <f aca="false">aff</f>
        <v>-13.2</v>
      </c>
      <c r="F62" s="9" t="n">
        <f aca="false">aff</f>
        <v>-13.2</v>
      </c>
      <c r="G62" s="9" t="n">
        <f aca="false">aff</f>
        <v>-13.2</v>
      </c>
    </row>
    <row r="63" customFormat="false" ht="17.15" hidden="false" customHeight="false" outlineLevel="0" collapsed="false">
      <c r="A63" s="4" t="s">
        <v>555</v>
      </c>
      <c r="B63" s="0" t="s">
        <v>197</v>
      </c>
      <c r="C63" s="9" t="n">
        <f aca="false">a25_ni</f>
        <v>554</v>
      </c>
      <c r="D63" s="9" t="n">
        <f aca="false">f26_ni</f>
        <v>1385.276</v>
      </c>
      <c r="E63" s="9" t="n">
        <f aca="false">E59-E61+E62</f>
        <v>1810.99527018581</v>
      </c>
      <c r="F63" s="9" t="n">
        <f aca="false">F59-F61+F62</f>
        <v>2192.66411488611</v>
      </c>
      <c r="G63" s="9" t="n">
        <f aca="false">G59-G61+G62</f>
        <v>2577.01407547922</v>
      </c>
      <c r="H63" s="8" t="s">
        <v>578</v>
      </c>
    </row>
    <row r="64" customFormat="false" ht="15" hidden="false" customHeight="false" outlineLevel="0" collapsed="false">
      <c r="A64" s="4" t="s">
        <v>579</v>
      </c>
      <c r="B64" s="4" t="s">
        <v>259</v>
      </c>
      <c r="C64" s="9" t="n">
        <f aca="false">a25_dsh</f>
        <v>159.7</v>
      </c>
      <c r="D64" s="9" t="n">
        <f aca="false">sh26</f>
        <v>157.7</v>
      </c>
      <c r="E64" s="9" t="n">
        <f aca="false">sh26*(1-bb)^1</f>
        <v>156.123</v>
      </c>
      <c r="F64" s="9" t="n">
        <f aca="false">sh26*(1-bb)^2</f>
        <v>154.56177</v>
      </c>
      <c r="G64" s="9" t="n">
        <f aca="false">sh26*(1-bb)^3</f>
        <v>153.0161523</v>
      </c>
    </row>
    <row r="65" customFormat="false" ht="17.15" hidden="false" customHeight="false" outlineLevel="0" collapsed="false">
      <c r="A65" s="0" t="s">
        <v>489</v>
      </c>
      <c r="B65" s="0" t="s">
        <v>202</v>
      </c>
      <c r="C65" s="18" t="n">
        <f aca="false">a25_eps</f>
        <v>3.47</v>
      </c>
      <c r="D65" s="18" t="n">
        <f aca="false">D63/D64</f>
        <v>8.78424857324033</v>
      </c>
      <c r="E65" s="18" t="n">
        <f aca="false">E63/E64</f>
        <v>11.5997980450402</v>
      </c>
      <c r="F65" s="18" t="n">
        <f aca="false">F63/F64</f>
        <v>14.1863289666397</v>
      </c>
      <c r="G65" s="18" t="n">
        <f aca="false">G63/G64</f>
        <v>16.8414512895788</v>
      </c>
    </row>
    <row r="66" customFormat="false" ht="17.15" hidden="false" customHeight="false" outlineLevel="0" collapsed="false">
      <c r="A66" s="0" t="s">
        <v>580</v>
      </c>
      <c r="B66" s="0" t="s">
        <v>99</v>
      </c>
      <c r="C66" s="11" t="n">
        <f aca="false">C45/C57</f>
        <v>0.592363875740573</v>
      </c>
      <c r="D66" s="11" t="n">
        <f aca="false">D45/D57</f>
        <v>0.635675717974802</v>
      </c>
      <c r="E66" s="11" t="n">
        <f aca="false">E45/E57</f>
        <v>0.614756939656712</v>
      </c>
      <c r="F66" s="11" t="n">
        <f aca="false">F45/F57</f>
        <v>0.598192113195485</v>
      </c>
      <c r="G66" s="11" t="n">
        <f aca="false">G45/G57</f>
        <v>0.585814098670189</v>
      </c>
    </row>
    <row r="67" customFormat="false" ht="17.15" hidden="false" customHeight="false" outlineLevel="0" collapsed="false">
      <c r="A67" s="4" t="s">
        <v>581</v>
      </c>
      <c r="B67" s="0" t="s">
        <v>99</v>
      </c>
      <c r="C67" s="11" t="n">
        <f aca="false">a25_gp/a25_rev</f>
        <v>0.582225705329154</v>
      </c>
      <c r="D67" s="11" t="n">
        <f aca="false">f26_gm</f>
        <v>0.594365646092145</v>
      </c>
      <c r="E67" s="11" t="n">
        <f aca="false">f26_gm+(Q!J13-a25_gp/a25_rev)/(Q!J4/Q!J10-a25_soc/a25_rev)*(E66-D66)</f>
        <v>0.587880628944498</v>
      </c>
      <c r="F67" s="11" t="n">
        <f aca="false">f26_gm+(Q!J13-a25_gp/a25_rev)/(Q!J4/Q!J10-a25_soc/a25_rev)*(F66-D66)</f>
        <v>0.582745377639887</v>
      </c>
      <c r="G67" s="11" t="n">
        <f aca="false">f26_gm+(Q!J13-a25_gp/a25_rev)/(Q!J4/Q!J10-a25_soc/a25_rev)*(G66-D66)</f>
        <v>0.578908077237838</v>
      </c>
      <c r="H67" s="8" t="s">
        <v>582</v>
      </c>
    </row>
    <row r="72" customFormat="false" ht="17.15" hidden="false" customHeight="false" outlineLevel="0" collapsed="false">
      <c r="A72" s="1" t="s">
        <v>884</v>
      </c>
    </row>
    <row r="73" customFormat="false" ht="17.15" hidden="false" customHeight="false" outlineLevel="0" collapsed="false">
      <c r="A73" s="5" t="s">
        <v>21</v>
      </c>
      <c r="B73" s="5" t="s">
        <v>22</v>
      </c>
      <c r="C73" s="15" t="s">
        <v>545</v>
      </c>
      <c r="D73" s="15" t="s">
        <v>559</v>
      </c>
      <c r="E73" s="15" t="s">
        <v>546</v>
      </c>
      <c r="F73" s="15" t="s">
        <v>547</v>
      </c>
      <c r="G73" s="15" t="s">
        <v>548</v>
      </c>
      <c r="H73" s="5" t="s">
        <v>374</v>
      </c>
    </row>
    <row r="74" customFormat="false" ht="17.15" hidden="false" customHeight="false" outlineLevel="0" collapsed="false">
      <c r="A74" s="0" t="s">
        <v>560</v>
      </c>
      <c r="B74" s="0" t="s">
        <v>32</v>
      </c>
      <c r="C74" s="18" t="n">
        <f aca="false">mk_soc25</f>
        <v>6.9</v>
      </c>
      <c r="D74" s="18" t="n">
        <f aca="false">ms_A_2026</f>
        <v>11</v>
      </c>
      <c r="E74" s="18" t="n">
        <f aca="false">ms_A_2027*m_soc</f>
        <v>15.4143580786026</v>
      </c>
      <c r="F74" s="18" t="n">
        <f aca="false">ms_A_2028*m_soc</f>
        <v>17.2991836614041</v>
      </c>
      <c r="G74" s="18" t="n">
        <f aca="false">ms_A_2029*m_soc</f>
        <v>19.2361762010077</v>
      </c>
    </row>
    <row r="75" customFormat="false" ht="17.15" hidden="false" customHeight="false" outlineLevel="0" collapsed="false">
      <c r="A75" s="4" t="s">
        <v>561</v>
      </c>
      <c r="B75" s="0" t="s">
        <v>32</v>
      </c>
      <c r="C75" s="18" t="n">
        <f aca="false">mk_mem25</f>
        <v>2.1</v>
      </c>
      <c r="D75" s="18" t="n">
        <f aca="false">mm_A_2026</f>
        <v>2.75</v>
      </c>
      <c r="E75" s="18" t="n">
        <f aca="false">mm_A_2027</f>
        <v>3.88007408374579</v>
      </c>
      <c r="F75" s="18" t="n">
        <f aca="false">mm_A_2028</f>
        <v>5.04607694610671</v>
      </c>
      <c r="G75" s="18" t="n">
        <f aca="false">mm_A_2029</f>
        <v>6.20223782078096</v>
      </c>
    </row>
    <row r="76" customFormat="false" ht="17.15" hidden="false" customHeight="false" outlineLevel="0" collapsed="false">
      <c r="A76" s="4" t="s">
        <v>562</v>
      </c>
      <c r="B76" s="0" t="s">
        <v>99</v>
      </c>
      <c r="C76" s="11" t="n">
        <f aca="false">a25_soc/(C74*1000)</f>
        <v>0.273869565217391</v>
      </c>
      <c r="D76" s="11" t="n">
        <f aca="false">f26_soc/(D74*1000)</f>
        <v>0.295392727272727</v>
      </c>
      <c r="E76" s="11" t="n">
        <f aca="false">s_soc_hi</f>
        <v>0.345392727272727</v>
      </c>
      <c r="F76" s="11" t="n">
        <f aca="false">s_soc_hi</f>
        <v>0.345392727272727</v>
      </c>
      <c r="G76" s="11" t="n">
        <f aca="false">s_soc_hi</f>
        <v>0.345392727272727</v>
      </c>
      <c r="H76" s="8" t="s">
        <v>563</v>
      </c>
    </row>
    <row r="77" customFormat="false" ht="17.15" hidden="false" customHeight="false" outlineLevel="0" collapsed="false">
      <c r="A77" s="0" t="s">
        <v>564</v>
      </c>
      <c r="B77" s="0" t="s">
        <v>197</v>
      </c>
      <c r="C77" s="9" t="n">
        <f aca="false">a25_soc</f>
        <v>1889.7</v>
      </c>
      <c r="D77" s="9" t="n">
        <f aca="false">f26_soc</f>
        <v>3249.32</v>
      </c>
      <c r="E77" s="9" t="n">
        <f aca="false">E74*1000*E76</f>
        <v>5324.00717592695</v>
      </c>
      <c r="F77" s="9" t="n">
        <f aca="false">F74*1000*F76</f>
        <v>5975.01222440417</v>
      </c>
      <c r="G77" s="9" t="n">
        <f aca="false">G74*1000*G76</f>
        <v>6644.03536036478</v>
      </c>
      <c r="H77" s="4" t="s">
        <v>565</v>
      </c>
    </row>
    <row r="78" customFormat="false" ht="15" hidden="false" customHeight="false" outlineLevel="0" collapsed="false">
      <c r="A78" s="4" t="s">
        <v>566</v>
      </c>
      <c r="B78" s="0" t="s">
        <v>99</v>
      </c>
      <c r="C78" s="11" t="n">
        <f aca="false">a25_mem/(C75*1000)</f>
        <v>0.240428571428571</v>
      </c>
      <c r="D78" s="11" t="n">
        <f aca="false">f26_mem/(D75*1000)</f>
        <v>0.316756363636364</v>
      </c>
      <c r="E78" s="11" t="n">
        <f aca="false">s_mem</f>
        <v>0.316756363636364</v>
      </c>
      <c r="F78" s="11" t="n">
        <f aca="false">s_mem</f>
        <v>0.316756363636364</v>
      </c>
      <c r="G78" s="11" t="n">
        <f aca="false">s_mem</f>
        <v>0.316756363636364</v>
      </c>
    </row>
    <row r="79" customFormat="false" ht="15" hidden="false" customHeight="false" outlineLevel="0" collapsed="false">
      <c r="A79" s="4" t="s">
        <v>567</v>
      </c>
      <c r="B79" s="0" t="s">
        <v>197</v>
      </c>
      <c r="C79" s="9" t="n">
        <f aca="false">a25_mem</f>
        <v>504.9</v>
      </c>
      <c r="D79" s="9" t="n">
        <f aca="false">f26_mem</f>
        <v>871.08</v>
      </c>
      <c r="E79" s="9" t="n">
        <f aca="false">E75*1000*E78</f>
        <v>1229.03815740701</v>
      </c>
      <c r="F79" s="9" t="n">
        <f aca="false">F75*1000*F78</f>
        <v>1598.37698407805</v>
      </c>
      <c r="G79" s="9" t="n">
        <f aca="false">G75*1000*G78</f>
        <v>1964.5982985185</v>
      </c>
    </row>
    <row r="80" customFormat="false" ht="17.15" hidden="false" customHeight="false" outlineLevel="0" collapsed="false">
      <c r="A80" s="0" t="s">
        <v>568</v>
      </c>
      <c r="B80" s="0" t="s">
        <v>197</v>
      </c>
      <c r="C80" s="9" t="n">
        <f aca="false">a25_ist</f>
        <v>129.2</v>
      </c>
      <c r="D80" s="9" t="n">
        <f aca="false">f26_ist</f>
        <v>195.51</v>
      </c>
      <c r="E80" s="9" t="n">
        <f aca="false">$D80*E74/$D74</f>
        <v>273.969195267963</v>
      </c>
      <c r="F80" s="9" t="n">
        <f aca="false">$D80*F74/$D74</f>
        <v>307.469399785556</v>
      </c>
      <c r="G80" s="9" t="n">
        <f aca="false">$D80*G74/$D74</f>
        <v>341.896800823547</v>
      </c>
      <c r="H80" s="8" t="s">
        <v>569</v>
      </c>
    </row>
    <row r="81" customFormat="false" ht="15" hidden="false" customHeight="false" outlineLevel="0" collapsed="false">
      <c r="A81" s="4" t="s">
        <v>570</v>
      </c>
      <c r="B81" s="0" t="s">
        <v>197</v>
      </c>
      <c r="C81" s="9" t="n">
        <f aca="false">C77+C79+C80</f>
        <v>2523.8</v>
      </c>
      <c r="D81" s="9" t="n">
        <f aca="false">D77+D79+D80</f>
        <v>4315.91</v>
      </c>
      <c r="E81" s="9" t="n">
        <f aca="false">E77+E79+E80</f>
        <v>6827.01452860192</v>
      </c>
      <c r="F81" s="9" t="n">
        <f aca="false">F77+F79+F80</f>
        <v>7880.85860826777</v>
      </c>
      <c r="G81" s="9" t="n">
        <f aca="false">G77+G79+G80</f>
        <v>8950.53045970683</v>
      </c>
    </row>
    <row r="82" customFormat="false" ht="17.15" hidden="false" customHeight="false" outlineLevel="0" collapsed="false">
      <c r="A82" s="0" t="s">
        <v>571</v>
      </c>
      <c r="B82" s="0" t="s">
        <v>197</v>
      </c>
      <c r="C82" s="9" t="n">
        <f aca="false">a25_pt</f>
        <v>358</v>
      </c>
      <c r="D82" s="9" t="n">
        <f aca="false">f26_pt</f>
        <v>394.17</v>
      </c>
      <c r="E82" s="9" t="n">
        <f aca="false">D82*(1+g_pt_A)</f>
        <v>425.7036</v>
      </c>
      <c r="F82" s="9" t="n">
        <f aca="false">E82*(1+g_pt_A)</f>
        <v>459.759888</v>
      </c>
      <c r="G82" s="9" t="n">
        <f aca="false">F82*(1+g_pt_A)</f>
        <v>496.54067904</v>
      </c>
    </row>
    <row r="83" customFormat="false" ht="17.15" hidden="false" customHeight="false" outlineLevel="0" collapsed="false">
      <c r="A83" s="4" t="s">
        <v>512</v>
      </c>
      <c r="B83" s="0" t="s">
        <v>197</v>
      </c>
      <c r="C83" s="9" t="n">
        <f aca="false">C81+C82</f>
        <v>2881.8</v>
      </c>
      <c r="D83" s="9" t="n">
        <f aca="false">D81+D82</f>
        <v>4710.08</v>
      </c>
      <c r="E83" s="9" t="n">
        <f aca="false">E81+E82</f>
        <v>7252.71812860192</v>
      </c>
      <c r="F83" s="9" t="n">
        <f aca="false">F81+F82</f>
        <v>8340.61849626777</v>
      </c>
      <c r="G83" s="9" t="n">
        <f aca="false">G81+G82</f>
        <v>9447.07113874683</v>
      </c>
    </row>
    <row r="84" customFormat="false" ht="17.15" hidden="false" customHeight="false" outlineLevel="0" collapsed="false">
      <c r="A84" s="4" t="s">
        <v>572</v>
      </c>
      <c r="B84" s="0" t="s">
        <v>197</v>
      </c>
      <c r="C84" s="9" t="n">
        <f aca="false">a25_ttest</f>
        <v>761.4</v>
      </c>
      <c r="D84" s="9" t="n">
        <f aca="false">f26_ttest</f>
        <v>1643.83073654536</v>
      </c>
      <c r="E84" s="9" t="n">
        <f aca="false">t_inc*E83-t_fix+0*E83</f>
        <v>2871.05087601553</v>
      </c>
      <c r="F84" s="9" t="n">
        <f aca="false">t_inc*F83-t_fix+0*F83</f>
        <v>3396.13276868369</v>
      </c>
      <c r="G84" s="9" t="n">
        <f aca="false">t_inc*G83-t_fix+0*G83</f>
        <v>3930.16903241537</v>
      </c>
      <c r="H84" s="4" t="s">
        <v>573</v>
      </c>
    </row>
    <row r="85" customFormat="false" ht="15" hidden="false" customHeight="false" outlineLevel="0" collapsed="false">
      <c r="A85" s="4" t="s">
        <v>574</v>
      </c>
      <c r="B85" s="0" t="s">
        <v>99</v>
      </c>
      <c r="C85" s="11" t="n">
        <f aca="false">C84/C83</f>
        <v>0.26420986883198</v>
      </c>
      <c r="D85" s="11" t="n">
        <f aca="false">D84/D83</f>
        <v>0.349002721088678</v>
      </c>
      <c r="E85" s="11" t="n">
        <f aca="false">E84/E83</f>
        <v>0.395858604333899</v>
      </c>
      <c r="F85" s="11" t="n">
        <f aca="false">F84/F83</f>
        <v>0.407179967553171</v>
      </c>
      <c r="G85" s="11" t="n">
        <f aca="false">G84/G83</f>
        <v>0.416019840932066</v>
      </c>
    </row>
    <row r="86" customFormat="false" ht="17.15" hidden="false" customHeight="false" outlineLevel="0" collapsed="false">
      <c r="A86" s="4" t="s">
        <v>575</v>
      </c>
      <c r="B86" s="0" t="s">
        <v>197</v>
      </c>
      <c r="C86" s="9" t="n">
        <f aca="false">a25_rob</f>
        <v>308.3</v>
      </c>
      <c r="D86" s="9" t="n">
        <f aca="false">f26_rob</f>
        <v>401.52</v>
      </c>
      <c r="E86" s="9" t="n">
        <f aca="false">D86*(1+g_rob)</f>
        <v>441.672</v>
      </c>
      <c r="F86" s="9" t="n">
        <f aca="false">E86*(1+g_rob)</f>
        <v>485.8392</v>
      </c>
      <c r="G86" s="9" t="n">
        <f aca="false">F86*(1+g_rob)</f>
        <v>534.42312</v>
      </c>
    </row>
    <row r="87" customFormat="false" ht="15" hidden="false" customHeight="false" outlineLevel="0" collapsed="false">
      <c r="A87" s="4" t="s">
        <v>520</v>
      </c>
      <c r="B87" s="0" t="s">
        <v>197</v>
      </c>
      <c r="C87" s="9" t="n">
        <f aca="false">a25_trob</f>
        <v>-99.4</v>
      </c>
      <c r="D87" s="9" t="n">
        <f aca="false">f26_trob</f>
        <v>-3.5</v>
      </c>
      <c r="E87" s="9" t="n">
        <f aca="false">E86*rm_2027</f>
        <v>8.83344</v>
      </c>
      <c r="F87" s="9" t="n">
        <f aca="false">F86*rm_2028</f>
        <v>19.433568</v>
      </c>
      <c r="G87" s="9" t="n">
        <f aca="false">G86*rm_2029</f>
        <v>26.721156</v>
      </c>
    </row>
    <row r="88" customFormat="false" ht="15" hidden="false" customHeight="false" outlineLevel="0" collapsed="false">
      <c r="A88" s="4" t="s">
        <v>500</v>
      </c>
      <c r="B88" s="0" t="s">
        <v>197</v>
      </c>
      <c r="C88" s="9" t="n">
        <f aca="false">a25_corp</f>
        <v>-8.8</v>
      </c>
      <c r="D88" s="9" t="n">
        <f aca="false">f26_corp</f>
        <v>-10.4</v>
      </c>
      <c r="E88" s="9" t="n">
        <f aca="false">corp</f>
        <v>-10.4</v>
      </c>
      <c r="F88" s="9" t="n">
        <f aca="false">corp</f>
        <v>-10.4</v>
      </c>
      <c r="G88" s="9" t="n">
        <f aca="false">corp</f>
        <v>-10.4</v>
      </c>
    </row>
    <row r="89" customFormat="false" ht="15" hidden="false" customHeight="false" outlineLevel="0" collapsed="false">
      <c r="A89" s="4" t="s">
        <v>474</v>
      </c>
      <c r="B89" s="0" t="s">
        <v>197</v>
      </c>
      <c r="C89" s="9" t="n">
        <f aca="false">C83+C86</f>
        <v>3190.1</v>
      </c>
      <c r="D89" s="9" t="n">
        <f aca="false">D83+D86</f>
        <v>5111.6</v>
      </c>
      <c r="E89" s="9" t="n">
        <f aca="false">E83+E86</f>
        <v>7694.39012860192</v>
      </c>
      <c r="F89" s="9" t="n">
        <f aca="false">F83+F86</f>
        <v>8826.45769626777</v>
      </c>
      <c r="G89" s="9" t="n">
        <f aca="false">G83+G86</f>
        <v>9981.49425874683</v>
      </c>
    </row>
    <row r="90" customFormat="false" ht="17.15" hidden="false" customHeight="false" outlineLevel="0" collapsed="false">
      <c r="A90" s="4" t="s">
        <v>576</v>
      </c>
      <c r="B90" s="0" t="s">
        <v>197</v>
      </c>
      <c r="C90" s="9" t="n">
        <f aca="false">ROUND(C81+C82+C86-a25_rev,0)</f>
        <v>0</v>
      </c>
      <c r="D90" s="9" t="n">
        <f aca="false">ROUND(D81+D82+D86-f26_rev,0)</f>
        <v>0</v>
      </c>
      <c r="H90" s="8" t="s">
        <v>577</v>
      </c>
    </row>
    <row r="91" customFormat="false" ht="15" hidden="false" customHeight="false" outlineLevel="0" collapsed="false">
      <c r="A91" s="4" t="s">
        <v>553</v>
      </c>
      <c r="B91" s="0" t="s">
        <v>197</v>
      </c>
      <c r="C91" s="9" t="n">
        <f aca="false">C84+C87+C88</f>
        <v>653.2</v>
      </c>
      <c r="D91" s="9" t="n">
        <f aca="false">D84+D87+D88</f>
        <v>1629.93073654536</v>
      </c>
      <c r="E91" s="9" t="n">
        <f aca="false">E84+E87+E88</f>
        <v>2869.48431601553</v>
      </c>
      <c r="F91" s="9" t="n">
        <f aca="false">F84+F87+F88</f>
        <v>3405.16633668369</v>
      </c>
      <c r="G91" s="9" t="n">
        <f aca="false">G84+G87+G88</f>
        <v>3946.49018841537</v>
      </c>
    </row>
    <row r="92" customFormat="false" ht="15" hidden="false" customHeight="false" outlineLevel="0" collapsed="false">
      <c r="A92" s="4" t="s">
        <v>554</v>
      </c>
      <c r="B92" s="0" t="s">
        <v>99</v>
      </c>
      <c r="C92" s="11" t="n">
        <f aca="false">C91/C89</f>
        <v>0.204758471521269</v>
      </c>
      <c r="D92" s="11" t="n">
        <f aca="false">D91/D89</f>
        <v>0.318868991420565</v>
      </c>
      <c r="E92" s="11" t="n">
        <f aca="false">E91/E89</f>
        <v>0.372932002154265</v>
      </c>
      <c r="F92" s="11" t="n">
        <f aca="false">F91/F89</f>
        <v>0.385790818226382</v>
      </c>
      <c r="G92" s="11" t="n">
        <f aca="false">G91/G89</f>
        <v>0.395380700134856</v>
      </c>
    </row>
    <row r="93" customFormat="false" ht="15" hidden="false" customHeight="false" outlineLevel="0" collapsed="false">
      <c r="A93" s="4" t="s">
        <v>486</v>
      </c>
      <c r="B93" s="0" t="s">
        <v>197</v>
      </c>
      <c r="C93" s="9" t="n">
        <f aca="false">a25_tax</f>
        <v>79.3</v>
      </c>
      <c r="D93" s="9" t="n">
        <f aca="false">f26_tax</f>
        <v>231.054736545361</v>
      </c>
      <c r="E93" s="9" t="n">
        <f aca="false">E91*etr</f>
        <v>406.770623924339</v>
      </c>
      <c r="F93" s="9" t="n">
        <f aca="false">F91*etr</f>
        <v>482.707512150585</v>
      </c>
      <c r="G93" s="9" t="n">
        <f aca="false">G91*etr</f>
        <v>559.444171655934</v>
      </c>
    </row>
    <row r="94" customFormat="false" ht="17.15" hidden="false" customHeight="false" outlineLevel="0" collapsed="false">
      <c r="A94" s="4" t="s">
        <v>487</v>
      </c>
      <c r="B94" s="0" t="s">
        <v>197</v>
      </c>
      <c r="C94" s="9" t="n">
        <f aca="false">a25_aff</f>
        <v>-19.9</v>
      </c>
      <c r="D94" s="9" t="n">
        <f aca="false">f26_aff</f>
        <v>-13.2</v>
      </c>
      <c r="E94" s="9" t="n">
        <f aca="false">aff</f>
        <v>-13.2</v>
      </c>
      <c r="F94" s="9" t="n">
        <f aca="false">aff</f>
        <v>-13.2</v>
      </c>
      <c r="G94" s="9" t="n">
        <f aca="false">aff</f>
        <v>-13.2</v>
      </c>
    </row>
    <row r="95" customFormat="false" ht="17.15" hidden="false" customHeight="false" outlineLevel="0" collapsed="false">
      <c r="A95" s="4" t="s">
        <v>555</v>
      </c>
      <c r="B95" s="0" t="s">
        <v>197</v>
      </c>
      <c r="C95" s="9" t="n">
        <f aca="false">a25_ni</f>
        <v>554</v>
      </c>
      <c r="D95" s="9" t="n">
        <f aca="false">f26_ni</f>
        <v>1385.276</v>
      </c>
      <c r="E95" s="9" t="n">
        <f aca="false">E91-E93+E94</f>
        <v>2449.51369209119</v>
      </c>
      <c r="F95" s="9" t="n">
        <f aca="false">F91-F93+F94</f>
        <v>2909.2588245331</v>
      </c>
      <c r="G95" s="9" t="n">
        <f aca="false">G91-G93+G94</f>
        <v>3373.84601675943</v>
      </c>
      <c r="H95" s="8" t="s">
        <v>578</v>
      </c>
    </row>
    <row r="96" customFormat="false" ht="15" hidden="false" customHeight="false" outlineLevel="0" collapsed="false">
      <c r="A96" s="4" t="s">
        <v>579</v>
      </c>
      <c r="B96" s="4" t="s">
        <v>259</v>
      </c>
      <c r="C96" s="9" t="n">
        <f aca="false">a25_dsh</f>
        <v>159.7</v>
      </c>
      <c r="D96" s="9" t="n">
        <f aca="false">sh26</f>
        <v>157.7</v>
      </c>
      <c r="E96" s="9" t="n">
        <f aca="false">sh26*(1-bb)^1</f>
        <v>156.123</v>
      </c>
      <c r="F96" s="9" t="n">
        <f aca="false">sh26*(1-bb)^2</f>
        <v>154.56177</v>
      </c>
      <c r="G96" s="9" t="n">
        <f aca="false">sh26*(1-bb)^3</f>
        <v>153.0161523</v>
      </c>
    </row>
    <row r="97" customFormat="false" ht="17.15" hidden="false" customHeight="false" outlineLevel="0" collapsed="false">
      <c r="A97" s="0" t="s">
        <v>489</v>
      </c>
      <c r="B97" s="0" t="s">
        <v>202</v>
      </c>
      <c r="C97" s="18" t="n">
        <f aca="false">a25_eps</f>
        <v>3.47</v>
      </c>
      <c r="D97" s="18" t="n">
        <f aca="false">D95/D96</f>
        <v>8.78424857324033</v>
      </c>
      <c r="E97" s="18" t="n">
        <f aca="false">E95/E96</f>
        <v>15.6896401689129</v>
      </c>
      <c r="F97" s="18" t="n">
        <f aca="false">F95/F96</f>
        <v>18.8226288074541</v>
      </c>
      <c r="G97" s="18" t="n">
        <f aca="false">G95/G96</f>
        <v>22.0489534343064</v>
      </c>
    </row>
    <row r="98" customFormat="false" ht="17.15" hidden="false" customHeight="false" outlineLevel="0" collapsed="false">
      <c r="A98" s="0" t="s">
        <v>580</v>
      </c>
      <c r="B98" s="0" t="s">
        <v>99</v>
      </c>
      <c r="C98" s="11" t="n">
        <f aca="false">C77/C89</f>
        <v>0.592363875740573</v>
      </c>
      <c r="D98" s="11" t="n">
        <f aca="false">D77/D89</f>
        <v>0.635675717974802</v>
      </c>
      <c r="E98" s="11" t="n">
        <f aca="false">E77/E89</f>
        <v>0.691933614873038</v>
      </c>
      <c r="F98" s="11" t="n">
        <f aca="false">F77/F89</f>
        <v>0.676943393376334</v>
      </c>
      <c r="G98" s="11" t="n">
        <f aca="false">G77/G89</f>
        <v>0.665635343580204</v>
      </c>
    </row>
    <row r="99" customFormat="false" ht="17.15" hidden="false" customHeight="false" outlineLevel="0" collapsed="false">
      <c r="A99" s="4" t="s">
        <v>581</v>
      </c>
      <c r="B99" s="0" t="s">
        <v>99</v>
      </c>
      <c r="C99" s="11" t="n">
        <f aca="false">a25_gp/a25_rev</f>
        <v>0.582225705329154</v>
      </c>
      <c r="D99" s="11" t="n">
        <f aca="false">f26_gm</f>
        <v>0.594365646092145</v>
      </c>
      <c r="E99" s="11" t="n">
        <f aca="false">f26_gm+(Q!J13-a25_gp/a25_rev)/(Q!J4/Q!J10-a25_soc/a25_rev)*(E98-D98)</f>
        <v>0.611806120890815</v>
      </c>
      <c r="F99" s="11" t="n">
        <f aca="false">f26_gm+(Q!J13-a25_gp/a25_rev)/(Q!J4/Q!J10-a25_soc/a25_rev)*(F98-D98)</f>
        <v>0.607159011868722</v>
      </c>
      <c r="G99" s="11" t="n">
        <f aca="false">f26_gm+(Q!J13-a25_gp/a25_rev)/(Q!J4/Q!J10-a25_soc/a25_rev)*(G98-D98)</f>
        <v>0.603653410551129</v>
      </c>
      <c r="H99" s="8" t="s">
        <v>582</v>
      </c>
    </row>
    <row r="104" customFormat="false" ht="17.15" hidden="false" customHeight="false" outlineLevel="0" collapsed="false">
      <c r="A104" s="1" t="s">
        <v>885</v>
      </c>
    </row>
    <row r="105" customFormat="false" ht="17.15" hidden="false" customHeight="false" outlineLevel="0" collapsed="false">
      <c r="A105" s="5" t="s">
        <v>21</v>
      </c>
      <c r="B105" s="5" t="s">
        <v>22</v>
      </c>
      <c r="C105" s="15" t="s">
        <v>545</v>
      </c>
      <c r="D105" s="15" t="s">
        <v>559</v>
      </c>
      <c r="E105" s="15" t="s">
        <v>546</v>
      </c>
      <c r="F105" s="15" t="s">
        <v>547</v>
      </c>
      <c r="G105" s="15" t="s">
        <v>548</v>
      </c>
      <c r="H105" s="5" t="s">
        <v>374</v>
      </c>
    </row>
    <row r="106" customFormat="false" ht="17.15" hidden="false" customHeight="false" outlineLevel="0" collapsed="false">
      <c r="A106" s="0" t="s">
        <v>560</v>
      </c>
      <c r="B106" s="0" t="s">
        <v>32</v>
      </c>
      <c r="C106" s="18" t="n">
        <f aca="false">mk_soc25</f>
        <v>6.9</v>
      </c>
      <c r="D106" s="18" t="n">
        <f aca="false">ms_A_2026</f>
        <v>11</v>
      </c>
      <c r="E106" s="18" t="n">
        <f aca="false">ms_A_2027*m_soc_lo</f>
        <v>13.1022043668122</v>
      </c>
      <c r="F106" s="18" t="n">
        <f aca="false">ms_A_2028*m_soc_lo</f>
        <v>14.7043061121935</v>
      </c>
      <c r="G106" s="18" t="n">
        <f aca="false">ms_A_2029*m_soc_lo</f>
        <v>16.3507497708565</v>
      </c>
    </row>
    <row r="107" customFormat="false" ht="17.15" hidden="false" customHeight="false" outlineLevel="0" collapsed="false">
      <c r="A107" s="4" t="s">
        <v>561</v>
      </c>
      <c r="B107" s="0" t="s">
        <v>32</v>
      </c>
      <c r="C107" s="18" t="n">
        <f aca="false">mk_mem25</f>
        <v>2.1</v>
      </c>
      <c r="D107" s="18" t="n">
        <f aca="false">mm_A_2026</f>
        <v>2.75</v>
      </c>
      <c r="E107" s="18" t="n">
        <f aca="false">mm_A_2027</f>
        <v>3.88007408374579</v>
      </c>
      <c r="F107" s="18" t="n">
        <f aca="false">mm_A_2028</f>
        <v>5.04607694610671</v>
      </c>
      <c r="G107" s="18" t="n">
        <f aca="false">mm_A_2029</f>
        <v>6.20223782078096</v>
      </c>
    </row>
    <row r="108" customFormat="false" ht="17.15" hidden="false" customHeight="false" outlineLevel="0" collapsed="false">
      <c r="A108" s="4" t="s">
        <v>562</v>
      </c>
      <c r="B108" s="0" t="s">
        <v>99</v>
      </c>
      <c r="C108" s="11" t="n">
        <f aca="false">a25_soc/(C106*1000)</f>
        <v>0.273869565217391</v>
      </c>
      <c r="D108" s="11" t="n">
        <f aca="false">f26_soc/(D106*1000)</f>
        <v>0.295392727272727</v>
      </c>
      <c r="E108" s="11" t="n">
        <f aca="false">s_soc</f>
        <v>0.295392727272727</v>
      </c>
      <c r="F108" s="11" t="n">
        <f aca="false">s_soc</f>
        <v>0.295392727272727</v>
      </c>
      <c r="G108" s="11" t="n">
        <f aca="false">s_soc</f>
        <v>0.295392727272727</v>
      </c>
      <c r="H108" s="8" t="s">
        <v>563</v>
      </c>
    </row>
    <row r="109" customFormat="false" ht="17.15" hidden="false" customHeight="false" outlineLevel="0" collapsed="false">
      <c r="A109" s="0" t="s">
        <v>564</v>
      </c>
      <c r="B109" s="0" t="s">
        <v>197</v>
      </c>
      <c r="C109" s="9" t="n">
        <f aca="false">a25_soc</f>
        <v>1889.7</v>
      </c>
      <c r="D109" s="9" t="n">
        <f aca="false">f26_soc</f>
        <v>3249.32</v>
      </c>
      <c r="E109" s="9" t="n">
        <f aca="false">E106*1000*E108</f>
        <v>3870.2958811973</v>
      </c>
      <c r="F109" s="9" t="n">
        <f aca="false">F106*1000*F108</f>
        <v>4343.54508513387</v>
      </c>
      <c r="G109" s="9" t="n">
        <f aca="false">G106*1000*G108</f>
        <v>4829.89256776724</v>
      </c>
      <c r="H109" s="4" t="s">
        <v>565</v>
      </c>
    </row>
    <row r="110" customFormat="false" ht="15" hidden="false" customHeight="false" outlineLevel="0" collapsed="false">
      <c r="A110" s="4" t="s">
        <v>566</v>
      </c>
      <c r="B110" s="0" t="s">
        <v>99</v>
      </c>
      <c r="C110" s="11" t="n">
        <f aca="false">a25_mem/(C107*1000)</f>
        <v>0.240428571428571</v>
      </c>
      <c r="D110" s="11" t="n">
        <f aca="false">f26_mem/(D107*1000)</f>
        <v>0.316756363636364</v>
      </c>
      <c r="E110" s="11" t="n">
        <f aca="false">s_mem</f>
        <v>0.316756363636364</v>
      </c>
      <c r="F110" s="11" t="n">
        <f aca="false">s_mem</f>
        <v>0.316756363636364</v>
      </c>
      <c r="G110" s="11" t="n">
        <f aca="false">s_mem</f>
        <v>0.316756363636364</v>
      </c>
    </row>
    <row r="111" customFormat="false" ht="15" hidden="false" customHeight="false" outlineLevel="0" collapsed="false">
      <c r="A111" s="4" t="s">
        <v>567</v>
      </c>
      <c r="B111" s="0" t="s">
        <v>197</v>
      </c>
      <c r="C111" s="9" t="n">
        <f aca="false">a25_mem</f>
        <v>504.9</v>
      </c>
      <c r="D111" s="9" t="n">
        <f aca="false">f26_mem</f>
        <v>871.08</v>
      </c>
      <c r="E111" s="9" t="n">
        <f aca="false">E107*1000*E110</f>
        <v>1229.03815740701</v>
      </c>
      <c r="F111" s="9" t="n">
        <f aca="false">F107*1000*F110</f>
        <v>1598.37698407805</v>
      </c>
      <c r="G111" s="9" t="n">
        <f aca="false">G107*1000*G110</f>
        <v>1964.5982985185</v>
      </c>
    </row>
    <row r="112" customFormat="false" ht="17.15" hidden="false" customHeight="false" outlineLevel="0" collapsed="false">
      <c r="A112" s="0" t="s">
        <v>568</v>
      </c>
      <c r="B112" s="0" t="s">
        <v>197</v>
      </c>
      <c r="C112" s="9" t="n">
        <f aca="false">a25_ist</f>
        <v>129.2</v>
      </c>
      <c r="D112" s="9" t="n">
        <f aca="false">f26_ist</f>
        <v>195.51</v>
      </c>
      <c r="E112" s="9" t="n">
        <f aca="false">$D112*E106/$D106</f>
        <v>232.873815977769</v>
      </c>
      <c r="F112" s="9" t="n">
        <f aca="false">$D112*F106/$D106</f>
        <v>261.348989817723</v>
      </c>
      <c r="G112" s="9" t="n">
        <f aca="false">$D112*G106/$D106</f>
        <v>290.612280700015</v>
      </c>
      <c r="H112" s="8" t="s">
        <v>569</v>
      </c>
    </row>
    <row r="113" customFormat="false" ht="15" hidden="false" customHeight="false" outlineLevel="0" collapsed="false">
      <c r="A113" s="4" t="s">
        <v>570</v>
      </c>
      <c r="B113" s="0" t="s">
        <v>197</v>
      </c>
      <c r="C113" s="9" t="n">
        <f aca="false">C109+C111+C112</f>
        <v>2523.8</v>
      </c>
      <c r="D113" s="9" t="n">
        <f aca="false">D109+D111+D112</f>
        <v>4315.91</v>
      </c>
      <c r="E113" s="9" t="n">
        <f aca="false">E109+E111+E112</f>
        <v>5332.20785458208</v>
      </c>
      <c r="F113" s="9" t="n">
        <f aca="false">F109+F111+F112</f>
        <v>6203.27105902964</v>
      </c>
      <c r="G113" s="9" t="n">
        <f aca="false">G109+G111+G112</f>
        <v>7085.10314698575</v>
      </c>
    </row>
    <row r="114" customFormat="false" ht="17.15" hidden="false" customHeight="false" outlineLevel="0" collapsed="false">
      <c r="A114" s="0" t="s">
        <v>571</v>
      </c>
      <c r="B114" s="0" t="s">
        <v>197</v>
      </c>
      <c r="C114" s="9" t="n">
        <f aca="false">a25_pt</f>
        <v>358</v>
      </c>
      <c r="D114" s="9" t="n">
        <f aca="false">f26_pt</f>
        <v>394.17</v>
      </c>
      <c r="E114" s="9" t="n">
        <f aca="false">D114*(1+g_pt_A)</f>
        <v>425.7036</v>
      </c>
      <c r="F114" s="9" t="n">
        <f aca="false">E114*(1+g_pt_A)</f>
        <v>459.759888</v>
      </c>
      <c r="G114" s="9" t="n">
        <f aca="false">F114*(1+g_pt_A)</f>
        <v>496.54067904</v>
      </c>
    </row>
    <row r="115" customFormat="false" ht="17.15" hidden="false" customHeight="false" outlineLevel="0" collapsed="false">
      <c r="A115" s="4" t="s">
        <v>512</v>
      </c>
      <c r="B115" s="0" t="s">
        <v>197</v>
      </c>
      <c r="C115" s="9" t="n">
        <f aca="false">C113+C114</f>
        <v>2881.8</v>
      </c>
      <c r="D115" s="9" t="n">
        <f aca="false">D113+D114</f>
        <v>4710.08</v>
      </c>
      <c r="E115" s="9" t="n">
        <f aca="false">E113+E114</f>
        <v>5757.91145458208</v>
      </c>
      <c r="F115" s="9" t="n">
        <f aca="false">F113+F114</f>
        <v>6663.03094702964</v>
      </c>
      <c r="G115" s="9" t="n">
        <f aca="false">G113+G114</f>
        <v>7581.64382602575</v>
      </c>
    </row>
    <row r="116" customFormat="false" ht="17.15" hidden="false" customHeight="false" outlineLevel="0" collapsed="false">
      <c r="A116" s="4" t="s">
        <v>572</v>
      </c>
      <c r="B116" s="0" t="s">
        <v>197</v>
      </c>
      <c r="C116" s="9" t="n">
        <f aca="false">a25_ttest</f>
        <v>761.4</v>
      </c>
      <c r="D116" s="9" t="n">
        <f aca="false">f26_ttest</f>
        <v>1643.83073654536</v>
      </c>
      <c r="E116" s="9" t="n">
        <f aca="false">t_inc*E115-t_fix+0*E115</f>
        <v>2149.57311858874</v>
      </c>
      <c r="F116" s="9" t="n">
        <f aca="false">t_inc*F115-t_fix+0*F115</f>
        <v>2586.43468267195</v>
      </c>
      <c r="G116" s="9" t="n">
        <f aca="false">t_inc*G115-t_fix+0*G115</f>
        <v>3029.80891386881</v>
      </c>
      <c r="H116" s="4" t="s">
        <v>573</v>
      </c>
    </row>
    <row r="117" customFormat="false" ht="15" hidden="false" customHeight="false" outlineLevel="0" collapsed="false">
      <c r="A117" s="4" t="s">
        <v>574</v>
      </c>
      <c r="B117" s="0" t="s">
        <v>99</v>
      </c>
      <c r="C117" s="11" t="n">
        <f aca="false">C116/C115</f>
        <v>0.26420986883198</v>
      </c>
      <c r="D117" s="11" t="n">
        <f aca="false">D116/D115</f>
        <v>0.349002721088678</v>
      </c>
      <c r="E117" s="11" t="n">
        <f aca="false">E116/E115</f>
        <v>0.37332514324758</v>
      </c>
      <c r="F117" s="11" t="n">
        <f aca="false">F116/F115</f>
        <v>0.388176897756265</v>
      </c>
      <c r="G117" s="11" t="n">
        <f aca="false">G116/G115</f>
        <v>0.399624274549576</v>
      </c>
    </row>
    <row r="118" customFormat="false" ht="17.15" hidden="false" customHeight="false" outlineLevel="0" collapsed="false">
      <c r="A118" s="4" t="s">
        <v>575</v>
      </c>
      <c r="B118" s="0" t="s">
        <v>197</v>
      </c>
      <c r="C118" s="9" t="n">
        <f aca="false">a25_rob</f>
        <v>308.3</v>
      </c>
      <c r="D118" s="9" t="n">
        <f aca="false">f26_rob</f>
        <v>401.52</v>
      </c>
      <c r="E118" s="9" t="n">
        <f aca="false">D118*(1+g_rob)</f>
        <v>441.672</v>
      </c>
      <c r="F118" s="9" t="n">
        <f aca="false">E118*(1+g_rob)</f>
        <v>485.8392</v>
      </c>
      <c r="G118" s="9" t="n">
        <f aca="false">F118*(1+g_rob)</f>
        <v>534.42312</v>
      </c>
    </row>
    <row r="119" customFormat="false" ht="15" hidden="false" customHeight="false" outlineLevel="0" collapsed="false">
      <c r="A119" s="4" t="s">
        <v>520</v>
      </c>
      <c r="B119" s="0" t="s">
        <v>197</v>
      </c>
      <c r="C119" s="9" t="n">
        <f aca="false">a25_trob</f>
        <v>-99.4</v>
      </c>
      <c r="D119" s="9" t="n">
        <f aca="false">f26_trob</f>
        <v>-3.5</v>
      </c>
      <c r="E119" s="9" t="n">
        <f aca="false">E118*rm_2027</f>
        <v>8.83344</v>
      </c>
      <c r="F119" s="9" t="n">
        <f aca="false">F118*rm_2028</f>
        <v>19.433568</v>
      </c>
      <c r="G119" s="9" t="n">
        <f aca="false">G118*rm_2029</f>
        <v>26.721156</v>
      </c>
    </row>
    <row r="120" customFormat="false" ht="15" hidden="false" customHeight="false" outlineLevel="0" collapsed="false">
      <c r="A120" s="4" t="s">
        <v>500</v>
      </c>
      <c r="B120" s="0" t="s">
        <v>197</v>
      </c>
      <c r="C120" s="9" t="n">
        <f aca="false">a25_corp</f>
        <v>-8.8</v>
      </c>
      <c r="D120" s="9" t="n">
        <f aca="false">f26_corp</f>
        <v>-10.4</v>
      </c>
      <c r="E120" s="9" t="n">
        <f aca="false">corp</f>
        <v>-10.4</v>
      </c>
      <c r="F120" s="9" t="n">
        <f aca="false">corp</f>
        <v>-10.4</v>
      </c>
      <c r="G120" s="9" t="n">
        <f aca="false">corp</f>
        <v>-10.4</v>
      </c>
    </row>
    <row r="121" customFormat="false" ht="15" hidden="false" customHeight="false" outlineLevel="0" collapsed="false">
      <c r="A121" s="4" t="s">
        <v>474</v>
      </c>
      <c r="B121" s="0" t="s">
        <v>197</v>
      </c>
      <c r="C121" s="9" t="n">
        <f aca="false">C115+C118</f>
        <v>3190.1</v>
      </c>
      <c r="D121" s="9" t="n">
        <f aca="false">D115+D118</f>
        <v>5111.6</v>
      </c>
      <c r="E121" s="9" t="n">
        <f aca="false">E115+E118</f>
        <v>6199.58345458208</v>
      </c>
      <c r="F121" s="9" t="n">
        <f aca="false">F115+F118</f>
        <v>7148.87014702964</v>
      </c>
      <c r="G121" s="9" t="n">
        <f aca="false">G115+G118</f>
        <v>8116.06694602575</v>
      </c>
    </row>
    <row r="122" customFormat="false" ht="17.15" hidden="false" customHeight="false" outlineLevel="0" collapsed="false">
      <c r="A122" s="4" t="s">
        <v>576</v>
      </c>
      <c r="B122" s="0" t="s">
        <v>197</v>
      </c>
      <c r="C122" s="9" t="n">
        <f aca="false">ROUND(C113+C114+C118-a25_rev,0)</f>
        <v>0</v>
      </c>
      <c r="D122" s="9" t="n">
        <f aca="false">ROUND(D113+D114+D118-f26_rev,0)</f>
        <v>0</v>
      </c>
      <c r="H122" s="8" t="s">
        <v>577</v>
      </c>
    </row>
    <row r="123" customFormat="false" ht="15" hidden="false" customHeight="false" outlineLevel="0" collapsed="false">
      <c r="A123" s="4" t="s">
        <v>553</v>
      </c>
      <c r="B123" s="0" t="s">
        <v>197</v>
      </c>
      <c r="C123" s="9" t="n">
        <f aca="false">C116+C119+C120</f>
        <v>653.2</v>
      </c>
      <c r="D123" s="9" t="n">
        <f aca="false">D116+D119+D120</f>
        <v>1629.93073654536</v>
      </c>
      <c r="E123" s="9" t="n">
        <f aca="false">E116+E119+E120</f>
        <v>2148.00655858873</v>
      </c>
      <c r="F123" s="9" t="n">
        <f aca="false">F116+F119+F120</f>
        <v>2595.46825067195</v>
      </c>
      <c r="G123" s="9" t="n">
        <f aca="false">G116+G119+G120</f>
        <v>3046.13006986881</v>
      </c>
    </row>
    <row r="124" customFormat="false" ht="15" hidden="false" customHeight="false" outlineLevel="0" collapsed="false">
      <c r="A124" s="4" t="s">
        <v>554</v>
      </c>
      <c r="B124" s="0" t="s">
        <v>99</v>
      </c>
      <c r="C124" s="11" t="n">
        <f aca="false">C123/C121</f>
        <v>0.204758471521269</v>
      </c>
      <c r="D124" s="11" t="n">
        <f aca="false">D123/D121</f>
        <v>0.318868991420565</v>
      </c>
      <c r="E124" s="11" t="n">
        <f aca="false">E123/E121</f>
        <v>0.346475948638316</v>
      </c>
      <c r="F124" s="11" t="n">
        <f aca="false">F123/F121</f>
        <v>0.363059923776958</v>
      </c>
      <c r="G124" s="11" t="n">
        <f aca="false">G123/G121</f>
        <v>0.375320963975098</v>
      </c>
    </row>
    <row r="125" customFormat="false" ht="15" hidden="false" customHeight="false" outlineLevel="0" collapsed="false">
      <c r="A125" s="4" t="s">
        <v>486</v>
      </c>
      <c r="B125" s="0" t="s">
        <v>197</v>
      </c>
      <c r="C125" s="9" t="n">
        <f aca="false">a25_tax</f>
        <v>79.3</v>
      </c>
      <c r="D125" s="9" t="n">
        <f aca="false">f26_tax</f>
        <v>231.054736545361</v>
      </c>
      <c r="E125" s="9" t="n">
        <f aca="false">E123*etr</f>
        <v>304.495815904639</v>
      </c>
      <c r="F125" s="9" t="n">
        <f aca="false">F123*etr</f>
        <v>367.926820094154</v>
      </c>
      <c r="G125" s="9" t="n">
        <f aca="false">G123*etr</f>
        <v>431.811465969526</v>
      </c>
    </row>
    <row r="126" customFormat="false" ht="17.15" hidden="false" customHeight="false" outlineLevel="0" collapsed="false">
      <c r="A126" s="4" t="s">
        <v>487</v>
      </c>
      <c r="B126" s="0" t="s">
        <v>197</v>
      </c>
      <c r="C126" s="9" t="n">
        <f aca="false">a25_aff</f>
        <v>-19.9</v>
      </c>
      <c r="D126" s="9" t="n">
        <f aca="false">f26_aff</f>
        <v>-13.2</v>
      </c>
      <c r="E126" s="9" t="n">
        <f aca="false">aff</f>
        <v>-13.2</v>
      </c>
      <c r="F126" s="9" t="n">
        <f aca="false">aff</f>
        <v>-13.2</v>
      </c>
      <c r="G126" s="9" t="n">
        <f aca="false">aff</f>
        <v>-13.2</v>
      </c>
    </row>
    <row r="127" customFormat="false" ht="17.15" hidden="false" customHeight="false" outlineLevel="0" collapsed="false">
      <c r="A127" s="4" t="s">
        <v>555</v>
      </c>
      <c r="B127" s="0" t="s">
        <v>197</v>
      </c>
      <c r="C127" s="9" t="n">
        <f aca="false">a25_ni</f>
        <v>554</v>
      </c>
      <c r="D127" s="9" t="n">
        <f aca="false">f26_ni</f>
        <v>1385.276</v>
      </c>
      <c r="E127" s="9" t="n">
        <f aca="false">E123-E125+E126</f>
        <v>1830.3107426841</v>
      </c>
      <c r="F127" s="9" t="n">
        <f aca="false">F123-F125+F126</f>
        <v>2214.3414305778</v>
      </c>
      <c r="G127" s="9" t="n">
        <f aca="false">G123-G125+G126</f>
        <v>2601.11860389929</v>
      </c>
      <c r="H127" s="8" t="s">
        <v>578</v>
      </c>
    </row>
    <row r="128" customFormat="false" ht="15" hidden="false" customHeight="false" outlineLevel="0" collapsed="false">
      <c r="A128" s="4" t="s">
        <v>579</v>
      </c>
      <c r="B128" s="4" t="s">
        <v>259</v>
      </c>
      <c r="C128" s="9" t="n">
        <f aca="false">a25_dsh</f>
        <v>159.7</v>
      </c>
      <c r="D128" s="9" t="n">
        <f aca="false">sh26</f>
        <v>157.7</v>
      </c>
      <c r="E128" s="9" t="n">
        <f aca="false">sh26*(1-bb)^1</f>
        <v>156.123</v>
      </c>
      <c r="F128" s="9" t="n">
        <f aca="false">sh26*(1-bb)^2</f>
        <v>154.56177</v>
      </c>
      <c r="G128" s="9" t="n">
        <f aca="false">sh26*(1-bb)^3</f>
        <v>153.0161523</v>
      </c>
    </row>
    <row r="129" customFormat="false" ht="17.15" hidden="false" customHeight="false" outlineLevel="0" collapsed="false">
      <c r="A129" s="0" t="s">
        <v>489</v>
      </c>
      <c r="B129" s="0" t="s">
        <v>202</v>
      </c>
      <c r="C129" s="18" t="n">
        <f aca="false">a25_eps</f>
        <v>3.47</v>
      </c>
      <c r="D129" s="18" t="n">
        <f aca="false">D127/D128</f>
        <v>8.78424857324033</v>
      </c>
      <c r="E129" s="18" t="n">
        <f aca="false">E127/E128</f>
        <v>11.7235176283065</v>
      </c>
      <c r="F129" s="18" t="n">
        <f aca="false">F127/F128</f>
        <v>14.3265791442334</v>
      </c>
      <c r="G129" s="18" t="n">
        <f aca="false">G127/G128</f>
        <v>16.9989805965033</v>
      </c>
    </row>
    <row r="130" customFormat="false" ht="17.15" hidden="false" customHeight="false" outlineLevel="0" collapsed="false">
      <c r="A130" s="0" t="s">
        <v>580</v>
      </c>
      <c r="B130" s="0" t="s">
        <v>99</v>
      </c>
      <c r="C130" s="11" t="n">
        <f aca="false">C109/C121</f>
        <v>0.592363875740573</v>
      </c>
      <c r="D130" s="11" t="n">
        <f aca="false">D109/D121</f>
        <v>0.635675717974802</v>
      </c>
      <c r="E130" s="11" t="n">
        <f aca="false">E109/E121</f>
        <v>0.62428321346925</v>
      </c>
      <c r="F130" s="11" t="n">
        <f aca="false">F109/F121</f>
        <v>0.607584834498444</v>
      </c>
      <c r="G130" s="11" t="n">
        <f aca="false">G109/G121</f>
        <v>0.59510260325444</v>
      </c>
    </row>
    <row r="131" customFormat="false" ht="17.15" hidden="false" customHeight="false" outlineLevel="0" collapsed="false">
      <c r="A131" s="4" t="s">
        <v>581</v>
      </c>
      <c r="B131" s="0" t="s">
        <v>99</v>
      </c>
      <c r="C131" s="11" t="n">
        <f aca="false">a25_gp/a25_rev</f>
        <v>0.582225705329154</v>
      </c>
      <c r="D131" s="11" t="n">
        <f aca="false">f26_gm</f>
        <v>0.594365646092145</v>
      </c>
      <c r="E131" s="11" t="n">
        <f aca="false">f26_gm+(Q!J13-a25_gp/a25_rev)/(Q!J4/Q!J10-a25_soc/a25_rev)*(E130-D130)</f>
        <v>0.590833863023855</v>
      </c>
      <c r="F131" s="11" t="n">
        <f aca="false">f26_gm+(Q!J13-a25_gp/a25_rev)/(Q!J4/Q!J10-a25_soc/a25_rev)*(F130-D130)</f>
        <v>0.58565720919078</v>
      </c>
      <c r="G131" s="11" t="n">
        <f aca="false">f26_gm+(Q!J13-a25_gp/a25_rev)/(Q!J4/Q!J10-a25_soc/a25_rev)*(G130-D130)</f>
        <v>0.581787600630119</v>
      </c>
      <c r="H131" s="8" t="s">
        <v>582</v>
      </c>
    </row>
    <row r="136" customFormat="false" ht="17.15" hidden="false" customHeight="false" outlineLevel="0" collapsed="false">
      <c r="A136" s="1" t="s">
        <v>886</v>
      </c>
    </row>
    <row r="137" customFormat="false" ht="17.15" hidden="false" customHeight="false" outlineLevel="0" collapsed="false">
      <c r="A137" s="5" t="s">
        <v>21</v>
      </c>
      <c r="B137" s="5" t="s">
        <v>22</v>
      </c>
      <c r="C137" s="15" t="s">
        <v>545</v>
      </c>
      <c r="D137" s="15" t="s">
        <v>559</v>
      </c>
      <c r="E137" s="15" t="s">
        <v>546</v>
      </c>
      <c r="F137" s="15" t="s">
        <v>547</v>
      </c>
      <c r="G137" s="15" t="s">
        <v>548</v>
      </c>
      <c r="H137" s="5" t="s">
        <v>374</v>
      </c>
    </row>
    <row r="138" customFormat="false" ht="17.15" hidden="false" customHeight="false" outlineLevel="0" collapsed="false">
      <c r="A138" s="0" t="s">
        <v>560</v>
      </c>
      <c r="B138" s="0" t="s">
        <v>32</v>
      </c>
      <c r="C138" s="18" t="n">
        <f aca="false">mk_soc25</f>
        <v>6.9</v>
      </c>
      <c r="D138" s="18" t="n">
        <f aca="false">ms_A_2026</f>
        <v>11</v>
      </c>
      <c r="E138" s="18" t="n">
        <f aca="false">ms_A_2027*m_soc</f>
        <v>15.4143580786026</v>
      </c>
      <c r="F138" s="18" t="n">
        <f aca="false">ms_A_2028*m_soc</f>
        <v>17.2991836614041</v>
      </c>
      <c r="G138" s="18" t="n">
        <f aca="false">ms_A_2029*m_soc</f>
        <v>19.2361762010077</v>
      </c>
    </row>
    <row r="139" customFormat="false" ht="17.15" hidden="false" customHeight="false" outlineLevel="0" collapsed="false">
      <c r="A139" s="4" t="s">
        <v>561</v>
      </c>
      <c r="B139" s="0" t="s">
        <v>32</v>
      </c>
      <c r="C139" s="18" t="n">
        <f aca="false">mk_mem25</f>
        <v>2.1</v>
      </c>
      <c r="D139" s="18" t="n">
        <f aca="false">mm_A_2026</f>
        <v>2.75</v>
      </c>
      <c r="E139" s="18" t="n">
        <f aca="false">mm_A_2027</f>
        <v>3.88007408374579</v>
      </c>
      <c r="F139" s="18" t="n">
        <f aca="false">mm_A_2028</f>
        <v>5.04607694610671</v>
      </c>
      <c r="G139" s="18" t="n">
        <f aca="false">mm_A_2029</f>
        <v>6.20223782078096</v>
      </c>
    </row>
    <row r="140" customFormat="false" ht="17.15" hidden="false" customHeight="false" outlineLevel="0" collapsed="false">
      <c r="A140" s="4" t="s">
        <v>562</v>
      </c>
      <c r="B140" s="0" t="s">
        <v>99</v>
      </c>
      <c r="C140" s="11" t="n">
        <f aca="false">a25_soc/(C138*1000)</f>
        <v>0.273869565217391</v>
      </c>
      <c r="D140" s="11" t="n">
        <f aca="false">f26_soc/(D138*1000)</f>
        <v>0.295392727272727</v>
      </c>
      <c r="E140" s="11" t="n">
        <f aca="false">s_soc</f>
        <v>0.295392727272727</v>
      </c>
      <c r="F140" s="11" t="n">
        <f aca="false">s_soc</f>
        <v>0.295392727272727</v>
      </c>
      <c r="G140" s="11" t="n">
        <f aca="false">s_soc</f>
        <v>0.295392727272727</v>
      </c>
      <c r="H140" s="8" t="s">
        <v>563</v>
      </c>
    </row>
    <row r="141" customFormat="false" ht="17.15" hidden="false" customHeight="false" outlineLevel="0" collapsed="false">
      <c r="A141" s="0" t="s">
        <v>564</v>
      </c>
      <c r="B141" s="0" t="s">
        <v>197</v>
      </c>
      <c r="C141" s="9" t="n">
        <f aca="false">a25_soc</f>
        <v>1889.7</v>
      </c>
      <c r="D141" s="9" t="n">
        <f aca="false">f26_soc</f>
        <v>3249.32</v>
      </c>
      <c r="E141" s="9" t="n">
        <f aca="false">E138*1000*E140</f>
        <v>4553.28927199682</v>
      </c>
      <c r="F141" s="9" t="n">
        <f aca="false">F138*1000*F140</f>
        <v>5110.05304133396</v>
      </c>
      <c r="G141" s="9" t="n">
        <f aca="false">G138*1000*G140</f>
        <v>5682.22655031439</v>
      </c>
      <c r="H141" s="4" t="s">
        <v>565</v>
      </c>
    </row>
    <row r="142" customFormat="false" ht="15" hidden="false" customHeight="false" outlineLevel="0" collapsed="false">
      <c r="A142" s="4" t="s">
        <v>566</v>
      </c>
      <c r="B142" s="0" t="s">
        <v>99</v>
      </c>
      <c r="C142" s="11" t="n">
        <f aca="false">a25_mem/(C139*1000)</f>
        <v>0.240428571428571</v>
      </c>
      <c r="D142" s="11" t="n">
        <f aca="false">f26_mem/(D139*1000)</f>
        <v>0.316756363636364</v>
      </c>
      <c r="E142" s="11" t="n">
        <f aca="false">s_mem_lo</f>
        <v>0.266756363636364</v>
      </c>
      <c r="F142" s="11" t="n">
        <f aca="false">s_mem_lo</f>
        <v>0.266756363636364</v>
      </c>
      <c r="G142" s="11" t="n">
        <f aca="false">s_mem_lo</f>
        <v>0.266756363636364</v>
      </c>
    </row>
    <row r="143" customFormat="false" ht="15" hidden="false" customHeight="false" outlineLevel="0" collapsed="false">
      <c r="A143" s="4" t="s">
        <v>567</v>
      </c>
      <c r="B143" s="0" t="s">
        <v>197</v>
      </c>
      <c r="C143" s="9" t="n">
        <f aca="false">a25_mem</f>
        <v>504.9</v>
      </c>
      <c r="D143" s="9" t="n">
        <f aca="false">f26_mem</f>
        <v>871.08</v>
      </c>
      <c r="E143" s="9" t="n">
        <f aca="false">E139*1000*E142</f>
        <v>1035.03445321972</v>
      </c>
      <c r="F143" s="9" t="n">
        <f aca="false">F139*1000*F142</f>
        <v>1346.07313677271</v>
      </c>
      <c r="G143" s="9" t="n">
        <f aca="false">G139*1000*G142</f>
        <v>1654.48640747945</v>
      </c>
    </row>
    <row r="144" customFormat="false" ht="17.15" hidden="false" customHeight="false" outlineLevel="0" collapsed="false">
      <c r="A144" s="0" t="s">
        <v>568</v>
      </c>
      <c r="B144" s="0" t="s">
        <v>197</v>
      </c>
      <c r="C144" s="9" t="n">
        <f aca="false">a25_ist</f>
        <v>129.2</v>
      </c>
      <c r="D144" s="9" t="n">
        <f aca="false">f26_ist</f>
        <v>195.51</v>
      </c>
      <c r="E144" s="9" t="n">
        <f aca="false">$D144*E138/$D138</f>
        <v>273.969195267963</v>
      </c>
      <c r="F144" s="9" t="n">
        <f aca="false">$D144*F138/$D138</f>
        <v>307.469399785556</v>
      </c>
      <c r="G144" s="9" t="n">
        <f aca="false">$D144*G138/$D138</f>
        <v>341.896800823547</v>
      </c>
      <c r="H144" s="8" t="s">
        <v>569</v>
      </c>
    </row>
    <row r="145" customFormat="false" ht="15" hidden="false" customHeight="false" outlineLevel="0" collapsed="false">
      <c r="A145" s="4" t="s">
        <v>570</v>
      </c>
      <c r="B145" s="0" t="s">
        <v>197</v>
      </c>
      <c r="C145" s="9" t="n">
        <f aca="false">C141+C143+C144</f>
        <v>2523.8</v>
      </c>
      <c r="D145" s="9" t="n">
        <f aca="false">D141+D143+D144</f>
        <v>4315.91</v>
      </c>
      <c r="E145" s="9" t="n">
        <f aca="false">E141+E143+E144</f>
        <v>5862.2929204845</v>
      </c>
      <c r="F145" s="9" t="n">
        <f aca="false">F141+F143+F144</f>
        <v>6763.59557789223</v>
      </c>
      <c r="G145" s="9" t="n">
        <f aca="false">G141+G143+G144</f>
        <v>7678.6097586174</v>
      </c>
    </row>
    <row r="146" customFormat="false" ht="17.15" hidden="false" customHeight="false" outlineLevel="0" collapsed="false">
      <c r="A146" s="0" t="s">
        <v>571</v>
      </c>
      <c r="B146" s="0" t="s">
        <v>197</v>
      </c>
      <c r="C146" s="9" t="n">
        <f aca="false">a25_pt</f>
        <v>358</v>
      </c>
      <c r="D146" s="9" t="n">
        <f aca="false">f26_pt</f>
        <v>394.17</v>
      </c>
      <c r="E146" s="9" t="n">
        <f aca="false">D146*(1+g_pt_A)</f>
        <v>425.7036</v>
      </c>
      <c r="F146" s="9" t="n">
        <f aca="false">E146*(1+g_pt_A)</f>
        <v>459.759888</v>
      </c>
      <c r="G146" s="9" t="n">
        <f aca="false">F146*(1+g_pt_A)</f>
        <v>496.54067904</v>
      </c>
    </row>
    <row r="147" customFormat="false" ht="17.15" hidden="false" customHeight="false" outlineLevel="0" collapsed="false">
      <c r="A147" s="4" t="s">
        <v>512</v>
      </c>
      <c r="B147" s="0" t="s">
        <v>197</v>
      </c>
      <c r="C147" s="9" t="n">
        <f aca="false">C145+C146</f>
        <v>2881.8</v>
      </c>
      <c r="D147" s="9" t="n">
        <f aca="false">D145+D146</f>
        <v>4710.08</v>
      </c>
      <c r="E147" s="9" t="n">
        <f aca="false">E145+E146</f>
        <v>6287.9965204845</v>
      </c>
      <c r="F147" s="9" t="n">
        <f aca="false">F145+F146</f>
        <v>7223.35546589223</v>
      </c>
      <c r="G147" s="9" t="n">
        <f aca="false">G145+G146</f>
        <v>8175.1504376574</v>
      </c>
    </row>
    <row r="148" customFormat="false" ht="17.15" hidden="false" customHeight="false" outlineLevel="0" collapsed="false">
      <c r="A148" s="4" t="s">
        <v>572</v>
      </c>
      <c r="B148" s="0" t="s">
        <v>197</v>
      </c>
      <c r="C148" s="9" t="n">
        <f aca="false">a25_ttest</f>
        <v>761.4</v>
      </c>
      <c r="D148" s="9" t="n">
        <f aca="false">f26_ttest</f>
        <v>1643.83073654536</v>
      </c>
      <c r="E148" s="9" t="n">
        <f aca="false">t_inc*E147-t_fix+0*E147</f>
        <v>2405.4219793409</v>
      </c>
      <c r="F148" s="9" t="n">
        <f aca="false">t_inc*F147-t_fix+0*F147</f>
        <v>2856.87880385927</v>
      </c>
      <c r="G148" s="9" t="n">
        <f aca="false">t_inc*G147-t_fix+0*G147</f>
        <v>3316.2685789347</v>
      </c>
      <c r="H148" s="4" t="s">
        <v>573</v>
      </c>
    </row>
    <row r="149" customFormat="false" ht="15" hidden="false" customHeight="false" outlineLevel="0" collapsed="false">
      <c r="A149" s="4" t="s">
        <v>574</v>
      </c>
      <c r="B149" s="0" t="s">
        <v>99</v>
      </c>
      <c r="C149" s="11" t="n">
        <f aca="false">C148/C147</f>
        <v>0.26420986883198</v>
      </c>
      <c r="D149" s="11" t="n">
        <f aca="false">D148/D147</f>
        <v>0.349002721088678</v>
      </c>
      <c r="E149" s="11" t="n">
        <f aca="false">E148/E147</f>
        <v>0.382541875063818</v>
      </c>
      <c r="F149" s="11" t="n">
        <f aca="false">F148/F147</f>
        <v>0.395505775307485</v>
      </c>
      <c r="G149" s="11" t="n">
        <f aca="false">G148/G147</f>
        <v>0.405652300128801</v>
      </c>
    </row>
    <row r="150" customFormat="false" ht="17.15" hidden="false" customHeight="false" outlineLevel="0" collapsed="false">
      <c r="A150" s="4" t="s">
        <v>575</v>
      </c>
      <c r="B150" s="0" t="s">
        <v>197</v>
      </c>
      <c r="C150" s="9" t="n">
        <f aca="false">a25_rob</f>
        <v>308.3</v>
      </c>
      <c r="D150" s="9" t="n">
        <f aca="false">f26_rob</f>
        <v>401.52</v>
      </c>
      <c r="E150" s="9" t="n">
        <f aca="false">D150*(1+g_rob)</f>
        <v>441.672</v>
      </c>
      <c r="F150" s="9" t="n">
        <f aca="false">E150*(1+g_rob)</f>
        <v>485.8392</v>
      </c>
      <c r="G150" s="9" t="n">
        <f aca="false">F150*(1+g_rob)</f>
        <v>534.42312</v>
      </c>
    </row>
    <row r="151" customFormat="false" ht="15" hidden="false" customHeight="false" outlineLevel="0" collapsed="false">
      <c r="A151" s="4" t="s">
        <v>520</v>
      </c>
      <c r="B151" s="0" t="s">
        <v>197</v>
      </c>
      <c r="C151" s="9" t="n">
        <f aca="false">a25_trob</f>
        <v>-99.4</v>
      </c>
      <c r="D151" s="9" t="n">
        <f aca="false">f26_trob</f>
        <v>-3.5</v>
      </c>
      <c r="E151" s="9" t="n">
        <f aca="false">E150*rm_2027</f>
        <v>8.83344</v>
      </c>
      <c r="F151" s="9" t="n">
        <f aca="false">F150*rm_2028</f>
        <v>19.433568</v>
      </c>
      <c r="G151" s="9" t="n">
        <f aca="false">G150*rm_2029</f>
        <v>26.721156</v>
      </c>
    </row>
    <row r="152" customFormat="false" ht="15" hidden="false" customHeight="false" outlineLevel="0" collapsed="false">
      <c r="A152" s="4" t="s">
        <v>500</v>
      </c>
      <c r="B152" s="0" t="s">
        <v>197</v>
      </c>
      <c r="C152" s="9" t="n">
        <f aca="false">a25_corp</f>
        <v>-8.8</v>
      </c>
      <c r="D152" s="9" t="n">
        <f aca="false">f26_corp</f>
        <v>-10.4</v>
      </c>
      <c r="E152" s="9" t="n">
        <f aca="false">corp</f>
        <v>-10.4</v>
      </c>
      <c r="F152" s="9" t="n">
        <f aca="false">corp</f>
        <v>-10.4</v>
      </c>
      <c r="G152" s="9" t="n">
        <f aca="false">corp</f>
        <v>-10.4</v>
      </c>
    </row>
    <row r="153" customFormat="false" ht="15" hidden="false" customHeight="false" outlineLevel="0" collapsed="false">
      <c r="A153" s="4" t="s">
        <v>474</v>
      </c>
      <c r="B153" s="0" t="s">
        <v>197</v>
      </c>
      <c r="C153" s="9" t="n">
        <f aca="false">C147+C150</f>
        <v>3190.1</v>
      </c>
      <c r="D153" s="9" t="n">
        <f aca="false">D147+D150</f>
        <v>5111.6</v>
      </c>
      <c r="E153" s="9" t="n">
        <f aca="false">E147+E150</f>
        <v>6729.6685204845</v>
      </c>
      <c r="F153" s="9" t="n">
        <f aca="false">F147+F150</f>
        <v>7709.19466589223</v>
      </c>
      <c r="G153" s="9" t="n">
        <f aca="false">G147+G150</f>
        <v>8709.5735576574</v>
      </c>
    </row>
    <row r="154" customFormat="false" ht="17.15" hidden="false" customHeight="false" outlineLevel="0" collapsed="false">
      <c r="A154" s="4" t="s">
        <v>576</v>
      </c>
      <c r="B154" s="0" t="s">
        <v>197</v>
      </c>
      <c r="C154" s="9" t="n">
        <f aca="false">ROUND(C145+C146+C150-a25_rev,0)</f>
        <v>0</v>
      </c>
      <c r="D154" s="9" t="n">
        <f aca="false">ROUND(D145+D146+D150-f26_rev,0)</f>
        <v>0</v>
      </c>
      <c r="H154" s="8" t="s">
        <v>577</v>
      </c>
    </row>
    <row r="155" customFormat="false" ht="15" hidden="false" customHeight="false" outlineLevel="0" collapsed="false">
      <c r="A155" s="4" t="s">
        <v>553</v>
      </c>
      <c r="B155" s="0" t="s">
        <v>197</v>
      </c>
      <c r="C155" s="9" t="n">
        <f aca="false">C148+C151+C152</f>
        <v>653.2</v>
      </c>
      <c r="D155" s="9" t="n">
        <f aca="false">D148+D151+D152</f>
        <v>1629.93073654536</v>
      </c>
      <c r="E155" s="9" t="n">
        <f aca="false">E148+E151+E152</f>
        <v>2403.8554193409</v>
      </c>
      <c r="F155" s="9" t="n">
        <f aca="false">F148+F151+F152</f>
        <v>2865.91237185927</v>
      </c>
      <c r="G155" s="9" t="n">
        <f aca="false">G148+G151+G152</f>
        <v>3332.5897349347</v>
      </c>
    </row>
    <row r="156" customFormat="false" ht="15" hidden="false" customHeight="false" outlineLevel="0" collapsed="false">
      <c r="A156" s="4" t="s">
        <v>554</v>
      </c>
      <c r="B156" s="0" t="s">
        <v>99</v>
      </c>
      <c r="C156" s="11" t="n">
        <f aca="false">C155/C153</f>
        <v>0.204758471521269</v>
      </c>
      <c r="D156" s="11" t="n">
        <f aca="false">D155/D153</f>
        <v>0.318868991420565</v>
      </c>
      <c r="E156" s="11" t="n">
        <f aca="false">E155/E153</f>
        <v>0.357202648544098</v>
      </c>
      <c r="F156" s="11" t="n">
        <f aca="false">F155/F153</f>
        <v>0.371752497642706</v>
      </c>
      <c r="G156" s="11" t="n">
        <f aca="false">G155/G153</f>
        <v>0.382635236142498</v>
      </c>
    </row>
    <row r="157" customFormat="false" ht="15" hidden="false" customHeight="false" outlineLevel="0" collapsed="false">
      <c r="A157" s="4" t="s">
        <v>486</v>
      </c>
      <c r="B157" s="0" t="s">
        <v>197</v>
      </c>
      <c r="C157" s="9" t="n">
        <f aca="false">a25_tax</f>
        <v>79.3</v>
      </c>
      <c r="D157" s="9" t="n">
        <f aca="false">f26_tax</f>
        <v>231.054736545361</v>
      </c>
      <c r="E157" s="9" t="n">
        <f aca="false">E155*etr</f>
        <v>340.764284122998</v>
      </c>
      <c r="F157" s="9" t="n">
        <f aca="false">F155*etr</f>
        <v>406.264274422808</v>
      </c>
      <c r="G157" s="9" t="n">
        <f aca="false">G155*etr</f>
        <v>472.41924209071</v>
      </c>
    </row>
    <row r="158" customFormat="false" ht="17.15" hidden="false" customHeight="false" outlineLevel="0" collapsed="false">
      <c r="A158" s="4" t="s">
        <v>487</v>
      </c>
      <c r="B158" s="0" t="s">
        <v>197</v>
      </c>
      <c r="C158" s="9" t="n">
        <f aca="false">a25_aff</f>
        <v>-19.9</v>
      </c>
      <c r="D158" s="9" t="n">
        <f aca="false">f26_aff</f>
        <v>-13.2</v>
      </c>
      <c r="E158" s="9" t="n">
        <f aca="false">aff</f>
        <v>-13.2</v>
      </c>
      <c r="F158" s="9" t="n">
        <f aca="false">aff</f>
        <v>-13.2</v>
      </c>
      <c r="G158" s="9" t="n">
        <f aca="false">aff</f>
        <v>-13.2</v>
      </c>
    </row>
    <row r="159" customFormat="false" ht="17.15" hidden="false" customHeight="false" outlineLevel="0" collapsed="false">
      <c r="A159" s="4" t="s">
        <v>555</v>
      </c>
      <c r="B159" s="0" t="s">
        <v>197</v>
      </c>
      <c r="C159" s="9" t="n">
        <f aca="false">a25_ni</f>
        <v>554</v>
      </c>
      <c r="D159" s="9" t="n">
        <f aca="false">f26_ni</f>
        <v>1385.276</v>
      </c>
      <c r="E159" s="9" t="n">
        <f aca="false">E155-E157+E158</f>
        <v>2049.89113521791</v>
      </c>
      <c r="F159" s="9" t="n">
        <f aca="false">F155-F157+F158</f>
        <v>2446.44809743646</v>
      </c>
      <c r="G159" s="9" t="n">
        <f aca="false">G155-G157+G158</f>
        <v>2846.97049284399</v>
      </c>
      <c r="H159" s="8" t="s">
        <v>578</v>
      </c>
    </row>
    <row r="160" customFormat="false" ht="15" hidden="false" customHeight="false" outlineLevel="0" collapsed="false">
      <c r="A160" s="4" t="s">
        <v>579</v>
      </c>
      <c r="B160" s="4" t="s">
        <v>259</v>
      </c>
      <c r="C160" s="9" t="n">
        <f aca="false">a25_dsh</f>
        <v>159.7</v>
      </c>
      <c r="D160" s="9" t="n">
        <f aca="false">sh26</f>
        <v>157.7</v>
      </c>
      <c r="E160" s="9" t="n">
        <f aca="false">sh26*(1-bb)^1</f>
        <v>156.123</v>
      </c>
      <c r="F160" s="9" t="n">
        <f aca="false">sh26*(1-bb)^2</f>
        <v>154.56177</v>
      </c>
      <c r="G160" s="9" t="n">
        <f aca="false">sh26*(1-bb)^3</f>
        <v>153.0161523</v>
      </c>
    </row>
    <row r="161" customFormat="false" ht="17.15" hidden="false" customHeight="false" outlineLevel="0" collapsed="false">
      <c r="A161" s="0" t="s">
        <v>489</v>
      </c>
      <c r="B161" s="0" t="s">
        <v>202</v>
      </c>
      <c r="C161" s="18" t="n">
        <f aca="false">a25_eps</f>
        <v>3.47</v>
      </c>
      <c r="D161" s="18" t="n">
        <f aca="false">D159/D160</f>
        <v>8.78424857324033</v>
      </c>
      <c r="E161" s="18" t="n">
        <f aca="false">E159/E160</f>
        <v>13.129975309326</v>
      </c>
      <c r="F161" s="18" t="n">
        <f aca="false">F159/F160</f>
        <v>15.8282872759315</v>
      </c>
      <c r="G161" s="18" t="n">
        <f aca="false">G159/G160</f>
        <v>18.6056860668035</v>
      </c>
    </row>
    <row r="162" customFormat="false" ht="17.15" hidden="false" customHeight="false" outlineLevel="0" collapsed="false">
      <c r="A162" s="0" t="s">
        <v>580</v>
      </c>
      <c r="B162" s="0" t="s">
        <v>99</v>
      </c>
      <c r="C162" s="11" t="n">
        <f aca="false">C141/C153</f>
        <v>0.592363875740573</v>
      </c>
      <c r="D162" s="11" t="n">
        <f aca="false">D141/D153</f>
        <v>0.635675717974802</v>
      </c>
      <c r="E162" s="11" t="n">
        <f aca="false">E141/E153</f>
        <v>0.6765993389031</v>
      </c>
      <c r="F162" s="11" t="n">
        <f aca="false">F141/F153</f>
        <v>0.662851732612533</v>
      </c>
      <c r="G162" s="11" t="n">
        <f aca="false">G141/G153</f>
        <v>0.652411569027811</v>
      </c>
    </row>
    <row r="163" customFormat="false" ht="17.15" hidden="false" customHeight="false" outlineLevel="0" collapsed="false">
      <c r="A163" s="4" t="s">
        <v>581</v>
      </c>
      <c r="B163" s="0" t="s">
        <v>99</v>
      </c>
      <c r="C163" s="11" t="n">
        <f aca="false">a25_gp/a25_rev</f>
        <v>0.582225705329154</v>
      </c>
      <c r="D163" s="11" t="n">
        <f aca="false">f26_gm</f>
        <v>0.594365646092145</v>
      </c>
      <c r="E163" s="11" t="n">
        <f aca="false">f26_gm+(Q!J13-a25_gp/a25_rev)/(Q!J4/Q!J10-a25_soc/a25_rev)*(E162-D162)</f>
        <v>0.607052351760531</v>
      </c>
      <c r="F163" s="11" t="n">
        <f aca="false">f26_gm+(Q!J13-a25_gp/a25_rev)/(Q!J4/Q!J10-a25_soc/a25_rev)*(F162-D162)</f>
        <v>0.602790465087334</v>
      </c>
      <c r="G163" s="11" t="n">
        <f aca="false">f26_gm+(Q!J13-a25_gp/a25_rev)/(Q!J4/Q!J10-a25_soc/a25_rev)*(G162-D162)</f>
        <v>0.599553916621566</v>
      </c>
      <c r="H163" s="8" t="s">
        <v>582</v>
      </c>
    </row>
    <row r="168" customFormat="false" ht="17.15" hidden="false" customHeight="false" outlineLevel="0" collapsed="false">
      <c r="A168" s="1" t="s">
        <v>887</v>
      </c>
    </row>
    <row r="169" customFormat="false" ht="17.15" hidden="false" customHeight="false" outlineLevel="0" collapsed="false">
      <c r="A169" s="5" t="s">
        <v>21</v>
      </c>
      <c r="B169" s="5" t="s">
        <v>22</v>
      </c>
      <c r="C169" s="15" t="s">
        <v>545</v>
      </c>
      <c r="D169" s="15" t="s">
        <v>559</v>
      </c>
      <c r="E169" s="15" t="s">
        <v>546</v>
      </c>
      <c r="F169" s="15" t="s">
        <v>547</v>
      </c>
      <c r="G169" s="15" t="s">
        <v>548</v>
      </c>
      <c r="H169" s="5" t="s">
        <v>374</v>
      </c>
    </row>
    <row r="170" customFormat="false" ht="17.15" hidden="false" customHeight="false" outlineLevel="0" collapsed="false">
      <c r="A170" s="0" t="s">
        <v>560</v>
      </c>
      <c r="B170" s="0" t="s">
        <v>32</v>
      </c>
      <c r="C170" s="18" t="n">
        <f aca="false">mk_soc25</f>
        <v>6.9</v>
      </c>
      <c r="D170" s="18" t="n">
        <f aca="false">ms_A_2026</f>
        <v>11</v>
      </c>
      <c r="E170" s="18" t="n">
        <f aca="false">ms_A_2027*m_soc</f>
        <v>15.4143580786026</v>
      </c>
      <c r="F170" s="18" t="n">
        <f aca="false">ms_A_2028*m_soc</f>
        <v>17.2991836614041</v>
      </c>
      <c r="G170" s="18" t="n">
        <f aca="false">ms_A_2029*m_soc</f>
        <v>19.2361762010077</v>
      </c>
    </row>
    <row r="171" customFormat="false" ht="17.15" hidden="false" customHeight="false" outlineLevel="0" collapsed="false">
      <c r="A171" s="4" t="s">
        <v>561</v>
      </c>
      <c r="B171" s="0" t="s">
        <v>32</v>
      </c>
      <c r="C171" s="18" t="n">
        <f aca="false">mk_mem25</f>
        <v>2.1</v>
      </c>
      <c r="D171" s="18" t="n">
        <f aca="false">mm_A_2026</f>
        <v>2.75</v>
      </c>
      <c r="E171" s="18" t="n">
        <f aca="false">mm_A_2027</f>
        <v>3.88007408374579</v>
      </c>
      <c r="F171" s="18" t="n">
        <f aca="false">mm_A_2028</f>
        <v>5.04607694610671</v>
      </c>
      <c r="G171" s="18" t="n">
        <f aca="false">mm_A_2029</f>
        <v>6.20223782078096</v>
      </c>
    </row>
    <row r="172" customFormat="false" ht="17.15" hidden="false" customHeight="false" outlineLevel="0" collapsed="false">
      <c r="A172" s="4" t="s">
        <v>562</v>
      </c>
      <c r="B172" s="0" t="s">
        <v>99</v>
      </c>
      <c r="C172" s="11" t="n">
        <f aca="false">a25_soc/(C170*1000)</f>
        <v>0.273869565217391</v>
      </c>
      <c r="D172" s="11" t="n">
        <f aca="false">f26_soc/(D170*1000)</f>
        <v>0.295392727272727</v>
      </c>
      <c r="E172" s="11" t="n">
        <f aca="false">s_soc</f>
        <v>0.295392727272727</v>
      </c>
      <c r="F172" s="11" t="n">
        <f aca="false">s_soc</f>
        <v>0.295392727272727</v>
      </c>
      <c r="G172" s="11" t="n">
        <f aca="false">s_soc</f>
        <v>0.295392727272727</v>
      </c>
      <c r="H172" s="8" t="s">
        <v>563</v>
      </c>
    </row>
    <row r="173" customFormat="false" ht="17.15" hidden="false" customHeight="false" outlineLevel="0" collapsed="false">
      <c r="A173" s="0" t="s">
        <v>564</v>
      </c>
      <c r="B173" s="0" t="s">
        <v>197</v>
      </c>
      <c r="C173" s="9" t="n">
        <f aca="false">a25_soc</f>
        <v>1889.7</v>
      </c>
      <c r="D173" s="9" t="n">
        <f aca="false">f26_soc</f>
        <v>3249.32</v>
      </c>
      <c r="E173" s="9" t="n">
        <f aca="false">E170*1000*E172</f>
        <v>4553.28927199682</v>
      </c>
      <c r="F173" s="9" t="n">
        <f aca="false">F170*1000*F172</f>
        <v>5110.05304133396</v>
      </c>
      <c r="G173" s="9" t="n">
        <f aca="false">G170*1000*G172</f>
        <v>5682.22655031439</v>
      </c>
      <c r="H173" s="4" t="s">
        <v>565</v>
      </c>
    </row>
    <row r="174" customFormat="false" ht="15" hidden="false" customHeight="false" outlineLevel="0" collapsed="false">
      <c r="A174" s="4" t="s">
        <v>566</v>
      </c>
      <c r="B174" s="0" t="s">
        <v>99</v>
      </c>
      <c r="C174" s="11" t="n">
        <f aca="false">a25_mem/(C171*1000)</f>
        <v>0.240428571428571</v>
      </c>
      <c r="D174" s="11" t="n">
        <f aca="false">f26_mem/(D171*1000)</f>
        <v>0.316756363636364</v>
      </c>
      <c r="E174" s="11" t="n">
        <f aca="false">s_mem_hi</f>
        <v>0.366756363636364</v>
      </c>
      <c r="F174" s="11" t="n">
        <f aca="false">s_mem_hi</f>
        <v>0.366756363636364</v>
      </c>
      <c r="G174" s="11" t="n">
        <f aca="false">s_mem_hi</f>
        <v>0.366756363636364</v>
      </c>
    </row>
    <row r="175" customFormat="false" ht="15" hidden="false" customHeight="false" outlineLevel="0" collapsed="false">
      <c r="A175" s="4" t="s">
        <v>567</v>
      </c>
      <c r="B175" s="0" t="s">
        <v>197</v>
      </c>
      <c r="C175" s="9" t="n">
        <f aca="false">a25_mem</f>
        <v>504.9</v>
      </c>
      <c r="D175" s="9" t="n">
        <f aca="false">f26_mem</f>
        <v>871.08</v>
      </c>
      <c r="E175" s="9" t="n">
        <f aca="false">E171*1000*E174</f>
        <v>1423.0418615943</v>
      </c>
      <c r="F175" s="9" t="n">
        <f aca="false">F171*1000*F174</f>
        <v>1850.68083138338</v>
      </c>
      <c r="G175" s="9" t="n">
        <f aca="false">G171*1000*G174</f>
        <v>2274.71018955755</v>
      </c>
    </row>
    <row r="176" customFormat="false" ht="17.15" hidden="false" customHeight="false" outlineLevel="0" collapsed="false">
      <c r="A176" s="0" t="s">
        <v>568</v>
      </c>
      <c r="B176" s="0" t="s">
        <v>197</v>
      </c>
      <c r="C176" s="9" t="n">
        <f aca="false">a25_ist</f>
        <v>129.2</v>
      </c>
      <c r="D176" s="9" t="n">
        <f aca="false">f26_ist</f>
        <v>195.51</v>
      </c>
      <c r="E176" s="9" t="n">
        <f aca="false">$D176*E170/$D170</f>
        <v>273.969195267963</v>
      </c>
      <c r="F176" s="9" t="n">
        <f aca="false">$D176*F170/$D170</f>
        <v>307.469399785556</v>
      </c>
      <c r="G176" s="9" t="n">
        <f aca="false">$D176*G170/$D170</f>
        <v>341.896800823547</v>
      </c>
      <c r="H176" s="8" t="s">
        <v>569</v>
      </c>
    </row>
    <row r="177" customFormat="false" ht="15" hidden="false" customHeight="false" outlineLevel="0" collapsed="false">
      <c r="A177" s="4" t="s">
        <v>570</v>
      </c>
      <c r="B177" s="0" t="s">
        <v>197</v>
      </c>
      <c r="C177" s="9" t="n">
        <f aca="false">C173+C175+C176</f>
        <v>2523.8</v>
      </c>
      <c r="D177" s="9" t="n">
        <f aca="false">D173+D175+D176</f>
        <v>4315.91</v>
      </c>
      <c r="E177" s="9" t="n">
        <f aca="false">E173+E175+E176</f>
        <v>6250.30032885908</v>
      </c>
      <c r="F177" s="9" t="n">
        <f aca="false">F173+F175+F176</f>
        <v>7268.2032725029</v>
      </c>
      <c r="G177" s="9" t="n">
        <f aca="false">G173+G175+G176</f>
        <v>8298.83354069549</v>
      </c>
    </row>
    <row r="178" customFormat="false" ht="17.15" hidden="false" customHeight="false" outlineLevel="0" collapsed="false">
      <c r="A178" s="0" t="s">
        <v>571</v>
      </c>
      <c r="B178" s="0" t="s">
        <v>197</v>
      </c>
      <c r="C178" s="9" t="n">
        <f aca="false">a25_pt</f>
        <v>358</v>
      </c>
      <c r="D178" s="9" t="n">
        <f aca="false">f26_pt</f>
        <v>394.17</v>
      </c>
      <c r="E178" s="9" t="n">
        <f aca="false">D178*(1+g_pt_A)</f>
        <v>425.7036</v>
      </c>
      <c r="F178" s="9" t="n">
        <f aca="false">E178*(1+g_pt_A)</f>
        <v>459.759888</v>
      </c>
      <c r="G178" s="9" t="n">
        <f aca="false">F178*(1+g_pt_A)</f>
        <v>496.54067904</v>
      </c>
    </row>
    <row r="179" customFormat="false" ht="17.15" hidden="false" customHeight="false" outlineLevel="0" collapsed="false">
      <c r="A179" s="4" t="s">
        <v>512</v>
      </c>
      <c r="B179" s="0" t="s">
        <v>197</v>
      </c>
      <c r="C179" s="9" t="n">
        <f aca="false">C177+C178</f>
        <v>2881.8</v>
      </c>
      <c r="D179" s="9" t="n">
        <f aca="false">D177+D178</f>
        <v>4710.08</v>
      </c>
      <c r="E179" s="9" t="n">
        <f aca="false">E177+E178</f>
        <v>6676.00392885908</v>
      </c>
      <c r="F179" s="9" t="n">
        <f aca="false">F177+F178</f>
        <v>7727.9631605029</v>
      </c>
      <c r="G179" s="9" t="n">
        <f aca="false">G177+G178</f>
        <v>8795.37421973549</v>
      </c>
    </row>
    <row r="180" customFormat="false" ht="17.15" hidden="false" customHeight="false" outlineLevel="0" collapsed="false">
      <c r="A180" s="4" t="s">
        <v>572</v>
      </c>
      <c r="B180" s="0" t="s">
        <v>197</v>
      </c>
      <c r="C180" s="9" t="n">
        <f aca="false">a25_ttest</f>
        <v>761.4</v>
      </c>
      <c r="D180" s="9" t="n">
        <f aca="false">f26_ttest</f>
        <v>1643.83073654536</v>
      </c>
      <c r="E180" s="9" t="n">
        <f aca="false">t_inc*E179-t_fix+0*E179</f>
        <v>2592.69617320455</v>
      </c>
      <c r="F180" s="9" t="n">
        <f aca="false">t_inc*F179-t_fix+0*F179</f>
        <v>3100.43085257268</v>
      </c>
      <c r="G180" s="9" t="n">
        <f aca="false">t_inc*G179-t_fix+0*G179</f>
        <v>3615.62345282826</v>
      </c>
      <c r="H180" s="4" t="s">
        <v>573</v>
      </c>
    </row>
    <row r="181" customFormat="false" ht="15" hidden="false" customHeight="false" outlineLevel="0" collapsed="false">
      <c r="A181" s="4" t="s">
        <v>574</v>
      </c>
      <c r="B181" s="0" t="s">
        <v>99</v>
      </c>
      <c r="C181" s="11" t="n">
        <f aca="false">C180/C179</f>
        <v>0.26420986883198</v>
      </c>
      <c r="D181" s="11" t="n">
        <f aca="false">D180/D179</f>
        <v>0.349002721088678</v>
      </c>
      <c r="E181" s="11" t="n">
        <f aca="false">E180/E179</f>
        <v>0.388360492419249</v>
      </c>
      <c r="F181" s="11" t="n">
        <f aca="false">F180/F179</f>
        <v>0.40119638101004</v>
      </c>
      <c r="G181" s="11" t="n">
        <f aca="false">G180/G179</f>
        <v>0.41108238973111</v>
      </c>
    </row>
    <row r="182" customFormat="false" ht="17.15" hidden="false" customHeight="false" outlineLevel="0" collapsed="false">
      <c r="A182" s="4" t="s">
        <v>575</v>
      </c>
      <c r="B182" s="0" t="s">
        <v>197</v>
      </c>
      <c r="C182" s="9" t="n">
        <f aca="false">a25_rob</f>
        <v>308.3</v>
      </c>
      <c r="D182" s="9" t="n">
        <f aca="false">f26_rob</f>
        <v>401.52</v>
      </c>
      <c r="E182" s="9" t="n">
        <f aca="false">D182*(1+g_rob)</f>
        <v>441.672</v>
      </c>
      <c r="F182" s="9" t="n">
        <f aca="false">E182*(1+g_rob)</f>
        <v>485.8392</v>
      </c>
      <c r="G182" s="9" t="n">
        <f aca="false">F182*(1+g_rob)</f>
        <v>534.42312</v>
      </c>
    </row>
    <row r="183" customFormat="false" ht="15" hidden="false" customHeight="false" outlineLevel="0" collapsed="false">
      <c r="A183" s="4" t="s">
        <v>520</v>
      </c>
      <c r="B183" s="0" t="s">
        <v>197</v>
      </c>
      <c r="C183" s="9" t="n">
        <f aca="false">a25_trob</f>
        <v>-99.4</v>
      </c>
      <c r="D183" s="9" t="n">
        <f aca="false">f26_trob</f>
        <v>-3.5</v>
      </c>
      <c r="E183" s="9" t="n">
        <f aca="false">E182*rm_2027</f>
        <v>8.83344</v>
      </c>
      <c r="F183" s="9" t="n">
        <f aca="false">F182*rm_2028</f>
        <v>19.433568</v>
      </c>
      <c r="G183" s="9" t="n">
        <f aca="false">G182*rm_2029</f>
        <v>26.721156</v>
      </c>
    </row>
    <row r="184" customFormat="false" ht="15" hidden="false" customHeight="false" outlineLevel="0" collapsed="false">
      <c r="A184" s="4" t="s">
        <v>500</v>
      </c>
      <c r="B184" s="0" t="s">
        <v>197</v>
      </c>
      <c r="C184" s="9" t="n">
        <f aca="false">a25_corp</f>
        <v>-8.8</v>
      </c>
      <c r="D184" s="9" t="n">
        <f aca="false">f26_corp</f>
        <v>-10.4</v>
      </c>
      <c r="E184" s="9" t="n">
        <f aca="false">corp</f>
        <v>-10.4</v>
      </c>
      <c r="F184" s="9" t="n">
        <f aca="false">corp</f>
        <v>-10.4</v>
      </c>
      <c r="G184" s="9" t="n">
        <f aca="false">corp</f>
        <v>-10.4</v>
      </c>
    </row>
    <row r="185" customFormat="false" ht="15" hidden="false" customHeight="false" outlineLevel="0" collapsed="false">
      <c r="A185" s="4" t="s">
        <v>474</v>
      </c>
      <c r="B185" s="0" t="s">
        <v>197</v>
      </c>
      <c r="C185" s="9" t="n">
        <f aca="false">C179+C182</f>
        <v>3190.1</v>
      </c>
      <c r="D185" s="9" t="n">
        <f aca="false">D179+D182</f>
        <v>5111.6</v>
      </c>
      <c r="E185" s="9" t="n">
        <f aca="false">E179+E182</f>
        <v>7117.67592885908</v>
      </c>
      <c r="F185" s="9" t="n">
        <f aca="false">F179+F182</f>
        <v>8213.8023605029</v>
      </c>
      <c r="G185" s="9" t="n">
        <f aca="false">G179+G182</f>
        <v>9329.79733973549</v>
      </c>
    </row>
    <row r="186" customFormat="false" ht="17.15" hidden="false" customHeight="false" outlineLevel="0" collapsed="false">
      <c r="A186" s="4" t="s">
        <v>576</v>
      </c>
      <c r="B186" s="0" t="s">
        <v>197</v>
      </c>
      <c r="C186" s="9" t="n">
        <f aca="false">ROUND(C177+C178+C182-a25_rev,0)</f>
        <v>0</v>
      </c>
      <c r="D186" s="9" t="n">
        <f aca="false">ROUND(D177+D178+D182-f26_rev,0)</f>
        <v>0</v>
      </c>
      <c r="H186" s="8" t="s">
        <v>577</v>
      </c>
    </row>
    <row r="187" customFormat="false" ht="15" hidden="false" customHeight="false" outlineLevel="0" collapsed="false">
      <c r="A187" s="4" t="s">
        <v>553</v>
      </c>
      <c r="B187" s="0" t="s">
        <v>197</v>
      </c>
      <c r="C187" s="9" t="n">
        <f aca="false">C180+C183+C184</f>
        <v>653.2</v>
      </c>
      <c r="D187" s="9" t="n">
        <f aca="false">D180+D183+D184</f>
        <v>1629.93073654536</v>
      </c>
      <c r="E187" s="9" t="n">
        <f aca="false">E180+E183+E184</f>
        <v>2591.12961320455</v>
      </c>
      <c r="F187" s="9" t="n">
        <f aca="false">F180+F183+F184</f>
        <v>3109.46442057268</v>
      </c>
      <c r="G187" s="9" t="n">
        <f aca="false">G180+G183+G184</f>
        <v>3631.94460882826</v>
      </c>
    </row>
    <row r="188" customFormat="false" ht="15" hidden="false" customHeight="false" outlineLevel="0" collapsed="false">
      <c r="A188" s="4" t="s">
        <v>554</v>
      </c>
      <c r="B188" s="0" t="s">
        <v>99</v>
      </c>
      <c r="C188" s="11" t="n">
        <f aca="false">C187/C185</f>
        <v>0.204758471521269</v>
      </c>
      <c r="D188" s="11" t="n">
        <f aca="false">D187/D185</f>
        <v>0.318868991420565</v>
      </c>
      <c r="E188" s="11" t="n">
        <f aca="false">E187/E185</f>
        <v>0.364041526911706</v>
      </c>
      <c r="F188" s="11" t="n">
        <f aca="false">F187/F185</f>
        <v>0.378565770650256</v>
      </c>
      <c r="G188" s="11" t="n">
        <f aca="false">G187/G185</f>
        <v>0.389284405284974</v>
      </c>
    </row>
    <row r="189" customFormat="false" ht="15" hidden="false" customHeight="false" outlineLevel="0" collapsed="false">
      <c r="A189" s="4" t="s">
        <v>486</v>
      </c>
      <c r="B189" s="0" t="s">
        <v>197</v>
      </c>
      <c r="C189" s="9" t="n">
        <f aca="false">a25_tax</f>
        <v>79.3</v>
      </c>
      <c r="D189" s="9" t="n">
        <f aca="false">f26_tax</f>
        <v>231.054736545361</v>
      </c>
      <c r="E189" s="9" t="n">
        <f aca="false">E187*etr</f>
        <v>367.31178614546</v>
      </c>
      <c r="F189" s="9" t="n">
        <f aca="false">F187*etr</f>
        <v>440.789578589924</v>
      </c>
      <c r="G189" s="9" t="n">
        <f aca="false">G187*etr</f>
        <v>514.855009433589</v>
      </c>
    </row>
    <row r="190" customFormat="false" ht="17.15" hidden="false" customHeight="false" outlineLevel="0" collapsed="false">
      <c r="A190" s="4" t="s">
        <v>487</v>
      </c>
      <c r="B190" s="0" t="s">
        <v>197</v>
      </c>
      <c r="C190" s="9" t="n">
        <f aca="false">a25_aff</f>
        <v>-19.9</v>
      </c>
      <c r="D190" s="9" t="n">
        <f aca="false">f26_aff</f>
        <v>-13.2</v>
      </c>
      <c r="E190" s="9" t="n">
        <f aca="false">aff</f>
        <v>-13.2</v>
      </c>
      <c r="F190" s="9" t="n">
        <f aca="false">aff</f>
        <v>-13.2</v>
      </c>
      <c r="G190" s="9" t="n">
        <f aca="false">aff</f>
        <v>-13.2</v>
      </c>
    </row>
    <row r="191" customFormat="false" ht="17.15" hidden="false" customHeight="false" outlineLevel="0" collapsed="false">
      <c r="A191" s="4" t="s">
        <v>555</v>
      </c>
      <c r="B191" s="0" t="s">
        <v>197</v>
      </c>
      <c r="C191" s="9" t="n">
        <f aca="false">a25_ni</f>
        <v>554</v>
      </c>
      <c r="D191" s="9" t="n">
        <f aca="false">f26_ni</f>
        <v>1385.276</v>
      </c>
      <c r="E191" s="9" t="n">
        <f aca="false">E187-E189+E190</f>
        <v>2210.61782705909</v>
      </c>
      <c r="F191" s="9" t="n">
        <f aca="false">F187-F189+F190</f>
        <v>2655.47484198275</v>
      </c>
      <c r="G191" s="9" t="n">
        <f aca="false">G187-G189+G190</f>
        <v>3103.88959939467</v>
      </c>
      <c r="H191" s="8" t="s">
        <v>578</v>
      </c>
    </row>
    <row r="192" customFormat="false" ht="15" hidden="false" customHeight="false" outlineLevel="0" collapsed="false">
      <c r="A192" s="4" t="s">
        <v>579</v>
      </c>
      <c r="B192" s="4" t="s">
        <v>259</v>
      </c>
      <c r="C192" s="9" t="n">
        <f aca="false">a25_dsh</f>
        <v>159.7</v>
      </c>
      <c r="D192" s="9" t="n">
        <f aca="false">sh26</f>
        <v>157.7</v>
      </c>
      <c r="E192" s="9" t="n">
        <f aca="false">sh26*(1-bb)^1</f>
        <v>156.123</v>
      </c>
      <c r="F192" s="9" t="n">
        <f aca="false">sh26*(1-bb)^2</f>
        <v>154.56177</v>
      </c>
      <c r="G192" s="9" t="n">
        <f aca="false">sh26*(1-bb)^3</f>
        <v>153.0161523</v>
      </c>
    </row>
    <row r="193" customFormat="false" ht="17.15" hidden="false" customHeight="false" outlineLevel="0" collapsed="false">
      <c r="A193" s="0" t="s">
        <v>489</v>
      </c>
      <c r="B193" s="0" t="s">
        <v>202</v>
      </c>
      <c r="C193" s="18" t="n">
        <f aca="false">a25_eps</f>
        <v>3.47</v>
      </c>
      <c r="D193" s="18" t="n">
        <f aca="false">D191/D192</f>
        <v>8.78424857324033</v>
      </c>
      <c r="E193" s="18" t="n">
        <f aca="false">E191/E192</f>
        <v>14.1594629046271</v>
      </c>
      <c r="F193" s="18" t="n">
        <f aca="false">F191/F192</f>
        <v>17.1806704981623</v>
      </c>
      <c r="G193" s="18" t="n">
        <f aca="false">G191/G192</f>
        <v>20.2847186570817</v>
      </c>
    </row>
    <row r="194" customFormat="false" ht="17.15" hidden="false" customHeight="false" outlineLevel="0" collapsed="false">
      <c r="A194" s="0" t="s">
        <v>580</v>
      </c>
      <c r="B194" s="0" t="s">
        <v>99</v>
      </c>
      <c r="C194" s="11" t="n">
        <f aca="false">C173/C185</f>
        <v>0.592363875740573</v>
      </c>
      <c r="D194" s="11" t="n">
        <f aca="false">D173/D185</f>
        <v>0.635675717974802</v>
      </c>
      <c r="E194" s="11" t="n">
        <f aca="false">E173/E185</f>
        <v>0.639715732706403</v>
      </c>
      <c r="F194" s="11" t="n">
        <f aca="false">F173/F185</f>
        <v>0.622130021767542</v>
      </c>
      <c r="G194" s="11" t="n">
        <f aca="false">G173/G185</f>
        <v>0.609040726545459</v>
      </c>
    </row>
    <row r="195" customFormat="false" ht="17.15" hidden="false" customHeight="false" outlineLevel="0" collapsed="false">
      <c r="A195" s="4" t="s">
        <v>581</v>
      </c>
      <c r="B195" s="0" t="s">
        <v>99</v>
      </c>
      <c r="C195" s="11" t="n">
        <f aca="false">a25_gp/a25_rev</f>
        <v>0.582225705329154</v>
      </c>
      <c r="D195" s="11" t="n">
        <f aca="false">f26_gm</f>
        <v>0.594365646092145</v>
      </c>
      <c r="E195" s="11" t="n">
        <f aca="false">f26_gm+(Q!J13-a25_gp/a25_rev)/(Q!J4/Q!J10-a25_soc/a25_rev)*(E194-D194)</f>
        <v>0.595618088486858</v>
      </c>
      <c r="F195" s="11" t="n">
        <f aca="false">f26_gm+(Q!J13-a25_gp/a25_rev)/(Q!J4/Q!J10-a25_soc/a25_rev)*(F194-D194)</f>
        <v>0.590166353435321</v>
      </c>
      <c r="G195" s="11" t="n">
        <f aca="false">f26_gm+(Q!J13-a25_gp/a25_rev)/(Q!J4/Q!J10-a25_soc/a25_rev)*(G194-D194)</f>
        <v>0.586108549357326</v>
      </c>
      <c r="H195" s="8" t="s">
        <v>582</v>
      </c>
    </row>
    <row r="200" customFormat="false" ht="17.15" hidden="false" customHeight="false" outlineLevel="0" collapsed="false">
      <c r="A200" s="1" t="s">
        <v>888</v>
      </c>
    </row>
    <row r="201" customFormat="false" ht="17.15" hidden="false" customHeight="false" outlineLevel="0" collapsed="false">
      <c r="A201" s="5" t="s">
        <v>21</v>
      </c>
      <c r="B201" s="5" t="s">
        <v>22</v>
      </c>
      <c r="C201" s="15" t="s">
        <v>545</v>
      </c>
      <c r="D201" s="15" t="s">
        <v>559</v>
      </c>
      <c r="E201" s="15" t="s">
        <v>546</v>
      </c>
      <c r="F201" s="15" t="s">
        <v>547</v>
      </c>
      <c r="G201" s="15" t="s">
        <v>548</v>
      </c>
      <c r="H201" s="5" t="s">
        <v>374</v>
      </c>
    </row>
    <row r="202" customFormat="false" ht="17.15" hidden="false" customHeight="false" outlineLevel="0" collapsed="false">
      <c r="A202" s="0" t="s">
        <v>560</v>
      </c>
      <c r="B202" s="0" t="s">
        <v>32</v>
      </c>
      <c r="C202" s="18" t="n">
        <f aca="false">mk_soc25</f>
        <v>6.9</v>
      </c>
      <c r="D202" s="18" t="n">
        <f aca="false">ms_A_2026</f>
        <v>11</v>
      </c>
      <c r="E202" s="18" t="n">
        <f aca="false">ms_A_2027*m_soc</f>
        <v>15.4143580786026</v>
      </c>
      <c r="F202" s="18" t="n">
        <f aca="false">ms_A_2028*m_soc</f>
        <v>17.2991836614041</v>
      </c>
      <c r="G202" s="18" t="n">
        <f aca="false">ms_A_2029*m_soc</f>
        <v>19.2361762010077</v>
      </c>
    </row>
    <row r="203" customFormat="false" ht="17.15" hidden="false" customHeight="false" outlineLevel="0" collapsed="false">
      <c r="A203" s="4" t="s">
        <v>561</v>
      </c>
      <c r="B203" s="0" t="s">
        <v>32</v>
      </c>
      <c r="C203" s="18" t="n">
        <f aca="false">mk_mem25</f>
        <v>2.1</v>
      </c>
      <c r="D203" s="18" t="n">
        <f aca="false">mm_A_2026</f>
        <v>2.75</v>
      </c>
      <c r="E203" s="18" t="n">
        <f aca="false">mm_A_2027</f>
        <v>3.88007408374579</v>
      </c>
      <c r="F203" s="18" t="n">
        <f aca="false">mm_A_2028</f>
        <v>5.04607694610671</v>
      </c>
      <c r="G203" s="18" t="n">
        <f aca="false">mm_A_2029</f>
        <v>6.20223782078096</v>
      </c>
    </row>
    <row r="204" customFormat="false" ht="17.15" hidden="false" customHeight="false" outlineLevel="0" collapsed="false">
      <c r="A204" s="4" t="s">
        <v>562</v>
      </c>
      <c r="B204" s="0" t="s">
        <v>99</v>
      </c>
      <c r="C204" s="11" t="n">
        <f aca="false">a25_soc/(C202*1000)</f>
        <v>0.273869565217391</v>
      </c>
      <c r="D204" s="11" t="n">
        <f aca="false">f26_soc/(D202*1000)</f>
        <v>0.295392727272727</v>
      </c>
      <c r="E204" s="11" t="n">
        <f aca="false">s_soc</f>
        <v>0.295392727272727</v>
      </c>
      <c r="F204" s="11" t="n">
        <f aca="false">s_soc</f>
        <v>0.295392727272727</v>
      </c>
      <c r="G204" s="11" t="n">
        <f aca="false">s_soc</f>
        <v>0.295392727272727</v>
      </c>
      <c r="H204" s="8" t="s">
        <v>563</v>
      </c>
    </row>
    <row r="205" customFormat="false" ht="17.15" hidden="false" customHeight="false" outlineLevel="0" collapsed="false">
      <c r="A205" s="0" t="s">
        <v>564</v>
      </c>
      <c r="B205" s="0" t="s">
        <v>197</v>
      </c>
      <c r="C205" s="9" t="n">
        <f aca="false">a25_soc</f>
        <v>1889.7</v>
      </c>
      <c r="D205" s="9" t="n">
        <f aca="false">f26_soc</f>
        <v>3249.32</v>
      </c>
      <c r="E205" s="9" t="n">
        <f aca="false">E202*1000*E204</f>
        <v>4553.28927199682</v>
      </c>
      <c r="F205" s="9" t="n">
        <f aca="false">F202*1000*F204</f>
        <v>5110.05304133396</v>
      </c>
      <c r="G205" s="9" t="n">
        <f aca="false">G202*1000*G204</f>
        <v>5682.22655031439</v>
      </c>
      <c r="H205" s="4" t="s">
        <v>565</v>
      </c>
    </row>
    <row r="206" customFormat="false" ht="15" hidden="false" customHeight="false" outlineLevel="0" collapsed="false">
      <c r="A206" s="4" t="s">
        <v>566</v>
      </c>
      <c r="B206" s="0" t="s">
        <v>99</v>
      </c>
      <c r="C206" s="11" t="n">
        <f aca="false">a25_mem/(C203*1000)</f>
        <v>0.240428571428571</v>
      </c>
      <c r="D206" s="11" t="n">
        <f aca="false">f26_mem/(D203*1000)</f>
        <v>0.316756363636364</v>
      </c>
      <c r="E206" s="11" t="n">
        <f aca="false">s_mem</f>
        <v>0.316756363636364</v>
      </c>
      <c r="F206" s="11" t="n">
        <f aca="false">s_mem</f>
        <v>0.316756363636364</v>
      </c>
      <c r="G206" s="11" t="n">
        <f aca="false">s_mem</f>
        <v>0.316756363636364</v>
      </c>
    </row>
    <row r="207" customFormat="false" ht="15" hidden="false" customHeight="false" outlineLevel="0" collapsed="false">
      <c r="A207" s="4" t="s">
        <v>567</v>
      </c>
      <c r="B207" s="0" t="s">
        <v>197</v>
      </c>
      <c r="C207" s="9" t="n">
        <f aca="false">a25_mem</f>
        <v>504.9</v>
      </c>
      <c r="D207" s="9" t="n">
        <f aca="false">f26_mem</f>
        <v>871.08</v>
      </c>
      <c r="E207" s="9" t="n">
        <f aca="false">E203*1000*E206</f>
        <v>1229.03815740701</v>
      </c>
      <c r="F207" s="9" t="n">
        <f aca="false">F203*1000*F206</f>
        <v>1598.37698407805</v>
      </c>
      <c r="G207" s="9" t="n">
        <f aca="false">G203*1000*G206</f>
        <v>1964.5982985185</v>
      </c>
    </row>
    <row r="208" customFormat="false" ht="17.15" hidden="false" customHeight="false" outlineLevel="0" collapsed="false">
      <c r="A208" s="0" t="s">
        <v>568</v>
      </c>
      <c r="B208" s="0" t="s">
        <v>197</v>
      </c>
      <c r="C208" s="9" t="n">
        <f aca="false">a25_ist</f>
        <v>129.2</v>
      </c>
      <c r="D208" s="9" t="n">
        <f aca="false">f26_ist</f>
        <v>195.51</v>
      </c>
      <c r="E208" s="9" t="n">
        <f aca="false">$D208*E202/$D202</f>
        <v>273.969195267963</v>
      </c>
      <c r="F208" s="9" t="n">
        <f aca="false">$D208*F202/$D202</f>
        <v>307.469399785556</v>
      </c>
      <c r="G208" s="9" t="n">
        <f aca="false">$D208*G202/$D202</f>
        <v>341.896800823547</v>
      </c>
      <c r="H208" s="8" t="s">
        <v>569</v>
      </c>
    </row>
    <row r="209" customFormat="false" ht="15" hidden="false" customHeight="false" outlineLevel="0" collapsed="false">
      <c r="A209" s="4" t="s">
        <v>570</v>
      </c>
      <c r="B209" s="0" t="s">
        <v>197</v>
      </c>
      <c r="C209" s="9" t="n">
        <f aca="false">C205+C207+C208</f>
        <v>2523.8</v>
      </c>
      <c r="D209" s="9" t="n">
        <f aca="false">D205+D207+D208</f>
        <v>4315.91</v>
      </c>
      <c r="E209" s="9" t="n">
        <f aca="false">E205+E207+E208</f>
        <v>6056.29662467179</v>
      </c>
      <c r="F209" s="9" t="n">
        <f aca="false">F205+F207+F208</f>
        <v>7015.89942519757</v>
      </c>
      <c r="G209" s="9" t="n">
        <f aca="false">G205+G207+G208</f>
        <v>7988.72164965644</v>
      </c>
    </row>
    <row r="210" customFormat="false" ht="17.15" hidden="false" customHeight="false" outlineLevel="0" collapsed="false">
      <c r="A210" s="0" t="s">
        <v>571</v>
      </c>
      <c r="B210" s="0" t="s">
        <v>197</v>
      </c>
      <c r="C210" s="9" t="n">
        <f aca="false">a25_pt</f>
        <v>358</v>
      </c>
      <c r="D210" s="9" t="n">
        <f aca="false">f26_pt</f>
        <v>394.17</v>
      </c>
      <c r="E210" s="9" t="n">
        <f aca="false">D210*(1+g_pt_A)</f>
        <v>425.7036</v>
      </c>
      <c r="F210" s="9" t="n">
        <f aca="false">E210*(1+g_pt_A)</f>
        <v>459.759888</v>
      </c>
      <c r="G210" s="9" t="n">
        <f aca="false">F210*(1+g_pt_A)</f>
        <v>496.54067904</v>
      </c>
    </row>
    <row r="211" customFormat="false" ht="17.15" hidden="false" customHeight="false" outlineLevel="0" collapsed="false">
      <c r="A211" s="4" t="s">
        <v>512</v>
      </c>
      <c r="B211" s="0" t="s">
        <v>197</v>
      </c>
      <c r="C211" s="9" t="n">
        <f aca="false">C209+C210</f>
        <v>2881.8</v>
      </c>
      <c r="D211" s="9" t="n">
        <f aca="false">D209+D210</f>
        <v>4710.08</v>
      </c>
      <c r="E211" s="9" t="n">
        <f aca="false">E209+E210</f>
        <v>6482.00022467179</v>
      </c>
      <c r="F211" s="9" t="n">
        <f aca="false">F209+F210</f>
        <v>7475.65931319757</v>
      </c>
      <c r="G211" s="9" t="n">
        <f aca="false">G209+G210</f>
        <v>8485.26232869644</v>
      </c>
    </row>
    <row r="212" customFormat="false" ht="17.15" hidden="false" customHeight="false" outlineLevel="0" collapsed="false">
      <c r="A212" s="4" t="s">
        <v>572</v>
      </c>
      <c r="B212" s="0" t="s">
        <v>197</v>
      </c>
      <c r="C212" s="9" t="n">
        <f aca="false">a25_ttest</f>
        <v>761.4</v>
      </c>
      <c r="D212" s="9" t="n">
        <f aca="false">f26_ttest</f>
        <v>1643.83073654536</v>
      </c>
      <c r="E212" s="9" t="n">
        <f aca="false">t_inc_lo*E211-t_fix_lo+0*E211</f>
        <v>2352.59882641408</v>
      </c>
      <c r="F212" s="9" t="n">
        <f aca="false">t_inc_lo*F211-t_fix_lo+0*F211</f>
        <v>2750.06246182439</v>
      </c>
      <c r="G212" s="9" t="n">
        <f aca="false">t_inc_lo*G211-t_fix_lo+0*G211</f>
        <v>3153.90366802394</v>
      </c>
      <c r="H212" s="4" t="s">
        <v>573</v>
      </c>
    </row>
    <row r="213" customFormat="false" ht="15" hidden="false" customHeight="false" outlineLevel="0" collapsed="false">
      <c r="A213" s="4" t="s">
        <v>574</v>
      </c>
      <c r="B213" s="0" t="s">
        <v>99</v>
      </c>
      <c r="C213" s="11" t="n">
        <f aca="false">C212/C211</f>
        <v>0.26420986883198</v>
      </c>
      <c r="D213" s="11" t="n">
        <f aca="false">D212/D211</f>
        <v>0.349002721088678</v>
      </c>
      <c r="E213" s="11" t="n">
        <f aca="false">E212/E211</f>
        <v>0.362943342312704</v>
      </c>
      <c r="F213" s="11" t="n">
        <f aca="false">F212/F211</f>
        <v>0.367868885754252</v>
      </c>
      <c r="G213" s="11" t="n">
        <f aca="false">G212/G211</f>
        <v>0.37169194608842</v>
      </c>
    </row>
    <row r="214" customFormat="false" ht="17.15" hidden="false" customHeight="false" outlineLevel="0" collapsed="false">
      <c r="A214" s="4" t="s">
        <v>575</v>
      </c>
      <c r="B214" s="0" t="s">
        <v>197</v>
      </c>
      <c r="C214" s="9" t="n">
        <f aca="false">a25_rob</f>
        <v>308.3</v>
      </c>
      <c r="D214" s="9" t="n">
        <f aca="false">f26_rob</f>
        <v>401.52</v>
      </c>
      <c r="E214" s="9" t="n">
        <f aca="false">D214*(1+g_rob)</f>
        <v>441.672</v>
      </c>
      <c r="F214" s="9" t="n">
        <f aca="false">E214*(1+g_rob)</f>
        <v>485.8392</v>
      </c>
      <c r="G214" s="9" t="n">
        <f aca="false">F214*(1+g_rob)</f>
        <v>534.42312</v>
      </c>
    </row>
    <row r="215" customFormat="false" ht="15" hidden="false" customHeight="false" outlineLevel="0" collapsed="false">
      <c r="A215" s="4" t="s">
        <v>520</v>
      </c>
      <c r="B215" s="0" t="s">
        <v>197</v>
      </c>
      <c r="C215" s="9" t="n">
        <f aca="false">a25_trob</f>
        <v>-99.4</v>
      </c>
      <c r="D215" s="9" t="n">
        <f aca="false">f26_trob</f>
        <v>-3.5</v>
      </c>
      <c r="E215" s="9" t="n">
        <f aca="false">E214*rm_2027</f>
        <v>8.83344</v>
      </c>
      <c r="F215" s="9" t="n">
        <f aca="false">F214*rm_2028</f>
        <v>19.433568</v>
      </c>
      <c r="G215" s="9" t="n">
        <f aca="false">G214*rm_2029</f>
        <v>26.721156</v>
      </c>
    </row>
    <row r="216" customFormat="false" ht="15" hidden="false" customHeight="false" outlineLevel="0" collapsed="false">
      <c r="A216" s="4" t="s">
        <v>500</v>
      </c>
      <c r="B216" s="0" t="s">
        <v>197</v>
      </c>
      <c r="C216" s="9" t="n">
        <f aca="false">a25_corp</f>
        <v>-8.8</v>
      </c>
      <c r="D216" s="9" t="n">
        <f aca="false">f26_corp</f>
        <v>-10.4</v>
      </c>
      <c r="E216" s="9" t="n">
        <f aca="false">corp</f>
        <v>-10.4</v>
      </c>
      <c r="F216" s="9" t="n">
        <f aca="false">corp</f>
        <v>-10.4</v>
      </c>
      <c r="G216" s="9" t="n">
        <f aca="false">corp</f>
        <v>-10.4</v>
      </c>
    </row>
    <row r="217" customFormat="false" ht="15" hidden="false" customHeight="false" outlineLevel="0" collapsed="false">
      <c r="A217" s="4" t="s">
        <v>474</v>
      </c>
      <c r="B217" s="0" t="s">
        <v>197</v>
      </c>
      <c r="C217" s="9" t="n">
        <f aca="false">C211+C214</f>
        <v>3190.1</v>
      </c>
      <c r="D217" s="9" t="n">
        <f aca="false">D211+D214</f>
        <v>5111.6</v>
      </c>
      <c r="E217" s="9" t="n">
        <f aca="false">E211+E214</f>
        <v>6923.67222467179</v>
      </c>
      <c r="F217" s="9" t="n">
        <f aca="false">F211+F214</f>
        <v>7961.49851319757</v>
      </c>
      <c r="G217" s="9" t="n">
        <f aca="false">G211+G214</f>
        <v>9019.68544869644</v>
      </c>
    </row>
    <row r="218" customFormat="false" ht="17.15" hidden="false" customHeight="false" outlineLevel="0" collapsed="false">
      <c r="A218" s="4" t="s">
        <v>576</v>
      </c>
      <c r="B218" s="0" t="s">
        <v>197</v>
      </c>
      <c r="C218" s="9" t="n">
        <f aca="false">ROUND(C209+C210+C214-a25_rev,0)</f>
        <v>0</v>
      </c>
      <c r="D218" s="9" t="n">
        <f aca="false">ROUND(D209+D210+D214-f26_rev,0)</f>
        <v>0</v>
      </c>
      <c r="H218" s="8" t="s">
        <v>577</v>
      </c>
    </row>
    <row r="219" customFormat="false" ht="15" hidden="false" customHeight="false" outlineLevel="0" collapsed="false">
      <c r="A219" s="4" t="s">
        <v>553</v>
      </c>
      <c r="B219" s="0" t="s">
        <v>197</v>
      </c>
      <c r="C219" s="9" t="n">
        <f aca="false">C212+C215+C216</f>
        <v>653.2</v>
      </c>
      <c r="D219" s="9" t="n">
        <f aca="false">D212+D215+D216</f>
        <v>1629.93073654536</v>
      </c>
      <c r="E219" s="9" t="n">
        <f aca="false">E212+E215+E216</f>
        <v>2351.03226641408</v>
      </c>
      <c r="F219" s="9" t="n">
        <f aca="false">F212+F215+F216</f>
        <v>2759.09602982439</v>
      </c>
      <c r="G219" s="9" t="n">
        <f aca="false">G212+G215+G216</f>
        <v>3170.22482402394</v>
      </c>
    </row>
    <row r="220" customFormat="false" ht="15" hidden="false" customHeight="false" outlineLevel="0" collapsed="false">
      <c r="A220" s="4" t="s">
        <v>554</v>
      </c>
      <c r="B220" s="0" t="s">
        <v>99</v>
      </c>
      <c r="C220" s="11" t="n">
        <f aca="false">C219/C217</f>
        <v>0.204758471521269</v>
      </c>
      <c r="D220" s="11" t="n">
        <f aca="false">D219/D217</f>
        <v>0.318868991420565</v>
      </c>
      <c r="E220" s="11" t="n">
        <f aca="false">E219/E217</f>
        <v>0.339564351130953</v>
      </c>
      <c r="F220" s="11" t="n">
        <f aca="false">F219/F217</f>
        <v>0.346554863415563</v>
      </c>
      <c r="G220" s="11" t="n">
        <f aca="false">G219/G217</f>
        <v>0.351478423727305</v>
      </c>
    </row>
    <row r="221" customFormat="false" ht="15" hidden="false" customHeight="false" outlineLevel="0" collapsed="false">
      <c r="A221" s="4" t="s">
        <v>486</v>
      </c>
      <c r="B221" s="0" t="s">
        <v>197</v>
      </c>
      <c r="C221" s="9" t="n">
        <f aca="false">a25_tax</f>
        <v>79.3</v>
      </c>
      <c r="D221" s="9" t="n">
        <f aca="false">f26_tax</f>
        <v>231.054736545361</v>
      </c>
      <c r="E221" s="9" t="n">
        <f aca="false">E219*etr</f>
        <v>333.276211526201</v>
      </c>
      <c r="F221" s="9" t="n">
        <f aca="false">F219*etr</f>
        <v>391.122267947172</v>
      </c>
      <c r="G221" s="9" t="n">
        <f aca="false">G219*etr</f>
        <v>449.40281515087</v>
      </c>
    </row>
    <row r="222" customFormat="false" ht="17.15" hidden="false" customHeight="false" outlineLevel="0" collapsed="false">
      <c r="A222" s="4" t="s">
        <v>487</v>
      </c>
      <c r="B222" s="0" t="s">
        <v>197</v>
      </c>
      <c r="C222" s="9" t="n">
        <f aca="false">a25_aff</f>
        <v>-19.9</v>
      </c>
      <c r="D222" s="9" t="n">
        <f aca="false">f26_aff</f>
        <v>-13.2</v>
      </c>
      <c r="E222" s="9" t="n">
        <f aca="false">aff</f>
        <v>-13.2</v>
      </c>
      <c r="F222" s="9" t="n">
        <f aca="false">aff</f>
        <v>-13.2</v>
      </c>
      <c r="G222" s="9" t="n">
        <f aca="false">aff</f>
        <v>-13.2</v>
      </c>
    </row>
    <row r="223" customFormat="false" ht="17.15" hidden="false" customHeight="false" outlineLevel="0" collapsed="false">
      <c r="A223" s="4" t="s">
        <v>555</v>
      </c>
      <c r="B223" s="0" t="s">
        <v>197</v>
      </c>
      <c r="C223" s="9" t="n">
        <f aca="false">a25_ni</f>
        <v>554</v>
      </c>
      <c r="D223" s="9" t="n">
        <f aca="false">f26_ni</f>
        <v>1385.276</v>
      </c>
      <c r="E223" s="9" t="n">
        <f aca="false">E219-E221+E222</f>
        <v>2004.55605488788</v>
      </c>
      <c r="F223" s="9" t="n">
        <f aca="false">F219-F221+F222</f>
        <v>2354.77376187722</v>
      </c>
      <c r="G223" s="9" t="n">
        <f aca="false">G219-G221+G222</f>
        <v>2707.62200887307</v>
      </c>
      <c r="H223" s="8" t="s">
        <v>578</v>
      </c>
    </row>
    <row r="224" customFormat="false" ht="15" hidden="false" customHeight="false" outlineLevel="0" collapsed="false">
      <c r="A224" s="4" t="s">
        <v>579</v>
      </c>
      <c r="B224" s="4" t="s">
        <v>259</v>
      </c>
      <c r="C224" s="9" t="n">
        <f aca="false">a25_dsh</f>
        <v>159.7</v>
      </c>
      <c r="D224" s="9" t="n">
        <f aca="false">sh26</f>
        <v>157.7</v>
      </c>
      <c r="E224" s="9" t="n">
        <f aca="false">sh26*(1-bb)^1</f>
        <v>156.123</v>
      </c>
      <c r="F224" s="9" t="n">
        <f aca="false">sh26*(1-bb)^2</f>
        <v>154.56177</v>
      </c>
      <c r="G224" s="9" t="n">
        <f aca="false">sh26*(1-bb)^3</f>
        <v>153.0161523</v>
      </c>
    </row>
    <row r="225" customFormat="false" ht="17.15" hidden="false" customHeight="false" outlineLevel="0" collapsed="false">
      <c r="A225" s="0" t="s">
        <v>489</v>
      </c>
      <c r="B225" s="0" t="s">
        <v>202</v>
      </c>
      <c r="C225" s="18" t="n">
        <f aca="false">a25_eps</f>
        <v>3.47</v>
      </c>
      <c r="D225" s="18" t="n">
        <f aca="false">D223/D224</f>
        <v>8.78424857324033</v>
      </c>
      <c r="E225" s="18" t="n">
        <f aca="false">E223/E224</f>
        <v>12.8395947739147</v>
      </c>
      <c r="F225" s="18" t="n">
        <f aca="false">F223/F224</f>
        <v>15.2351630152606</v>
      </c>
      <c r="G225" s="18" t="n">
        <f aca="false">G223/G224</f>
        <v>17.6950078026048</v>
      </c>
    </row>
    <row r="226" customFormat="false" ht="17.15" hidden="false" customHeight="false" outlineLevel="0" collapsed="false">
      <c r="A226" s="0" t="s">
        <v>580</v>
      </c>
      <c r="B226" s="0" t="s">
        <v>99</v>
      </c>
      <c r="C226" s="11" t="n">
        <f aca="false">C205/C217</f>
        <v>0.592363875740573</v>
      </c>
      <c r="D226" s="11" t="n">
        <f aca="false">D205/D217</f>
        <v>0.635675717974802</v>
      </c>
      <c r="E226" s="11" t="n">
        <f aca="false">E205/E217</f>
        <v>0.657640790066815</v>
      </c>
      <c r="F226" s="11" t="n">
        <f aca="false">F205/F217</f>
        <v>0.641845631555813</v>
      </c>
      <c r="G226" s="11" t="n">
        <f aca="false">G205/G217</f>
        <v>0.629980566687679</v>
      </c>
    </row>
    <row r="227" customFormat="false" ht="17.15" hidden="false" customHeight="false" outlineLevel="0" collapsed="false">
      <c r="A227" s="4" t="s">
        <v>581</v>
      </c>
      <c r="B227" s="0" t="s">
        <v>99</v>
      </c>
      <c r="C227" s="11" t="n">
        <f aca="false">a25_gp/a25_rev</f>
        <v>0.582225705329154</v>
      </c>
      <c r="D227" s="11" t="n">
        <f aca="false">f26_gm</f>
        <v>0.594365646092145</v>
      </c>
      <c r="E227" s="11" t="n">
        <f aca="false">f26_gm+(Q!J13-a25_gp/a25_rev)/(Q!J4/Q!J10-a25_soc/a25_rev)*(E226-D226)</f>
        <v>0.601175024106483</v>
      </c>
      <c r="F227" s="11" t="n">
        <f aca="false">f26_gm+(Q!J13-a25_gp/a25_rev)/(Q!J4/Q!J10-a25_soc/a25_rev)*(F226-D226)</f>
        <v>0.596278377073082</v>
      </c>
      <c r="G227" s="11" t="n">
        <f aca="false">f26_gm+(Q!J13-a25_gp/a25_rev)/(Q!J4/Q!J10-a25_soc/a25_rev)*(G226-D226)</f>
        <v>0.592600095867661</v>
      </c>
      <c r="H227" s="8" t="s">
        <v>582</v>
      </c>
    </row>
    <row r="232" customFormat="false" ht="17.15" hidden="false" customHeight="false" outlineLevel="0" collapsed="false">
      <c r="A232" s="1" t="s">
        <v>889</v>
      </c>
    </row>
    <row r="233" customFormat="false" ht="17.15" hidden="false" customHeight="false" outlineLevel="0" collapsed="false">
      <c r="A233" s="5" t="s">
        <v>21</v>
      </c>
      <c r="B233" s="5" t="s">
        <v>22</v>
      </c>
      <c r="C233" s="15" t="s">
        <v>545</v>
      </c>
      <c r="D233" s="15" t="s">
        <v>559</v>
      </c>
      <c r="E233" s="15" t="s">
        <v>546</v>
      </c>
      <c r="F233" s="15" t="s">
        <v>547</v>
      </c>
      <c r="G233" s="15" t="s">
        <v>548</v>
      </c>
      <c r="H233" s="5" t="s">
        <v>374</v>
      </c>
    </row>
    <row r="234" customFormat="false" ht="17.15" hidden="false" customHeight="false" outlineLevel="0" collapsed="false">
      <c r="A234" s="0" t="s">
        <v>560</v>
      </c>
      <c r="B234" s="0" t="s">
        <v>32</v>
      </c>
      <c r="C234" s="18" t="n">
        <f aca="false">mk_soc25</f>
        <v>6.9</v>
      </c>
      <c r="D234" s="18" t="n">
        <f aca="false">ms_A_2026</f>
        <v>11</v>
      </c>
      <c r="E234" s="18" t="n">
        <f aca="false">ms_A_2027*m_soc</f>
        <v>15.4143580786026</v>
      </c>
      <c r="F234" s="18" t="n">
        <f aca="false">ms_A_2028*m_soc</f>
        <v>17.2991836614041</v>
      </c>
      <c r="G234" s="18" t="n">
        <f aca="false">ms_A_2029*m_soc</f>
        <v>19.2361762010077</v>
      </c>
    </row>
    <row r="235" customFormat="false" ht="17.15" hidden="false" customHeight="false" outlineLevel="0" collapsed="false">
      <c r="A235" s="4" t="s">
        <v>561</v>
      </c>
      <c r="B235" s="0" t="s">
        <v>32</v>
      </c>
      <c r="C235" s="18" t="n">
        <f aca="false">mk_mem25</f>
        <v>2.1</v>
      </c>
      <c r="D235" s="18" t="n">
        <f aca="false">mm_A_2026</f>
        <v>2.75</v>
      </c>
      <c r="E235" s="18" t="n">
        <f aca="false">mm_A_2027</f>
        <v>3.88007408374579</v>
      </c>
      <c r="F235" s="18" t="n">
        <f aca="false">mm_A_2028</f>
        <v>5.04607694610671</v>
      </c>
      <c r="G235" s="18" t="n">
        <f aca="false">mm_A_2029</f>
        <v>6.20223782078096</v>
      </c>
    </row>
    <row r="236" customFormat="false" ht="17.15" hidden="false" customHeight="false" outlineLevel="0" collapsed="false">
      <c r="A236" s="4" t="s">
        <v>562</v>
      </c>
      <c r="B236" s="0" t="s">
        <v>99</v>
      </c>
      <c r="C236" s="11" t="n">
        <f aca="false">a25_soc/(C234*1000)</f>
        <v>0.273869565217391</v>
      </c>
      <c r="D236" s="11" t="n">
        <f aca="false">f26_soc/(D234*1000)</f>
        <v>0.295392727272727</v>
      </c>
      <c r="E236" s="11" t="n">
        <f aca="false">s_soc</f>
        <v>0.295392727272727</v>
      </c>
      <c r="F236" s="11" t="n">
        <f aca="false">s_soc</f>
        <v>0.295392727272727</v>
      </c>
      <c r="G236" s="11" t="n">
        <f aca="false">s_soc</f>
        <v>0.295392727272727</v>
      </c>
      <c r="H236" s="8" t="s">
        <v>563</v>
      </c>
    </row>
    <row r="237" customFormat="false" ht="17.15" hidden="false" customHeight="false" outlineLevel="0" collapsed="false">
      <c r="A237" s="0" t="s">
        <v>564</v>
      </c>
      <c r="B237" s="0" t="s">
        <v>197</v>
      </c>
      <c r="C237" s="9" t="n">
        <f aca="false">a25_soc</f>
        <v>1889.7</v>
      </c>
      <c r="D237" s="9" t="n">
        <f aca="false">f26_soc</f>
        <v>3249.32</v>
      </c>
      <c r="E237" s="9" t="n">
        <f aca="false">E234*1000*E236</f>
        <v>4553.28927199682</v>
      </c>
      <c r="F237" s="9" t="n">
        <f aca="false">F234*1000*F236</f>
        <v>5110.05304133396</v>
      </c>
      <c r="G237" s="9" t="n">
        <f aca="false">G234*1000*G236</f>
        <v>5682.22655031439</v>
      </c>
      <c r="H237" s="4" t="s">
        <v>565</v>
      </c>
    </row>
    <row r="238" customFormat="false" ht="15" hidden="false" customHeight="false" outlineLevel="0" collapsed="false">
      <c r="A238" s="4" t="s">
        <v>566</v>
      </c>
      <c r="B238" s="0" t="s">
        <v>99</v>
      </c>
      <c r="C238" s="11" t="n">
        <f aca="false">a25_mem/(C235*1000)</f>
        <v>0.240428571428571</v>
      </c>
      <c r="D238" s="11" t="n">
        <f aca="false">f26_mem/(D235*1000)</f>
        <v>0.316756363636364</v>
      </c>
      <c r="E238" s="11" t="n">
        <f aca="false">s_mem</f>
        <v>0.316756363636364</v>
      </c>
      <c r="F238" s="11" t="n">
        <f aca="false">s_mem</f>
        <v>0.316756363636364</v>
      </c>
      <c r="G238" s="11" t="n">
        <f aca="false">s_mem</f>
        <v>0.316756363636364</v>
      </c>
    </row>
    <row r="239" customFormat="false" ht="15" hidden="false" customHeight="false" outlineLevel="0" collapsed="false">
      <c r="A239" s="4" t="s">
        <v>567</v>
      </c>
      <c r="B239" s="0" t="s">
        <v>197</v>
      </c>
      <c r="C239" s="9" t="n">
        <f aca="false">a25_mem</f>
        <v>504.9</v>
      </c>
      <c r="D239" s="9" t="n">
        <f aca="false">f26_mem</f>
        <v>871.08</v>
      </c>
      <c r="E239" s="9" t="n">
        <f aca="false">E235*1000*E238</f>
        <v>1229.03815740701</v>
      </c>
      <c r="F239" s="9" t="n">
        <f aca="false">F235*1000*F238</f>
        <v>1598.37698407805</v>
      </c>
      <c r="G239" s="9" t="n">
        <f aca="false">G235*1000*G238</f>
        <v>1964.5982985185</v>
      </c>
    </row>
    <row r="240" customFormat="false" ht="17.15" hidden="false" customHeight="false" outlineLevel="0" collapsed="false">
      <c r="A240" s="0" t="s">
        <v>568</v>
      </c>
      <c r="B240" s="0" t="s">
        <v>197</v>
      </c>
      <c r="C240" s="9" t="n">
        <f aca="false">a25_ist</f>
        <v>129.2</v>
      </c>
      <c r="D240" s="9" t="n">
        <f aca="false">f26_ist</f>
        <v>195.51</v>
      </c>
      <c r="E240" s="9" t="n">
        <f aca="false">$D240*E234/$D234</f>
        <v>273.969195267963</v>
      </c>
      <c r="F240" s="9" t="n">
        <f aca="false">$D240*F234/$D234</f>
        <v>307.469399785556</v>
      </c>
      <c r="G240" s="9" t="n">
        <f aca="false">$D240*G234/$D234</f>
        <v>341.896800823547</v>
      </c>
      <c r="H240" s="8" t="s">
        <v>569</v>
      </c>
    </row>
    <row r="241" customFormat="false" ht="15" hidden="false" customHeight="false" outlineLevel="0" collapsed="false">
      <c r="A241" s="4" t="s">
        <v>570</v>
      </c>
      <c r="B241" s="0" t="s">
        <v>197</v>
      </c>
      <c r="C241" s="9" t="n">
        <f aca="false">C237+C239+C240</f>
        <v>2523.8</v>
      </c>
      <c r="D241" s="9" t="n">
        <f aca="false">D237+D239+D240</f>
        <v>4315.91</v>
      </c>
      <c r="E241" s="9" t="n">
        <f aca="false">E237+E239+E240</f>
        <v>6056.29662467179</v>
      </c>
      <c r="F241" s="9" t="n">
        <f aca="false">F237+F239+F240</f>
        <v>7015.89942519757</v>
      </c>
      <c r="G241" s="9" t="n">
        <f aca="false">G237+G239+G240</f>
        <v>7988.72164965644</v>
      </c>
    </row>
    <row r="242" customFormat="false" ht="17.15" hidden="false" customHeight="false" outlineLevel="0" collapsed="false">
      <c r="A242" s="0" t="s">
        <v>571</v>
      </c>
      <c r="B242" s="0" t="s">
        <v>197</v>
      </c>
      <c r="C242" s="9" t="n">
        <f aca="false">a25_pt</f>
        <v>358</v>
      </c>
      <c r="D242" s="9" t="n">
        <f aca="false">f26_pt</f>
        <v>394.17</v>
      </c>
      <c r="E242" s="9" t="n">
        <f aca="false">D242*(1+g_pt_A)</f>
        <v>425.7036</v>
      </c>
      <c r="F242" s="9" t="n">
        <f aca="false">E242*(1+g_pt_A)</f>
        <v>459.759888</v>
      </c>
      <c r="G242" s="9" t="n">
        <f aca="false">F242*(1+g_pt_A)</f>
        <v>496.54067904</v>
      </c>
    </row>
    <row r="243" customFormat="false" ht="17.15" hidden="false" customHeight="false" outlineLevel="0" collapsed="false">
      <c r="A243" s="4" t="s">
        <v>512</v>
      </c>
      <c r="B243" s="0" t="s">
        <v>197</v>
      </c>
      <c r="C243" s="9" t="n">
        <f aca="false">C241+C242</f>
        <v>2881.8</v>
      </c>
      <c r="D243" s="9" t="n">
        <f aca="false">D241+D242</f>
        <v>4710.08</v>
      </c>
      <c r="E243" s="9" t="n">
        <f aca="false">E241+E242</f>
        <v>6482.00022467179</v>
      </c>
      <c r="F243" s="9" t="n">
        <f aca="false">F241+F242</f>
        <v>7475.65931319757</v>
      </c>
      <c r="G243" s="9" t="n">
        <f aca="false">G241+G242</f>
        <v>8485.26232869644</v>
      </c>
    </row>
    <row r="244" customFormat="false" ht="17.15" hidden="false" customHeight="false" outlineLevel="0" collapsed="false">
      <c r="A244" s="4" t="s">
        <v>572</v>
      </c>
      <c r="B244" s="0" t="s">
        <v>197</v>
      </c>
      <c r="C244" s="9" t="n">
        <f aca="false">a25_ttest</f>
        <v>761.4</v>
      </c>
      <c r="D244" s="9" t="n">
        <f aca="false">f26_ttest</f>
        <v>1643.83073654536</v>
      </c>
      <c r="E244" s="9" t="n">
        <f aca="false">t_inc_hi*E243-t_fix_hi+0*E243</f>
        <v>2636.10606236157</v>
      </c>
      <c r="F244" s="9" t="n">
        <f aca="false">t_inc_hi*F243-t_fix_hi+0*F243</f>
        <v>3192.555151936</v>
      </c>
      <c r="G244" s="9" t="n">
        <f aca="false">t_inc_hi*G243-t_fix_hi+0*G243</f>
        <v>3757.93284061537</v>
      </c>
      <c r="H244" s="4" t="s">
        <v>573</v>
      </c>
    </row>
    <row r="245" customFormat="false" ht="15" hidden="false" customHeight="false" outlineLevel="0" collapsed="false">
      <c r="A245" s="4" t="s">
        <v>574</v>
      </c>
      <c r="B245" s="0" t="s">
        <v>99</v>
      </c>
      <c r="C245" s="11" t="n">
        <f aca="false">C244/C243</f>
        <v>0.26420986883198</v>
      </c>
      <c r="D245" s="11" t="n">
        <f aca="false">D244/D243</f>
        <v>0.349002721088678</v>
      </c>
      <c r="E245" s="11" t="n">
        <f aca="false">E244/E243</f>
        <v>0.406680958190655</v>
      </c>
      <c r="F245" s="11" t="n">
        <f aca="false">F244/F243</f>
        <v>0.427060011456093</v>
      </c>
      <c r="G245" s="11" t="n">
        <f aca="false">G244/G243</f>
        <v>0.442877626529749</v>
      </c>
    </row>
    <row r="246" customFormat="false" ht="17.15" hidden="false" customHeight="false" outlineLevel="0" collapsed="false">
      <c r="A246" s="4" t="s">
        <v>575</v>
      </c>
      <c r="B246" s="0" t="s">
        <v>197</v>
      </c>
      <c r="C246" s="9" t="n">
        <f aca="false">a25_rob</f>
        <v>308.3</v>
      </c>
      <c r="D246" s="9" t="n">
        <f aca="false">f26_rob</f>
        <v>401.52</v>
      </c>
      <c r="E246" s="9" t="n">
        <f aca="false">D246*(1+g_rob)</f>
        <v>441.672</v>
      </c>
      <c r="F246" s="9" t="n">
        <f aca="false">E246*(1+g_rob)</f>
        <v>485.8392</v>
      </c>
      <c r="G246" s="9" t="n">
        <f aca="false">F246*(1+g_rob)</f>
        <v>534.42312</v>
      </c>
    </row>
    <row r="247" customFormat="false" ht="15" hidden="false" customHeight="false" outlineLevel="0" collapsed="false">
      <c r="A247" s="4" t="s">
        <v>520</v>
      </c>
      <c r="B247" s="0" t="s">
        <v>197</v>
      </c>
      <c r="C247" s="9" t="n">
        <f aca="false">a25_trob</f>
        <v>-99.4</v>
      </c>
      <c r="D247" s="9" t="n">
        <f aca="false">f26_trob</f>
        <v>-3.5</v>
      </c>
      <c r="E247" s="9" t="n">
        <f aca="false">E246*rm_2027</f>
        <v>8.83344</v>
      </c>
      <c r="F247" s="9" t="n">
        <f aca="false">F246*rm_2028</f>
        <v>19.433568</v>
      </c>
      <c r="G247" s="9" t="n">
        <f aca="false">G246*rm_2029</f>
        <v>26.721156</v>
      </c>
    </row>
    <row r="248" customFormat="false" ht="15" hidden="false" customHeight="false" outlineLevel="0" collapsed="false">
      <c r="A248" s="4" t="s">
        <v>500</v>
      </c>
      <c r="B248" s="0" t="s">
        <v>197</v>
      </c>
      <c r="C248" s="9" t="n">
        <f aca="false">a25_corp</f>
        <v>-8.8</v>
      </c>
      <c r="D248" s="9" t="n">
        <f aca="false">f26_corp</f>
        <v>-10.4</v>
      </c>
      <c r="E248" s="9" t="n">
        <f aca="false">corp</f>
        <v>-10.4</v>
      </c>
      <c r="F248" s="9" t="n">
        <f aca="false">corp</f>
        <v>-10.4</v>
      </c>
      <c r="G248" s="9" t="n">
        <f aca="false">corp</f>
        <v>-10.4</v>
      </c>
    </row>
    <row r="249" customFormat="false" ht="15" hidden="false" customHeight="false" outlineLevel="0" collapsed="false">
      <c r="A249" s="4" t="s">
        <v>474</v>
      </c>
      <c r="B249" s="0" t="s">
        <v>197</v>
      </c>
      <c r="C249" s="9" t="n">
        <f aca="false">C243+C246</f>
        <v>3190.1</v>
      </c>
      <c r="D249" s="9" t="n">
        <f aca="false">D243+D246</f>
        <v>5111.6</v>
      </c>
      <c r="E249" s="9" t="n">
        <f aca="false">E243+E246</f>
        <v>6923.67222467179</v>
      </c>
      <c r="F249" s="9" t="n">
        <f aca="false">F243+F246</f>
        <v>7961.49851319757</v>
      </c>
      <c r="G249" s="9" t="n">
        <f aca="false">G243+G246</f>
        <v>9019.68544869644</v>
      </c>
    </row>
    <row r="250" customFormat="false" ht="17.15" hidden="false" customHeight="false" outlineLevel="0" collapsed="false">
      <c r="A250" s="4" t="s">
        <v>576</v>
      </c>
      <c r="B250" s="0" t="s">
        <v>197</v>
      </c>
      <c r="C250" s="9" t="n">
        <f aca="false">ROUND(C241+C242+C246-a25_rev,0)</f>
        <v>0</v>
      </c>
      <c r="D250" s="9" t="n">
        <f aca="false">ROUND(D241+D242+D246-f26_rev,0)</f>
        <v>0</v>
      </c>
      <c r="H250" s="8" t="s">
        <v>577</v>
      </c>
    </row>
    <row r="251" customFormat="false" ht="15" hidden="false" customHeight="false" outlineLevel="0" collapsed="false">
      <c r="A251" s="4" t="s">
        <v>553</v>
      </c>
      <c r="B251" s="0" t="s">
        <v>197</v>
      </c>
      <c r="C251" s="9" t="n">
        <f aca="false">C244+C247+C248</f>
        <v>653.2</v>
      </c>
      <c r="D251" s="9" t="n">
        <f aca="false">D244+D247+D248</f>
        <v>1629.93073654536</v>
      </c>
      <c r="E251" s="9" t="n">
        <f aca="false">E244+E247+E248</f>
        <v>2634.53950236157</v>
      </c>
      <c r="F251" s="9" t="n">
        <f aca="false">F244+F247+F248</f>
        <v>3201.588719936</v>
      </c>
      <c r="G251" s="9" t="n">
        <f aca="false">G244+G247+G248</f>
        <v>3774.25399661537</v>
      </c>
    </row>
    <row r="252" customFormat="false" ht="15" hidden="false" customHeight="false" outlineLevel="0" collapsed="false">
      <c r="A252" s="4" t="s">
        <v>554</v>
      </c>
      <c r="B252" s="0" t="s">
        <v>99</v>
      </c>
      <c r="C252" s="11" t="n">
        <f aca="false">C251/C249</f>
        <v>0.204758471521269</v>
      </c>
      <c r="D252" s="11" t="n">
        <f aca="false">D251/D249</f>
        <v>0.318868991420565</v>
      </c>
      <c r="E252" s="11" t="n">
        <f aca="false">E251/E249</f>
        <v>0.380511875327323</v>
      </c>
      <c r="F252" s="11" t="n">
        <f aca="false">F251/F249</f>
        <v>0.402133934287472</v>
      </c>
      <c r="G252" s="11" t="n">
        <f aca="false">G251/G249</f>
        <v>0.418446299273201</v>
      </c>
    </row>
    <row r="253" customFormat="false" ht="15" hidden="false" customHeight="false" outlineLevel="0" collapsed="false">
      <c r="A253" s="4" t="s">
        <v>486</v>
      </c>
      <c r="B253" s="0" t="s">
        <v>197</v>
      </c>
      <c r="C253" s="9" t="n">
        <f aca="false">a25_tax</f>
        <v>79.3</v>
      </c>
      <c r="D253" s="9" t="n">
        <f aca="false">f26_tax</f>
        <v>231.054736545361</v>
      </c>
      <c r="E253" s="9" t="n">
        <f aca="false">E251*etr</f>
        <v>373.46545898428</v>
      </c>
      <c r="F253" s="9" t="n">
        <f aca="false">F251*etr</f>
        <v>453.848879357473</v>
      </c>
      <c r="G253" s="9" t="n">
        <f aca="false">G251*etr</f>
        <v>535.028417644035</v>
      </c>
    </row>
    <row r="254" customFormat="false" ht="17.15" hidden="false" customHeight="false" outlineLevel="0" collapsed="false">
      <c r="A254" s="4" t="s">
        <v>487</v>
      </c>
      <c r="B254" s="0" t="s">
        <v>197</v>
      </c>
      <c r="C254" s="9" t="n">
        <f aca="false">a25_aff</f>
        <v>-19.9</v>
      </c>
      <c r="D254" s="9" t="n">
        <f aca="false">f26_aff</f>
        <v>-13.2</v>
      </c>
      <c r="E254" s="9" t="n">
        <f aca="false">aff</f>
        <v>-13.2</v>
      </c>
      <c r="F254" s="9" t="n">
        <f aca="false">aff</f>
        <v>-13.2</v>
      </c>
      <c r="G254" s="9" t="n">
        <f aca="false">aff</f>
        <v>-13.2</v>
      </c>
    </row>
    <row r="255" customFormat="false" ht="17.15" hidden="false" customHeight="false" outlineLevel="0" collapsed="false">
      <c r="A255" s="4" t="s">
        <v>555</v>
      </c>
      <c r="B255" s="0" t="s">
        <v>197</v>
      </c>
      <c r="C255" s="9" t="n">
        <f aca="false">a25_ni</f>
        <v>554</v>
      </c>
      <c r="D255" s="9" t="n">
        <f aca="false">f26_ni</f>
        <v>1385.276</v>
      </c>
      <c r="E255" s="9" t="n">
        <f aca="false">E251-E253+E254</f>
        <v>2247.87404337729</v>
      </c>
      <c r="F255" s="9" t="n">
        <f aca="false">F251-F253+F254</f>
        <v>2734.53984057853</v>
      </c>
      <c r="G255" s="9" t="n">
        <f aca="false">G251-G253+G254</f>
        <v>3226.02557897133</v>
      </c>
      <c r="H255" s="8" t="s">
        <v>578</v>
      </c>
    </row>
    <row r="256" customFormat="false" ht="15" hidden="false" customHeight="false" outlineLevel="0" collapsed="false">
      <c r="A256" s="4" t="s">
        <v>579</v>
      </c>
      <c r="B256" s="4" t="s">
        <v>259</v>
      </c>
      <c r="C256" s="9" t="n">
        <f aca="false">a25_dsh</f>
        <v>159.7</v>
      </c>
      <c r="D256" s="9" t="n">
        <f aca="false">sh26</f>
        <v>157.7</v>
      </c>
      <c r="E256" s="9" t="n">
        <f aca="false">sh26*(1-bb)^1</f>
        <v>156.123</v>
      </c>
      <c r="F256" s="9" t="n">
        <f aca="false">sh26*(1-bb)^2</f>
        <v>154.56177</v>
      </c>
      <c r="G256" s="9" t="n">
        <f aca="false">sh26*(1-bb)^3</f>
        <v>153.0161523</v>
      </c>
    </row>
    <row r="257" customFormat="false" ht="17.15" hidden="false" customHeight="false" outlineLevel="0" collapsed="false">
      <c r="A257" s="0" t="s">
        <v>489</v>
      </c>
      <c r="B257" s="0" t="s">
        <v>202</v>
      </c>
      <c r="C257" s="18" t="n">
        <f aca="false">a25_eps</f>
        <v>3.47</v>
      </c>
      <c r="D257" s="18" t="n">
        <f aca="false">D255/D256</f>
        <v>8.78424857324033</v>
      </c>
      <c r="E257" s="18" t="n">
        <f aca="false">E255/E256</f>
        <v>14.3980966505722</v>
      </c>
      <c r="F257" s="18" t="n">
        <f aca="false">F255/F256</f>
        <v>17.6922135439994</v>
      </c>
      <c r="G257" s="18" t="n">
        <f aca="false">G255/G256</f>
        <v>21.0829087680003</v>
      </c>
    </row>
    <row r="258" customFormat="false" ht="17.15" hidden="false" customHeight="false" outlineLevel="0" collapsed="false">
      <c r="A258" s="0" t="s">
        <v>580</v>
      </c>
      <c r="B258" s="0" t="s">
        <v>99</v>
      </c>
      <c r="C258" s="11" t="n">
        <f aca="false">C237/C249</f>
        <v>0.592363875740573</v>
      </c>
      <c r="D258" s="11" t="n">
        <f aca="false">D237/D249</f>
        <v>0.635675717974802</v>
      </c>
      <c r="E258" s="11" t="n">
        <f aca="false">E237/E249</f>
        <v>0.657640790066815</v>
      </c>
      <c r="F258" s="11" t="n">
        <f aca="false">F237/F249</f>
        <v>0.641845631555813</v>
      </c>
      <c r="G258" s="11" t="n">
        <f aca="false">G237/G249</f>
        <v>0.629980566687679</v>
      </c>
    </row>
    <row r="259" customFormat="false" ht="17.15" hidden="false" customHeight="false" outlineLevel="0" collapsed="false">
      <c r="A259" s="4" t="s">
        <v>581</v>
      </c>
      <c r="B259" s="0" t="s">
        <v>99</v>
      </c>
      <c r="C259" s="11" t="n">
        <f aca="false">a25_gp/a25_rev</f>
        <v>0.582225705329154</v>
      </c>
      <c r="D259" s="11" t="n">
        <f aca="false">f26_gm</f>
        <v>0.594365646092145</v>
      </c>
      <c r="E259" s="11" t="n">
        <f aca="false">f26_gm+(Q!J13-a25_gp/a25_rev)/(Q!J4/Q!J10-a25_soc/a25_rev)*(E258-D258)</f>
        <v>0.601175024106483</v>
      </c>
      <c r="F259" s="11" t="n">
        <f aca="false">f26_gm+(Q!J13-a25_gp/a25_rev)/(Q!J4/Q!J10-a25_soc/a25_rev)*(F258-D258)</f>
        <v>0.596278377073082</v>
      </c>
      <c r="G259" s="11" t="n">
        <f aca="false">f26_gm+(Q!J13-a25_gp/a25_rev)/(Q!J4/Q!J10-a25_soc/a25_rev)*(G258-D258)</f>
        <v>0.592600095867661</v>
      </c>
      <c r="H259" s="8" t="s">
        <v>582</v>
      </c>
    </row>
    <row r="264" customFormat="false" ht="17.15" hidden="false" customHeight="false" outlineLevel="0" collapsed="false">
      <c r="A264" s="1" t="s">
        <v>890</v>
      </c>
    </row>
    <row r="265" customFormat="false" ht="17.15" hidden="false" customHeight="false" outlineLevel="0" collapsed="false">
      <c r="A265" s="5" t="s">
        <v>21</v>
      </c>
      <c r="B265" s="5" t="s">
        <v>22</v>
      </c>
      <c r="C265" s="15" t="s">
        <v>545</v>
      </c>
      <c r="D265" s="15" t="s">
        <v>559</v>
      </c>
      <c r="E265" s="15" t="s">
        <v>546</v>
      </c>
      <c r="F265" s="15" t="s">
        <v>547</v>
      </c>
      <c r="G265" s="15" t="s">
        <v>548</v>
      </c>
      <c r="H265" s="5" t="s">
        <v>374</v>
      </c>
    </row>
    <row r="266" customFormat="false" ht="17.15" hidden="false" customHeight="false" outlineLevel="0" collapsed="false">
      <c r="A266" s="0" t="s">
        <v>560</v>
      </c>
      <c r="B266" s="0" t="s">
        <v>32</v>
      </c>
      <c r="C266" s="18" t="n">
        <f aca="false">mk_soc25</f>
        <v>6.9</v>
      </c>
      <c r="D266" s="18" t="n">
        <f aca="false">ms_A_2026</f>
        <v>11</v>
      </c>
      <c r="E266" s="18" t="n">
        <f aca="false">ms_A_2027*m_soc</f>
        <v>15.4143580786026</v>
      </c>
      <c r="F266" s="18" t="n">
        <f aca="false">ms_A_2028*m_soc</f>
        <v>17.2991836614041</v>
      </c>
      <c r="G266" s="18" t="n">
        <f aca="false">ms_A_2029*m_soc</f>
        <v>19.2361762010077</v>
      </c>
    </row>
    <row r="267" customFormat="false" ht="17.15" hidden="false" customHeight="false" outlineLevel="0" collapsed="false">
      <c r="A267" s="4" t="s">
        <v>561</v>
      </c>
      <c r="B267" s="0" t="s">
        <v>32</v>
      </c>
      <c r="C267" s="18" t="n">
        <f aca="false">mk_mem25</f>
        <v>2.1</v>
      </c>
      <c r="D267" s="18" t="n">
        <f aca="false">mm_A_2026</f>
        <v>2.75</v>
      </c>
      <c r="E267" s="18" t="n">
        <f aca="false">mm_A_2027</f>
        <v>3.88007408374579</v>
      </c>
      <c r="F267" s="18" t="n">
        <f aca="false">mm_A_2028</f>
        <v>5.04607694610671</v>
      </c>
      <c r="G267" s="18" t="n">
        <f aca="false">mm_A_2029</f>
        <v>6.20223782078096</v>
      </c>
    </row>
    <row r="268" customFormat="false" ht="17.15" hidden="false" customHeight="false" outlineLevel="0" collapsed="false">
      <c r="A268" s="4" t="s">
        <v>562</v>
      </c>
      <c r="B268" s="0" t="s">
        <v>99</v>
      </c>
      <c r="C268" s="11" t="n">
        <f aca="false">a25_soc/(C266*1000)</f>
        <v>0.273869565217391</v>
      </c>
      <c r="D268" s="11" t="n">
        <f aca="false">f26_soc/(D266*1000)</f>
        <v>0.295392727272727</v>
      </c>
      <c r="E268" s="11" t="n">
        <f aca="false">s_soc</f>
        <v>0.295392727272727</v>
      </c>
      <c r="F268" s="11" t="n">
        <f aca="false">s_soc</f>
        <v>0.295392727272727</v>
      </c>
      <c r="G268" s="11" t="n">
        <f aca="false">s_soc</f>
        <v>0.295392727272727</v>
      </c>
      <c r="H268" s="8" t="s">
        <v>563</v>
      </c>
    </row>
    <row r="269" customFormat="false" ht="17.15" hidden="false" customHeight="false" outlineLevel="0" collapsed="false">
      <c r="A269" s="0" t="s">
        <v>564</v>
      </c>
      <c r="B269" s="0" t="s">
        <v>197</v>
      </c>
      <c r="C269" s="9" t="n">
        <f aca="false">a25_soc</f>
        <v>1889.7</v>
      </c>
      <c r="D269" s="9" t="n">
        <f aca="false">f26_soc</f>
        <v>3249.32</v>
      </c>
      <c r="E269" s="9" t="n">
        <f aca="false">E266*1000*E268</f>
        <v>4553.28927199682</v>
      </c>
      <c r="F269" s="9" t="n">
        <f aca="false">F266*1000*F268</f>
        <v>5110.05304133396</v>
      </c>
      <c r="G269" s="9" t="n">
        <f aca="false">G266*1000*G268</f>
        <v>5682.22655031439</v>
      </c>
      <c r="H269" s="4" t="s">
        <v>565</v>
      </c>
    </row>
    <row r="270" customFormat="false" ht="15" hidden="false" customHeight="false" outlineLevel="0" collapsed="false">
      <c r="A270" s="4" t="s">
        <v>566</v>
      </c>
      <c r="B270" s="0" t="s">
        <v>99</v>
      </c>
      <c r="C270" s="11" t="n">
        <f aca="false">a25_mem/(C267*1000)</f>
        <v>0.240428571428571</v>
      </c>
      <c r="D270" s="11" t="n">
        <f aca="false">f26_mem/(D267*1000)</f>
        <v>0.316756363636364</v>
      </c>
      <c r="E270" s="11" t="n">
        <f aca="false">s_mem</f>
        <v>0.316756363636364</v>
      </c>
      <c r="F270" s="11" t="n">
        <f aca="false">s_mem</f>
        <v>0.316756363636364</v>
      </c>
      <c r="G270" s="11" t="n">
        <f aca="false">s_mem</f>
        <v>0.316756363636364</v>
      </c>
    </row>
    <row r="271" customFormat="false" ht="15" hidden="false" customHeight="false" outlineLevel="0" collapsed="false">
      <c r="A271" s="4" t="s">
        <v>567</v>
      </c>
      <c r="B271" s="0" t="s">
        <v>197</v>
      </c>
      <c r="C271" s="9" t="n">
        <f aca="false">a25_mem</f>
        <v>504.9</v>
      </c>
      <c r="D271" s="9" t="n">
        <f aca="false">f26_mem</f>
        <v>871.08</v>
      </c>
      <c r="E271" s="9" t="n">
        <f aca="false">E267*1000*E270</f>
        <v>1229.03815740701</v>
      </c>
      <c r="F271" s="9" t="n">
        <f aca="false">F267*1000*F270</f>
        <v>1598.37698407805</v>
      </c>
      <c r="G271" s="9" t="n">
        <f aca="false">G267*1000*G270</f>
        <v>1964.5982985185</v>
      </c>
    </row>
    <row r="272" customFormat="false" ht="17.15" hidden="false" customHeight="false" outlineLevel="0" collapsed="false">
      <c r="A272" s="0" t="s">
        <v>568</v>
      </c>
      <c r="B272" s="0" t="s">
        <v>197</v>
      </c>
      <c r="C272" s="9" t="n">
        <f aca="false">a25_ist</f>
        <v>129.2</v>
      </c>
      <c r="D272" s="9" t="n">
        <f aca="false">f26_ist</f>
        <v>195.51</v>
      </c>
      <c r="E272" s="9" t="n">
        <f aca="false">$D272*E266/$D266</f>
        <v>273.969195267963</v>
      </c>
      <c r="F272" s="9" t="n">
        <f aca="false">$D272*F266/$D266</f>
        <v>307.469399785556</v>
      </c>
      <c r="G272" s="9" t="n">
        <f aca="false">$D272*G266/$D266</f>
        <v>341.896800823547</v>
      </c>
      <c r="H272" s="8" t="s">
        <v>569</v>
      </c>
    </row>
    <row r="273" customFormat="false" ht="15" hidden="false" customHeight="false" outlineLevel="0" collapsed="false">
      <c r="A273" s="4" t="s">
        <v>570</v>
      </c>
      <c r="B273" s="0" t="s">
        <v>197</v>
      </c>
      <c r="C273" s="9" t="n">
        <f aca="false">C269+C271+C272</f>
        <v>2523.8</v>
      </c>
      <c r="D273" s="9" t="n">
        <f aca="false">D269+D271+D272</f>
        <v>4315.91</v>
      </c>
      <c r="E273" s="9" t="n">
        <f aca="false">E269+E271+E272</f>
        <v>6056.29662467179</v>
      </c>
      <c r="F273" s="9" t="n">
        <f aca="false">F269+F271+F272</f>
        <v>7015.89942519757</v>
      </c>
      <c r="G273" s="9" t="n">
        <f aca="false">G269+G271+G272</f>
        <v>7988.72164965644</v>
      </c>
    </row>
    <row r="274" customFormat="false" ht="17.15" hidden="false" customHeight="false" outlineLevel="0" collapsed="false">
      <c r="A274" s="0" t="s">
        <v>571</v>
      </c>
      <c r="B274" s="0" t="s">
        <v>197</v>
      </c>
      <c r="C274" s="9" t="n">
        <f aca="false">a25_pt</f>
        <v>358</v>
      </c>
      <c r="D274" s="9" t="n">
        <f aca="false">f26_pt</f>
        <v>394.17</v>
      </c>
      <c r="E274" s="9" t="n">
        <f aca="false">D274*(1+g_pt_A_lo)</f>
        <v>409.9368</v>
      </c>
      <c r="F274" s="9" t="n">
        <f aca="false">E274*(1+g_pt_A_lo)</f>
        <v>426.334272</v>
      </c>
      <c r="G274" s="9" t="n">
        <f aca="false">F274*(1+g_pt_A_lo)</f>
        <v>443.38764288</v>
      </c>
    </row>
    <row r="275" customFormat="false" ht="17.15" hidden="false" customHeight="false" outlineLevel="0" collapsed="false">
      <c r="A275" s="4" t="s">
        <v>512</v>
      </c>
      <c r="B275" s="0" t="s">
        <v>197</v>
      </c>
      <c r="C275" s="9" t="n">
        <f aca="false">C273+C274</f>
        <v>2881.8</v>
      </c>
      <c r="D275" s="9" t="n">
        <f aca="false">D273+D274</f>
        <v>4710.08</v>
      </c>
      <c r="E275" s="9" t="n">
        <f aca="false">E273+E274</f>
        <v>6466.23342467179</v>
      </c>
      <c r="F275" s="9" t="n">
        <f aca="false">F273+F274</f>
        <v>7442.23369719757</v>
      </c>
      <c r="G275" s="9" t="n">
        <f aca="false">G273+G274</f>
        <v>8432.10929253644</v>
      </c>
    </row>
    <row r="276" customFormat="false" ht="17.15" hidden="false" customHeight="false" outlineLevel="0" collapsed="false">
      <c r="A276" s="4" t="s">
        <v>572</v>
      </c>
      <c r="B276" s="0" t="s">
        <v>197</v>
      </c>
      <c r="C276" s="9" t="n">
        <f aca="false">a25_ttest</f>
        <v>761.4</v>
      </c>
      <c r="D276" s="9" t="n">
        <f aca="false">f26_ttest</f>
        <v>1643.83073654536</v>
      </c>
      <c r="E276" s="9" t="n">
        <f aca="false">t_inc*E275-t_fix+0*E275</f>
        <v>2491.44913198796</v>
      </c>
      <c r="F276" s="9" t="n">
        <f aca="false">t_inc*F275-t_fix+0*F275</f>
        <v>2962.52174633225</v>
      </c>
      <c r="G276" s="9" t="n">
        <f aca="false">t_inc*G275-t_fix+0*G275</f>
        <v>3440.29137170865</v>
      </c>
      <c r="H276" s="4" t="s">
        <v>573</v>
      </c>
    </row>
    <row r="277" customFormat="false" ht="15" hidden="false" customHeight="false" outlineLevel="0" collapsed="false">
      <c r="A277" s="4" t="s">
        <v>574</v>
      </c>
      <c r="B277" s="0" t="s">
        <v>99</v>
      </c>
      <c r="C277" s="11" t="n">
        <f aca="false">C276/C275</f>
        <v>0.26420986883198</v>
      </c>
      <c r="D277" s="11" t="n">
        <f aca="false">D276/D275</f>
        <v>0.349002721088678</v>
      </c>
      <c r="E277" s="11" t="n">
        <f aca="false">E276/E275</f>
        <v>0.385301452694528</v>
      </c>
      <c r="F277" s="11" t="n">
        <f aca="false">F276/F275</f>
        <v>0.39806889528984</v>
      </c>
      <c r="G277" s="11" t="n">
        <f aca="false">G276/G275</f>
        <v>0.407998906602619</v>
      </c>
    </row>
    <row r="278" customFormat="false" ht="17.15" hidden="false" customHeight="false" outlineLevel="0" collapsed="false">
      <c r="A278" s="4" t="s">
        <v>575</v>
      </c>
      <c r="B278" s="0" t="s">
        <v>197</v>
      </c>
      <c r="C278" s="9" t="n">
        <f aca="false">a25_rob</f>
        <v>308.3</v>
      </c>
      <c r="D278" s="9" t="n">
        <f aca="false">f26_rob</f>
        <v>401.52</v>
      </c>
      <c r="E278" s="9" t="n">
        <f aca="false">D278*(1+g_rob)</f>
        <v>441.672</v>
      </c>
      <c r="F278" s="9" t="n">
        <f aca="false">E278*(1+g_rob)</f>
        <v>485.8392</v>
      </c>
      <c r="G278" s="9" t="n">
        <f aca="false">F278*(1+g_rob)</f>
        <v>534.42312</v>
      </c>
    </row>
    <row r="279" customFormat="false" ht="15" hidden="false" customHeight="false" outlineLevel="0" collapsed="false">
      <c r="A279" s="4" t="s">
        <v>520</v>
      </c>
      <c r="B279" s="0" t="s">
        <v>197</v>
      </c>
      <c r="C279" s="9" t="n">
        <f aca="false">a25_trob</f>
        <v>-99.4</v>
      </c>
      <c r="D279" s="9" t="n">
        <f aca="false">f26_trob</f>
        <v>-3.5</v>
      </c>
      <c r="E279" s="9" t="n">
        <f aca="false">E278*rm_2027</f>
        <v>8.83344</v>
      </c>
      <c r="F279" s="9" t="n">
        <f aca="false">F278*rm_2028</f>
        <v>19.433568</v>
      </c>
      <c r="G279" s="9" t="n">
        <f aca="false">G278*rm_2029</f>
        <v>26.721156</v>
      </c>
    </row>
    <row r="280" customFormat="false" ht="15" hidden="false" customHeight="false" outlineLevel="0" collapsed="false">
      <c r="A280" s="4" t="s">
        <v>500</v>
      </c>
      <c r="B280" s="0" t="s">
        <v>197</v>
      </c>
      <c r="C280" s="9" t="n">
        <f aca="false">a25_corp</f>
        <v>-8.8</v>
      </c>
      <c r="D280" s="9" t="n">
        <f aca="false">f26_corp</f>
        <v>-10.4</v>
      </c>
      <c r="E280" s="9" t="n">
        <f aca="false">corp</f>
        <v>-10.4</v>
      </c>
      <c r="F280" s="9" t="n">
        <f aca="false">corp</f>
        <v>-10.4</v>
      </c>
      <c r="G280" s="9" t="n">
        <f aca="false">corp</f>
        <v>-10.4</v>
      </c>
    </row>
    <row r="281" customFormat="false" ht="15" hidden="false" customHeight="false" outlineLevel="0" collapsed="false">
      <c r="A281" s="4" t="s">
        <v>474</v>
      </c>
      <c r="B281" s="0" t="s">
        <v>197</v>
      </c>
      <c r="C281" s="9" t="n">
        <f aca="false">C275+C278</f>
        <v>3190.1</v>
      </c>
      <c r="D281" s="9" t="n">
        <f aca="false">D275+D278</f>
        <v>5111.6</v>
      </c>
      <c r="E281" s="9" t="n">
        <f aca="false">E275+E278</f>
        <v>6907.90542467179</v>
      </c>
      <c r="F281" s="9" t="n">
        <f aca="false">F275+F278</f>
        <v>7928.07289719757</v>
      </c>
      <c r="G281" s="9" t="n">
        <f aca="false">G275+G278</f>
        <v>8966.53241253644</v>
      </c>
    </row>
    <row r="282" customFormat="false" ht="17.15" hidden="false" customHeight="false" outlineLevel="0" collapsed="false">
      <c r="A282" s="4" t="s">
        <v>576</v>
      </c>
      <c r="B282" s="0" t="s">
        <v>197</v>
      </c>
      <c r="C282" s="9" t="n">
        <f aca="false">ROUND(C273+C274+C278-a25_rev,0)</f>
        <v>0</v>
      </c>
      <c r="D282" s="9" t="n">
        <f aca="false">ROUND(D273+D274+D278-f26_rev,0)</f>
        <v>0</v>
      </c>
      <c r="H282" s="8" t="s">
        <v>577</v>
      </c>
    </row>
    <row r="283" customFormat="false" ht="15" hidden="false" customHeight="false" outlineLevel="0" collapsed="false">
      <c r="A283" s="4" t="s">
        <v>553</v>
      </c>
      <c r="B283" s="0" t="s">
        <v>197</v>
      </c>
      <c r="C283" s="9" t="n">
        <f aca="false">C276+C279+C280</f>
        <v>653.2</v>
      </c>
      <c r="D283" s="9" t="n">
        <f aca="false">D276+D279+D280</f>
        <v>1629.93073654536</v>
      </c>
      <c r="E283" s="9" t="n">
        <f aca="false">E276+E279+E280</f>
        <v>2489.88257198796</v>
      </c>
      <c r="F283" s="9" t="n">
        <f aca="false">F276+F279+F280</f>
        <v>2971.55531433225</v>
      </c>
      <c r="G283" s="9" t="n">
        <f aca="false">G276+G279+G280</f>
        <v>3456.61252770865</v>
      </c>
    </row>
    <row r="284" customFormat="false" ht="15" hidden="false" customHeight="false" outlineLevel="0" collapsed="false">
      <c r="A284" s="4" t="s">
        <v>554</v>
      </c>
      <c r="B284" s="0" t="s">
        <v>99</v>
      </c>
      <c r="C284" s="11" t="n">
        <f aca="false">C283/C281</f>
        <v>0.204758471521269</v>
      </c>
      <c r="D284" s="11" t="n">
        <f aca="false">D283/D281</f>
        <v>0.318868991420565</v>
      </c>
      <c r="E284" s="11" t="n">
        <f aca="false">E283/E281</f>
        <v>0.360439586085714</v>
      </c>
      <c r="F284" s="11" t="n">
        <f aca="false">F283/F281</f>
        <v>0.374814327878172</v>
      </c>
      <c r="G284" s="11" t="n">
        <f aca="false">G283/G281</f>
        <v>0.385501592887328</v>
      </c>
    </row>
    <row r="285" customFormat="false" ht="15" hidden="false" customHeight="false" outlineLevel="0" collapsed="false">
      <c r="A285" s="4" t="s">
        <v>486</v>
      </c>
      <c r="B285" s="0" t="s">
        <v>197</v>
      </c>
      <c r="C285" s="9" t="n">
        <f aca="false">a25_tax</f>
        <v>79.3</v>
      </c>
      <c r="D285" s="9" t="n">
        <f aca="false">f26_tax</f>
        <v>231.054736545361</v>
      </c>
      <c r="E285" s="9" t="n">
        <f aca="false">E283*etr</f>
        <v>352.959269250245</v>
      </c>
      <c r="F285" s="9" t="n">
        <f aca="false">F283*etr</f>
        <v>421.239942832319</v>
      </c>
      <c r="G285" s="9" t="n">
        <f aca="false">G283*etr</f>
        <v>490.000390214061</v>
      </c>
    </row>
    <row r="286" customFormat="false" ht="17.15" hidden="false" customHeight="false" outlineLevel="0" collapsed="false">
      <c r="A286" s="4" t="s">
        <v>487</v>
      </c>
      <c r="B286" s="0" t="s">
        <v>197</v>
      </c>
      <c r="C286" s="9" t="n">
        <f aca="false">a25_aff</f>
        <v>-19.9</v>
      </c>
      <c r="D286" s="9" t="n">
        <f aca="false">f26_aff</f>
        <v>-13.2</v>
      </c>
      <c r="E286" s="9" t="n">
        <f aca="false">aff</f>
        <v>-13.2</v>
      </c>
      <c r="F286" s="9" t="n">
        <f aca="false">aff</f>
        <v>-13.2</v>
      </c>
      <c r="G286" s="9" t="n">
        <f aca="false">aff</f>
        <v>-13.2</v>
      </c>
    </row>
    <row r="287" customFormat="false" ht="17.15" hidden="false" customHeight="false" outlineLevel="0" collapsed="false">
      <c r="A287" s="4" t="s">
        <v>555</v>
      </c>
      <c r="B287" s="0" t="s">
        <v>197</v>
      </c>
      <c r="C287" s="9" t="n">
        <f aca="false">a25_ni</f>
        <v>554</v>
      </c>
      <c r="D287" s="9" t="n">
        <f aca="false">f26_ni</f>
        <v>1385.276</v>
      </c>
      <c r="E287" s="9" t="n">
        <f aca="false">E283-E285+E286</f>
        <v>2123.72330273771</v>
      </c>
      <c r="F287" s="9" t="n">
        <f aca="false">F283-F285+F286</f>
        <v>2537.11537149994</v>
      </c>
      <c r="G287" s="9" t="n">
        <f aca="false">G283-G285+G286</f>
        <v>2953.41213749459</v>
      </c>
      <c r="H287" s="8" t="s">
        <v>578</v>
      </c>
    </row>
    <row r="288" customFormat="false" ht="15" hidden="false" customHeight="false" outlineLevel="0" collapsed="false">
      <c r="A288" s="4" t="s">
        <v>579</v>
      </c>
      <c r="B288" s="4" t="s">
        <v>259</v>
      </c>
      <c r="C288" s="9" t="n">
        <f aca="false">a25_dsh</f>
        <v>159.7</v>
      </c>
      <c r="D288" s="9" t="n">
        <f aca="false">sh26</f>
        <v>157.7</v>
      </c>
      <c r="E288" s="9" t="n">
        <f aca="false">sh26*(1-bb)^1</f>
        <v>156.123</v>
      </c>
      <c r="F288" s="9" t="n">
        <f aca="false">sh26*(1-bb)^2</f>
        <v>154.56177</v>
      </c>
      <c r="G288" s="9" t="n">
        <f aca="false">sh26*(1-bb)^3</f>
        <v>153.0161523</v>
      </c>
    </row>
    <row r="289" customFormat="false" ht="17.15" hidden="false" customHeight="false" outlineLevel="0" collapsed="false">
      <c r="A289" s="0" t="s">
        <v>489</v>
      </c>
      <c r="B289" s="0" t="s">
        <v>202</v>
      </c>
      <c r="C289" s="18" t="n">
        <f aca="false">a25_eps</f>
        <v>3.47</v>
      </c>
      <c r="D289" s="18" t="n">
        <f aca="false">D287/D288</f>
        <v>8.78424857324033</v>
      </c>
      <c r="E289" s="18" t="n">
        <f aca="false">E287/E288</f>
        <v>13.6028855629069</v>
      </c>
      <c r="F289" s="18" t="n">
        <f aca="false">F287/F288</f>
        <v>16.4148959441907</v>
      </c>
      <c r="G289" s="18" t="n">
        <f aca="false">G287/G288</f>
        <v>19.3013096532724</v>
      </c>
    </row>
    <row r="290" customFormat="false" ht="17.15" hidden="false" customHeight="false" outlineLevel="0" collapsed="false">
      <c r="A290" s="0" t="s">
        <v>580</v>
      </c>
      <c r="B290" s="0" t="s">
        <v>99</v>
      </c>
      <c r="C290" s="11" t="n">
        <f aca="false">C269/C281</f>
        <v>0.592363875740573</v>
      </c>
      <c r="D290" s="11" t="n">
        <f aca="false">D269/D281</f>
        <v>0.635675717974802</v>
      </c>
      <c r="E290" s="11" t="n">
        <f aca="false">E269/E281</f>
        <v>0.659141808128207</v>
      </c>
      <c r="F290" s="11" t="n">
        <f aca="false">F269/F281</f>
        <v>0.644551722416714</v>
      </c>
      <c r="G290" s="11" t="n">
        <f aca="false">G269/G281</f>
        <v>0.633715051581129</v>
      </c>
    </row>
    <row r="291" customFormat="false" ht="17.15" hidden="false" customHeight="false" outlineLevel="0" collapsed="false">
      <c r="A291" s="4" t="s">
        <v>581</v>
      </c>
      <c r="B291" s="0" t="s">
        <v>99</v>
      </c>
      <c r="C291" s="11" t="n">
        <f aca="false">a25_gp/a25_rev</f>
        <v>0.582225705329154</v>
      </c>
      <c r="D291" s="11" t="n">
        <f aca="false">f26_gm</f>
        <v>0.594365646092145</v>
      </c>
      <c r="E291" s="11" t="n">
        <f aca="false">f26_gm+(Q!J13-a25_gp/a25_rev)/(Q!J4/Q!J10-a25_soc/a25_rev)*(E290-D290)</f>
        <v>0.601640353760014</v>
      </c>
      <c r="F291" s="11" t="n">
        <f aca="false">f26_gm+(Q!J13-a25_gp/a25_rev)/(Q!J4/Q!J10-a25_soc/a25_rev)*(F290-D290)</f>
        <v>0.597117290577933</v>
      </c>
      <c r="G291" s="11" t="n">
        <f aca="false">f26_gm+(Q!J13-a25_gp/a25_rev)/(Q!J4/Q!J10-a25_soc/a25_rev)*(G290-D290)</f>
        <v>0.593757821151776</v>
      </c>
      <c r="H291" s="8" t="s">
        <v>582</v>
      </c>
    </row>
    <row r="296" customFormat="false" ht="17.15" hidden="false" customHeight="false" outlineLevel="0" collapsed="false">
      <c r="A296" s="1" t="s">
        <v>891</v>
      </c>
    </row>
    <row r="297" customFormat="false" ht="17.15" hidden="false" customHeight="false" outlineLevel="0" collapsed="false">
      <c r="A297" s="5" t="s">
        <v>21</v>
      </c>
      <c r="B297" s="5" t="s">
        <v>22</v>
      </c>
      <c r="C297" s="15" t="s">
        <v>545</v>
      </c>
      <c r="D297" s="15" t="s">
        <v>559</v>
      </c>
      <c r="E297" s="15" t="s">
        <v>546</v>
      </c>
      <c r="F297" s="15" t="s">
        <v>547</v>
      </c>
      <c r="G297" s="15" t="s">
        <v>548</v>
      </c>
      <c r="H297" s="5" t="s">
        <v>374</v>
      </c>
    </row>
    <row r="298" customFormat="false" ht="17.15" hidden="false" customHeight="false" outlineLevel="0" collapsed="false">
      <c r="A298" s="0" t="s">
        <v>560</v>
      </c>
      <c r="B298" s="0" t="s">
        <v>32</v>
      </c>
      <c r="C298" s="18" t="n">
        <f aca="false">mk_soc25</f>
        <v>6.9</v>
      </c>
      <c r="D298" s="18" t="n">
        <f aca="false">ms_A_2026</f>
        <v>11</v>
      </c>
      <c r="E298" s="18" t="n">
        <f aca="false">ms_A_2027*m_soc</f>
        <v>15.4143580786026</v>
      </c>
      <c r="F298" s="18" t="n">
        <f aca="false">ms_A_2028*m_soc</f>
        <v>17.2991836614041</v>
      </c>
      <c r="G298" s="18" t="n">
        <f aca="false">ms_A_2029*m_soc</f>
        <v>19.2361762010077</v>
      </c>
    </row>
    <row r="299" customFormat="false" ht="17.15" hidden="false" customHeight="false" outlineLevel="0" collapsed="false">
      <c r="A299" s="4" t="s">
        <v>561</v>
      </c>
      <c r="B299" s="0" t="s">
        <v>32</v>
      </c>
      <c r="C299" s="18" t="n">
        <f aca="false">mk_mem25</f>
        <v>2.1</v>
      </c>
      <c r="D299" s="18" t="n">
        <f aca="false">mm_A_2026</f>
        <v>2.75</v>
      </c>
      <c r="E299" s="18" t="n">
        <f aca="false">mm_A_2027</f>
        <v>3.88007408374579</v>
      </c>
      <c r="F299" s="18" t="n">
        <f aca="false">mm_A_2028</f>
        <v>5.04607694610671</v>
      </c>
      <c r="G299" s="18" t="n">
        <f aca="false">mm_A_2029</f>
        <v>6.20223782078096</v>
      </c>
    </row>
    <row r="300" customFormat="false" ht="17.15" hidden="false" customHeight="false" outlineLevel="0" collapsed="false">
      <c r="A300" s="4" t="s">
        <v>562</v>
      </c>
      <c r="B300" s="0" t="s">
        <v>99</v>
      </c>
      <c r="C300" s="11" t="n">
        <f aca="false">a25_soc/(C298*1000)</f>
        <v>0.273869565217391</v>
      </c>
      <c r="D300" s="11" t="n">
        <f aca="false">f26_soc/(D298*1000)</f>
        <v>0.295392727272727</v>
      </c>
      <c r="E300" s="11" t="n">
        <f aca="false">s_soc</f>
        <v>0.295392727272727</v>
      </c>
      <c r="F300" s="11" t="n">
        <f aca="false">s_soc</f>
        <v>0.295392727272727</v>
      </c>
      <c r="G300" s="11" t="n">
        <f aca="false">s_soc</f>
        <v>0.295392727272727</v>
      </c>
      <c r="H300" s="8" t="s">
        <v>563</v>
      </c>
    </row>
    <row r="301" customFormat="false" ht="17.15" hidden="false" customHeight="false" outlineLevel="0" collapsed="false">
      <c r="A301" s="0" t="s">
        <v>564</v>
      </c>
      <c r="B301" s="0" t="s">
        <v>197</v>
      </c>
      <c r="C301" s="9" t="n">
        <f aca="false">a25_soc</f>
        <v>1889.7</v>
      </c>
      <c r="D301" s="9" t="n">
        <f aca="false">f26_soc</f>
        <v>3249.32</v>
      </c>
      <c r="E301" s="9" t="n">
        <f aca="false">E298*1000*E300</f>
        <v>4553.28927199682</v>
      </c>
      <c r="F301" s="9" t="n">
        <f aca="false">F298*1000*F300</f>
        <v>5110.05304133396</v>
      </c>
      <c r="G301" s="9" t="n">
        <f aca="false">G298*1000*G300</f>
        <v>5682.22655031439</v>
      </c>
      <c r="H301" s="4" t="s">
        <v>565</v>
      </c>
    </row>
    <row r="302" customFormat="false" ht="15" hidden="false" customHeight="false" outlineLevel="0" collapsed="false">
      <c r="A302" s="4" t="s">
        <v>566</v>
      </c>
      <c r="B302" s="0" t="s">
        <v>99</v>
      </c>
      <c r="C302" s="11" t="n">
        <f aca="false">a25_mem/(C299*1000)</f>
        <v>0.240428571428571</v>
      </c>
      <c r="D302" s="11" t="n">
        <f aca="false">f26_mem/(D299*1000)</f>
        <v>0.316756363636364</v>
      </c>
      <c r="E302" s="11" t="n">
        <f aca="false">s_mem</f>
        <v>0.316756363636364</v>
      </c>
      <c r="F302" s="11" t="n">
        <f aca="false">s_mem</f>
        <v>0.316756363636364</v>
      </c>
      <c r="G302" s="11" t="n">
        <f aca="false">s_mem</f>
        <v>0.316756363636364</v>
      </c>
    </row>
    <row r="303" customFormat="false" ht="15" hidden="false" customHeight="false" outlineLevel="0" collapsed="false">
      <c r="A303" s="4" t="s">
        <v>567</v>
      </c>
      <c r="B303" s="0" t="s">
        <v>197</v>
      </c>
      <c r="C303" s="9" t="n">
        <f aca="false">a25_mem</f>
        <v>504.9</v>
      </c>
      <c r="D303" s="9" t="n">
        <f aca="false">f26_mem</f>
        <v>871.08</v>
      </c>
      <c r="E303" s="9" t="n">
        <f aca="false">E299*1000*E302</f>
        <v>1229.03815740701</v>
      </c>
      <c r="F303" s="9" t="n">
        <f aca="false">F299*1000*F302</f>
        <v>1598.37698407805</v>
      </c>
      <c r="G303" s="9" t="n">
        <f aca="false">G299*1000*G302</f>
        <v>1964.5982985185</v>
      </c>
    </row>
    <row r="304" customFormat="false" ht="17.15" hidden="false" customHeight="false" outlineLevel="0" collapsed="false">
      <c r="A304" s="0" t="s">
        <v>568</v>
      </c>
      <c r="B304" s="0" t="s">
        <v>197</v>
      </c>
      <c r="C304" s="9" t="n">
        <f aca="false">a25_ist</f>
        <v>129.2</v>
      </c>
      <c r="D304" s="9" t="n">
        <f aca="false">f26_ist</f>
        <v>195.51</v>
      </c>
      <c r="E304" s="9" t="n">
        <f aca="false">$D304*E298/$D298</f>
        <v>273.969195267963</v>
      </c>
      <c r="F304" s="9" t="n">
        <f aca="false">$D304*F298/$D298</f>
        <v>307.469399785556</v>
      </c>
      <c r="G304" s="9" t="n">
        <f aca="false">$D304*G298/$D298</f>
        <v>341.896800823547</v>
      </c>
      <c r="H304" s="8" t="s">
        <v>569</v>
      </c>
    </row>
    <row r="305" customFormat="false" ht="15" hidden="false" customHeight="false" outlineLevel="0" collapsed="false">
      <c r="A305" s="4" t="s">
        <v>570</v>
      </c>
      <c r="B305" s="0" t="s">
        <v>197</v>
      </c>
      <c r="C305" s="9" t="n">
        <f aca="false">C301+C303+C304</f>
        <v>2523.8</v>
      </c>
      <c r="D305" s="9" t="n">
        <f aca="false">D301+D303+D304</f>
        <v>4315.91</v>
      </c>
      <c r="E305" s="9" t="n">
        <f aca="false">E301+E303+E304</f>
        <v>6056.29662467179</v>
      </c>
      <c r="F305" s="9" t="n">
        <f aca="false">F301+F303+F304</f>
        <v>7015.89942519757</v>
      </c>
      <c r="G305" s="9" t="n">
        <f aca="false">G301+G303+G304</f>
        <v>7988.72164965644</v>
      </c>
    </row>
    <row r="306" customFormat="false" ht="17.15" hidden="false" customHeight="false" outlineLevel="0" collapsed="false">
      <c r="A306" s="0" t="s">
        <v>571</v>
      </c>
      <c r="B306" s="0" t="s">
        <v>197</v>
      </c>
      <c r="C306" s="9" t="n">
        <f aca="false">a25_pt</f>
        <v>358</v>
      </c>
      <c r="D306" s="9" t="n">
        <f aca="false">f26_pt</f>
        <v>394.17</v>
      </c>
      <c r="E306" s="9" t="n">
        <f aca="false">D306*(1+g_pt_A_hi)</f>
        <v>441.4704</v>
      </c>
      <c r="F306" s="9" t="n">
        <f aca="false">E306*(1+g_pt_A_hi)</f>
        <v>494.446848</v>
      </c>
      <c r="G306" s="9" t="n">
        <f aca="false">F306*(1+g_pt_A_hi)</f>
        <v>553.78046976</v>
      </c>
    </row>
    <row r="307" customFormat="false" ht="17.15" hidden="false" customHeight="false" outlineLevel="0" collapsed="false">
      <c r="A307" s="4" t="s">
        <v>512</v>
      </c>
      <c r="B307" s="0" t="s">
        <v>197</v>
      </c>
      <c r="C307" s="9" t="n">
        <f aca="false">C305+C306</f>
        <v>2881.8</v>
      </c>
      <c r="D307" s="9" t="n">
        <f aca="false">D305+D306</f>
        <v>4710.08</v>
      </c>
      <c r="E307" s="9" t="n">
        <f aca="false">E305+E306</f>
        <v>6497.76702467179</v>
      </c>
      <c r="F307" s="9" t="n">
        <f aca="false">F305+F306</f>
        <v>7510.34627319757</v>
      </c>
      <c r="G307" s="9" t="n">
        <f aca="false">G305+G306</f>
        <v>8542.50211941644</v>
      </c>
    </row>
    <row r="308" customFormat="false" ht="17.15" hidden="false" customHeight="false" outlineLevel="0" collapsed="false">
      <c r="A308" s="4" t="s">
        <v>572</v>
      </c>
      <c r="B308" s="0" t="s">
        <v>197</v>
      </c>
      <c r="C308" s="9" t="n">
        <f aca="false">a25_ttest</f>
        <v>761.4</v>
      </c>
      <c r="D308" s="9" t="n">
        <f aca="false">f26_ttest</f>
        <v>1643.83073654536</v>
      </c>
      <c r="E308" s="9" t="n">
        <f aca="false">t_inc*E307-t_fix+0*E307</f>
        <v>2506.6690205575</v>
      </c>
      <c r="F308" s="9" t="n">
        <f aca="false">t_inc*F307-t_fix+0*F307</f>
        <v>2995.39670564247</v>
      </c>
      <c r="G308" s="9" t="n">
        <f aca="false">t_inc*G307-t_fix+0*G307</f>
        <v>3493.57315761291</v>
      </c>
      <c r="H308" s="4" t="s">
        <v>573</v>
      </c>
    </row>
    <row r="309" customFormat="false" ht="15" hidden="false" customHeight="false" outlineLevel="0" collapsed="false">
      <c r="A309" s="4" t="s">
        <v>574</v>
      </c>
      <c r="B309" s="0" t="s">
        <v>99</v>
      </c>
      <c r="C309" s="11" t="n">
        <f aca="false">C308/C307</f>
        <v>0.26420986883198</v>
      </c>
      <c r="D309" s="11" t="n">
        <f aca="false">D308/D307</f>
        <v>0.349002721088678</v>
      </c>
      <c r="E309" s="11" t="n">
        <f aca="false">E308/E307</f>
        <v>0.385773914490896</v>
      </c>
      <c r="F309" s="11" t="n">
        <f aca="false">F308/F307</f>
        <v>0.398836031879415</v>
      </c>
      <c r="G309" s="11" t="n">
        <f aca="false">G308/G307</f>
        <v>0.408963686373843</v>
      </c>
    </row>
    <row r="310" customFormat="false" ht="17.15" hidden="false" customHeight="false" outlineLevel="0" collapsed="false">
      <c r="A310" s="4" t="s">
        <v>575</v>
      </c>
      <c r="B310" s="0" t="s">
        <v>197</v>
      </c>
      <c r="C310" s="9" t="n">
        <f aca="false">a25_rob</f>
        <v>308.3</v>
      </c>
      <c r="D310" s="9" t="n">
        <f aca="false">f26_rob</f>
        <v>401.52</v>
      </c>
      <c r="E310" s="9" t="n">
        <f aca="false">D310*(1+g_rob)</f>
        <v>441.672</v>
      </c>
      <c r="F310" s="9" t="n">
        <f aca="false">E310*(1+g_rob)</f>
        <v>485.8392</v>
      </c>
      <c r="G310" s="9" t="n">
        <f aca="false">F310*(1+g_rob)</f>
        <v>534.42312</v>
      </c>
    </row>
    <row r="311" customFormat="false" ht="15" hidden="false" customHeight="false" outlineLevel="0" collapsed="false">
      <c r="A311" s="4" t="s">
        <v>520</v>
      </c>
      <c r="B311" s="0" t="s">
        <v>197</v>
      </c>
      <c r="C311" s="9" t="n">
        <f aca="false">a25_trob</f>
        <v>-99.4</v>
      </c>
      <c r="D311" s="9" t="n">
        <f aca="false">f26_trob</f>
        <v>-3.5</v>
      </c>
      <c r="E311" s="9" t="n">
        <f aca="false">E310*rm_2027</f>
        <v>8.83344</v>
      </c>
      <c r="F311" s="9" t="n">
        <f aca="false">F310*rm_2028</f>
        <v>19.433568</v>
      </c>
      <c r="G311" s="9" t="n">
        <f aca="false">G310*rm_2029</f>
        <v>26.721156</v>
      </c>
    </row>
    <row r="312" customFormat="false" ht="15" hidden="false" customHeight="false" outlineLevel="0" collapsed="false">
      <c r="A312" s="4" t="s">
        <v>500</v>
      </c>
      <c r="B312" s="0" t="s">
        <v>197</v>
      </c>
      <c r="C312" s="9" t="n">
        <f aca="false">a25_corp</f>
        <v>-8.8</v>
      </c>
      <c r="D312" s="9" t="n">
        <f aca="false">f26_corp</f>
        <v>-10.4</v>
      </c>
      <c r="E312" s="9" t="n">
        <f aca="false">corp</f>
        <v>-10.4</v>
      </c>
      <c r="F312" s="9" t="n">
        <f aca="false">corp</f>
        <v>-10.4</v>
      </c>
      <c r="G312" s="9" t="n">
        <f aca="false">corp</f>
        <v>-10.4</v>
      </c>
    </row>
    <row r="313" customFormat="false" ht="15" hidden="false" customHeight="false" outlineLevel="0" collapsed="false">
      <c r="A313" s="4" t="s">
        <v>474</v>
      </c>
      <c r="B313" s="0" t="s">
        <v>197</v>
      </c>
      <c r="C313" s="9" t="n">
        <f aca="false">C307+C310</f>
        <v>3190.1</v>
      </c>
      <c r="D313" s="9" t="n">
        <f aca="false">D307+D310</f>
        <v>5111.6</v>
      </c>
      <c r="E313" s="9" t="n">
        <f aca="false">E307+E310</f>
        <v>6939.43902467179</v>
      </c>
      <c r="F313" s="9" t="n">
        <f aca="false">F307+F310</f>
        <v>7996.18547319757</v>
      </c>
      <c r="G313" s="9" t="n">
        <f aca="false">G307+G310</f>
        <v>9076.92523941644</v>
      </c>
    </row>
    <row r="314" customFormat="false" ht="17.15" hidden="false" customHeight="false" outlineLevel="0" collapsed="false">
      <c r="A314" s="4" t="s">
        <v>576</v>
      </c>
      <c r="B314" s="0" t="s">
        <v>197</v>
      </c>
      <c r="C314" s="9" t="n">
        <f aca="false">ROUND(C305+C306+C310-a25_rev,0)</f>
        <v>0</v>
      </c>
      <c r="D314" s="9" t="n">
        <f aca="false">ROUND(D305+D306+D310-f26_rev,0)</f>
        <v>0</v>
      </c>
      <c r="H314" s="8" t="s">
        <v>577</v>
      </c>
    </row>
    <row r="315" customFormat="false" ht="15" hidden="false" customHeight="false" outlineLevel="0" collapsed="false">
      <c r="A315" s="4" t="s">
        <v>553</v>
      </c>
      <c r="B315" s="0" t="s">
        <v>197</v>
      </c>
      <c r="C315" s="9" t="n">
        <f aca="false">C308+C311+C312</f>
        <v>653.2</v>
      </c>
      <c r="D315" s="9" t="n">
        <f aca="false">D308+D311+D312</f>
        <v>1629.93073654536</v>
      </c>
      <c r="E315" s="9" t="n">
        <f aca="false">E308+E311+E312</f>
        <v>2505.1024605575</v>
      </c>
      <c r="F315" s="9" t="n">
        <f aca="false">F308+F311+F312</f>
        <v>3004.43027364247</v>
      </c>
      <c r="G315" s="9" t="n">
        <f aca="false">G308+G311+G312</f>
        <v>3509.89431361291</v>
      </c>
    </row>
    <row r="316" customFormat="false" ht="15" hidden="false" customHeight="false" outlineLevel="0" collapsed="false">
      <c r="A316" s="4" t="s">
        <v>554</v>
      </c>
      <c r="B316" s="0" t="s">
        <v>99</v>
      </c>
      <c r="C316" s="11" t="n">
        <f aca="false">C315/C313</f>
        <v>0.204758471521269</v>
      </c>
      <c r="D316" s="11" t="n">
        <f aca="false">D315/D313</f>
        <v>0.318868991420565</v>
      </c>
      <c r="E316" s="11" t="n">
        <f aca="false">E315/E313</f>
        <v>0.360994952423547</v>
      </c>
      <c r="F316" s="11" t="n">
        <f aca="false">F315/F313</f>
        <v>0.375732939626404</v>
      </c>
      <c r="G316" s="11" t="n">
        <f aca="false">G315/G313</f>
        <v>0.386683179715003</v>
      </c>
    </row>
    <row r="317" customFormat="false" ht="15" hidden="false" customHeight="false" outlineLevel="0" collapsed="false">
      <c r="A317" s="4" t="s">
        <v>486</v>
      </c>
      <c r="B317" s="0" t="s">
        <v>197</v>
      </c>
      <c r="C317" s="9" t="n">
        <f aca="false">a25_tax</f>
        <v>79.3</v>
      </c>
      <c r="D317" s="9" t="n">
        <f aca="false">f26_tax</f>
        <v>231.054736545361</v>
      </c>
      <c r="E317" s="9" t="n">
        <f aca="false">E315*etr</f>
        <v>355.116801018214</v>
      </c>
      <c r="F317" s="9" t="n">
        <f aca="false">F315*etr</f>
        <v>425.900211451132</v>
      </c>
      <c r="G317" s="9" t="n">
        <f aca="false">G315*etr</f>
        <v>497.553477427367</v>
      </c>
    </row>
    <row r="318" customFormat="false" ht="17.15" hidden="false" customHeight="false" outlineLevel="0" collapsed="false">
      <c r="A318" s="4" t="s">
        <v>487</v>
      </c>
      <c r="B318" s="0" t="s">
        <v>197</v>
      </c>
      <c r="C318" s="9" t="n">
        <f aca="false">a25_aff</f>
        <v>-19.9</v>
      </c>
      <c r="D318" s="9" t="n">
        <f aca="false">f26_aff</f>
        <v>-13.2</v>
      </c>
      <c r="E318" s="9" t="n">
        <f aca="false">aff</f>
        <v>-13.2</v>
      </c>
      <c r="F318" s="9" t="n">
        <f aca="false">aff</f>
        <v>-13.2</v>
      </c>
      <c r="G318" s="9" t="n">
        <f aca="false">aff</f>
        <v>-13.2</v>
      </c>
    </row>
    <row r="319" customFormat="false" ht="17.15" hidden="false" customHeight="false" outlineLevel="0" collapsed="false">
      <c r="A319" s="4" t="s">
        <v>555</v>
      </c>
      <c r="B319" s="0" t="s">
        <v>197</v>
      </c>
      <c r="C319" s="9" t="n">
        <f aca="false">a25_ni</f>
        <v>554</v>
      </c>
      <c r="D319" s="9" t="n">
        <f aca="false">f26_ni</f>
        <v>1385.276</v>
      </c>
      <c r="E319" s="9" t="n">
        <f aca="false">E315-E317+E318</f>
        <v>2136.78565953929</v>
      </c>
      <c r="F319" s="9" t="n">
        <f aca="false">F315-F317+F318</f>
        <v>2565.33006219134</v>
      </c>
      <c r="G319" s="9" t="n">
        <f aca="false">G315-G317+G318</f>
        <v>2999.14083618555</v>
      </c>
      <c r="H319" s="8" t="s">
        <v>578</v>
      </c>
    </row>
    <row r="320" customFormat="false" ht="15" hidden="false" customHeight="false" outlineLevel="0" collapsed="false">
      <c r="A320" s="4" t="s">
        <v>579</v>
      </c>
      <c r="B320" s="4" t="s">
        <v>259</v>
      </c>
      <c r="C320" s="9" t="n">
        <f aca="false">a25_dsh</f>
        <v>159.7</v>
      </c>
      <c r="D320" s="9" t="n">
        <f aca="false">sh26</f>
        <v>157.7</v>
      </c>
      <c r="E320" s="9" t="n">
        <f aca="false">sh26*(1-bb)^1</f>
        <v>156.123</v>
      </c>
      <c r="F320" s="9" t="n">
        <f aca="false">sh26*(1-bb)^2</f>
        <v>154.56177</v>
      </c>
      <c r="G320" s="9" t="n">
        <f aca="false">sh26*(1-bb)^3</f>
        <v>153.0161523</v>
      </c>
    </row>
    <row r="321" customFormat="false" ht="17.15" hidden="false" customHeight="false" outlineLevel="0" collapsed="false">
      <c r="A321" s="0" t="s">
        <v>489</v>
      </c>
      <c r="B321" s="0" t="s">
        <v>202</v>
      </c>
      <c r="C321" s="18" t="n">
        <f aca="false">a25_eps</f>
        <v>3.47</v>
      </c>
      <c r="D321" s="18" t="n">
        <f aca="false">D319/D320</f>
        <v>8.78424857324033</v>
      </c>
      <c r="E321" s="18" t="n">
        <f aca="false">E319/E320</f>
        <v>13.6865526510462</v>
      </c>
      <c r="F321" s="18" t="n">
        <f aca="false">F319/F320</f>
        <v>16.5974423183129</v>
      </c>
      <c r="G321" s="18" t="n">
        <f aca="false">G319/G320</f>
        <v>19.6001584872262</v>
      </c>
    </row>
    <row r="322" customFormat="false" ht="17.15" hidden="false" customHeight="false" outlineLevel="0" collapsed="false">
      <c r="A322" s="0" t="s">
        <v>580</v>
      </c>
      <c r="B322" s="0" t="s">
        <v>99</v>
      </c>
      <c r="C322" s="11" t="n">
        <f aca="false">C301/C313</f>
        <v>0.592363875740573</v>
      </c>
      <c r="D322" s="11" t="n">
        <f aca="false">D301/D313</f>
        <v>0.635675717974802</v>
      </c>
      <c r="E322" s="11" t="n">
        <f aca="false">E301/E313</f>
        <v>0.656146592802171</v>
      </c>
      <c r="F322" s="11" t="n">
        <f aca="false">F301/F313</f>
        <v>0.639061344745237</v>
      </c>
      <c r="G322" s="11" t="n">
        <f aca="false">G301/G313</f>
        <v>0.626007860639789</v>
      </c>
    </row>
    <row r="323" customFormat="false" ht="17.15" hidden="false" customHeight="false" outlineLevel="0" collapsed="false">
      <c r="A323" s="4" t="s">
        <v>581</v>
      </c>
      <c r="B323" s="0" t="s">
        <v>99</v>
      </c>
      <c r="C323" s="11" t="n">
        <f aca="false">a25_gp/a25_rev</f>
        <v>0.582225705329154</v>
      </c>
      <c r="D323" s="11" t="n">
        <f aca="false">f26_gm</f>
        <v>0.594365646092145</v>
      </c>
      <c r="E323" s="11" t="n">
        <f aca="false">f26_gm+(Q!J13-a25_gp/a25_rev)/(Q!J4/Q!J10-a25_soc/a25_rev)*(E322-D322)</f>
        <v>0.600711808963809</v>
      </c>
      <c r="F323" s="11" t="n">
        <f aca="false">f26_gm+(Q!J13-a25_gp/a25_rev)/(Q!J4/Q!J10-a25_soc/a25_rev)*(F322-D322)</f>
        <v>0.595415222091658</v>
      </c>
      <c r="G323" s="11" t="n">
        <f aca="false">f26_gm+(Q!J13-a25_gp/a25_rev)/(Q!J4/Q!J10-a25_soc/a25_rev)*(G322-D322)</f>
        <v>0.591368519795131</v>
      </c>
      <c r="H323" s="8" t="s">
        <v>582</v>
      </c>
    </row>
    <row r="328" customFormat="false" ht="17.15" hidden="false" customHeight="false" outlineLevel="0" collapsed="false">
      <c r="A328" s="1" t="s">
        <v>892</v>
      </c>
    </row>
    <row r="329" customFormat="false" ht="17.15" hidden="false" customHeight="false" outlineLevel="0" collapsed="false">
      <c r="A329" s="5" t="s">
        <v>21</v>
      </c>
      <c r="B329" s="5" t="s">
        <v>22</v>
      </c>
      <c r="C329" s="15" t="s">
        <v>545</v>
      </c>
      <c r="D329" s="15" t="s">
        <v>559</v>
      </c>
      <c r="E329" s="15" t="s">
        <v>546</v>
      </c>
      <c r="F329" s="15" t="s">
        <v>547</v>
      </c>
      <c r="G329" s="15" t="s">
        <v>548</v>
      </c>
      <c r="H329" s="5" t="s">
        <v>374</v>
      </c>
    </row>
    <row r="330" customFormat="false" ht="17.15" hidden="false" customHeight="false" outlineLevel="0" collapsed="false">
      <c r="A330" s="0" t="s">
        <v>560</v>
      </c>
      <c r="B330" s="0" t="s">
        <v>32</v>
      </c>
      <c r="C330" s="18" t="n">
        <f aca="false">mk_soc25</f>
        <v>6.9</v>
      </c>
      <c r="D330" s="18" t="n">
        <f aca="false">ms_A_2026</f>
        <v>11</v>
      </c>
      <c r="E330" s="18" t="n">
        <f aca="false">ms_A_2027*m_soc</f>
        <v>15.4143580786026</v>
      </c>
      <c r="F330" s="18" t="n">
        <f aca="false">ms_A_2028*m_soc</f>
        <v>17.2991836614041</v>
      </c>
      <c r="G330" s="18" t="n">
        <f aca="false">ms_A_2029*m_soc</f>
        <v>19.2361762010077</v>
      </c>
    </row>
    <row r="331" customFormat="false" ht="17.15" hidden="false" customHeight="false" outlineLevel="0" collapsed="false">
      <c r="A331" s="4" t="s">
        <v>561</v>
      </c>
      <c r="B331" s="0" t="s">
        <v>32</v>
      </c>
      <c r="C331" s="18" t="n">
        <f aca="false">mk_mem25</f>
        <v>2.1</v>
      </c>
      <c r="D331" s="18" t="n">
        <f aca="false">mm_A_2026</f>
        <v>2.75</v>
      </c>
      <c r="E331" s="18" t="n">
        <f aca="false">mm_A_2027</f>
        <v>3.88007408374579</v>
      </c>
      <c r="F331" s="18" t="n">
        <f aca="false">mm_A_2028</f>
        <v>5.04607694610671</v>
      </c>
      <c r="G331" s="18" t="n">
        <f aca="false">mm_A_2029</f>
        <v>6.20223782078096</v>
      </c>
    </row>
    <row r="332" customFormat="false" ht="17.15" hidden="false" customHeight="false" outlineLevel="0" collapsed="false">
      <c r="A332" s="4" t="s">
        <v>562</v>
      </c>
      <c r="B332" s="0" t="s">
        <v>99</v>
      </c>
      <c r="C332" s="11" t="n">
        <f aca="false">a25_soc/(C330*1000)</f>
        <v>0.273869565217391</v>
      </c>
      <c r="D332" s="11" t="n">
        <f aca="false">f26_soc/(D330*1000)</f>
        <v>0.295392727272727</v>
      </c>
      <c r="E332" s="11" t="n">
        <f aca="false">s_soc</f>
        <v>0.295392727272727</v>
      </c>
      <c r="F332" s="11" t="n">
        <f aca="false">s_soc</f>
        <v>0.295392727272727</v>
      </c>
      <c r="G332" s="11" t="n">
        <f aca="false">s_soc</f>
        <v>0.295392727272727</v>
      </c>
      <c r="H332" s="8" t="s">
        <v>563</v>
      </c>
    </row>
    <row r="333" customFormat="false" ht="17.15" hidden="false" customHeight="false" outlineLevel="0" collapsed="false">
      <c r="A333" s="0" t="s">
        <v>564</v>
      </c>
      <c r="B333" s="0" t="s">
        <v>197</v>
      </c>
      <c r="C333" s="9" t="n">
        <f aca="false">a25_soc</f>
        <v>1889.7</v>
      </c>
      <c r="D333" s="9" t="n">
        <f aca="false">f26_soc</f>
        <v>3249.32</v>
      </c>
      <c r="E333" s="9" t="n">
        <f aca="false">E330*1000*E332</f>
        <v>4553.28927199682</v>
      </c>
      <c r="F333" s="9" t="n">
        <f aca="false">F330*1000*F332</f>
        <v>5110.05304133396</v>
      </c>
      <c r="G333" s="9" t="n">
        <f aca="false">G330*1000*G332</f>
        <v>5682.22655031439</v>
      </c>
      <c r="H333" s="4" t="s">
        <v>565</v>
      </c>
    </row>
    <row r="334" customFormat="false" ht="15" hidden="false" customHeight="false" outlineLevel="0" collapsed="false">
      <c r="A334" s="4" t="s">
        <v>566</v>
      </c>
      <c r="B334" s="0" t="s">
        <v>99</v>
      </c>
      <c r="C334" s="11" t="n">
        <f aca="false">a25_mem/(C331*1000)</f>
        <v>0.240428571428571</v>
      </c>
      <c r="D334" s="11" t="n">
        <f aca="false">f26_mem/(D331*1000)</f>
        <v>0.316756363636364</v>
      </c>
      <c r="E334" s="11" t="n">
        <f aca="false">s_mem</f>
        <v>0.316756363636364</v>
      </c>
      <c r="F334" s="11" t="n">
        <f aca="false">s_mem</f>
        <v>0.316756363636364</v>
      </c>
      <c r="G334" s="11" t="n">
        <f aca="false">s_mem</f>
        <v>0.316756363636364</v>
      </c>
    </row>
    <row r="335" customFormat="false" ht="15" hidden="false" customHeight="false" outlineLevel="0" collapsed="false">
      <c r="A335" s="4" t="s">
        <v>567</v>
      </c>
      <c r="B335" s="0" t="s">
        <v>197</v>
      </c>
      <c r="C335" s="9" t="n">
        <f aca="false">a25_mem</f>
        <v>504.9</v>
      </c>
      <c r="D335" s="9" t="n">
        <f aca="false">f26_mem</f>
        <v>871.08</v>
      </c>
      <c r="E335" s="9" t="n">
        <f aca="false">E331*1000*E334</f>
        <v>1229.03815740701</v>
      </c>
      <c r="F335" s="9" t="n">
        <f aca="false">F331*1000*F334</f>
        <v>1598.37698407805</v>
      </c>
      <c r="G335" s="9" t="n">
        <f aca="false">G331*1000*G334</f>
        <v>1964.5982985185</v>
      </c>
    </row>
    <row r="336" customFormat="false" ht="17.15" hidden="false" customHeight="false" outlineLevel="0" collapsed="false">
      <c r="A336" s="0" t="s">
        <v>568</v>
      </c>
      <c r="B336" s="0" t="s">
        <v>197</v>
      </c>
      <c r="C336" s="9" t="n">
        <f aca="false">a25_ist</f>
        <v>129.2</v>
      </c>
      <c r="D336" s="9" t="n">
        <f aca="false">f26_ist</f>
        <v>195.51</v>
      </c>
      <c r="E336" s="9" t="n">
        <f aca="false">$D336*E330/$D330</f>
        <v>273.969195267963</v>
      </c>
      <c r="F336" s="9" t="n">
        <f aca="false">$D336*F330/$D330</f>
        <v>307.469399785556</v>
      </c>
      <c r="G336" s="9" t="n">
        <f aca="false">$D336*G330/$D330</f>
        <v>341.896800823547</v>
      </c>
      <c r="H336" s="8" t="s">
        <v>569</v>
      </c>
    </row>
    <row r="337" customFormat="false" ht="15" hidden="false" customHeight="false" outlineLevel="0" collapsed="false">
      <c r="A337" s="4" t="s">
        <v>570</v>
      </c>
      <c r="B337" s="0" t="s">
        <v>197</v>
      </c>
      <c r="C337" s="9" t="n">
        <f aca="false">C333+C335+C336</f>
        <v>2523.8</v>
      </c>
      <c r="D337" s="9" t="n">
        <f aca="false">D333+D335+D336</f>
        <v>4315.91</v>
      </c>
      <c r="E337" s="9" t="n">
        <f aca="false">E333+E335+E336</f>
        <v>6056.29662467179</v>
      </c>
      <c r="F337" s="9" t="n">
        <f aca="false">F333+F335+F336</f>
        <v>7015.89942519757</v>
      </c>
      <c r="G337" s="9" t="n">
        <f aca="false">G333+G335+G336</f>
        <v>7988.72164965644</v>
      </c>
    </row>
    <row r="338" customFormat="false" ht="17.15" hidden="false" customHeight="false" outlineLevel="0" collapsed="false">
      <c r="A338" s="0" t="s">
        <v>571</v>
      </c>
      <c r="B338" s="0" t="s">
        <v>197</v>
      </c>
      <c r="C338" s="9" t="n">
        <f aca="false">a25_pt</f>
        <v>358</v>
      </c>
      <c r="D338" s="9" t="n">
        <f aca="false">f26_pt</f>
        <v>394.17</v>
      </c>
      <c r="E338" s="9" t="n">
        <f aca="false">D338*(1+g_pt_A)</f>
        <v>425.7036</v>
      </c>
      <c r="F338" s="9" t="n">
        <f aca="false">E338*(1+g_pt_A)</f>
        <v>459.759888</v>
      </c>
      <c r="G338" s="9" t="n">
        <f aca="false">F338*(1+g_pt_A)</f>
        <v>496.54067904</v>
      </c>
    </row>
    <row r="339" customFormat="false" ht="17.15" hidden="false" customHeight="false" outlineLevel="0" collapsed="false">
      <c r="A339" s="4" t="s">
        <v>512</v>
      </c>
      <c r="B339" s="0" t="s">
        <v>197</v>
      </c>
      <c r="C339" s="9" t="n">
        <f aca="false">C337+C338</f>
        <v>2881.8</v>
      </c>
      <c r="D339" s="9" t="n">
        <f aca="false">D337+D338</f>
        <v>4710.08</v>
      </c>
      <c r="E339" s="9" t="n">
        <f aca="false">E337+E338</f>
        <v>6482.00022467179</v>
      </c>
      <c r="F339" s="9" t="n">
        <f aca="false">F337+F338</f>
        <v>7475.65931319757</v>
      </c>
      <c r="G339" s="9" t="n">
        <f aca="false">G337+G338</f>
        <v>8485.26232869644</v>
      </c>
    </row>
    <row r="340" customFormat="false" ht="17.15" hidden="false" customHeight="false" outlineLevel="0" collapsed="false">
      <c r="A340" s="4" t="s">
        <v>572</v>
      </c>
      <c r="B340" s="0" t="s">
        <v>197</v>
      </c>
      <c r="C340" s="9" t="n">
        <f aca="false">a25_ttest</f>
        <v>761.4</v>
      </c>
      <c r="D340" s="9" t="n">
        <f aca="false">f26_ttest</f>
        <v>1643.83073654536</v>
      </c>
      <c r="E340" s="9" t="n">
        <f aca="false">t_inc*E339-t_fix+0*E339</f>
        <v>2499.05907627273</v>
      </c>
      <c r="F340" s="9" t="n">
        <f aca="false">t_inc*F339-t_fix+0*F339</f>
        <v>2978.65482821597</v>
      </c>
      <c r="G340" s="9" t="n">
        <f aca="false">t_inc*G339-t_fix+0*G339</f>
        <v>3465.94601588148</v>
      </c>
      <c r="H340" s="4" t="s">
        <v>573</v>
      </c>
    </row>
    <row r="341" customFormat="false" ht="15" hidden="false" customHeight="false" outlineLevel="0" collapsed="false">
      <c r="A341" s="4" t="s">
        <v>574</v>
      </c>
      <c r="B341" s="0" t="s">
        <v>99</v>
      </c>
      <c r="C341" s="11" t="n">
        <f aca="false">C340/C339</f>
        <v>0.26420986883198</v>
      </c>
      <c r="D341" s="11" t="n">
        <f aca="false">D340/D339</f>
        <v>0.349002721088678</v>
      </c>
      <c r="E341" s="11" t="n">
        <f aca="false">E340/E339</f>
        <v>0.385538258200117</v>
      </c>
      <c r="F341" s="11" t="n">
        <f aca="false">F340/F339</f>
        <v>0.398447107261488</v>
      </c>
      <c r="G341" s="11" t="n">
        <f aca="false">G340/G339</f>
        <v>0.408466571995063</v>
      </c>
    </row>
    <row r="342" customFormat="false" ht="17.15" hidden="false" customHeight="false" outlineLevel="0" collapsed="false">
      <c r="A342" s="4" t="s">
        <v>575</v>
      </c>
      <c r="B342" s="0" t="s">
        <v>197</v>
      </c>
      <c r="C342" s="9" t="n">
        <f aca="false">a25_rob</f>
        <v>308.3</v>
      </c>
      <c r="D342" s="9" t="n">
        <f aca="false">f26_rob</f>
        <v>401.52</v>
      </c>
      <c r="E342" s="9" t="n">
        <f aca="false">D342*(1+g_rob_lo)</f>
        <v>401.52</v>
      </c>
      <c r="F342" s="9" t="n">
        <f aca="false">E342*(1+g_rob_lo)</f>
        <v>401.52</v>
      </c>
      <c r="G342" s="9" t="n">
        <f aca="false">F342*(1+g_rob_lo)</f>
        <v>401.52</v>
      </c>
    </row>
    <row r="343" customFormat="false" ht="15" hidden="false" customHeight="false" outlineLevel="0" collapsed="false">
      <c r="A343" s="4" t="s">
        <v>520</v>
      </c>
      <c r="B343" s="0" t="s">
        <v>197</v>
      </c>
      <c r="C343" s="9" t="n">
        <f aca="false">a25_trob</f>
        <v>-99.4</v>
      </c>
      <c r="D343" s="9" t="n">
        <f aca="false">f26_trob</f>
        <v>-3.5</v>
      </c>
      <c r="E343" s="9" t="n">
        <f aca="false">E342*rm_2027</f>
        <v>8.0304</v>
      </c>
      <c r="F343" s="9" t="n">
        <f aca="false">F342*rm_2028</f>
        <v>16.0608</v>
      </c>
      <c r="G343" s="9" t="n">
        <f aca="false">G342*rm_2029</f>
        <v>20.076</v>
      </c>
    </row>
    <row r="344" customFormat="false" ht="15" hidden="false" customHeight="false" outlineLevel="0" collapsed="false">
      <c r="A344" s="4" t="s">
        <v>500</v>
      </c>
      <c r="B344" s="0" t="s">
        <v>197</v>
      </c>
      <c r="C344" s="9" t="n">
        <f aca="false">a25_corp</f>
        <v>-8.8</v>
      </c>
      <c r="D344" s="9" t="n">
        <f aca="false">f26_corp</f>
        <v>-10.4</v>
      </c>
      <c r="E344" s="9" t="n">
        <f aca="false">corp</f>
        <v>-10.4</v>
      </c>
      <c r="F344" s="9" t="n">
        <f aca="false">corp</f>
        <v>-10.4</v>
      </c>
      <c r="G344" s="9" t="n">
        <f aca="false">corp</f>
        <v>-10.4</v>
      </c>
    </row>
    <row r="345" customFormat="false" ht="15" hidden="false" customHeight="false" outlineLevel="0" collapsed="false">
      <c r="A345" s="4" t="s">
        <v>474</v>
      </c>
      <c r="B345" s="0" t="s">
        <v>197</v>
      </c>
      <c r="C345" s="9" t="n">
        <f aca="false">C339+C342</f>
        <v>3190.1</v>
      </c>
      <c r="D345" s="9" t="n">
        <f aca="false">D339+D342</f>
        <v>5111.6</v>
      </c>
      <c r="E345" s="9" t="n">
        <f aca="false">E339+E342</f>
        <v>6883.52022467179</v>
      </c>
      <c r="F345" s="9" t="n">
        <f aca="false">F339+F342</f>
        <v>7877.17931319757</v>
      </c>
      <c r="G345" s="9" t="n">
        <f aca="false">G339+G342</f>
        <v>8886.78232869644</v>
      </c>
    </row>
    <row r="346" customFormat="false" ht="17.15" hidden="false" customHeight="false" outlineLevel="0" collapsed="false">
      <c r="A346" s="4" t="s">
        <v>576</v>
      </c>
      <c r="B346" s="0" t="s">
        <v>197</v>
      </c>
      <c r="C346" s="9" t="n">
        <f aca="false">ROUND(C337+C338+C342-a25_rev,0)</f>
        <v>0</v>
      </c>
      <c r="D346" s="9" t="n">
        <f aca="false">ROUND(D337+D338+D342-f26_rev,0)</f>
        <v>0</v>
      </c>
      <c r="H346" s="8" t="s">
        <v>577</v>
      </c>
    </row>
    <row r="347" customFormat="false" ht="15" hidden="false" customHeight="false" outlineLevel="0" collapsed="false">
      <c r="A347" s="4" t="s">
        <v>553</v>
      </c>
      <c r="B347" s="0" t="s">
        <v>197</v>
      </c>
      <c r="C347" s="9" t="n">
        <f aca="false">C340+C343+C344</f>
        <v>653.2</v>
      </c>
      <c r="D347" s="9" t="n">
        <f aca="false">D340+D343+D344</f>
        <v>1629.93073654536</v>
      </c>
      <c r="E347" s="9" t="n">
        <f aca="false">E340+E343+E344</f>
        <v>2496.68947627273</v>
      </c>
      <c r="F347" s="9" t="n">
        <f aca="false">F340+F343+F344</f>
        <v>2984.31562821597</v>
      </c>
      <c r="G347" s="9" t="n">
        <f aca="false">G340+G343+G344</f>
        <v>3475.62201588148</v>
      </c>
    </row>
    <row r="348" customFormat="false" ht="15" hidden="false" customHeight="false" outlineLevel="0" collapsed="false">
      <c r="A348" s="4" t="s">
        <v>554</v>
      </c>
      <c r="B348" s="0" t="s">
        <v>99</v>
      </c>
      <c r="C348" s="11" t="n">
        <f aca="false">C347/C345</f>
        <v>0.204758471521269</v>
      </c>
      <c r="D348" s="11" t="n">
        <f aca="false">D347/D345</f>
        <v>0.318868991420565</v>
      </c>
      <c r="E348" s="11" t="n">
        <f aca="false">E347/E345</f>
        <v>0.362705330235559</v>
      </c>
      <c r="F348" s="11" t="n">
        <f aca="false">F347/F345</f>
        <v>0.378855870808475</v>
      </c>
      <c r="G348" s="11" t="n">
        <f aca="false">G347/G345</f>
        <v>0.391100162840525</v>
      </c>
    </row>
    <row r="349" customFormat="false" ht="15" hidden="false" customHeight="false" outlineLevel="0" collapsed="false">
      <c r="A349" s="4" t="s">
        <v>486</v>
      </c>
      <c r="B349" s="0" t="s">
        <v>197</v>
      </c>
      <c r="C349" s="9" t="n">
        <f aca="false">a25_tax</f>
        <v>79.3</v>
      </c>
      <c r="D349" s="9" t="n">
        <f aca="false">f26_tax</f>
        <v>231.054736545361</v>
      </c>
      <c r="E349" s="9" t="n">
        <f aca="false">E347*etr</f>
        <v>353.924198275107</v>
      </c>
      <c r="F349" s="9" t="n">
        <f aca="false">F347*etr</f>
        <v>423.048811698052</v>
      </c>
      <c r="G349" s="9" t="n">
        <f aca="false">G347*etr</f>
        <v>492.695125752912</v>
      </c>
    </row>
    <row r="350" customFormat="false" ht="17.15" hidden="false" customHeight="false" outlineLevel="0" collapsed="false">
      <c r="A350" s="4" t="s">
        <v>487</v>
      </c>
      <c r="B350" s="0" t="s">
        <v>197</v>
      </c>
      <c r="C350" s="9" t="n">
        <f aca="false">a25_aff</f>
        <v>-19.9</v>
      </c>
      <c r="D350" s="9" t="n">
        <f aca="false">f26_aff</f>
        <v>-13.2</v>
      </c>
      <c r="E350" s="9" t="n">
        <f aca="false">aff</f>
        <v>-13.2</v>
      </c>
      <c r="F350" s="9" t="n">
        <f aca="false">aff</f>
        <v>-13.2</v>
      </c>
      <c r="G350" s="9" t="n">
        <f aca="false">aff</f>
        <v>-13.2</v>
      </c>
    </row>
    <row r="351" customFormat="false" ht="17.15" hidden="false" customHeight="false" outlineLevel="0" collapsed="false">
      <c r="A351" s="4" t="s">
        <v>555</v>
      </c>
      <c r="B351" s="0" t="s">
        <v>197</v>
      </c>
      <c r="C351" s="9" t="n">
        <f aca="false">a25_ni</f>
        <v>554</v>
      </c>
      <c r="D351" s="9" t="n">
        <f aca="false">f26_ni</f>
        <v>1385.276</v>
      </c>
      <c r="E351" s="9" t="n">
        <f aca="false">E347-E349+E350</f>
        <v>2129.56527799762</v>
      </c>
      <c r="F351" s="9" t="n">
        <f aca="false">F347-F349+F350</f>
        <v>2548.06681651792</v>
      </c>
      <c r="G351" s="9" t="n">
        <f aca="false">G347-G349+G350</f>
        <v>2969.72689012857</v>
      </c>
      <c r="H351" s="8" t="s">
        <v>578</v>
      </c>
    </row>
    <row r="352" customFormat="false" ht="15" hidden="false" customHeight="false" outlineLevel="0" collapsed="false">
      <c r="A352" s="4" t="s">
        <v>579</v>
      </c>
      <c r="B352" s="4" t="s">
        <v>259</v>
      </c>
      <c r="C352" s="9" t="n">
        <f aca="false">a25_dsh</f>
        <v>159.7</v>
      </c>
      <c r="D352" s="9" t="n">
        <f aca="false">sh26</f>
        <v>157.7</v>
      </c>
      <c r="E352" s="9" t="n">
        <f aca="false">sh26*(1-bb)^1</f>
        <v>156.123</v>
      </c>
      <c r="F352" s="9" t="n">
        <f aca="false">sh26*(1-bb)^2</f>
        <v>154.56177</v>
      </c>
      <c r="G352" s="9" t="n">
        <f aca="false">sh26*(1-bb)^3</f>
        <v>153.0161523</v>
      </c>
    </row>
    <row r="353" customFormat="false" ht="17.15" hidden="false" customHeight="false" outlineLevel="0" collapsed="false">
      <c r="A353" s="0" t="s">
        <v>489</v>
      </c>
      <c r="B353" s="0" t="s">
        <v>202</v>
      </c>
      <c r="C353" s="18" t="n">
        <f aca="false">a25_eps</f>
        <v>3.47</v>
      </c>
      <c r="D353" s="18" t="n">
        <f aca="false">D351/D352</f>
        <v>8.78424857324033</v>
      </c>
      <c r="E353" s="18" t="n">
        <f aca="false">E351/E352</f>
        <v>13.6403046187789</v>
      </c>
      <c r="F353" s="18" t="n">
        <f aca="false">F351/F352</f>
        <v>16.4857507552995</v>
      </c>
      <c r="G353" s="18" t="n">
        <f aca="false">G351/G352</f>
        <v>19.4079307673754</v>
      </c>
    </row>
    <row r="354" customFormat="false" ht="17.15" hidden="false" customHeight="false" outlineLevel="0" collapsed="false">
      <c r="A354" s="0" t="s">
        <v>580</v>
      </c>
      <c r="B354" s="0" t="s">
        <v>99</v>
      </c>
      <c r="C354" s="11" t="n">
        <f aca="false">C333/C345</f>
        <v>0.592363875740573</v>
      </c>
      <c r="D354" s="11" t="n">
        <f aca="false">D333/D345</f>
        <v>0.635675717974802</v>
      </c>
      <c r="E354" s="11" t="n">
        <f aca="false">E333/E345</f>
        <v>0.661476849545237</v>
      </c>
      <c r="F354" s="11" t="n">
        <f aca="false">F333/F345</f>
        <v>0.648716099781109</v>
      </c>
      <c r="G354" s="11" t="n">
        <f aca="false">G333/G345</f>
        <v>0.639402017529543</v>
      </c>
    </row>
    <row r="355" customFormat="false" ht="17.15" hidden="false" customHeight="false" outlineLevel="0" collapsed="false">
      <c r="A355" s="4" t="s">
        <v>581</v>
      </c>
      <c r="B355" s="0" t="s">
        <v>99</v>
      </c>
      <c r="C355" s="11" t="n">
        <f aca="false">a25_gp/a25_rev</f>
        <v>0.582225705329154</v>
      </c>
      <c r="D355" s="11" t="n">
        <f aca="false">f26_gm</f>
        <v>0.594365646092145</v>
      </c>
      <c r="E355" s="11" t="n">
        <f aca="false">f26_gm+(Q!J13-a25_gp/a25_rev)/(Q!J4/Q!J10-a25_soc/a25_rev)*(E354-D354)</f>
        <v>0.602364238463014</v>
      </c>
      <c r="F355" s="11" t="n">
        <f aca="false">f26_gm+(Q!J13-a25_gp/a25_rev)/(Q!J4/Q!J10-a25_soc/a25_rev)*(F354-D354)</f>
        <v>0.598408286553258</v>
      </c>
      <c r="G355" s="11" t="n">
        <f aca="false">f26_gm+(Q!J13-a25_gp/a25_rev)/(Q!J4/Q!J10-a25_soc/a25_rev)*(G354-D354)</f>
        <v>0.595520833844618</v>
      </c>
      <c r="H355" s="8" t="s">
        <v>582</v>
      </c>
    </row>
    <row r="360" customFormat="false" ht="17.15" hidden="false" customHeight="false" outlineLevel="0" collapsed="false">
      <c r="A360" s="1" t="s">
        <v>893</v>
      </c>
    </row>
    <row r="361" customFormat="false" ht="17.15" hidden="false" customHeight="false" outlineLevel="0" collapsed="false">
      <c r="A361" s="5" t="s">
        <v>21</v>
      </c>
      <c r="B361" s="5" t="s">
        <v>22</v>
      </c>
      <c r="C361" s="15" t="s">
        <v>545</v>
      </c>
      <c r="D361" s="15" t="s">
        <v>559</v>
      </c>
      <c r="E361" s="15" t="s">
        <v>546</v>
      </c>
      <c r="F361" s="15" t="s">
        <v>547</v>
      </c>
      <c r="G361" s="15" t="s">
        <v>548</v>
      </c>
      <c r="H361" s="5" t="s">
        <v>374</v>
      </c>
    </row>
    <row r="362" customFormat="false" ht="17.15" hidden="false" customHeight="false" outlineLevel="0" collapsed="false">
      <c r="A362" s="0" t="s">
        <v>560</v>
      </c>
      <c r="B362" s="0" t="s">
        <v>32</v>
      </c>
      <c r="C362" s="18" t="n">
        <f aca="false">mk_soc25</f>
        <v>6.9</v>
      </c>
      <c r="D362" s="18" t="n">
        <f aca="false">ms_A_2026</f>
        <v>11</v>
      </c>
      <c r="E362" s="18" t="n">
        <f aca="false">ms_A_2027*m_soc</f>
        <v>15.4143580786026</v>
      </c>
      <c r="F362" s="18" t="n">
        <f aca="false">ms_A_2028*m_soc</f>
        <v>17.2991836614041</v>
      </c>
      <c r="G362" s="18" t="n">
        <f aca="false">ms_A_2029*m_soc</f>
        <v>19.2361762010077</v>
      </c>
    </row>
    <row r="363" customFormat="false" ht="17.15" hidden="false" customHeight="false" outlineLevel="0" collapsed="false">
      <c r="A363" s="4" t="s">
        <v>561</v>
      </c>
      <c r="B363" s="0" t="s">
        <v>32</v>
      </c>
      <c r="C363" s="18" t="n">
        <f aca="false">mk_mem25</f>
        <v>2.1</v>
      </c>
      <c r="D363" s="18" t="n">
        <f aca="false">mm_A_2026</f>
        <v>2.75</v>
      </c>
      <c r="E363" s="18" t="n">
        <f aca="false">mm_A_2027</f>
        <v>3.88007408374579</v>
      </c>
      <c r="F363" s="18" t="n">
        <f aca="false">mm_A_2028</f>
        <v>5.04607694610671</v>
      </c>
      <c r="G363" s="18" t="n">
        <f aca="false">mm_A_2029</f>
        <v>6.20223782078096</v>
      </c>
    </row>
    <row r="364" customFormat="false" ht="17.15" hidden="false" customHeight="false" outlineLevel="0" collapsed="false">
      <c r="A364" s="4" t="s">
        <v>562</v>
      </c>
      <c r="B364" s="0" t="s">
        <v>99</v>
      </c>
      <c r="C364" s="11" t="n">
        <f aca="false">a25_soc/(C362*1000)</f>
        <v>0.273869565217391</v>
      </c>
      <c r="D364" s="11" t="n">
        <f aca="false">f26_soc/(D362*1000)</f>
        <v>0.295392727272727</v>
      </c>
      <c r="E364" s="11" t="n">
        <f aca="false">s_soc</f>
        <v>0.295392727272727</v>
      </c>
      <c r="F364" s="11" t="n">
        <f aca="false">s_soc</f>
        <v>0.295392727272727</v>
      </c>
      <c r="G364" s="11" t="n">
        <f aca="false">s_soc</f>
        <v>0.295392727272727</v>
      </c>
      <c r="H364" s="8" t="s">
        <v>563</v>
      </c>
    </row>
    <row r="365" customFormat="false" ht="17.15" hidden="false" customHeight="false" outlineLevel="0" collapsed="false">
      <c r="A365" s="0" t="s">
        <v>564</v>
      </c>
      <c r="B365" s="0" t="s">
        <v>197</v>
      </c>
      <c r="C365" s="9" t="n">
        <f aca="false">a25_soc</f>
        <v>1889.7</v>
      </c>
      <c r="D365" s="9" t="n">
        <f aca="false">f26_soc</f>
        <v>3249.32</v>
      </c>
      <c r="E365" s="9" t="n">
        <f aca="false">E362*1000*E364</f>
        <v>4553.28927199682</v>
      </c>
      <c r="F365" s="9" t="n">
        <f aca="false">F362*1000*F364</f>
        <v>5110.05304133396</v>
      </c>
      <c r="G365" s="9" t="n">
        <f aca="false">G362*1000*G364</f>
        <v>5682.22655031439</v>
      </c>
      <c r="H365" s="4" t="s">
        <v>565</v>
      </c>
    </row>
    <row r="366" customFormat="false" ht="15" hidden="false" customHeight="false" outlineLevel="0" collapsed="false">
      <c r="A366" s="4" t="s">
        <v>566</v>
      </c>
      <c r="B366" s="0" t="s">
        <v>99</v>
      </c>
      <c r="C366" s="11" t="n">
        <f aca="false">a25_mem/(C363*1000)</f>
        <v>0.240428571428571</v>
      </c>
      <c r="D366" s="11" t="n">
        <f aca="false">f26_mem/(D363*1000)</f>
        <v>0.316756363636364</v>
      </c>
      <c r="E366" s="11" t="n">
        <f aca="false">s_mem</f>
        <v>0.316756363636364</v>
      </c>
      <c r="F366" s="11" t="n">
        <f aca="false">s_mem</f>
        <v>0.316756363636364</v>
      </c>
      <c r="G366" s="11" t="n">
        <f aca="false">s_mem</f>
        <v>0.316756363636364</v>
      </c>
    </row>
    <row r="367" customFormat="false" ht="15" hidden="false" customHeight="false" outlineLevel="0" collapsed="false">
      <c r="A367" s="4" t="s">
        <v>567</v>
      </c>
      <c r="B367" s="0" t="s">
        <v>197</v>
      </c>
      <c r="C367" s="9" t="n">
        <f aca="false">a25_mem</f>
        <v>504.9</v>
      </c>
      <c r="D367" s="9" t="n">
        <f aca="false">f26_mem</f>
        <v>871.08</v>
      </c>
      <c r="E367" s="9" t="n">
        <f aca="false">E363*1000*E366</f>
        <v>1229.03815740701</v>
      </c>
      <c r="F367" s="9" t="n">
        <f aca="false">F363*1000*F366</f>
        <v>1598.37698407805</v>
      </c>
      <c r="G367" s="9" t="n">
        <f aca="false">G363*1000*G366</f>
        <v>1964.5982985185</v>
      </c>
    </row>
    <row r="368" customFormat="false" ht="17.15" hidden="false" customHeight="false" outlineLevel="0" collapsed="false">
      <c r="A368" s="0" t="s">
        <v>568</v>
      </c>
      <c r="B368" s="0" t="s">
        <v>197</v>
      </c>
      <c r="C368" s="9" t="n">
        <f aca="false">a25_ist</f>
        <v>129.2</v>
      </c>
      <c r="D368" s="9" t="n">
        <f aca="false">f26_ist</f>
        <v>195.51</v>
      </c>
      <c r="E368" s="9" t="n">
        <f aca="false">$D368*E362/$D362</f>
        <v>273.969195267963</v>
      </c>
      <c r="F368" s="9" t="n">
        <f aca="false">$D368*F362/$D362</f>
        <v>307.469399785556</v>
      </c>
      <c r="G368" s="9" t="n">
        <f aca="false">$D368*G362/$D362</f>
        <v>341.896800823547</v>
      </c>
      <c r="H368" s="8" t="s">
        <v>569</v>
      </c>
    </row>
    <row r="369" customFormat="false" ht="15" hidden="false" customHeight="false" outlineLevel="0" collapsed="false">
      <c r="A369" s="4" t="s">
        <v>570</v>
      </c>
      <c r="B369" s="0" t="s">
        <v>197</v>
      </c>
      <c r="C369" s="9" t="n">
        <f aca="false">C365+C367+C368</f>
        <v>2523.8</v>
      </c>
      <c r="D369" s="9" t="n">
        <f aca="false">D365+D367+D368</f>
        <v>4315.91</v>
      </c>
      <c r="E369" s="9" t="n">
        <f aca="false">E365+E367+E368</f>
        <v>6056.29662467179</v>
      </c>
      <c r="F369" s="9" t="n">
        <f aca="false">F365+F367+F368</f>
        <v>7015.89942519757</v>
      </c>
      <c r="G369" s="9" t="n">
        <f aca="false">G365+G367+G368</f>
        <v>7988.72164965644</v>
      </c>
    </row>
    <row r="370" customFormat="false" ht="17.15" hidden="false" customHeight="false" outlineLevel="0" collapsed="false">
      <c r="A370" s="0" t="s">
        <v>571</v>
      </c>
      <c r="B370" s="0" t="s">
        <v>197</v>
      </c>
      <c r="C370" s="9" t="n">
        <f aca="false">a25_pt</f>
        <v>358</v>
      </c>
      <c r="D370" s="9" t="n">
        <f aca="false">f26_pt</f>
        <v>394.17</v>
      </c>
      <c r="E370" s="9" t="n">
        <f aca="false">D370*(1+g_pt_A)</f>
        <v>425.7036</v>
      </c>
      <c r="F370" s="9" t="n">
        <f aca="false">E370*(1+g_pt_A)</f>
        <v>459.759888</v>
      </c>
      <c r="G370" s="9" t="n">
        <f aca="false">F370*(1+g_pt_A)</f>
        <v>496.54067904</v>
      </c>
    </row>
    <row r="371" customFormat="false" ht="17.15" hidden="false" customHeight="false" outlineLevel="0" collapsed="false">
      <c r="A371" s="4" t="s">
        <v>512</v>
      </c>
      <c r="B371" s="0" t="s">
        <v>197</v>
      </c>
      <c r="C371" s="9" t="n">
        <f aca="false">C369+C370</f>
        <v>2881.8</v>
      </c>
      <c r="D371" s="9" t="n">
        <f aca="false">D369+D370</f>
        <v>4710.08</v>
      </c>
      <c r="E371" s="9" t="n">
        <f aca="false">E369+E370</f>
        <v>6482.00022467179</v>
      </c>
      <c r="F371" s="9" t="n">
        <f aca="false">F369+F370</f>
        <v>7475.65931319757</v>
      </c>
      <c r="G371" s="9" t="n">
        <f aca="false">G369+G370</f>
        <v>8485.26232869644</v>
      </c>
    </row>
    <row r="372" customFormat="false" ht="17.15" hidden="false" customHeight="false" outlineLevel="0" collapsed="false">
      <c r="A372" s="4" t="s">
        <v>572</v>
      </c>
      <c r="B372" s="0" t="s">
        <v>197</v>
      </c>
      <c r="C372" s="9" t="n">
        <f aca="false">a25_ttest</f>
        <v>761.4</v>
      </c>
      <c r="D372" s="9" t="n">
        <f aca="false">f26_ttest</f>
        <v>1643.83073654536</v>
      </c>
      <c r="E372" s="9" t="n">
        <f aca="false">t_inc*E371-t_fix+0*E371</f>
        <v>2499.05907627273</v>
      </c>
      <c r="F372" s="9" t="n">
        <f aca="false">t_inc*F371-t_fix+0*F371</f>
        <v>2978.65482821597</v>
      </c>
      <c r="G372" s="9" t="n">
        <f aca="false">t_inc*G371-t_fix+0*G371</f>
        <v>3465.94601588148</v>
      </c>
      <c r="H372" s="4" t="s">
        <v>573</v>
      </c>
    </row>
    <row r="373" customFormat="false" ht="15" hidden="false" customHeight="false" outlineLevel="0" collapsed="false">
      <c r="A373" s="4" t="s">
        <v>574</v>
      </c>
      <c r="B373" s="0" t="s">
        <v>99</v>
      </c>
      <c r="C373" s="11" t="n">
        <f aca="false">C372/C371</f>
        <v>0.26420986883198</v>
      </c>
      <c r="D373" s="11" t="n">
        <f aca="false">D372/D371</f>
        <v>0.349002721088678</v>
      </c>
      <c r="E373" s="11" t="n">
        <f aca="false">E372/E371</f>
        <v>0.385538258200117</v>
      </c>
      <c r="F373" s="11" t="n">
        <f aca="false">F372/F371</f>
        <v>0.398447107261488</v>
      </c>
      <c r="G373" s="11" t="n">
        <f aca="false">G372/G371</f>
        <v>0.408466571995063</v>
      </c>
    </row>
    <row r="374" customFormat="false" ht="17.15" hidden="false" customHeight="false" outlineLevel="0" collapsed="false">
      <c r="A374" s="4" t="s">
        <v>575</v>
      </c>
      <c r="B374" s="0" t="s">
        <v>197</v>
      </c>
      <c r="C374" s="9" t="n">
        <f aca="false">a25_rob</f>
        <v>308.3</v>
      </c>
      <c r="D374" s="9" t="n">
        <f aca="false">f26_rob</f>
        <v>401.52</v>
      </c>
      <c r="E374" s="9" t="n">
        <f aca="false">D374*(1+g_rob_hi)</f>
        <v>481.824</v>
      </c>
      <c r="F374" s="9" t="n">
        <f aca="false">E374*(1+g_rob_hi)</f>
        <v>578.1888</v>
      </c>
      <c r="G374" s="9" t="n">
        <f aca="false">F374*(1+g_rob_hi)</f>
        <v>693.82656</v>
      </c>
    </row>
    <row r="375" customFormat="false" ht="15" hidden="false" customHeight="false" outlineLevel="0" collapsed="false">
      <c r="A375" s="4" t="s">
        <v>520</v>
      </c>
      <c r="B375" s="0" t="s">
        <v>197</v>
      </c>
      <c r="C375" s="9" t="n">
        <f aca="false">a25_trob</f>
        <v>-99.4</v>
      </c>
      <c r="D375" s="9" t="n">
        <f aca="false">f26_trob</f>
        <v>-3.5</v>
      </c>
      <c r="E375" s="9" t="n">
        <f aca="false">E374*rm_2027</f>
        <v>9.63648</v>
      </c>
      <c r="F375" s="9" t="n">
        <f aca="false">F374*rm_2028</f>
        <v>23.127552</v>
      </c>
      <c r="G375" s="9" t="n">
        <f aca="false">G374*rm_2029</f>
        <v>34.691328</v>
      </c>
    </row>
    <row r="376" customFormat="false" ht="15" hidden="false" customHeight="false" outlineLevel="0" collapsed="false">
      <c r="A376" s="4" t="s">
        <v>500</v>
      </c>
      <c r="B376" s="0" t="s">
        <v>197</v>
      </c>
      <c r="C376" s="9" t="n">
        <f aca="false">a25_corp</f>
        <v>-8.8</v>
      </c>
      <c r="D376" s="9" t="n">
        <f aca="false">f26_corp</f>
        <v>-10.4</v>
      </c>
      <c r="E376" s="9" t="n">
        <f aca="false">corp</f>
        <v>-10.4</v>
      </c>
      <c r="F376" s="9" t="n">
        <f aca="false">corp</f>
        <v>-10.4</v>
      </c>
      <c r="G376" s="9" t="n">
        <f aca="false">corp</f>
        <v>-10.4</v>
      </c>
    </row>
    <row r="377" customFormat="false" ht="15" hidden="false" customHeight="false" outlineLevel="0" collapsed="false">
      <c r="A377" s="4" t="s">
        <v>474</v>
      </c>
      <c r="B377" s="0" t="s">
        <v>197</v>
      </c>
      <c r="C377" s="9" t="n">
        <f aca="false">C371+C374</f>
        <v>3190.1</v>
      </c>
      <c r="D377" s="9" t="n">
        <f aca="false">D371+D374</f>
        <v>5111.6</v>
      </c>
      <c r="E377" s="9" t="n">
        <f aca="false">E371+E374</f>
        <v>6963.82422467179</v>
      </c>
      <c r="F377" s="9" t="n">
        <f aca="false">F371+F374</f>
        <v>8053.84811319757</v>
      </c>
      <c r="G377" s="9" t="n">
        <f aca="false">G371+G374</f>
        <v>9179.08888869644</v>
      </c>
    </row>
    <row r="378" customFormat="false" ht="17.15" hidden="false" customHeight="false" outlineLevel="0" collapsed="false">
      <c r="A378" s="4" t="s">
        <v>576</v>
      </c>
      <c r="B378" s="0" t="s">
        <v>197</v>
      </c>
      <c r="C378" s="9" t="n">
        <f aca="false">ROUND(C369+C370+C374-a25_rev,0)</f>
        <v>0</v>
      </c>
      <c r="D378" s="9" t="n">
        <f aca="false">ROUND(D369+D370+D374-f26_rev,0)</f>
        <v>0</v>
      </c>
      <c r="H378" s="8" t="s">
        <v>577</v>
      </c>
    </row>
    <row r="379" customFormat="false" ht="15" hidden="false" customHeight="false" outlineLevel="0" collapsed="false">
      <c r="A379" s="4" t="s">
        <v>553</v>
      </c>
      <c r="B379" s="0" t="s">
        <v>197</v>
      </c>
      <c r="C379" s="9" t="n">
        <f aca="false">C372+C375+C376</f>
        <v>653.2</v>
      </c>
      <c r="D379" s="9" t="n">
        <f aca="false">D372+D375+D376</f>
        <v>1629.93073654536</v>
      </c>
      <c r="E379" s="9" t="n">
        <f aca="false">E372+E375+E376</f>
        <v>2498.29555627273</v>
      </c>
      <c r="F379" s="9" t="n">
        <f aca="false">F372+F375+F376</f>
        <v>2991.38238021597</v>
      </c>
      <c r="G379" s="9" t="n">
        <f aca="false">G372+G375+G376</f>
        <v>3490.23734388148</v>
      </c>
    </row>
    <row r="380" customFormat="false" ht="15" hidden="false" customHeight="false" outlineLevel="0" collapsed="false">
      <c r="A380" s="4" t="s">
        <v>554</v>
      </c>
      <c r="B380" s="0" t="s">
        <v>99</v>
      </c>
      <c r="C380" s="11" t="n">
        <f aca="false">C379/C377</f>
        <v>0.204758471521269</v>
      </c>
      <c r="D380" s="11" t="n">
        <f aca="false">D379/D377</f>
        <v>0.318868991420565</v>
      </c>
      <c r="E380" s="11" t="n">
        <f aca="false">E379/E377</f>
        <v>0.358753391192966</v>
      </c>
      <c r="F380" s="11" t="n">
        <f aca="false">F379/F377</f>
        <v>0.371422745769702</v>
      </c>
      <c r="G380" s="11" t="n">
        <f aca="false">G379/G377</f>
        <v>0.380237884849282</v>
      </c>
    </row>
    <row r="381" customFormat="false" ht="15" hidden="false" customHeight="false" outlineLevel="0" collapsed="false">
      <c r="A381" s="4" t="s">
        <v>486</v>
      </c>
      <c r="B381" s="0" t="s">
        <v>197</v>
      </c>
      <c r="C381" s="9" t="n">
        <f aca="false">a25_tax</f>
        <v>79.3</v>
      </c>
      <c r="D381" s="9" t="n">
        <f aca="false">f26_tax</f>
        <v>231.054736545361</v>
      </c>
      <c r="E381" s="9" t="n">
        <f aca="false">E379*etr</f>
        <v>354.151871993352</v>
      </c>
      <c r="F381" s="9" t="n">
        <f aca="false">F379*etr</f>
        <v>424.050576058329</v>
      </c>
      <c r="G381" s="9" t="n">
        <f aca="false">G379*etr</f>
        <v>494.766956588939</v>
      </c>
    </row>
    <row r="382" customFormat="false" ht="17.15" hidden="false" customHeight="false" outlineLevel="0" collapsed="false">
      <c r="A382" s="4" t="s">
        <v>487</v>
      </c>
      <c r="B382" s="0" t="s">
        <v>197</v>
      </c>
      <c r="C382" s="9" t="n">
        <f aca="false">a25_aff</f>
        <v>-19.9</v>
      </c>
      <c r="D382" s="9" t="n">
        <f aca="false">f26_aff</f>
        <v>-13.2</v>
      </c>
      <c r="E382" s="9" t="n">
        <f aca="false">aff</f>
        <v>-13.2</v>
      </c>
      <c r="F382" s="9" t="n">
        <f aca="false">aff</f>
        <v>-13.2</v>
      </c>
      <c r="G382" s="9" t="n">
        <f aca="false">aff</f>
        <v>-13.2</v>
      </c>
    </row>
    <row r="383" customFormat="false" ht="17.15" hidden="false" customHeight="false" outlineLevel="0" collapsed="false">
      <c r="A383" s="4" t="s">
        <v>555</v>
      </c>
      <c r="B383" s="0" t="s">
        <v>197</v>
      </c>
      <c r="C383" s="9" t="n">
        <f aca="false">a25_ni</f>
        <v>554</v>
      </c>
      <c r="D383" s="9" t="n">
        <f aca="false">f26_ni</f>
        <v>1385.276</v>
      </c>
      <c r="E383" s="9" t="n">
        <f aca="false">E379-E381+E382</f>
        <v>2130.94368427938</v>
      </c>
      <c r="F383" s="9" t="n">
        <f aca="false">F379-F381+F382</f>
        <v>2554.13180415764</v>
      </c>
      <c r="G383" s="9" t="n">
        <f aca="false">G379-G381+G382</f>
        <v>2982.27038729254</v>
      </c>
      <c r="H383" s="8" t="s">
        <v>578</v>
      </c>
    </row>
    <row r="384" customFormat="false" ht="15" hidden="false" customHeight="false" outlineLevel="0" collapsed="false">
      <c r="A384" s="4" t="s">
        <v>579</v>
      </c>
      <c r="B384" s="4" t="s">
        <v>259</v>
      </c>
      <c r="C384" s="9" t="n">
        <f aca="false">a25_dsh</f>
        <v>159.7</v>
      </c>
      <c r="D384" s="9" t="n">
        <f aca="false">sh26</f>
        <v>157.7</v>
      </c>
      <c r="E384" s="9" t="n">
        <f aca="false">sh26*(1-bb)^1</f>
        <v>156.123</v>
      </c>
      <c r="F384" s="9" t="n">
        <f aca="false">sh26*(1-bb)^2</f>
        <v>154.56177</v>
      </c>
      <c r="G384" s="9" t="n">
        <f aca="false">sh26*(1-bb)^3</f>
        <v>153.0161523</v>
      </c>
    </row>
    <row r="385" customFormat="false" ht="17.15" hidden="false" customHeight="false" outlineLevel="0" collapsed="false">
      <c r="A385" s="0" t="s">
        <v>489</v>
      </c>
      <c r="B385" s="0" t="s">
        <v>202</v>
      </c>
      <c r="C385" s="18" t="n">
        <f aca="false">a25_eps</f>
        <v>3.47</v>
      </c>
      <c r="D385" s="18" t="n">
        <f aca="false">D383/D384</f>
        <v>8.78424857324033</v>
      </c>
      <c r="E385" s="18" t="n">
        <f aca="false">E383/E384</f>
        <v>13.6491335951742</v>
      </c>
      <c r="F385" s="18" t="n">
        <f aca="false">F383/F384</f>
        <v>16.5249906503894</v>
      </c>
      <c r="G385" s="18" t="n">
        <f aca="false">G383/G384</f>
        <v>19.4899057548223</v>
      </c>
    </row>
    <row r="386" customFormat="false" ht="17.15" hidden="false" customHeight="false" outlineLevel="0" collapsed="false">
      <c r="A386" s="0" t="s">
        <v>580</v>
      </c>
      <c r="B386" s="0" t="s">
        <v>99</v>
      </c>
      <c r="C386" s="11" t="n">
        <f aca="false">C365/C377</f>
        <v>0.592363875740573</v>
      </c>
      <c r="D386" s="11" t="n">
        <f aca="false">D365/D377</f>
        <v>0.635675717974802</v>
      </c>
      <c r="E386" s="11" t="n">
        <f aca="false">E365/E377</f>
        <v>0.653848966472358</v>
      </c>
      <c r="F386" s="11" t="n">
        <f aca="false">F365/F377</f>
        <v>0.634485896618822</v>
      </c>
      <c r="G386" s="11" t="n">
        <f aca="false">G365/G377</f>
        <v>0.619040366556615</v>
      </c>
    </row>
    <row r="387" customFormat="false" ht="17.15" hidden="false" customHeight="false" outlineLevel="0" collapsed="false">
      <c r="A387" s="4" t="s">
        <v>581</v>
      </c>
      <c r="B387" s="0" t="s">
        <v>99</v>
      </c>
      <c r="C387" s="11" t="n">
        <f aca="false">a25_gp/a25_rev</f>
        <v>0.582225705329154</v>
      </c>
      <c r="D387" s="11" t="n">
        <f aca="false">f26_gm</f>
        <v>0.594365646092145</v>
      </c>
      <c r="E387" s="11" t="n">
        <f aca="false">f26_gm+(Q!J13-a25_gp/a25_rev)/(Q!J4/Q!J10-a25_soc/a25_rev)*(E386-D386)</f>
        <v>0.599999523288175</v>
      </c>
      <c r="F387" s="11" t="n">
        <f aca="false">f26_gm+(Q!J13-a25_gp/a25_rev)/(Q!J4/Q!J10-a25_soc/a25_rev)*(F386-D386)</f>
        <v>0.593996790331123</v>
      </c>
      <c r="G387" s="11" t="n">
        <f aca="false">f26_gm+(Q!J13-a25_gp/a25_rev)/(Q!J4/Q!J10-a25_soc/a25_rev)*(G386-D386)</f>
        <v>0.589208531390529</v>
      </c>
      <c r="H387" s="8" t="s">
        <v>582</v>
      </c>
    </row>
    <row r="392" customFormat="false" ht="17.15" hidden="false" customHeight="false" outlineLevel="0" collapsed="false">
      <c r="A392" s="1" t="s">
        <v>894</v>
      </c>
    </row>
    <row r="393" customFormat="false" ht="17.15" hidden="false" customHeight="false" outlineLevel="0" collapsed="false">
      <c r="A393" s="5" t="s">
        <v>21</v>
      </c>
      <c r="B393" s="5" t="s">
        <v>22</v>
      </c>
      <c r="C393" s="15" t="s">
        <v>545</v>
      </c>
      <c r="D393" s="15" t="s">
        <v>559</v>
      </c>
      <c r="E393" s="15" t="s">
        <v>546</v>
      </c>
      <c r="F393" s="15" t="s">
        <v>547</v>
      </c>
      <c r="G393" s="15" t="s">
        <v>548</v>
      </c>
      <c r="H393" s="5" t="s">
        <v>374</v>
      </c>
    </row>
    <row r="394" customFormat="false" ht="17.15" hidden="false" customHeight="false" outlineLevel="0" collapsed="false">
      <c r="A394" s="0" t="s">
        <v>560</v>
      </c>
      <c r="B394" s="0" t="s">
        <v>32</v>
      </c>
      <c r="C394" s="18" t="n">
        <f aca="false">mk_soc25</f>
        <v>6.9</v>
      </c>
      <c r="D394" s="18" t="n">
        <f aca="false">ms_A_2026</f>
        <v>11</v>
      </c>
      <c r="E394" s="18" t="n">
        <f aca="false">ms_A_2027*m_soc</f>
        <v>15.4143580786026</v>
      </c>
      <c r="F394" s="18" t="n">
        <f aca="false">ms_A_2028*m_soc</f>
        <v>17.2991836614041</v>
      </c>
      <c r="G394" s="18" t="n">
        <f aca="false">ms_A_2029*m_soc</f>
        <v>19.2361762010077</v>
      </c>
    </row>
    <row r="395" customFormat="false" ht="17.15" hidden="false" customHeight="false" outlineLevel="0" collapsed="false">
      <c r="A395" s="4" t="s">
        <v>561</v>
      </c>
      <c r="B395" s="0" t="s">
        <v>32</v>
      </c>
      <c r="C395" s="18" t="n">
        <f aca="false">mk_mem25</f>
        <v>2.1</v>
      </c>
      <c r="D395" s="18" t="n">
        <f aca="false">mm_A_2026</f>
        <v>2.75</v>
      </c>
      <c r="E395" s="18" t="n">
        <f aca="false">mm_A_2027</f>
        <v>3.88007408374579</v>
      </c>
      <c r="F395" s="18" t="n">
        <f aca="false">mm_A_2028</f>
        <v>5.04607694610671</v>
      </c>
      <c r="G395" s="18" t="n">
        <f aca="false">mm_A_2029</f>
        <v>6.20223782078096</v>
      </c>
    </row>
    <row r="396" customFormat="false" ht="17.15" hidden="false" customHeight="false" outlineLevel="0" collapsed="false">
      <c r="A396" s="4" t="s">
        <v>562</v>
      </c>
      <c r="B396" s="0" t="s">
        <v>99</v>
      </c>
      <c r="C396" s="11" t="n">
        <f aca="false">a25_soc/(C394*1000)</f>
        <v>0.273869565217391</v>
      </c>
      <c r="D396" s="11" t="n">
        <f aca="false">f26_soc/(D394*1000)</f>
        <v>0.295392727272727</v>
      </c>
      <c r="E396" s="11" t="n">
        <f aca="false">s_soc</f>
        <v>0.295392727272727</v>
      </c>
      <c r="F396" s="11" t="n">
        <f aca="false">s_soc</f>
        <v>0.295392727272727</v>
      </c>
      <c r="G396" s="11" t="n">
        <f aca="false">s_soc</f>
        <v>0.295392727272727</v>
      </c>
      <c r="H396" s="8" t="s">
        <v>563</v>
      </c>
    </row>
    <row r="397" customFormat="false" ht="17.15" hidden="false" customHeight="false" outlineLevel="0" collapsed="false">
      <c r="A397" s="0" t="s">
        <v>564</v>
      </c>
      <c r="B397" s="0" t="s">
        <v>197</v>
      </c>
      <c r="C397" s="9" t="n">
        <f aca="false">a25_soc</f>
        <v>1889.7</v>
      </c>
      <c r="D397" s="9" t="n">
        <f aca="false">f26_soc</f>
        <v>3249.32</v>
      </c>
      <c r="E397" s="9" t="n">
        <f aca="false">E394*1000*E396</f>
        <v>4553.28927199682</v>
      </c>
      <c r="F397" s="9" t="n">
        <f aca="false">F394*1000*F396</f>
        <v>5110.05304133396</v>
      </c>
      <c r="G397" s="9" t="n">
        <f aca="false">G394*1000*G396</f>
        <v>5682.22655031439</v>
      </c>
      <c r="H397" s="4" t="s">
        <v>565</v>
      </c>
    </row>
    <row r="398" customFormat="false" ht="15" hidden="false" customHeight="false" outlineLevel="0" collapsed="false">
      <c r="A398" s="4" t="s">
        <v>566</v>
      </c>
      <c r="B398" s="0" t="s">
        <v>99</v>
      </c>
      <c r="C398" s="11" t="n">
        <f aca="false">a25_mem/(C395*1000)</f>
        <v>0.240428571428571</v>
      </c>
      <c r="D398" s="11" t="n">
        <f aca="false">f26_mem/(D395*1000)</f>
        <v>0.316756363636364</v>
      </c>
      <c r="E398" s="11" t="n">
        <f aca="false">s_mem</f>
        <v>0.316756363636364</v>
      </c>
      <c r="F398" s="11" t="n">
        <f aca="false">s_mem</f>
        <v>0.316756363636364</v>
      </c>
      <c r="G398" s="11" t="n">
        <f aca="false">s_mem</f>
        <v>0.316756363636364</v>
      </c>
    </row>
    <row r="399" customFormat="false" ht="15" hidden="false" customHeight="false" outlineLevel="0" collapsed="false">
      <c r="A399" s="4" t="s">
        <v>567</v>
      </c>
      <c r="B399" s="0" t="s">
        <v>197</v>
      </c>
      <c r="C399" s="9" t="n">
        <f aca="false">a25_mem</f>
        <v>504.9</v>
      </c>
      <c r="D399" s="9" t="n">
        <f aca="false">f26_mem</f>
        <v>871.08</v>
      </c>
      <c r="E399" s="9" t="n">
        <f aca="false">E395*1000*E398</f>
        <v>1229.03815740701</v>
      </c>
      <c r="F399" s="9" t="n">
        <f aca="false">F395*1000*F398</f>
        <v>1598.37698407805</v>
      </c>
      <c r="G399" s="9" t="n">
        <f aca="false">G395*1000*G398</f>
        <v>1964.5982985185</v>
      </c>
    </row>
    <row r="400" customFormat="false" ht="17.15" hidden="false" customHeight="false" outlineLevel="0" collapsed="false">
      <c r="A400" s="0" t="s">
        <v>568</v>
      </c>
      <c r="B400" s="0" t="s">
        <v>197</v>
      </c>
      <c r="C400" s="9" t="n">
        <f aca="false">a25_ist</f>
        <v>129.2</v>
      </c>
      <c r="D400" s="9" t="n">
        <f aca="false">f26_ist</f>
        <v>195.51</v>
      </c>
      <c r="E400" s="9" t="n">
        <f aca="false">$D400*E394/$D394</f>
        <v>273.969195267963</v>
      </c>
      <c r="F400" s="9" t="n">
        <f aca="false">$D400*F394/$D394</f>
        <v>307.469399785556</v>
      </c>
      <c r="G400" s="9" t="n">
        <f aca="false">$D400*G394/$D394</f>
        <v>341.896800823547</v>
      </c>
      <c r="H400" s="8" t="s">
        <v>569</v>
      </c>
    </row>
    <row r="401" customFormat="false" ht="15" hidden="false" customHeight="false" outlineLevel="0" collapsed="false">
      <c r="A401" s="4" t="s">
        <v>570</v>
      </c>
      <c r="B401" s="0" t="s">
        <v>197</v>
      </c>
      <c r="C401" s="9" t="n">
        <f aca="false">C397+C399+C400</f>
        <v>2523.8</v>
      </c>
      <c r="D401" s="9" t="n">
        <f aca="false">D397+D399+D400</f>
        <v>4315.91</v>
      </c>
      <c r="E401" s="9" t="n">
        <f aca="false">E397+E399+E400</f>
        <v>6056.29662467179</v>
      </c>
      <c r="F401" s="9" t="n">
        <f aca="false">F397+F399+F400</f>
        <v>7015.89942519757</v>
      </c>
      <c r="G401" s="9" t="n">
        <f aca="false">G397+G399+G400</f>
        <v>7988.72164965644</v>
      </c>
    </row>
    <row r="402" customFormat="false" ht="17.15" hidden="false" customHeight="false" outlineLevel="0" collapsed="false">
      <c r="A402" s="0" t="s">
        <v>571</v>
      </c>
      <c r="B402" s="0" t="s">
        <v>197</v>
      </c>
      <c r="C402" s="9" t="n">
        <f aca="false">a25_pt</f>
        <v>358</v>
      </c>
      <c r="D402" s="9" t="n">
        <f aca="false">f26_pt</f>
        <v>394.17</v>
      </c>
      <c r="E402" s="9" t="n">
        <f aca="false">D402*(1+g_pt_A)</f>
        <v>425.7036</v>
      </c>
      <c r="F402" s="9" t="n">
        <f aca="false">E402*(1+g_pt_A)</f>
        <v>459.759888</v>
      </c>
      <c r="G402" s="9" t="n">
        <f aca="false">F402*(1+g_pt_A)</f>
        <v>496.54067904</v>
      </c>
    </row>
    <row r="403" customFormat="false" ht="17.15" hidden="false" customHeight="false" outlineLevel="0" collapsed="false">
      <c r="A403" s="4" t="s">
        <v>512</v>
      </c>
      <c r="B403" s="0" t="s">
        <v>197</v>
      </c>
      <c r="C403" s="9" t="n">
        <f aca="false">C401+C402</f>
        <v>2881.8</v>
      </c>
      <c r="D403" s="9" t="n">
        <f aca="false">D401+D402</f>
        <v>4710.08</v>
      </c>
      <c r="E403" s="9" t="n">
        <f aca="false">E401+E402</f>
        <v>6482.00022467179</v>
      </c>
      <c r="F403" s="9" t="n">
        <f aca="false">F401+F402</f>
        <v>7475.65931319757</v>
      </c>
      <c r="G403" s="9" t="n">
        <f aca="false">G401+G402</f>
        <v>8485.26232869644</v>
      </c>
    </row>
    <row r="404" customFormat="false" ht="17.15" hidden="false" customHeight="false" outlineLevel="0" collapsed="false">
      <c r="A404" s="4" t="s">
        <v>572</v>
      </c>
      <c r="B404" s="0" t="s">
        <v>197</v>
      </c>
      <c r="C404" s="9" t="n">
        <f aca="false">a25_ttest</f>
        <v>761.4</v>
      </c>
      <c r="D404" s="9" t="n">
        <f aca="false">f26_ttest</f>
        <v>1643.83073654536</v>
      </c>
      <c r="E404" s="9" t="n">
        <f aca="false">t_inc*E403-t_fix+0*E403</f>
        <v>2499.05907627273</v>
      </c>
      <c r="F404" s="9" t="n">
        <f aca="false">t_inc*F403-t_fix+0*F403</f>
        <v>2978.65482821597</v>
      </c>
      <c r="G404" s="9" t="n">
        <f aca="false">t_inc*G403-t_fix+0*G403</f>
        <v>3465.94601588148</v>
      </c>
      <c r="H404" s="4" t="s">
        <v>573</v>
      </c>
    </row>
    <row r="405" customFormat="false" ht="15" hidden="false" customHeight="false" outlineLevel="0" collapsed="false">
      <c r="A405" s="4" t="s">
        <v>574</v>
      </c>
      <c r="B405" s="0" t="s">
        <v>99</v>
      </c>
      <c r="C405" s="11" t="n">
        <f aca="false">C404/C403</f>
        <v>0.26420986883198</v>
      </c>
      <c r="D405" s="11" t="n">
        <f aca="false">D404/D403</f>
        <v>0.349002721088678</v>
      </c>
      <c r="E405" s="11" t="n">
        <f aca="false">E404/E403</f>
        <v>0.385538258200117</v>
      </c>
      <c r="F405" s="11" t="n">
        <f aca="false">F404/F403</f>
        <v>0.398447107261488</v>
      </c>
      <c r="G405" s="11" t="n">
        <f aca="false">G404/G403</f>
        <v>0.408466571995063</v>
      </c>
    </row>
    <row r="406" customFormat="false" ht="17.15" hidden="false" customHeight="false" outlineLevel="0" collapsed="false">
      <c r="A406" s="4" t="s">
        <v>575</v>
      </c>
      <c r="B406" s="0" t="s">
        <v>197</v>
      </c>
      <c r="C406" s="9" t="n">
        <f aca="false">a25_rob</f>
        <v>308.3</v>
      </c>
      <c r="D406" s="9" t="n">
        <f aca="false">f26_rob</f>
        <v>401.52</v>
      </c>
      <c r="E406" s="9" t="n">
        <f aca="false">D406*(1+g_rob)</f>
        <v>441.672</v>
      </c>
      <c r="F406" s="9" t="n">
        <f aca="false">E406*(1+g_rob)</f>
        <v>485.8392</v>
      </c>
      <c r="G406" s="9" t="n">
        <f aca="false">F406*(1+g_rob)</f>
        <v>534.42312</v>
      </c>
    </row>
    <row r="407" customFormat="false" ht="15" hidden="false" customHeight="false" outlineLevel="0" collapsed="false">
      <c r="A407" s="4" t="s">
        <v>520</v>
      </c>
      <c r="B407" s="0" t="s">
        <v>197</v>
      </c>
      <c r="C407" s="9" t="n">
        <f aca="false">a25_trob</f>
        <v>-99.4</v>
      </c>
      <c r="D407" s="9" t="n">
        <f aca="false">f26_trob</f>
        <v>-3.5</v>
      </c>
      <c r="E407" s="9" t="n">
        <f aca="false">E406*rm_2027_lo</f>
        <v>-22.0836</v>
      </c>
      <c r="F407" s="9" t="n">
        <f aca="false">F406*rm_2028_lo</f>
        <v>-14.575176</v>
      </c>
      <c r="G407" s="9" t="n">
        <f aca="false">G406*rm_2029_lo</f>
        <v>-10.6884624</v>
      </c>
    </row>
    <row r="408" customFormat="false" ht="15" hidden="false" customHeight="false" outlineLevel="0" collapsed="false">
      <c r="A408" s="4" t="s">
        <v>500</v>
      </c>
      <c r="B408" s="0" t="s">
        <v>197</v>
      </c>
      <c r="C408" s="9" t="n">
        <f aca="false">a25_corp</f>
        <v>-8.8</v>
      </c>
      <c r="D408" s="9" t="n">
        <f aca="false">f26_corp</f>
        <v>-10.4</v>
      </c>
      <c r="E408" s="9" t="n">
        <f aca="false">corp</f>
        <v>-10.4</v>
      </c>
      <c r="F408" s="9" t="n">
        <f aca="false">corp</f>
        <v>-10.4</v>
      </c>
      <c r="G408" s="9" t="n">
        <f aca="false">corp</f>
        <v>-10.4</v>
      </c>
    </row>
    <row r="409" customFormat="false" ht="15" hidden="false" customHeight="false" outlineLevel="0" collapsed="false">
      <c r="A409" s="4" t="s">
        <v>474</v>
      </c>
      <c r="B409" s="0" t="s">
        <v>197</v>
      </c>
      <c r="C409" s="9" t="n">
        <f aca="false">C403+C406</f>
        <v>3190.1</v>
      </c>
      <c r="D409" s="9" t="n">
        <f aca="false">D403+D406</f>
        <v>5111.6</v>
      </c>
      <c r="E409" s="9" t="n">
        <f aca="false">E403+E406</f>
        <v>6923.67222467179</v>
      </c>
      <c r="F409" s="9" t="n">
        <f aca="false">F403+F406</f>
        <v>7961.49851319757</v>
      </c>
      <c r="G409" s="9" t="n">
        <f aca="false">G403+G406</f>
        <v>9019.68544869644</v>
      </c>
    </row>
    <row r="410" customFormat="false" ht="17.15" hidden="false" customHeight="false" outlineLevel="0" collapsed="false">
      <c r="A410" s="4" t="s">
        <v>576</v>
      </c>
      <c r="B410" s="0" t="s">
        <v>197</v>
      </c>
      <c r="C410" s="9" t="n">
        <f aca="false">ROUND(C401+C402+C406-a25_rev,0)</f>
        <v>0</v>
      </c>
      <c r="D410" s="9" t="n">
        <f aca="false">ROUND(D401+D402+D406-f26_rev,0)</f>
        <v>0</v>
      </c>
      <c r="H410" s="8" t="s">
        <v>577</v>
      </c>
    </row>
    <row r="411" customFormat="false" ht="15" hidden="false" customHeight="false" outlineLevel="0" collapsed="false">
      <c r="A411" s="4" t="s">
        <v>553</v>
      </c>
      <c r="B411" s="0" t="s">
        <v>197</v>
      </c>
      <c r="C411" s="9" t="n">
        <f aca="false">C404+C407+C408</f>
        <v>653.2</v>
      </c>
      <c r="D411" s="9" t="n">
        <f aca="false">D404+D407+D408</f>
        <v>1629.93073654536</v>
      </c>
      <c r="E411" s="9" t="n">
        <f aca="false">E404+E407+E408</f>
        <v>2466.57547627273</v>
      </c>
      <c r="F411" s="9" t="n">
        <f aca="false">F404+F407+F408</f>
        <v>2953.67965221597</v>
      </c>
      <c r="G411" s="9" t="n">
        <f aca="false">G404+G407+G408</f>
        <v>3444.85755348148</v>
      </c>
    </row>
    <row r="412" customFormat="false" ht="15" hidden="false" customHeight="false" outlineLevel="0" collapsed="false">
      <c r="A412" s="4" t="s">
        <v>554</v>
      </c>
      <c r="B412" s="0" t="s">
        <v>99</v>
      </c>
      <c r="C412" s="11" t="n">
        <f aca="false">C411/C409</f>
        <v>0.204758471521269</v>
      </c>
      <c r="D412" s="11" t="n">
        <f aca="false">D411/D409</f>
        <v>0.318868991420565</v>
      </c>
      <c r="E412" s="11" t="n">
        <f aca="false">E411/E409</f>
        <v>0.356252490908414</v>
      </c>
      <c r="F412" s="11" t="n">
        <f aca="false">F411/F409</f>
        <v>0.370995441036601</v>
      </c>
      <c r="G412" s="11" t="n">
        <f aca="false">G411/G409</f>
        <v>0.381926573057971</v>
      </c>
    </row>
    <row r="413" customFormat="false" ht="15" hidden="false" customHeight="false" outlineLevel="0" collapsed="false">
      <c r="A413" s="4" t="s">
        <v>486</v>
      </c>
      <c r="B413" s="0" t="s">
        <v>197</v>
      </c>
      <c r="C413" s="9" t="n">
        <f aca="false">a25_tax</f>
        <v>79.3</v>
      </c>
      <c r="D413" s="9" t="n">
        <f aca="false">f26_tax</f>
        <v>231.054736545361</v>
      </c>
      <c r="E413" s="9" t="n">
        <f aca="false">E411*etr</f>
        <v>349.655316058017</v>
      </c>
      <c r="F413" s="9" t="n">
        <f aca="false">F411*etr</f>
        <v>418.705935522533</v>
      </c>
      <c r="G413" s="9" t="n">
        <f aca="false">G411*etr</f>
        <v>488.334035679932</v>
      </c>
    </row>
    <row r="414" customFormat="false" ht="17.15" hidden="false" customHeight="false" outlineLevel="0" collapsed="false">
      <c r="A414" s="4" t="s">
        <v>487</v>
      </c>
      <c r="B414" s="0" t="s">
        <v>197</v>
      </c>
      <c r="C414" s="9" t="n">
        <f aca="false">a25_aff</f>
        <v>-19.9</v>
      </c>
      <c r="D414" s="9" t="n">
        <f aca="false">f26_aff</f>
        <v>-13.2</v>
      </c>
      <c r="E414" s="9" t="n">
        <f aca="false">aff</f>
        <v>-13.2</v>
      </c>
      <c r="F414" s="9" t="n">
        <f aca="false">aff</f>
        <v>-13.2</v>
      </c>
      <c r="G414" s="9" t="n">
        <f aca="false">aff</f>
        <v>-13.2</v>
      </c>
    </row>
    <row r="415" customFormat="false" ht="17.15" hidden="false" customHeight="false" outlineLevel="0" collapsed="false">
      <c r="A415" s="4" t="s">
        <v>555</v>
      </c>
      <c r="B415" s="0" t="s">
        <v>197</v>
      </c>
      <c r="C415" s="9" t="n">
        <f aca="false">a25_ni</f>
        <v>554</v>
      </c>
      <c r="D415" s="9" t="n">
        <f aca="false">f26_ni</f>
        <v>1385.276</v>
      </c>
      <c r="E415" s="9" t="n">
        <f aca="false">E411-E413+E414</f>
        <v>2103.72016021471</v>
      </c>
      <c r="F415" s="9" t="n">
        <f aca="false">F411-F413+F414</f>
        <v>2521.77371669344</v>
      </c>
      <c r="G415" s="9" t="n">
        <f aca="false">G411-G413+G414</f>
        <v>2943.32351780155</v>
      </c>
      <c r="H415" s="8" t="s">
        <v>578</v>
      </c>
    </row>
    <row r="416" customFormat="false" ht="15" hidden="false" customHeight="false" outlineLevel="0" collapsed="false">
      <c r="A416" s="4" t="s">
        <v>579</v>
      </c>
      <c r="B416" s="4" t="s">
        <v>259</v>
      </c>
      <c r="C416" s="9" t="n">
        <f aca="false">a25_dsh</f>
        <v>159.7</v>
      </c>
      <c r="D416" s="9" t="n">
        <f aca="false">sh26</f>
        <v>157.7</v>
      </c>
      <c r="E416" s="9" t="n">
        <f aca="false">sh26*(1-bb)^1</f>
        <v>156.123</v>
      </c>
      <c r="F416" s="9" t="n">
        <f aca="false">sh26*(1-bb)^2</f>
        <v>154.56177</v>
      </c>
      <c r="G416" s="9" t="n">
        <f aca="false">sh26*(1-bb)^3</f>
        <v>153.0161523</v>
      </c>
    </row>
    <row r="417" customFormat="false" ht="17.15" hidden="false" customHeight="false" outlineLevel="0" collapsed="false">
      <c r="A417" s="0" t="s">
        <v>489</v>
      </c>
      <c r="B417" s="0" t="s">
        <v>202</v>
      </c>
      <c r="C417" s="18" t="n">
        <f aca="false">a25_eps</f>
        <v>3.47</v>
      </c>
      <c r="D417" s="18" t="n">
        <f aca="false">D415/D416</f>
        <v>8.78424857324033</v>
      </c>
      <c r="E417" s="18" t="n">
        <f aca="false">E415/E416</f>
        <v>13.474761311368</v>
      </c>
      <c r="F417" s="18" t="n">
        <f aca="false">F415/F416</f>
        <v>16.3156368919264</v>
      </c>
      <c r="G417" s="18" t="n">
        <f aca="false">G415/G416</f>
        <v>19.2353779229198</v>
      </c>
    </row>
    <row r="418" customFormat="false" ht="17.15" hidden="false" customHeight="false" outlineLevel="0" collapsed="false">
      <c r="A418" s="0" t="s">
        <v>580</v>
      </c>
      <c r="B418" s="0" t="s">
        <v>99</v>
      </c>
      <c r="C418" s="11" t="n">
        <f aca="false">C397/C409</f>
        <v>0.592363875740573</v>
      </c>
      <c r="D418" s="11" t="n">
        <f aca="false">D397/D409</f>
        <v>0.635675717974802</v>
      </c>
      <c r="E418" s="11" t="n">
        <f aca="false">E397/E409</f>
        <v>0.657640790066815</v>
      </c>
      <c r="F418" s="11" t="n">
        <f aca="false">F397/F409</f>
        <v>0.641845631555813</v>
      </c>
      <c r="G418" s="11" t="n">
        <f aca="false">G397/G409</f>
        <v>0.629980566687679</v>
      </c>
    </row>
    <row r="419" customFormat="false" ht="17.15" hidden="false" customHeight="false" outlineLevel="0" collapsed="false">
      <c r="A419" s="4" t="s">
        <v>581</v>
      </c>
      <c r="B419" s="0" t="s">
        <v>99</v>
      </c>
      <c r="C419" s="11" t="n">
        <f aca="false">a25_gp/a25_rev</f>
        <v>0.582225705329154</v>
      </c>
      <c r="D419" s="11" t="n">
        <f aca="false">f26_gm</f>
        <v>0.594365646092145</v>
      </c>
      <c r="E419" s="11" t="n">
        <f aca="false">f26_gm+(Q!J13-a25_gp/a25_rev)/(Q!J4/Q!J10-a25_soc/a25_rev)*(E418-D418)</f>
        <v>0.601175024106483</v>
      </c>
      <c r="F419" s="11" t="n">
        <f aca="false">f26_gm+(Q!J13-a25_gp/a25_rev)/(Q!J4/Q!J10-a25_soc/a25_rev)*(F418-D418)</f>
        <v>0.596278377073082</v>
      </c>
      <c r="G419" s="11" t="n">
        <f aca="false">f26_gm+(Q!J13-a25_gp/a25_rev)/(Q!J4/Q!J10-a25_soc/a25_rev)*(G418-D418)</f>
        <v>0.592600095867661</v>
      </c>
      <c r="H419" s="8" t="s">
        <v>582</v>
      </c>
    </row>
    <row r="424" customFormat="false" ht="17.15" hidden="false" customHeight="false" outlineLevel="0" collapsed="false">
      <c r="A424" s="1" t="s">
        <v>895</v>
      </c>
    </row>
    <row r="425" customFormat="false" ht="17.15" hidden="false" customHeight="false" outlineLevel="0" collapsed="false">
      <c r="A425" s="5" t="s">
        <v>21</v>
      </c>
      <c r="B425" s="5" t="s">
        <v>22</v>
      </c>
      <c r="C425" s="15" t="s">
        <v>545</v>
      </c>
      <c r="D425" s="15" t="s">
        <v>559</v>
      </c>
      <c r="E425" s="15" t="s">
        <v>546</v>
      </c>
      <c r="F425" s="15" t="s">
        <v>547</v>
      </c>
      <c r="G425" s="15" t="s">
        <v>548</v>
      </c>
      <c r="H425" s="5" t="s">
        <v>374</v>
      </c>
    </row>
    <row r="426" customFormat="false" ht="17.15" hidden="false" customHeight="false" outlineLevel="0" collapsed="false">
      <c r="A426" s="0" t="s">
        <v>560</v>
      </c>
      <c r="B426" s="0" t="s">
        <v>32</v>
      </c>
      <c r="C426" s="18" t="n">
        <f aca="false">mk_soc25</f>
        <v>6.9</v>
      </c>
      <c r="D426" s="18" t="n">
        <f aca="false">ms_A_2026</f>
        <v>11</v>
      </c>
      <c r="E426" s="18" t="n">
        <f aca="false">ms_A_2027*m_soc</f>
        <v>15.4143580786026</v>
      </c>
      <c r="F426" s="18" t="n">
        <f aca="false">ms_A_2028*m_soc</f>
        <v>17.2991836614041</v>
      </c>
      <c r="G426" s="18" t="n">
        <f aca="false">ms_A_2029*m_soc</f>
        <v>19.2361762010077</v>
      </c>
    </row>
    <row r="427" customFormat="false" ht="17.15" hidden="false" customHeight="false" outlineLevel="0" collapsed="false">
      <c r="A427" s="4" t="s">
        <v>561</v>
      </c>
      <c r="B427" s="0" t="s">
        <v>32</v>
      </c>
      <c r="C427" s="18" t="n">
        <f aca="false">mk_mem25</f>
        <v>2.1</v>
      </c>
      <c r="D427" s="18" t="n">
        <f aca="false">mm_A_2026</f>
        <v>2.75</v>
      </c>
      <c r="E427" s="18" t="n">
        <f aca="false">mm_A_2027</f>
        <v>3.88007408374579</v>
      </c>
      <c r="F427" s="18" t="n">
        <f aca="false">mm_A_2028</f>
        <v>5.04607694610671</v>
      </c>
      <c r="G427" s="18" t="n">
        <f aca="false">mm_A_2029</f>
        <v>6.20223782078096</v>
      </c>
    </row>
    <row r="428" customFormat="false" ht="17.15" hidden="false" customHeight="false" outlineLevel="0" collapsed="false">
      <c r="A428" s="4" t="s">
        <v>562</v>
      </c>
      <c r="B428" s="0" t="s">
        <v>99</v>
      </c>
      <c r="C428" s="11" t="n">
        <f aca="false">a25_soc/(C426*1000)</f>
        <v>0.273869565217391</v>
      </c>
      <c r="D428" s="11" t="n">
        <f aca="false">f26_soc/(D426*1000)</f>
        <v>0.295392727272727</v>
      </c>
      <c r="E428" s="11" t="n">
        <f aca="false">s_soc</f>
        <v>0.295392727272727</v>
      </c>
      <c r="F428" s="11" t="n">
        <f aca="false">s_soc</f>
        <v>0.295392727272727</v>
      </c>
      <c r="G428" s="11" t="n">
        <f aca="false">s_soc</f>
        <v>0.295392727272727</v>
      </c>
      <c r="H428" s="8" t="s">
        <v>563</v>
      </c>
    </row>
    <row r="429" customFormat="false" ht="17.15" hidden="false" customHeight="false" outlineLevel="0" collapsed="false">
      <c r="A429" s="0" t="s">
        <v>564</v>
      </c>
      <c r="B429" s="0" t="s">
        <v>197</v>
      </c>
      <c r="C429" s="9" t="n">
        <f aca="false">a25_soc</f>
        <v>1889.7</v>
      </c>
      <c r="D429" s="9" t="n">
        <f aca="false">f26_soc</f>
        <v>3249.32</v>
      </c>
      <c r="E429" s="9" t="n">
        <f aca="false">E426*1000*E428</f>
        <v>4553.28927199682</v>
      </c>
      <c r="F429" s="9" t="n">
        <f aca="false">F426*1000*F428</f>
        <v>5110.05304133396</v>
      </c>
      <c r="G429" s="9" t="n">
        <f aca="false">G426*1000*G428</f>
        <v>5682.22655031439</v>
      </c>
      <c r="H429" s="4" t="s">
        <v>565</v>
      </c>
    </row>
    <row r="430" customFormat="false" ht="15" hidden="false" customHeight="false" outlineLevel="0" collapsed="false">
      <c r="A430" s="4" t="s">
        <v>566</v>
      </c>
      <c r="B430" s="0" t="s">
        <v>99</v>
      </c>
      <c r="C430" s="11" t="n">
        <f aca="false">a25_mem/(C427*1000)</f>
        <v>0.240428571428571</v>
      </c>
      <c r="D430" s="11" t="n">
        <f aca="false">f26_mem/(D427*1000)</f>
        <v>0.316756363636364</v>
      </c>
      <c r="E430" s="11" t="n">
        <f aca="false">s_mem</f>
        <v>0.316756363636364</v>
      </c>
      <c r="F430" s="11" t="n">
        <f aca="false">s_mem</f>
        <v>0.316756363636364</v>
      </c>
      <c r="G430" s="11" t="n">
        <f aca="false">s_mem</f>
        <v>0.316756363636364</v>
      </c>
    </row>
    <row r="431" customFormat="false" ht="15" hidden="false" customHeight="false" outlineLevel="0" collapsed="false">
      <c r="A431" s="4" t="s">
        <v>567</v>
      </c>
      <c r="B431" s="0" t="s">
        <v>197</v>
      </c>
      <c r="C431" s="9" t="n">
        <f aca="false">a25_mem</f>
        <v>504.9</v>
      </c>
      <c r="D431" s="9" t="n">
        <f aca="false">f26_mem</f>
        <v>871.08</v>
      </c>
      <c r="E431" s="9" t="n">
        <f aca="false">E427*1000*E430</f>
        <v>1229.03815740701</v>
      </c>
      <c r="F431" s="9" t="n">
        <f aca="false">F427*1000*F430</f>
        <v>1598.37698407805</v>
      </c>
      <c r="G431" s="9" t="n">
        <f aca="false">G427*1000*G430</f>
        <v>1964.5982985185</v>
      </c>
    </row>
    <row r="432" customFormat="false" ht="17.15" hidden="false" customHeight="false" outlineLevel="0" collapsed="false">
      <c r="A432" s="0" t="s">
        <v>568</v>
      </c>
      <c r="B432" s="0" t="s">
        <v>197</v>
      </c>
      <c r="C432" s="9" t="n">
        <f aca="false">a25_ist</f>
        <v>129.2</v>
      </c>
      <c r="D432" s="9" t="n">
        <f aca="false">f26_ist</f>
        <v>195.51</v>
      </c>
      <c r="E432" s="9" t="n">
        <f aca="false">$D432*E426/$D426</f>
        <v>273.969195267963</v>
      </c>
      <c r="F432" s="9" t="n">
        <f aca="false">$D432*F426/$D426</f>
        <v>307.469399785556</v>
      </c>
      <c r="G432" s="9" t="n">
        <f aca="false">$D432*G426/$D426</f>
        <v>341.896800823547</v>
      </c>
      <c r="H432" s="8" t="s">
        <v>569</v>
      </c>
    </row>
    <row r="433" customFormat="false" ht="15" hidden="false" customHeight="false" outlineLevel="0" collapsed="false">
      <c r="A433" s="4" t="s">
        <v>570</v>
      </c>
      <c r="B433" s="0" t="s">
        <v>197</v>
      </c>
      <c r="C433" s="9" t="n">
        <f aca="false">C429+C431+C432</f>
        <v>2523.8</v>
      </c>
      <c r="D433" s="9" t="n">
        <f aca="false">D429+D431+D432</f>
        <v>4315.91</v>
      </c>
      <c r="E433" s="9" t="n">
        <f aca="false">E429+E431+E432</f>
        <v>6056.29662467179</v>
      </c>
      <c r="F433" s="9" t="n">
        <f aca="false">F429+F431+F432</f>
        <v>7015.89942519757</v>
      </c>
      <c r="G433" s="9" t="n">
        <f aca="false">G429+G431+G432</f>
        <v>7988.72164965644</v>
      </c>
    </row>
    <row r="434" customFormat="false" ht="17.15" hidden="false" customHeight="false" outlineLevel="0" collapsed="false">
      <c r="A434" s="0" t="s">
        <v>571</v>
      </c>
      <c r="B434" s="0" t="s">
        <v>197</v>
      </c>
      <c r="C434" s="9" t="n">
        <f aca="false">a25_pt</f>
        <v>358</v>
      </c>
      <c r="D434" s="9" t="n">
        <f aca="false">f26_pt</f>
        <v>394.17</v>
      </c>
      <c r="E434" s="9" t="n">
        <f aca="false">D434*(1+g_pt_A)</f>
        <v>425.7036</v>
      </c>
      <c r="F434" s="9" t="n">
        <f aca="false">E434*(1+g_pt_A)</f>
        <v>459.759888</v>
      </c>
      <c r="G434" s="9" t="n">
        <f aca="false">F434*(1+g_pt_A)</f>
        <v>496.54067904</v>
      </c>
    </row>
    <row r="435" customFormat="false" ht="17.15" hidden="false" customHeight="false" outlineLevel="0" collapsed="false">
      <c r="A435" s="4" t="s">
        <v>512</v>
      </c>
      <c r="B435" s="0" t="s">
        <v>197</v>
      </c>
      <c r="C435" s="9" t="n">
        <f aca="false">C433+C434</f>
        <v>2881.8</v>
      </c>
      <c r="D435" s="9" t="n">
        <f aca="false">D433+D434</f>
        <v>4710.08</v>
      </c>
      <c r="E435" s="9" t="n">
        <f aca="false">E433+E434</f>
        <v>6482.00022467179</v>
      </c>
      <c r="F435" s="9" t="n">
        <f aca="false">F433+F434</f>
        <v>7475.65931319757</v>
      </c>
      <c r="G435" s="9" t="n">
        <f aca="false">G433+G434</f>
        <v>8485.26232869644</v>
      </c>
    </row>
    <row r="436" customFormat="false" ht="17.15" hidden="false" customHeight="false" outlineLevel="0" collapsed="false">
      <c r="A436" s="4" t="s">
        <v>572</v>
      </c>
      <c r="B436" s="0" t="s">
        <v>197</v>
      </c>
      <c r="C436" s="9" t="n">
        <f aca="false">a25_ttest</f>
        <v>761.4</v>
      </c>
      <c r="D436" s="9" t="n">
        <f aca="false">f26_ttest</f>
        <v>1643.83073654536</v>
      </c>
      <c r="E436" s="9" t="n">
        <f aca="false">t_inc*E435-t_fix+0*E435</f>
        <v>2499.05907627273</v>
      </c>
      <c r="F436" s="9" t="n">
        <f aca="false">t_inc*F435-t_fix+0*F435</f>
        <v>2978.65482821597</v>
      </c>
      <c r="G436" s="9" t="n">
        <f aca="false">t_inc*G435-t_fix+0*G435</f>
        <v>3465.94601588148</v>
      </c>
      <c r="H436" s="4" t="s">
        <v>573</v>
      </c>
    </row>
    <row r="437" customFormat="false" ht="15" hidden="false" customHeight="false" outlineLevel="0" collapsed="false">
      <c r="A437" s="4" t="s">
        <v>574</v>
      </c>
      <c r="B437" s="0" t="s">
        <v>99</v>
      </c>
      <c r="C437" s="11" t="n">
        <f aca="false">C436/C435</f>
        <v>0.26420986883198</v>
      </c>
      <c r="D437" s="11" t="n">
        <f aca="false">D436/D435</f>
        <v>0.349002721088678</v>
      </c>
      <c r="E437" s="11" t="n">
        <f aca="false">E436/E435</f>
        <v>0.385538258200117</v>
      </c>
      <c r="F437" s="11" t="n">
        <f aca="false">F436/F435</f>
        <v>0.398447107261488</v>
      </c>
      <c r="G437" s="11" t="n">
        <f aca="false">G436/G435</f>
        <v>0.408466571995063</v>
      </c>
    </row>
    <row r="438" customFormat="false" ht="17.15" hidden="false" customHeight="false" outlineLevel="0" collapsed="false">
      <c r="A438" s="4" t="s">
        <v>575</v>
      </c>
      <c r="B438" s="0" t="s">
        <v>197</v>
      </c>
      <c r="C438" s="9" t="n">
        <f aca="false">a25_rob</f>
        <v>308.3</v>
      </c>
      <c r="D438" s="9" t="n">
        <f aca="false">f26_rob</f>
        <v>401.52</v>
      </c>
      <c r="E438" s="9" t="n">
        <f aca="false">D438*(1+g_rob)</f>
        <v>441.672</v>
      </c>
      <c r="F438" s="9" t="n">
        <f aca="false">E438*(1+g_rob)</f>
        <v>485.8392</v>
      </c>
      <c r="G438" s="9" t="n">
        <f aca="false">F438*(1+g_rob)</f>
        <v>534.42312</v>
      </c>
    </row>
    <row r="439" customFormat="false" ht="15" hidden="false" customHeight="false" outlineLevel="0" collapsed="false">
      <c r="A439" s="4" t="s">
        <v>520</v>
      </c>
      <c r="B439" s="0" t="s">
        <v>197</v>
      </c>
      <c r="C439" s="9" t="n">
        <f aca="false">a25_trob</f>
        <v>-99.4</v>
      </c>
      <c r="D439" s="9" t="n">
        <f aca="false">f26_trob</f>
        <v>-3.5</v>
      </c>
      <c r="E439" s="9" t="n">
        <f aca="false">E438*rm_2027_hi</f>
        <v>30.91704</v>
      </c>
      <c r="F439" s="9" t="n">
        <f aca="false">F438*rm_2028_hi</f>
        <v>43.725528</v>
      </c>
      <c r="G439" s="9" t="n">
        <f aca="false">G438*rm_2029_hi</f>
        <v>53.442312</v>
      </c>
    </row>
    <row r="440" customFormat="false" ht="15" hidden="false" customHeight="false" outlineLevel="0" collapsed="false">
      <c r="A440" s="4" t="s">
        <v>500</v>
      </c>
      <c r="B440" s="0" t="s">
        <v>197</v>
      </c>
      <c r="C440" s="9" t="n">
        <f aca="false">a25_corp</f>
        <v>-8.8</v>
      </c>
      <c r="D440" s="9" t="n">
        <f aca="false">f26_corp</f>
        <v>-10.4</v>
      </c>
      <c r="E440" s="9" t="n">
        <f aca="false">corp</f>
        <v>-10.4</v>
      </c>
      <c r="F440" s="9" t="n">
        <f aca="false">corp</f>
        <v>-10.4</v>
      </c>
      <c r="G440" s="9" t="n">
        <f aca="false">corp</f>
        <v>-10.4</v>
      </c>
    </row>
    <row r="441" customFormat="false" ht="15" hidden="false" customHeight="false" outlineLevel="0" collapsed="false">
      <c r="A441" s="4" t="s">
        <v>474</v>
      </c>
      <c r="B441" s="0" t="s">
        <v>197</v>
      </c>
      <c r="C441" s="9" t="n">
        <f aca="false">C435+C438</f>
        <v>3190.1</v>
      </c>
      <c r="D441" s="9" t="n">
        <f aca="false">D435+D438</f>
        <v>5111.6</v>
      </c>
      <c r="E441" s="9" t="n">
        <f aca="false">E435+E438</f>
        <v>6923.67222467179</v>
      </c>
      <c r="F441" s="9" t="n">
        <f aca="false">F435+F438</f>
        <v>7961.49851319757</v>
      </c>
      <c r="G441" s="9" t="n">
        <f aca="false">G435+G438</f>
        <v>9019.68544869644</v>
      </c>
    </row>
    <row r="442" customFormat="false" ht="17.15" hidden="false" customHeight="false" outlineLevel="0" collapsed="false">
      <c r="A442" s="4" t="s">
        <v>576</v>
      </c>
      <c r="B442" s="0" t="s">
        <v>197</v>
      </c>
      <c r="C442" s="9" t="n">
        <f aca="false">ROUND(C433+C434+C438-a25_rev,0)</f>
        <v>0</v>
      </c>
      <c r="D442" s="9" t="n">
        <f aca="false">ROUND(D433+D434+D438-f26_rev,0)</f>
        <v>0</v>
      </c>
      <c r="H442" s="8" t="s">
        <v>577</v>
      </c>
    </row>
    <row r="443" customFormat="false" ht="15" hidden="false" customHeight="false" outlineLevel="0" collapsed="false">
      <c r="A443" s="4" t="s">
        <v>553</v>
      </c>
      <c r="B443" s="0" t="s">
        <v>197</v>
      </c>
      <c r="C443" s="9" t="n">
        <f aca="false">C436+C439+C440</f>
        <v>653.2</v>
      </c>
      <c r="D443" s="9" t="n">
        <f aca="false">D436+D439+D440</f>
        <v>1629.93073654536</v>
      </c>
      <c r="E443" s="9" t="n">
        <f aca="false">E436+E439+E440</f>
        <v>2519.57611627273</v>
      </c>
      <c r="F443" s="9" t="n">
        <f aca="false">F436+F439+F440</f>
        <v>3011.98035621597</v>
      </c>
      <c r="G443" s="9" t="n">
        <f aca="false">G436+G439+G440</f>
        <v>3508.98832788148</v>
      </c>
    </row>
    <row r="444" customFormat="false" ht="15" hidden="false" customHeight="false" outlineLevel="0" collapsed="false">
      <c r="A444" s="4" t="s">
        <v>554</v>
      </c>
      <c r="B444" s="0" t="s">
        <v>99</v>
      </c>
      <c r="C444" s="11" t="n">
        <f aca="false">C443/C441</f>
        <v>0.204758471521269</v>
      </c>
      <c r="D444" s="11" t="n">
        <f aca="false">D443/D441</f>
        <v>0.318868991420565</v>
      </c>
      <c r="E444" s="11" t="n">
        <f aca="false">E443/E441</f>
        <v>0.363907480671092</v>
      </c>
      <c r="F444" s="11" t="n">
        <f aca="false">F443/F441</f>
        <v>0.378318271519249</v>
      </c>
      <c r="G444" s="11" t="n">
        <f aca="false">G443/G441</f>
        <v>0.389036662956867</v>
      </c>
    </row>
    <row r="445" customFormat="false" ht="15" hidden="false" customHeight="false" outlineLevel="0" collapsed="false">
      <c r="A445" s="4" t="s">
        <v>486</v>
      </c>
      <c r="B445" s="0" t="s">
        <v>197</v>
      </c>
      <c r="C445" s="9" t="n">
        <f aca="false">a25_tax</f>
        <v>79.3</v>
      </c>
      <c r="D445" s="9" t="n">
        <f aca="false">f26_tax</f>
        <v>231.054736545361</v>
      </c>
      <c r="E445" s="9" t="n">
        <f aca="false">E443*etr</f>
        <v>357.168548760095</v>
      </c>
      <c r="F445" s="9" t="n">
        <f aca="false">F443*etr</f>
        <v>426.970491494819</v>
      </c>
      <c r="G445" s="9" t="n">
        <f aca="false">G443*etr</f>
        <v>497.425047249447</v>
      </c>
    </row>
    <row r="446" customFormat="false" ht="17.15" hidden="false" customHeight="false" outlineLevel="0" collapsed="false">
      <c r="A446" s="4" t="s">
        <v>487</v>
      </c>
      <c r="B446" s="0" t="s">
        <v>197</v>
      </c>
      <c r="C446" s="9" t="n">
        <f aca="false">a25_aff</f>
        <v>-19.9</v>
      </c>
      <c r="D446" s="9" t="n">
        <f aca="false">f26_aff</f>
        <v>-13.2</v>
      </c>
      <c r="E446" s="9" t="n">
        <f aca="false">aff</f>
        <v>-13.2</v>
      </c>
      <c r="F446" s="9" t="n">
        <f aca="false">aff</f>
        <v>-13.2</v>
      </c>
      <c r="G446" s="9" t="n">
        <f aca="false">aff</f>
        <v>-13.2</v>
      </c>
    </row>
    <row r="447" customFormat="false" ht="17.15" hidden="false" customHeight="false" outlineLevel="0" collapsed="false">
      <c r="A447" s="4" t="s">
        <v>555</v>
      </c>
      <c r="B447" s="0" t="s">
        <v>197</v>
      </c>
      <c r="C447" s="9" t="n">
        <f aca="false">a25_ni</f>
        <v>554</v>
      </c>
      <c r="D447" s="9" t="n">
        <f aca="false">f26_ni</f>
        <v>1385.276</v>
      </c>
      <c r="E447" s="9" t="n">
        <f aca="false">E443-E445+E446</f>
        <v>2149.20756751263</v>
      </c>
      <c r="F447" s="9" t="n">
        <f aca="false">F443-F445+F446</f>
        <v>2571.80986472115</v>
      </c>
      <c r="G447" s="9" t="n">
        <f aca="false">G443-G445+G446</f>
        <v>2998.36328063203</v>
      </c>
      <c r="H447" s="8" t="s">
        <v>578</v>
      </c>
    </row>
    <row r="448" customFormat="false" ht="15" hidden="false" customHeight="false" outlineLevel="0" collapsed="false">
      <c r="A448" s="4" t="s">
        <v>579</v>
      </c>
      <c r="B448" s="4" t="s">
        <v>259</v>
      </c>
      <c r="C448" s="9" t="n">
        <f aca="false">a25_dsh</f>
        <v>159.7</v>
      </c>
      <c r="D448" s="9" t="n">
        <f aca="false">sh26</f>
        <v>157.7</v>
      </c>
      <c r="E448" s="9" t="n">
        <f aca="false">sh26*(1-bb)^1</f>
        <v>156.123</v>
      </c>
      <c r="F448" s="9" t="n">
        <f aca="false">sh26*(1-bb)^2</f>
        <v>154.56177</v>
      </c>
      <c r="G448" s="9" t="n">
        <f aca="false">sh26*(1-bb)^3</f>
        <v>153.0161523</v>
      </c>
    </row>
    <row r="449" customFormat="false" ht="17.15" hidden="false" customHeight="false" outlineLevel="0" collapsed="false">
      <c r="A449" s="0" t="s">
        <v>489</v>
      </c>
      <c r="B449" s="0" t="s">
        <v>202</v>
      </c>
      <c r="C449" s="18" t="n">
        <f aca="false">a25_eps</f>
        <v>3.47</v>
      </c>
      <c r="D449" s="18" t="n">
        <f aca="false">D447/D448</f>
        <v>8.78424857324033</v>
      </c>
      <c r="E449" s="18" t="n">
        <f aca="false">E447/E448</f>
        <v>13.7661175324112</v>
      </c>
      <c r="F449" s="18" t="n">
        <f aca="false">F447/F448</f>
        <v>16.6393660264188</v>
      </c>
      <c r="G449" s="18" t="n">
        <f aca="false">G447/G448</f>
        <v>19.5950769612446</v>
      </c>
    </row>
    <row r="450" customFormat="false" ht="17.15" hidden="false" customHeight="false" outlineLevel="0" collapsed="false">
      <c r="A450" s="0" t="s">
        <v>580</v>
      </c>
      <c r="B450" s="0" t="s">
        <v>99</v>
      </c>
      <c r="C450" s="11" t="n">
        <f aca="false">C429/C441</f>
        <v>0.592363875740573</v>
      </c>
      <c r="D450" s="11" t="n">
        <f aca="false">D429/D441</f>
        <v>0.635675717974802</v>
      </c>
      <c r="E450" s="11" t="n">
        <f aca="false">E429/E441</f>
        <v>0.657640790066815</v>
      </c>
      <c r="F450" s="11" t="n">
        <f aca="false">F429/F441</f>
        <v>0.641845631555813</v>
      </c>
      <c r="G450" s="11" t="n">
        <f aca="false">G429/G441</f>
        <v>0.629980566687679</v>
      </c>
    </row>
    <row r="451" customFormat="false" ht="17.15" hidden="false" customHeight="false" outlineLevel="0" collapsed="false">
      <c r="A451" s="4" t="s">
        <v>581</v>
      </c>
      <c r="B451" s="0" t="s">
        <v>99</v>
      </c>
      <c r="C451" s="11" t="n">
        <f aca="false">a25_gp/a25_rev</f>
        <v>0.582225705329154</v>
      </c>
      <c r="D451" s="11" t="n">
        <f aca="false">f26_gm</f>
        <v>0.594365646092145</v>
      </c>
      <c r="E451" s="11" t="n">
        <f aca="false">f26_gm+(Q!J13-a25_gp/a25_rev)/(Q!J4/Q!J10-a25_soc/a25_rev)*(E450-D450)</f>
        <v>0.601175024106483</v>
      </c>
      <c r="F451" s="11" t="n">
        <f aca="false">f26_gm+(Q!J13-a25_gp/a25_rev)/(Q!J4/Q!J10-a25_soc/a25_rev)*(F450-D450)</f>
        <v>0.596278377073082</v>
      </c>
      <c r="G451" s="11" t="n">
        <f aca="false">f26_gm+(Q!J13-a25_gp/a25_rev)/(Q!J4/Q!J10-a25_soc/a25_rev)*(G450-D450)</f>
        <v>0.592600095867661</v>
      </c>
      <c r="H451" s="8" t="s">
        <v>582</v>
      </c>
    </row>
    <row r="456" customFormat="false" ht="17.15" hidden="false" customHeight="false" outlineLevel="0" collapsed="false">
      <c r="A456" s="1" t="s">
        <v>896</v>
      </c>
    </row>
    <row r="457" customFormat="false" ht="17.15" hidden="false" customHeight="false" outlineLevel="0" collapsed="false">
      <c r="A457" s="5" t="s">
        <v>21</v>
      </c>
      <c r="B457" s="5" t="s">
        <v>22</v>
      </c>
      <c r="C457" s="15" t="s">
        <v>545</v>
      </c>
      <c r="D457" s="15" t="s">
        <v>559</v>
      </c>
      <c r="E457" s="15" t="s">
        <v>546</v>
      </c>
      <c r="F457" s="15" t="s">
        <v>547</v>
      </c>
      <c r="G457" s="15" t="s">
        <v>548</v>
      </c>
      <c r="H457" s="5" t="s">
        <v>374</v>
      </c>
    </row>
    <row r="458" customFormat="false" ht="17.15" hidden="false" customHeight="false" outlineLevel="0" collapsed="false">
      <c r="A458" s="0" t="s">
        <v>560</v>
      </c>
      <c r="B458" s="0" t="s">
        <v>32</v>
      </c>
      <c r="C458" s="18" t="n">
        <f aca="false">mk_soc25</f>
        <v>6.9</v>
      </c>
      <c r="D458" s="18" t="n">
        <f aca="false">ms_A_2026</f>
        <v>11</v>
      </c>
      <c r="E458" s="18" t="n">
        <f aca="false">ms_A_2027*m_soc</f>
        <v>15.4143580786026</v>
      </c>
      <c r="F458" s="18" t="n">
        <f aca="false">ms_A_2028*m_soc</f>
        <v>17.2991836614041</v>
      </c>
      <c r="G458" s="18" t="n">
        <f aca="false">ms_A_2029*m_soc</f>
        <v>19.2361762010077</v>
      </c>
    </row>
    <row r="459" customFormat="false" ht="17.15" hidden="false" customHeight="false" outlineLevel="0" collapsed="false">
      <c r="A459" s="4" t="s">
        <v>561</v>
      </c>
      <c r="B459" s="0" t="s">
        <v>32</v>
      </c>
      <c r="C459" s="18" t="n">
        <f aca="false">mk_mem25</f>
        <v>2.1</v>
      </c>
      <c r="D459" s="18" t="n">
        <f aca="false">mm_A_2026</f>
        <v>2.75</v>
      </c>
      <c r="E459" s="18" t="n">
        <f aca="false">mm_A_2027</f>
        <v>3.88007408374579</v>
      </c>
      <c r="F459" s="18" t="n">
        <f aca="false">mm_A_2028</f>
        <v>5.04607694610671</v>
      </c>
      <c r="G459" s="18" t="n">
        <f aca="false">mm_A_2029</f>
        <v>6.20223782078096</v>
      </c>
    </row>
    <row r="460" customFormat="false" ht="17.15" hidden="false" customHeight="false" outlineLevel="0" collapsed="false">
      <c r="A460" s="4" t="s">
        <v>562</v>
      </c>
      <c r="B460" s="0" t="s">
        <v>99</v>
      </c>
      <c r="C460" s="11" t="n">
        <f aca="false">a25_soc/(C458*1000)</f>
        <v>0.273869565217391</v>
      </c>
      <c r="D460" s="11" t="n">
        <f aca="false">f26_soc/(D458*1000)</f>
        <v>0.295392727272727</v>
      </c>
      <c r="E460" s="11" t="n">
        <f aca="false">s_soc</f>
        <v>0.295392727272727</v>
      </c>
      <c r="F460" s="11" t="n">
        <f aca="false">s_soc</f>
        <v>0.295392727272727</v>
      </c>
      <c r="G460" s="11" t="n">
        <f aca="false">s_soc</f>
        <v>0.295392727272727</v>
      </c>
      <c r="H460" s="8" t="s">
        <v>563</v>
      </c>
    </row>
    <row r="461" customFormat="false" ht="17.15" hidden="false" customHeight="false" outlineLevel="0" collapsed="false">
      <c r="A461" s="0" t="s">
        <v>564</v>
      </c>
      <c r="B461" s="0" t="s">
        <v>197</v>
      </c>
      <c r="C461" s="9" t="n">
        <f aca="false">a25_soc</f>
        <v>1889.7</v>
      </c>
      <c r="D461" s="9" t="n">
        <f aca="false">f26_soc</f>
        <v>3249.32</v>
      </c>
      <c r="E461" s="9" t="n">
        <f aca="false">E458*1000*E460</f>
        <v>4553.28927199682</v>
      </c>
      <c r="F461" s="9" t="n">
        <f aca="false">F458*1000*F460</f>
        <v>5110.05304133396</v>
      </c>
      <c r="G461" s="9" t="n">
        <f aca="false">G458*1000*G460</f>
        <v>5682.22655031439</v>
      </c>
      <c r="H461" s="4" t="s">
        <v>565</v>
      </c>
    </row>
    <row r="462" customFormat="false" ht="15" hidden="false" customHeight="false" outlineLevel="0" collapsed="false">
      <c r="A462" s="4" t="s">
        <v>566</v>
      </c>
      <c r="B462" s="0" t="s">
        <v>99</v>
      </c>
      <c r="C462" s="11" t="n">
        <f aca="false">a25_mem/(C459*1000)</f>
        <v>0.240428571428571</v>
      </c>
      <c r="D462" s="11" t="n">
        <f aca="false">f26_mem/(D459*1000)</f>
        <v>0.316756363636364</v>
      </c>
      <c r="E462" s="11" t="n">
        <f aca="false">s_mem</f>
        <v>0.316756363636364</v>
      </c>
      <c r="F462" s="11" t="n">
        <f aca="false">s_mem</f>
        <v>0.316756363636364</v>
      </c>
      <c r="G462" s="11" t="n">
        <f aca="false">s_mem</f>
        <v>0.316756363636364</v>
      </c>
    </row>
    <row r="463" customFormat="false" ht="15" hidden="false" customHeight="false" outlineLevel="0" collapsed="false">
      <c r="A463" s="4" t="s">
        <v>567</v>
      </c>
      <c r="B463" s="0" t="s">
        <v>197</v>
      </c>
      <c r="C463" s="9" t="n">
        <f aca="false">a25_mem</f>
        <v>504.9</v>
      </c>
      <c r="D463" s="9" t="n">
        <f aca="false">f26_mem</f>
        <v>871.08</v>
      </c>
      <c r="E463" s="9" t="n">
        <f aca="false">E459*1000*E462</f>
        <v>1229.03815740701</v>
      </c>
      <c r="F463" s="9" t="n">
        <f aca="false">F459*1000*F462</f>
        <v>1598.37698407805</v>
      </c>
      <c r="G463" s="9" t="n">
        <f aca="false">G459*1000*G462</f>
        <v>1964.5982985185</v>
      </c>
    </row>
    <row r="464" customFormat="false" ht="17.15" hidden="false" customHeight="false" outlineLevel="0" collapsed="false">
      <c r="A464" s="0" t="s">
        <v>568</v>
      </c>
      <c r="B464" s="0" t="s">
        <v>197</v>
      </c>
      <c r="C464" s="9" t="n">
        <f aca="false">a25_ist</f>
        <v>129.2</v>
      </c>
      <c r="D464" s="9" t="n">
        <f aca="false">f26_ist</f>
        <v>195.51</v>
      </c>
      <c r="E464" s="9" t="n">
        <f aca="false">$D464*E458/$D458</f>
        <v>273.969195267963</v>
      </c>
      <c r="F464" s="9" t="n">
        <f aca="false">$D464*F458/$D458</f>
        <v>307.469399785556</v>
      </c>
      <c r="G464" s="9" t="n">
        <f aca="false">$D464*G458/$D458</f>
        <v>341.896800823547</v>
      </c>
      <c r="H464" s="8" t="s">
        <v>569</v>
      </c>
    </row>
    <row r="465" customFormat="false" ht="15" hidden="false" customHeight="false" outlineLevel="0" collapsed="false">
      <c r="A465" s="4" t="s">
        <v>570</v>
      </c>
      <c r="B465" s="0" t="s">
        <v>197</v>
      </c>
      <c r="C465" s="9" t="n">
        <f aca="false">C461+C463+C464</f>
        <v>2523.8</v>
      </c>
      <c r="D465" s="9" t="n">
        <f aca="false">D461+D463+D464</f>
        <v>4315.91</v>
      </c>
      <c r="E465" s="9" t="n">
        <f aca="false">E461+E463+E464</f>
        <v>6056.29662467179</v>
      </c>
      <c r="F465" s="9" t="n">
        <f aca="false">F461+F463+F464</f>
        <v>7015.89942519757</v>
      </c>
      <c r="G465" s="9" t="n">
        <f aca="false">G461+G463+G464</f>
        <v>7988.72164965644</v>
      </c>
    </row>
    <row r="466" customFormat="false" ht="17.15" hidden="false" customHeight="false" outlineLevel="0" collapsed="false">
      <c r="A466" s="0" t="s">
        <v>571</v>
      </c>
      <c r="B466" s="0" t="s">
        <v>197</v>
      </c>
      <c r="C466" s="9" t="n">
        <f aca="false">a25_pt</f>
        <v>358</v>
      </c>
      <c r="D466" s="9" t="n">
        <f aca="false">f26_pt</f>
        <v>394.17</v>
      </c>
      <c r="E466" s="9" t="n">
        <f aca="false">D466*(1+g_pt_A)</f>
        <v>425.7036</v>
      </c>
      <c r="F466" s="9" t="n">
        <f aca="false">E466*(1+g_pt_A)</f>
        <v>459.759888</v>
      </c>
      <c r="G466" s="9" t="n">
        <f aca="false">F466*(1+g_pt_A)</f>
        <v>496.54067904</v>
      </c>
    </row>
    <row r="467" customFormat="false" ht="17.15" hidden="false" customHeight="false" outlineLevel="0" collapsed="false">
      <c r="A467" s="4" t="s">
        <v>512</v>
      </c>
      <c r="B467" s="0" t="s">
        <v>197</v>
      </c>
      <c r="C467" s="9" t="n">
        <f aca="false">C465+C466</f>
        <v>2881.8</v>
      </c>
      <c r="D467" s="9" t="n">
        <f aca="false">D465+D466</f>
        <v>4710.08</v>
      </c>
      <c r="E467" s="9" t="n">
        <f aca="false">E465+E466</f>
        <v>6482.00022467179</v>
      </c>
      <c r="F467" s="9" t="n">
        <f aca="false">F465+F466</f>
        <v>7475.65931319757</v>
      </c>
      <c r="G467" s="9" t="n">
        <f aca="false">G465+G466</f>
        <v>8485.26232869644</v>
      </c>
    </row>
    <row r="468" customFormat="false" ht="17.15" hidden="false" customHeight="false" outlineLevel="0" collapsed="false">
      <c r="A468" s="4" t="s">
        <v>572</v>
      </c>
      <c r="B468" s="0" t="s">
        <v>197</v>
      </c>
      <c r="C468" s="9" t="n">
        <f aca="false">a25_ttest</f>
        <v>761.4</v>
      </c>
      <c r="D468" s="9" t="n">
        <f aca="false">f26_ttest</f>
        <v>1643.83073654536</v>
      </c>
      <c r="E468" s="9" t="n">
        <f aca="false">t_inc*E467-t_fix+0*E467</f>
        <v>2499.05907627273</v>
      </c>
      <c r="F468" s="9" t="n">
        <f aca="false">t_inc*F467-t_fix+0*F467</f>
        <v>2978.65482821597</v>
      </c>
      <c r="G468" s="9" t="n">
        <f aca="false">t_inc*G467-t_fix+0*G467</f>
        <v>3465.94601588148</v>
      </c>
      <c r="H468" s="4" t="s">
        <v>573</v>
      </c>
    </row>
    <row r="469" customFormat="false" ht="15" hidden="false" customHeight="false" outlineLevel="0" collapsed="false">
      <c r="A469" s="4" t="s">
        <v>574</v>
      </c>
      <c r="B469" s="0" t="s">
        <v>99</v>
      </c>
      <c r="C469" s="11" t="n">
        <f aca="false">C468/C467</f>
        <v>0.26420986883198</v>
      </c>
      <c r="D469" s="11" t="n">
        <f aca="false">D468/D467</f>
        <v>0.349002721088678</v>
      </c>
      <c r="E469" s="11" t="n">
        <f aca="false">E468/E467</f>
        <v>0.385538258200117</v>
      </c>
      <c r="F469" s="11" t="n">
        <f aca="false">F468/F467</f>
        <v>0.398447107261488</v>
      </c>
      <c r="G469" s="11" t="n">
        <f aca="false">G468/G467</f>
        <v>0.408466571995063</v>
      </c>
    </row>
    <row r="470" customFormat="false" ht="17.15" hidden="false" customHeight="false" outlineLevel="0" collapsed="false">
      <c r="A470" s="4" t="s">
        <v>575</v>
      </c>
      <c r="B470" s="0" t="s">
        <v>197</v>
      </c>
      <c r="C470" s="9" t="n">
        <f aca="false">a25_rob</f>
        <v>308.3</v>
      </c>
      <c r="D470" s="9" t="n">
        <f aca="false">f26_rob</f>
        <v>401.52</v>
      </c>
      <c r="E470" s="9" t="n">
        <f aca="false">D470*(1+g_rob)</f>
        <v>441.672</v>
      </c>
      <c r="F470" s="9" t="n">
        <f aca="false">E470*(1+g_rob)</f>
        <v>485.8392</v>
      </c>
      <c r="G470" s="9" t="n">
        <f aca="false">F470*(1+g_rob)</f>
        <v>534.42312</v>
      </c>
    </row>
    <row r="471" customFormat="false" ht="15" hidden="false" customHeight="false" outlineLevel="0" collapsed="false">
      <c r="A471" s="4" t="s">
        <v>520</v>
      </c>
      <c r="B471" s="0" t="s">
        <v>197</v>
      </c>
      <c r="C471" s="9" t="n">
        <f aca="false">a25_trob</f>
        <v>-99.4</v>
      </c>
      <c r="D471" s="9" t="n">
        <f aca="false">f26_trob</f>
        <v>-3.5</v>
      </c>
      <c r="E471" s="9" t="n">
        <f aca="false">E470*rm_2027</f>
        <v>8.83344</v>
      </c>
      <c r="F471" s="9" t="n">
        <f aca="false">F470*rm_2028</f>
        <v>19.433568</v>
      </c>
      <c r="G471" s="9" t="n">
        <f aca="false">G470*rm_2029</f>
        <v>26.721156</v>
      </c>
    </row>
    <row r="472" customFormat="false" ht="15" hidden="false" customHeight="false" outlineLevel="0" collapsed="false">
      <c r="A472" s="4" t="s">
        <v>500</v>
      </c>
      <c r="B472" s="0" t="s">
        <v>197</v>
      </c>
      <c r="C472" s="9" t="n">
        <f aca="false">a25_corp</f>
        <v>-8.8</v>
      </c>
      <c r="D472" s="9" t="n">
        <f aca="false">f26_corp</f>
        <v>-10.4</v>
      </c>
      <c r="E472" s="9" t="n">
        <f aca="false">corp</f>
        <v>-10.4</v>
      </c>
      <c r="F472" s="9" t="n">
        <f aca="false">corp</f>
        <v>-10.4</v>
      </c>
      <c r="G472" s="9" t="n">
        <f aca="false">corp</f>
        <v>-10.4</v>
      </c>
    </row>
    <row r="473" customFormat="false" ht="15" hidden="false" customHeight="false" outlineLevel="0" collapsed="false">
      <c r="A473" s="4" t="s">
        <v>474</v>
      </c>
      <c r="B473" s="0" t="s">
        <v>197</v>
      </c>
      <c r="C473" s="9" t="n">
        <f aca="false">C467+C470</f>
        <v>3190.1</v>
      </c>
      <c r="D473" s="9" t="n">
        <f aca="false">D467+D470</f>
        <v>5111.6</v>
      </c>
      <c r="E473" s="9" t="n">
        <f aca="false">E467+E470</f>
        <v>6923.67222467179</v>
      </c>
      <c r="F473" s="9" t="n">
        <f aca="false">F467+F470</f>
        <v>7961.49851319757</v>
      </c>
      <c r="G473" s="9" t="n">
        <f aca="false">G467+G470</f>
        <v>9019.68544869644</v>
      </c>
    </row>
    <row r="474" customFormat="false" ht="17.15" hidden="false" customHeight="false" outlineLevel="0" collapsed="false">
      <c r="A474" s="4" t="s">
        <v>576</v>
      </c>
      <c r="B474" s="0" t="s">
        <v>197</v>
      </c>
      <c r="C474" s="9" t="n">
        <f aca="false">ROUND(C465+C466+C470-a25_rev,0)</f>
        <v>0</v>
      </c>
      <c r="D474" s="9" t="n">
        <f aca="false">ROUND(D465+D466+D470-f26_rev,0)</f>
        <v>0</v>
      </c>
      <c r="H474" s="8" t="s">
        <v>577</v>
      </c>
    </row>
    <row r="475" customFormat="false" ht="15" hidden="false" customHeight="false" outlineLevel="0" collapsed="false">
      <c r="A475" s="4" t="s">
        <v>553</v>
      </c>
      <c r="B475" s="0" t="s">
        <v>197</v>
      </c>
      <c r="C475" s="9" t="n">
        <f aca="false">C468+C471+C472</f>
        <v>653.2</v>
      </c>
      <c r="D475" s="9" t="n">
        <f aca="false">D468+D471+D472</f>
        <v>1629.93073654536</v>
      </c>
      <c r="E475" s="9" t="n">
        <f aca="false">E468+E471+E472</f>
        <v>2497.49251627273</v>
      </c>
      <c r="F475" s="9" t="n">
        <f aca="false">F468+F471+F472</f>
        <v>2987.68839621597</v>
      </c>
      <c r="G475" s="9" t="n">
        <f aca="false">G468+G471+G472</f>
        <v>3482.26717188148</v>
      </c>
    </row>
    <row r="476" customFormat="false" ht="15" hidden="false" customHeight="false" outlineLevel="0" collapsed="false">
      <c r="A476" s="4" t="s">
        <v>554</v>
      </c>
      <c r="B476" s="0" t="s">
        <v>99</v>
      </c>
      <c r="C476" s="11" t="n">
        <f aca="false">C475/C473</f>
        <v>0.204758471521269</v>
      </c>
      <c r="D476" s="11" t="n">
        <f aca="false">D475/D473</f>
        <v>0.318868991420565</v>
      </c>
      <c r="E476" s="11" t="n">
        <f aca="false">E475/E473</f>
        <v>0.36071790160331</v>
      </c>
      <c r="F476" s="11" t="n">
        <f aca="false">F475/F473</f>
        <v>0.375267092151479</v>
      </c>
      <c r="G476" s="11" t="n">
        <f aca="false">G475/G473</f>
        <v>0.386074125498994</v>
      </c>
    </row>
    <row r="477" customFormat="false" ht="15" hidden="false" customHeight="false" outlineLevel="0" collapsed="false">
      <c r="A477" s="4" t="s">
        <v>486</v>
      </c>
      <c r="B477" s="0" t="s">
        <v>197</v>
      </c>
      <c r="C477" s="9" t="n">
        <f aca="false">a25_tax</f>
        <v>79.3</v>
      </c>
      <c r="D477" s="9" t="n">
        <f aca="false">f26_tax</f>
        <v>231.054736545361</v>
      </c>
      <c r="E477" s="9" t="n">
        <f aca="false">E475*etr_lo</f>
        <v>299.699101952727</v>
      </c>
      <c r="F477" s="9" t="n">
        <f aca="false">F475*etr_lo</f>
        <v>358.522607545917</v>
      </c>
      <c r="G477" s="9" t="n">
        <f aca="false">G475*etr_lo</f>
        <v>417.872060625777</v>
      </c>
    </row>
    <row r="478" customFormat="false" ht="17.15" hidden="false" customHeight="false" outlineLevel="0" collapsed="false">
      <c r="A478" s="4" t="s">
        <v>487</v>
      </c>
      <c r="B478" s="0" t="s">
        <v>197</v>
      </c>
      <c r="C478" s="9" t="n">
        <f aca="false">a25_aff</f>
        <v>-19.9</v>
      </c>
      <c r="D478" s="9" t="n">
        <f aca="false">f26_aff</f>
        <v>-13.2</v>
      </c>
      <c r="E478" s="9" t="n">
        <f aca="false">aff</f>
        <v>-13.2</v>
      </c>
      <c r="F478" s="9" t="n">
        <f aca="false">aff</f>
        <v>-13.2</v>
      </c>
      <c r="G478" s="9" t="n">
        <f aca="false">aff</f>
        <v>-13.2</v>
      </c>
    </row>
    <row r="479" customFormat="false" ht="17.15" hidden="false" customHeight="false" outlineLevel="0" collapsed="false">
      <c r="A479" s="4" t="s">
        <v>555</v>
      </c>
      <c r="B479" s="0" t="s">
        <v>197</v>
      </c>
      <c r="C479" s="9" t="n">
        <f aca="false">a25_ni</f>
        <v>554</v>
      </c>
      <c r="D479" s="9" t="n">
        <f aca="false">f26_ni</f>
        <v>1385.276</v>
      </c>
      <c r="E479" s="9" t="n">
        <f aca="false">E475-E477+E478</f>
        <v>2184.59341432</v>
      </c>
      <c r="F479" s="9" t="n">
        <f aca="false">F475-F477+F478</f>
        <v>2615.96578867006</v>
      </c>
      <c r="G479" s="9" t="n">
        <f aca="false">G475-G477+G478</f>
        <v>3051.1951112557</v>
      </c>
      <c r="H479" s="8" t="s">
        <v>578</v>
      </c>
    </row>
    <row r="480" customFormat="false" ht="15" hidden="false" customHeight="false" outlineLevel="0" collapsed="false">
      <c r="A480" s="4" t="s">
        <v>579</v>
      </c>
      <c r="B480" s="4" t="s">
        <v>259</v>
      </c>
      <c r="C480" s="9" t="n">
        <f aca="false">a25_dsh</f>
        <v>159.7</v>
      </c>
      <c r="D480" s="9" t="n">
        <f aca="false">sh26</f>
        <v>157.7</v>
      </c>
      <c r="E480" s="9" t="n">
        <f aca="false">sh26*(1-bb)^1</f>
        <v>156.123</v>
      </c>
      <c r="F480" s="9" t="n">
        <f aca="false">sh26*(1-bb)^2</f>
        <v>154.56177</v>
      </c>
      <c r="G480" s="9" t="n">
        <f aca="false">sh26*(1-bb)^3</f>
        <v>153.0161523</v>
      </c>
    </row>
    <row r="481" customFormat="false" ht="17.15" hidden="false" customHeight="false" outlineLevel="0" collapsed="false">
      <c r="A481" s="0" t="s">
        <v>489</v>
      </c>
      <c r="B481" s="0" t="s">
        <v>202</v>
      </c>
      <c r="C481" s="18" t="n">
        <f aca="false">a25_eps</f>
        <v>3.47</v>
      </c>
      <c r="D481" s="18" t="n">
        <f aca="false">D479/D480</f>
        <v>8.78424857324033</v>
      </c>
      <c r="E481" s="18" t="n">
        <f aca="false">E479/E480</f>
        <v>13.9927711760599</v>
      </c>
      <c r="F481" s="18" t="n">
        <f aca="false">F479/F480</f>
        <v>16.9250506685454</v>
      </c>
      <c r="G481" s="18" t="n">
        <f aca="false">G479/G480</f>
        <v>19.9403465934341</v>
      </c>
    </row>
    <row r="482" customFormat="false" ht="17.15" hidden="false" customHeight="false" outlineLevel="0" collapsed="false">
      <c r="A482" s="0" t="s">
        <v>580</v>
      </c>
      <c r="B482" s="0" t="s">
        <v>99</v>
      </c>
      <c r="C482" s="11" t="n">
        <f aca="false">C461/C473</f>
        <v>0.592363875740573</v>
      </c>
      <c r="D482" s="11" t="n">
        <f aca="false">D461/D473</f>
        <v>0.635675717974802</v>
      </c>
      <c r="E482" s="11" t="n">
        <f aca="false">E461/E473</f>
        <v>0.657640790066815</v>
      </c>
      <c r="F482" s="11" t="n">
        <f aca="false">F461/F473</f>
        <v>0.641845631555813</v>
      </c>
      <c r="G482" s="11" t="n">
        <f aca="false">G461/G473</f>
        <v>0.629980566687679</v>
      </c>
    </row>
    <row r="483" customFormat="false" ht="17.15" hidden="false" customHeight="false" outlineLevel="0" collapsed="false">
      <c r="A483" s="4" t="s">
        <v>581</v>
      </c>
      <c r="B483" s="0" t="s">
        <v>99</v>
      </c>
      <c r="C483" s="11" t="n">
        <f aca="false">a25_gp/a25_rev</f>
        <v>0.582225705329154</v>
      </c>
      <c r="D483" s="11" t="n">
        <f aca="false">f26_gm</f>
        <v>0.594365646092145</v>
      </c>
      <c r="E483" s="11" t="n">
        <f aca="false">f26_gm+(Q!J13-a25_gp/a25_rev)/(Q!J4/Q!J10-a25_soc/a25_rev)*(E482-D482)</f>
        <v>0.601175024106483</v>
      </c>
      <c r="F483" s="11" t="n">
        <f aca="false">f26_gm+(Q!J13-a25_gp/a25_rev)/(Q!J4/Q!J10-a25_soc/a25_rev)*(F482-D482)</f>
        <v>0.596278377073082</v>
      </c>
      <c r="G483" s="11" t="n">
        <f aca="false">f26_gm+(Q!J13-a25_gp/a25_rev)/(Q!J4/Q!J10-a25_soc/a25_rev)*(G482-D482)</f>
        <v>0.592600095867661</v>
      </c>
      <c r="H483" s="8" t="s">
        <v>582</v>
      </c>
    </row>
    <row r="488" customFormat="false" ht="17.15" hidden="false" customHeight="false" outlineLevel="0" collapsed="false">
      <c r="A488" s="1" t="s">
        <v>897</v>
      </c>
    </row>
    <row r="489" customFormat="false" ht="17.15" hidden="false" customHeight="false" outlineLevel="0" collapsed="false">
      <c r="A489" s="5" t="s">
        <v>21</v>
      </c>
      <c r="B489" s="5" t="s">
        <v>22</v>
      </c>
      <c r="C489" s="15" t="s">
        <v>545</v>
      </c>
      <c r="D489" s="15" t="s">
        <v>559</v>
      </c>
      <c r="E489" s="15" t="s">
        <v>546</v>
      </c>
      <c r="F489" s="15" t="s">
        <v>547</v>
      </c>
      <c r="G489" s="15" t="s">
        <v>548</v>
      </c>
      <c r="H489" s="5" t="s">
        <v>374</v>
      </c>
    </row>
    <row r="490" customFormat="false" ht="17.15" hidden="false" customHeight="false" outlineLevel="0" collapsed="false">
      <c r="A490" s="0" t="s">
        <v>560</v>
      </c>
      <c r="B490" s="0" t="s">
        <v>32</v>
      </c>
      <c r="C490" s="18" t="n">
        <f aca="false">mk_soc25</f>
        <v>6.9</v>
      </c>
      <c r="D490" s="18" t="n">
        <f aca="false">ms_A_2026</f>
        <v>11</v>
      </c>
      <c r="E490" s="18" t="n">
        <f aca="false">ms_A_2027*m_soc</f>
        <v>15.4143580786026</v>
      </c>
      <c r="F490" s="18" t="n">
        <f aca="false">ms_A_2028*m_soc</f>
        <v>17.2991836614041</v>
      </c>
      <c r="G490" s="18" t="n">
        <f aca="false">ms_A_2029*m_soc</f>
        <v>19.2361762010077</v>
      </c>
    </row>
    <row r="491" customFormat="false" ht="17.15" hidden="false" customHeight="false" outlineLevel="0" collapsed="false">
      <c r="A491" s="4" t="s">
        <v>561</v>
      </c>
      <c r="B491" s="0" t="s">
        <v>32</v>
      </c>
      <c r="C491" s="18" t="n">
        <f aca="false">mk_mem25</f>
        <v>2.1</v>
      </c>
      <c r="D491" s="18" t="n">
        <f aca="false">mm_A_2026</f>
        <v>2.75</v>
      </c>
      <c r="E491" s="18" t="n">
        <f aca="false">mm_A_2027</f>
        <v>3.88007408374579</v>
      </c>
      <c r="F491" s="18" t="n">
        <f aca="false">mm_A_2028</f>
        <v>5.04607694610671</v>
      </c>
      <c r="G491" s="18" t="n">
        <f aca="false">mm_A_2029</f>
        <v>6.20223782078096</v>
      </c>
    </row>
    <row r="492" customFormat="false" ht="17.15" hidden="false" customHeight="false" outlineLevel="0" collapsed="false">
      <c r="A492" s="4" t="s">
        <v>562</v>
      </c>
      <c r="B492" s="0" t="s">
        <v>99</v>
      </c>
      <c r="C492" s="11" t="n">
        <f aca="false">a25_soc/(C490*1000)</f>
        <v>0.273869565217391</v>
      </c>
      <c r="D492" s="11" t="n">
        <f aca="false">f26_soc/(D490*1000)</f>
        <v>0.295392727272727</v>
      </c>
      <c r="E492" s="11" t="n">
        <f aca="false">s_soc</f>
        <v>0.295392727272727</v>
      </c>
      <c r="F492" s="11" t="n">
        <f aca="false">s_soc</f>
        <v>0.295392727272727</v>
      </c>
      <c r="G492" s="11" t="n">
        <f aca="false">s_soc</f>
        <v>0.295392727272727</v>
      </c>
      <c r="H492" s="8" t="s">
        <v>563</v>
      </c>
    </row>
    <row r="493" customFormat="false" ht="17.15" hidden="false" customHeight="false" outlineLevel="0" collapsed="false">
      <c r="A493" s="0" t="s">
        <v>564</v>
      </c>
      <c r="B493" s="0" t="s">
        <v>197</v>
      </c>
      <c r="C493" s="9" t="n">
        <f aca="false">a25_soc</f>
        <v>1889.7</v>
      </c>
      <c r="D493" s="9" t="n">
        <f aca="false">f26_soc</f>
        <v>3249.32</v>
      </c>
      <c r="E493" s="9" t="n">
        <f aca="false">E490*1000*E492</f>
        <v>4553.28927199682</v>
      </c>
      <c r="F493" s="9" t="n">
        <f aca="false">F490*1000*F492</f>
        <v>5110.05304133396</v>
      </c>
      <c r="G493" s="9" t="n">
        <f aca="false">G490*1000*G492</f>
        <v>5682.22655031439</v>
      </c>
      <c r="H493" s="4" t="s">
        <v>565</v>
      </c>
    </row>
    <row r="494" customFormat="false" ht="15" hidden="false" customHeight="false" outlineLevel="0" collapsed="false">
      <c r="A494" s="4" t="s">
        <v>566</v>
      </c>
      <c r="B494" s="0" t="s">
        <v>99</v>
      </c>
      <c r="C494" s="11" t="n">
        <f aca="false">a25_mem/(C491*1000)</f>
        <v>0.240428571428571</v>
      </c>
      <c r="D494" s="11" t="n">
        <f aca="false">f26_mem/(D491*1000)</f>
        <v>0.316756363636364</v>
      </c>
      <c r="E494" s="11" t="n">
        <f aca="false">s_mem</f>
        <v>0.316756363636364</v>
      </c>
      <c r="F494" s="11" t="n">
        <f aca="false">s_mem</f>
        <v>0.316756363636364</v>
      </c>
      <c r="G494" s="11" t="n">
        <f aca="false">s_mem</f>
        <v>0.316756363636364</v>
      </c>
    </row>
    <row r="495" customFormat="false" ht="15" hidden="false" customHeight="false" outlineLevel="0" collapsed="false">
      <c r="A495" s="4" t="s">
        <v>567</v>
      </c>
      <c r="B495" s="0" t="s">
        <v>197</v>
      </c>
      <c r="C495" s="9" t="n">
        <f aca="false">a25_mem</f>
        <v>504.9</v>
      </c>
      <c r="D495" s="9" t="n">
        <f aca="false">f26_mem</f>
        <v>871.08</v>
      </c>
      <c r="E495" s="9" t="n">
        <f aca="false">E491*1000*E494</f>
        <v>1229.03815740701</v>
      </c>
      <c r="F495" s="9" t="n">
        <f aca="false">F491*1000*F494</f>
        <v>1598.37698407805</v>
      </c>
      <c r="G495" s="9" t="n">
        <f aca="false">G491*1000*G494</f>
        <v>1964.5982985185</v>
      </c>
    </row>
    <row r="496" customFormat="false" ht="17.15" hidden="false" customHeight="false" outlineLevel="0" collapsed="false">
      <c r="A496" s="0" t="s">
        <v>568</v>
      </c>
      <c r="B496" s="0" t="s">
        <v>197</v>
      </c>
      <c r="C496" s="9" t="n">
        <f aca="false">a25_ist</f>
        <v>129.2</v>
      </c>
      <c r="D496" s="9" t="n">
        <f aca="false">f26_ist</f>
        <v>195.51</v>
      </c>
      <c r="E496" s="9" t="n">
        <f aca="false">$D496*E490/$D490</f>
        <v>273.969195267963</v>
      </c>
      <c r="F496" s="9" t="n">
        <f aca="false">$D496*F490/$D490</f>
        <v>307.469399785556</v>
      </c>
      <c r="G496" s="9" t="n">
        <f aca="false">$D496*G490/$D490</f>
        <v>341.896800823547</v>
      </c>
      <c r="H496" s="8" t="s">
        <v>569</v>
      </c>
    </row>
    <row r="497" customFormat="false" ht="15" hidden="false" customHeight="false" outlineLevel="0" collapsed="false">
      <c r="A497" s="4" t="s">
        <v>570</v>
      </c>
      <c r="B497" s="0" t="s">
        <v>197</v>
      </c>
      <c r="C497" s="9" t="n">
        <f aca="false">C493+C495+C496</f>
        <v>2523.8</v>
      </c>
      <c r="D497" s="9" t="n">
        <f aca="false">D493+D495+D496</f>
        <v>4315.91</v>
      </c>
      <c r="E497" s="9" t="n">
        <f aca="false">E493+E495+E496</f>
        <v>6056.29662467179</v>
      </c>
      <c r="F497" s="9" t="n">
        <f aca="false">F493+F495+F496</f>
        <v>7015.89942519757</v>
      </c>
      <c r="G497" s="9" t="n">
        <f aca="false">G493+G495+G496</f>
        <v>7988.72164965644</v>
      </c>
    </row>
    <row r="498" customFormat="false" ht="17.15" hidden="false" customHeight="false" outlineLevel="0" collapsed="false">
      <c r="A498" s="0" t="s">
        <v>571</v>
      </c>
      <c r="B498" s="0" t="s">
        <v>197</v>
      </c>
      <c r="C498" s="9" t="n">
        <f aca="false">a25_pt</f>
        <v>358</v>
      </c>
      <c r="D498" s="9" t="n">
        <f aca="false">f26_pt</f>
        <v>394.17</v>
      </c>
      <c r="E498" s="9" t="n">
        <f aca="false">D498*(1+g_pt_A)</f>
        <v>425.7036</v>
      </c>
      <c r="F498" s="9" t="n">
        <f aca="false">E498*(1+g_pt_A)</f>
        <v>459.759888</v>
      </c>
      <c r="G498" s="9" t="n">
        <f aca="false">F498*(1+g_pt_A)</f>
        <v>496.54067904</v>
      </c>
    </row>
    <row r="499" customFormat="false" ht="17.15" hidden="false" customHeight="false" outlineLevel="0" collapsed="false">
      <c r="A499" s="4" t="s">
        <v>512</v>
      </c>
      <c r="B499" s="0" t="s">
        <v>197</v>
      </c>
      <c r="C499" s="9" t="n">
        <f aca="false">C497+C498</f>
        <v>2881.8</v>
      </c>
      <c r="D499" s="9" t="n">
        <f aca="false">D497+D498</f>
        <v>4710.08</v>
      </c>
      <c r="E499" s="9" t="n">
        <f aca="false">E497+E498</f>
        <v>6482.00022467179</v>
      </c>
      <c r="F499" s="9" t="n">
        <f aca="false">F497+F498</f>
        <v>7475.65931319757</v>
      </c>
      <c r="G499" s="9" t="n">
        <f aca="false">G497+G498</f>
        <v>8485.26232869644</v>
      </c>
    </row>
    <row r="500" customFormat="false" ht="17.15" hidden="false" customHeight="false" outlineLevel="0" collapsed="false">
      <c r="A500" s="4" t="s">
        <v>572</v>
      </c>
      <c r="B500" s="0" t="s">
        <v>197</v>
      </c>
      <c r="C500" s="9" t="n">
        <f aca="false">a25_ttest</f>
        <v>761.4</v>
      </c>
      <c r="D500" s="9" t="n">
        <f aca="false">f26_ttest</f>
        <v>1643.83073654536</v>
      </c>
      <c r="E500" s="9" t="n">
        <f aca="false">t_inc*E499-t_fix+0*E499</f>
        <v>2499.05907627273</v>
      </c>
      <c r="F500" s="9" t="n">
        <f aca="false">t_inc*F499-t_fix+0*F499</f>
        <v>2978.65482821597</v>
      </c>
      <c r="G500" s="9" t="n">
        <f aca="false">t_inc*G499-t_fix+0*G499</f>
        <v>3465.94601588148</v>
      </c>
      <c r="H500" s="4" t="s">
        <v>573</v>
      </c>
    </row>
    <row r="501" customFormat="false" ht="15" hidden="false" customHeight="false" outlineLevel="0" collapsed="false">
      <c r="A501" s="4" t="s">
        <v>574</v>
      </c>
      <c r="B501" s="0" t="s">
        <v>99</v>
      </c>
      <c r="C501" s="11" t="n">
        <f aca="false">C500/C499</f>
        <v>0.26420986883198</v>
      </c>
      <c r="D501" s="11" t="n">
        <f aca="false">D500/D499</f>
        <v>0.349002721088678</v>
      </c>
      <c r="E501" s="11" t="n">
        <f aca="false">E500/E499</f>
        <v>0.385538258200117</v>
      </c>
      <c r="F501" s="11" t="n">
        <f aca="false">F500/F499</f>
        <v>0.398447107261488</v>
      </c>
      <c r="G501" s="11" t="n">
        <f aca="false">G500/G499</f>
        <v>0.408466571995063</v>
      </c>
    </row>
    <row r="502" customFormat="false" ht="17.15" hidden="false" customHeight="false" outlineLevel="0" collapsed="false">
      <c r="A502" s="4" t="s">
        <v>575</v>
      </c>
      <c r="B502" s="0" t="s">
        <v>197</v>
      </c>
      <c r="C502" s="9" t="n">
        <f aca="false">a25_rob</f>
        <v>308.3</v>
      </c>
      <c r="D502" s="9" t="n">
        <f aca="false">f26_rob</f>
        <v>401.52</v>
      </c>
      <c r="E502" s="9" t="n">
        <f aca="false">D502*(1+g_rob)</f>
        <v>441.672</v>
      </c>
      <c r="F502" s="9" t="n">
        <f aca="false">E502*(1+g_rob)</f>
        <v>485.8392</v>
      </c>
      <c r="G502" s="9" t="n">
        <f aca="false">F502*(1+g_rob)</f>
        <v>534.42312</v>
      </c>
    </row>
    <row r="503" customFormat="false" ht="15" hidden="false" customHeight="false" outlineLevel="0" collapsed="false">
      <c r="A503" s="4" t="s">
        <v>520</v>
      </c>
      <c r="B503" s="0" t="s">
        <v>197</v>
      </c>
      <c r="C503" s="9" t="n">
        <f aca="false">a25_trob</f>
        <v>-99.4</v>
      </c>
      <c r="D503" s="9" t="n">
        <f aca="false">f26_trob</f>
        <v>-3.5</v>
      </c>
      <c r="E503" s="9" t="n">
        <f aca="false">E502*rm_2027</f>
        <v>8.83344</v>
      </c>
      <c r="F503" s="9" t="n">
        <f aca="false">F502*rm_2028</f>
        <v>19.433568</v>
      </c>
      <c r="G503" s="9" t="n">
        <f aca="false">G502*rm_2029</f>
        <v>26.721156</v>
      </c>
    </row>
    <row r="504" customFormat="false" ht="15" hidden="false" customHeight="false" outlineLevel="0" collapsed="false">
      <c r="A504" s="4" t="s">
        <v>500</v>
      </c>
      <c r="B504" s="0" t="s">
        <v>197</v>
      </c>
      <c r="C504" s="9" t="n">
        <f aca="false">a25_corp</f>
        <v>-8.8</v>
      </c>
      <c r="D504" s="9" t="n">
        <f aca="false">f26_corp</f>
        <v>-10.4</v>
      </c>
      <c r="E504" s="9" t="n">
        <f aca="false">corp</f>
        <v>-10.4</v>
      </c>
      <c r="F504" s="9" t="n">
        <f aca="false">corp</f>
        <v>-10.4</v>
      </c>
      <c r="G504" s="9" t="n">
        <f aca="false">corp</f>
        <v>-10.4</v>
      </c>
    </row>
    <row r="505" customFormat="false" ht="15" hidden="false" customHeight="false" outlineLevel="0" collapsed="false">
      <c r="A505" s="4" t="s">
        <v>474</v>
      </c>
      <c r="B505" s="0" t="s">
        <v>197</v>
      </c>
      <c r="C505" s="9" t="n">
        <f aca="false">C499+C502</f>
        <v>3190.1</v>
      </c>
      <c r="D505" s="9" t="n">
        <f aca="false">D499+D502</f>
        <v>5111.6</v>
      </c>
      <c r="E505" s="9" t="n">
        <f aca="false">E499+E502</f>
        <v>6923.67222467179</v>
      </c>
      <c r="F505" s="9" t="n">
        <f aca="false">F499+F502</f>
        <v>7961.49851319757</v>
      </c>
      <c r="G505" s="9" t="n">
        <f aca="false">G499+G502</f>
        <v>9019.68544869644</v>
      </c>
    </row>
    <row r="506" customFormat="false" ht="17.15" hidden="false" customHeight="false" outlineLevel="0" collapsed="false">
      <c r="A506" s="4" t="s">
        <v>576</v>
      </c>
      <c r="B506" s="0" t="s">
        <v>197</v>
      </c>
      <c r="C506" s="9" t="n">
        <f aca="false">ROUND(C497+C498+C502-a25_rev,0)</f>
        <v>0</v>
      </c>
      <c r="D506" s="9" t="n">
        <f aca="false">ROUND(D497+D498+D502-f26_rev,0)</f>
        <v>0</v>
      </c>
      <c r="H506" s="8" t="s">
        <v>577</v>
      </c>
    </row>
    <row r="507" customFormat="false" ht="15" hidden="false" customHeight="false" outlineLevel="0" collapsed="false">
      <c r="A507" s="4" t="s">
        <v>553</v>
      </c>
      <c r="B507" s="0" t="s">
        <v>197</v>
      </c>
      <c r="C507" s="9" t="n">
        <f aca="false">C500+C503+C504</f>
        <v>653.2</v>
      </c>
      <c r="D507" s="9" t="n">
        <f aca="false">D500+D503+D504</f>
        <v>1629.93073654536</v>
      </c>
      <c r="E507" s="9" t="n">
        <f aca="false">E500+E503+E504</f>
        <v>2497.49251627273</v>
      </c>
      <c r="F507" s="9" t="n">
        <f aca="false">F500+F503+F504</f>
        <v>2987.68839621597</v>
      </c>
      <c r="G507" s="9" t="n">
        <f aca="false">G500+G503+G504</f>
        <v>3482.26717188148</v>
      </c>
    </row>
    <row r="508" customFormat="false" ht="15" hidden="false" customHeight="false" outlineLevel="0" collapsed="false">
      <c r="A508" s="4" t="s">
        <v>554</v>
      </c>
      <c r="B508" s="0" t="s">
        <v>99</v>
      </c>
      <c r="C508" s="11" t="n">
        <f aca="false">C507/C505</f>
        <v>0.204758471521269</v>
      </c>
      <c r="D508" s="11" t="n">
        <f aca="false">D507/D505</f>
        <v>0.318868991420565</v>
      </c>
      <c r="E508" s="11" t="n">
        <f aca="false">E507/E505</f>
        <v>0.36071790160331</v>
      </c>
      <c r="F508" s="11" t="n">
        <f aca="false">F507/F505</f>
        <v>0.375267092151479</v>
      </c>
      <c r="G508" s="11" t="n">
        <f aca="false">G507/G505</f>
        <v>0.386074125498994</v>
      </c>
    </row>
    <row r="509" customFormat="false" ht="15" hidden="false" customHeight="false" outlineLevel="0" collapsed="false">
      <c r="A509" s="4" t="s">
        <v>486</v>
      </c>
      <c r="B509" s="0" t="s">
        <v>197</v>
      </c>
      <c r="C509" s="9" t="n">
        <f aca="false">a25_tax</f>
        <v>79.3</v>
      </c>
      <c r="D509" s="9" t="n">
        <f aca="false">f26_tax</f>
        <v>231.054736545361</v>
      </c>
      <c r="E509" s="9" t="n">
        <f aca="false">E507*etr_hi</f>
        <v>424.573727766364</v>
      </c>
      <c r="F509" s="9" t="n">
        <f aca="false">F507*etr_hi</f>
        <v>507.907027356715</v>
      </c>
      <c r="G509" s="9" t="n">
        <f aca="false">G507*etr_hi</f>
        <v>591.985419219851</v>
      </c>
    </row>
    <row r="510" customFormat="false" ht="17.15" hidden="false" customHeight="false" outlineLevel="0" collapsed="false">
      <c r="A510" s="4" t="s">
        <v>487</v>
      </c>
      <c r="B510" s="0" t="s">
        <v>197</v>
      </c>
      <c r="C510" s="9" t="n">
        <f aca="false">a25_aff</f>
        <v>-19.9</v>
      </c>
      <c r="D510" s="9" t="n">
        <f aca="false">f26_aff</f>
        <v>-13.2</v>
      </c>
      <c r="E510" s="9" t="n">
        <f aca="false">aff</f>
        <v>-13.2</v>
      </c>
      <c r="F510" s="9" t="n">
        <f aca="false">aff</f>
        <v>-13.2</v>
      </c>
      <c r="G510" s="9" t="n">
        <f aca="false">aff</f>
        <v>-13.2</v>
      </c>
    </row>
    <row r="511" customFormat="false" ht="17.15" hidden="false" customHeight="false" outlineLevel="0" collapsed="false">
      <c r="A511" s="4" t="s">
        <v>555</v>
      </c>
      <c r="B511" s="0" t="s">
        <v>197</v>
      </c>
      <c r="C511" s="9" t="n">
        <f aca="false">a25_ni</f>
        <v>554</v>
      </c>
      <c r="D511" s="9" t="n">
        <f aca="false">f26_ni</f>
        <v>1385.276</v>
      </c>
      <c r="E511" s="9" t="n">
        <f aca="false">E507-E509+E510</f>
        <v>2059.71878850637</v>
      </c>
      <c r="F511" s="9" t="n">
        <f aca="false">F507-F509+F510</f>
        <v>2466.58136885926</v>
      </c>
      <c r="G511" s="9" t="n">
        <f aca="false">G507-G509+G510</f>
        <v>2877.08175266163</v>
      </c>
      <c r="H511" s="8" t="s">
        <v>578</v>
      </c>
    </row>
    <row r="512" customFormat="false" ht="15" hidden="false" customHeight="false" outlineLevel="0" collapsed="false">
      <c r="A512" s="4" t="s">
        <v>579</v>
      </c>
      <c r="B512" s="4" t="s">
        <v>259</v>
      </c>
      <c r="C512" s="9" t="n">
        <f aca="false">a25_dsh</f>
        <v>159.7</v>
      </c>
      <c r="D512" s="9" t="n">
        <f aca="false">sh26</f>
        <v>157.7</v>
      </c>
      <c r="E512" s="9" t="n">
        <f aca="false">sh26*(1-bb)^1</f>
        <v>156.123</v>
      </c>
      <c r="F512" s="9" t="n">
        <f aca="false">sh26*(1-bb)^2</f>
        <v>154.56177</v>
      </c>
      <c r="G512" s="9" t="n">
        <f aca="false">sh26*(1-bb)^3</f>
        <v>153.0161523</v>
      </c>
    </row>
    <row r="513" customFormat="false" ht="17.15" hidden="false" customHeight="false" outlineLevel="0" collapsed="false">
      <c r="A513" s="0" t="s">
        <v>489</v>
      </c>
      <c r="B513" s="0" t="s">
        <v>202</v>
      </c>
      <c r="C513" s="18" t="n">
        <f aca="false">a25_eps</f>
        <v>3.47</v>
      </c>
      <c r="D513" s="18" t="n">
        <f aca="false">D511/D512</f>
        <v>8.78424857324033</v>
      </c>
      <c r="E513" s="18" t="n">
        <f aca="false">E511/E512</f>
        <v>13.1929234546247</v>
      </c>
      <c r="F513" s="18" t="n">
        <f aca="false">F511/F512</f>
        <v>15.9585476334753</v>
      </c>
      <c r="G513" s="18" t="n">
        <f aca="false">G511/G512</f>
        <v>18.8024709118348</v>
      </c>
    </row>
    <row r="514" customFormat="false" ht="17.15" hidden="false" customHeight="false" outlineLevel="0" collapsed="false">
      <c r="A514" s="0" t="s">
        <v>580</v>
      </c>
      <c r="B514" s="0" t="s">
        <v>99</v>
      </c>
      <c r="C514" s="11" t="n">
        <f aca="false">C493/C505</f>
        <v>0.592363875740573</v>
      </c>
      <c r="D514" s="11" t="n">
        <f aca="false">D493/D505</f>
        <v>0.635675717974802</v>
      </c>
      <c r="E514" s="11" t="n">
        <f aca="false">E493/E505</f>
        <v>0.657640790066815</v>
      </c>
      <c r="F514" s="11" t="n">
        <f aca="false">F493/F505</f>
        <v>0.641845631555813</v>
      </c>
      <c r="G514" s="11" t="n">
        <f aca="false">G493/G505</f>
        <v>0.629980566687679</v>
      </c>
    </row>
    <row r="515" customFormat="false" ht="17.15" hidden="false" customHeight="false" outlineLevel="0" collapsed="false">
      <c r="A515" s="4" t="s">
        <v>581</v>
      </c>
      <c r="B515" s="0" t="s">
        <v>99</v>
      </c>
      <c r="C515" s="11" t="n">
        <f aca="false">a25_gp/a25_rev</f>
        <v>0.582225705329154</v>
      </c>
      <c r="D515" s="11" t="n">
        <f aca="false">f26_gm</f>
        <v>0.594365646092145</v>
      </c>
      <c r="E515" s="11" t="n">
        <f aca="false">f26_gm+(Q!J13-a25_gp/a25_rev)/(Q!J4/Q!J10-a25_soc/a25_rev)*(E514-D514)</f>
        <v>0.601175024106483</v>
      </c>
      <c r="F515" s="11" t="n">
        <f aca="false">f26_gm+(Q!J13-a25_gp/a25_rev)/(Q!J4/Q!J10-a25_soc/a25_rev)*(F514-D514)</f>
        <v>0.596278377073082</v>
      </c>
      <c r="G515" s="11" t="n">
        <f aca="false">f26_gm+(Q!J13-a25_gp/a25_rev)/(Q!J4/Q!J10-a25_soc/a25_rev)*(G514-D514)</f>
        <v>0.592600095867661</v>
      </c>
      <c r="H515" s="8" t="s">
        <v>582</v>
      </c>
    </row>
    <row r="520" customFormat="false" ht="17.15" hidden="false" customHeight="false" outlineLevel="0" collapsed="false">
      <c r="A520" s="1" t="s">
        <v>898</v>
      </c>
    </row>
    <row r="521" customFormat="false" ht="17.15" hidden="false" customHeight="false" outlineLevel="0" collapsed="false">
      <c r="A521" s="5" t="s">
        <v>21</v>
      </c>
      <c r="B521" s="5" t="s">
        <v>22</v>
      </c>
      <c r="C521" s="15" t="s">
        <v>545</v>
      </c>
      <c r="D521" s="15" t="s">
        <v>559</v>
      </c>
      <c r="E521" s="15" t="s">
        <v>546</v>
      </c>
      <c r="F521" s="15" t="s">
        <v>547</v>
      </c>
      <c r="G521" s="15" t="s">
        <v>548</v>
      </c>
      <c r="H521" s="5" t="s">
        <v>374</v>
      </c>
    </row>
    <row r="522" customFormat="false" ht="17.15" hidden="false" customHeight="false" outlineLevel="0" collapsed="false">
      <c r="A522" s="0" t="s">
        <v>560</v>
      </c>
      <c r="B522" s="0" t="s">
        <v>32</v>
      </c>
      <c r="C522" s="18" t="n">
        <f aca="false">mk_soc25</f>
        <v>6.9</v>
      </c>
      <c r="D522" s="18" t="n">
        <f aca="false">ms_A_2026</f>
        <v>11</v>
      </c>
      <c r="E522" s="18" t="n">
        <f aca="false">ms_A_2027*m_soc</f>
        <v>15.4143580786026</v>
      </c>
      <c r="F522" s="18" t="n">
        <f aca="false">ms_A_2028*m_soc</f>
        <v>17.2991836614041</v>
      </c>
      <c r="G522" s="18" t="n">
        <f aca="false">ms_A_2029*m_soc</f>
        <v>19.2361762010077</v>
      </c>
    </row>
    <row r="523" customFormat="false" ht="17.15" hidden="false" customHeight="false" outlineLevel="0" collapsed="false">
      <c r="A523" s="4" t="s">
        <v>561</v>
      </c>
      <c r="B523" s="0" t="s">
        <v>32</v>
      </c>
      <c r="C523" s="18" t="n">
        <f aca="false">mk_mem25</f>
        <v>2.1</v>
      </c>
      <c r="D523" s="18" t="n">
        <f aca="false">mm_A_2026</f>
        <v>2.75</v>
      </c>
      <c r="E523" s="18" t="n">
        <f aca="false">mm_A_2027</f>
        <v>3.88007408374579</v>
      </c>
      <c r="F523" s="18" t="n">
        <f aca="false">mm_A_2028</f>
        <v>5.04607694610671</v>
      </c>
      <c r="G523" s="18" t="n">
        <f aca="false">mm_A_2029</f>
        <v>6.20223782078096</v>
      </c>
    </row>
    <row r="524" customFormat="false" ht="17.15" hidden="false" customHeight="false" outlineLevel="0" collapsed="false">
      <c r="A524" s="4" t="s">
        <v>562</v>
      </c>
      <c r="B524" s="0" t="s">
        <v>99</v>
      </c>
      <c r="C524" s="11" t="n">
        <f aca="false">a25_soc/(C522*1000)</f>
        <v>0.273869565217391</v>
      </c>
      <c r="D524" s="11" t="n">
        <f aca="false">f26_soc/(D522*1000)</f>
        <v>0.295392727272727</v>
      </c>
      <c r="E524" s="11" t="n">
        <f aca="false">s_soc</f>
        <v>0.295392727272727</v>
      </c>
      <c r="F524" s="11" t="n">
        <f aca="false">s_soc</f>
        <v>0.295392727272727</v>
      </c>
      <c r="G524" s="11" t="n">
        <f aca="false">s_soc</f>
        <v>0.295392727272727</v>
      </c>
      <c r="H524" s="8" t="s">
        <v>563</v>
      </c>
    </row>
    <row r="525" customFormat="false" ht="17.15" hidden="false" customHeight="false" outlineLevel="0" collapsed="false">
      <c r="A525" s="0" t="s">
        <v>564</v>
      </c>
      <c r="B525" s="0" t="s">
        <v>197</v>
      </c>
      <c r="C525" s="9" t="n">
        <f aca="false">a25_soc</f>
        <v>1889.7</v>
      </c>
      <c r="D525" s="9" t="n">
        <f aca="false">f26_soc</f>
        <v>3249.32</v>
      </c>
      <c r="E525" s="9" t="n">
        <f aca="false">E522*1000*E524</f>
        <v>4553.28927199682</v>
      </c>
      <c r="F525" s="9" t="n">
        <f aca="false">F522*1000*F524</f>
        <v>5110.05304133396</v>
      </c>
      <c r="G525" s="9" t="n">
        <f aca="false">G522*1000*G524</f>
        <v>5682.22655031439</v>
      </c>
      <c r="H525" s="4" t="s">
        <v>565</v>
      </c>
    </row>
    <row r="526" customFormat="false" ht="15" hidden="false" customHeight="false" outlineLevel="0" collapsed="false">
      <c r="A526" s="4" t="s">
        <v>566</v>
      </c>
      <c r="B526" s="0" t="s">
        <v>99</v>
      </c>
      <c r="C526" s="11" t="n">
        <f aca="false">a25_mem/(C523*1000)</f>
        <v>0.240428571428571</v>
      </c>
      <c r="D526" s="11" t="n">
        <f aca="false">f26_mem/(D523*1000)</f>
        <v>0.316756363636364</v>
      </c>
      <c r="E526" s="11" t="n">
        <f aca="false">s_mem</f>
        <v>0.316756363636364</v>
      </c>
      <c r="F526" s="11" t="n">
        <f aca="false">s_mem</f>
        <v>0.316756363636364</v>
      </c>
      <c r="G526" s="11" t="n">
        <f aca="false">s_mem</f>
        <v>0.316756363636364</v>
      </c>
    </row>
    <row r="527" customFormat="false" ht="15" hidden="false" customHeight="false" outlineLevel="0" collapsed="false">
      <c r="A527" s="4" t="s">
        <v>567</v>
      </c>
      <c r="B527" s="0" t="s">
        <v>197</v>
      </c>
      <c r="C527" s="9" t="n">
        <f aca="false">a25_mem</f>
        <v>504.9</v>
      </c>
      <c r="D527" s="9" t="n">
        <f aca="false">f26_mem</f>
        <v>871.08</v>
      </c>
      <c r="E527" s="9" t="n">
        <f aca="false">E523*1000*E526</f>
        <v>1229.03815740701</v>
      </c>
      <c r="F527" s="9" t="n">
        <f aca="false">F523*1000*F526</f>
        <v>1598.37698407805</v>
      </c>
      <c r="G527" s="9" t="n">
        <f aca="false">G523*1000*G526</f>
        <v>1964.5982985185</v>
      </c>
    </row>
    <row r="528" customFormat="false" ht="17.15" hidden="false" customHeight="false" outlineLevel="0" collapsed="false">
      <c r="A528" s="0" t="s">
        <v>568</v>
      </c>
      <c r="B528" s="0" t="s">
        <v>197</v>
      </c>
      <c r="C528" s="9" t="n">
        <f aca="false">a25_ist</f>
        <v>129.2</v>
      </c>
      <c r="D528" s="9" t="n">
        <f aca="false">f26_ist</f>
        <v>195.51</v>
      </c>
      <c r="E528" s="9" t="n">
        <f aca="false">$D528*E522/$D522</f>
        <v>273.969195267963</v>
      </c>
      <c r="F528" s="9" t="n">
        <f aca="false">$D528*F522/$D522</f>
        <v>307.469399785556</v>
      </c>
      <c r="G528" s="9" t="n">
        <f aca="false">$D528*G522/$D522</f>
        <v>341.896800823547</v>
      </c>
      <c r="H528" s="8" t="s">
        <v>569</v>
      </c>
    </row>
    <row r="529" customFormat="false" ht="15" hidden="false" customHeight="false" outlineLevel="0" collapsed="false">
      <c r="A529" s="4" t="s">
        <v>570</v>
      </c>
      <c r="B529" s="0" t="s">
        <v>197</v>
      </c>
      <c r="C529" s="9" t="n">
        <f aca="false">C525+C527+C528</f>
        <v>2523.8</v>
      </c>
      <c r="D529" s="9" t="n">
        <f aca="false">D525+D527+D528</f>
        <v>4315.91</v>
      </c>
      <c r="E529" s="9" t="n">
        <f aca="false">E525+E527+E528</f>
        <v>6056.29662467179</v>
      </c>
      <c r="F529" s="9" t="n">
        <f aca="false">F525+F527+F528</f>
        <v>7015.89942519757</v>
      </c>
      <c r="G529" s="9" t="n">
        <f aca="false">G525+G527+G528</f>
        <v>7988.72164965644</v>
      </c>
    </row>
    <row r="530" customFormat="false" ht="17.15" hidden="false" customHeight="false" outlineLevel="0" collapsed="false">
      <c r="A530" s="0" t="s">
        <v>571</v>
      </c>
      <c r="B530" s="0" t="s">
        <v>197</v>
      </c>
      <c r="C530" s="9" t="n">
        <f aca="false">a25_pt</f>
        <v>358</v>
      </c>
      <c r="D530" s="9" t="n">
        <f aca="false">f26_pt</f>
        <v>394.17</v>
      </c>
      <c r="E530" s="9" t="n">
        <f aca="false">D530*(1+g_pt_A)</f>
        <v>425.7036</v>
      </c>
      <c r="F530" s="9" t="n">
        <f aca="false">E530*(1+g_pt_A)</f>
        <v>459.759888</v>
      </c>
      <c r="G530" s="9" t="n">
        <f aca="false">F530*(1+g_pt_A)</f>
        <v>496.54067904</v>
      </c>
    </row>
    <row r="531" customFormat="false" ht="17.15" hidden="false" customHeight="false" outlineLevel="0" collapsed="false">
      <c r="A531" s="4" t="s">
        <v>512</v>
      </c>
      <c r="B531" s="0" t="s">
        <v>197</v>
      </c>
      <c r="C531" s="9" t="n">
        <f aca="false">C529+C530</f>
        <v>2881.8</v>
      </c>
      <c r="D531" s="9" t="n">
        <f aca="false">D529+D530</f>
        <v>4710.08</v>
      </c>
      <c r="E531" s="9" t="n">
        <f aca="false">E529+E530</f>
        <v>6482.00022467179</v>
      </c>
      <c r="F531" s="9" t="n">
        <f aca="false">F529+F530</f>
        <v>7475.65931319757</v>
      </c>
      <c r="G531" s="9" t="n">
        <f aca="false">G529+G530</f>
        <v>8485.26232869644</v>
      </c>
    </row>
    <row r="532" customFormat="false" ht="17.15" hidden="false" customHeight="false" outlineLevel="0" collapsed="false">
      <c r="A532" s="4" t="s">
        <v>572</v>
      </c>
      <c r="B532" s="0" t="s">
        <v>197</v>
      </c>
      <c r="C532" s="9" t="n">
        <f aca="false">a25_ttest</f>
        <v>761.4</v>
      </c>
      <c r="D532" s="9" t="n">
        <f aca="false">f26_ttest</f>
        <v>1643.83073654536</v>
      </c>
      <c r="E532" s="9" t="n">
        <f aca="false">t_inc*E531-t_fix+0*E531</f>
        <v>2499.05907627273</v>
      </c>
      <c r="F532" s="9" t="n">
        <f aca="false">t_inc*F531-t_fix+0*F531</f>
        <v>2978.65482821597</v>
      </c>
      <c r="G532" s="9" t="n">
        <f aca="false">t_inc*G531-t_fix+0*G531</f>
        <v>3465.94601588148</v>
      </c>
      <c r="H532" s="4" t="s">
        <v>573</v>
      </c>
    </row>
    <row r="533" customFormat="false" ht="15" hidden="false" customHeight="false" outlineLevel="0" collapsed="false">
      <c r="A533" s="4" t="s">
        <v>574</v>
      </c>
      <c r="B533" s="0" t="s">
        <v>99</v>
      </c>
      <c r="C533" s="11" t="n">
        <f aca="false">C532/C531</f>
        <v>0.26420986883198</v>
      </c>
      <c r="D533" s="11" t="n">
        <f aca="false">D532/D531</f>
        <v>0.349002721088678</v>
      </c>
      <c r="E533" s="11" t="n">
        <f aca="false">E532/E531</f>
        <v>0.385538258200117</v>
      </c>
      <c r="F533" s="11" t="n">
        <f aca="false">F532/F531</f>
        <v>0.398447107261488</v>
      </c>
      <c r="G533" s="11" t="n">
        <f aca="false">G532/G531</f>
        <v>0.408466571995063</v>
      </c>
    </row>
    <row r="534" customFormat="false" ht="17.15" hidden="false" customHeight="false" outlineLevel="0" collapsed="false">
      <c r="A534" s="4" t="s">
        <v>575</v>
      </c>
      <c r="B534" s="0" t="s">
        <v>197</v>
      </c>
      <c r="C534" s="9" t="n">
        <f aca="false">a25_rob</f>
        <v>308.3</v>
      </c>
      <c r="D534" s="9" t="n">
        <f aca="false">f26_rob</f>
        <v>401.52</v>
      </c>
      <c r="E534" s="9" t="n">
        <f aca="false">D534*(1+g_rob)</f>
        <v>441.672</v>
      </c>
      <c r="F534" s="9" t="n">
        <f aca="false">E534*(1+g_rob)</f>
        <v>485.8392</v>
      </c>
      <c r="G534" s="9" t="n">
        <f aca="false">F534*(1+g_rob)</f>
        <v>534.42312</v>
      </c>
    </row>
    <row r="535" customFormat="false" ht="15" hidden="false" customHeight="false" outlineLevel="0" collapsed="false">
      <c r="A535" s="4" t="s">
        <v>520</v>
      </c>
      <c r="B535" s="0" t="s">
        <v>197</v>
      </c>
      <c r="C535" s="9" t="n">
        <f aca="false">a25_trob</f>
        <v>-99.4</v>
      </c>
      <c r="D535" s="9" t="n">
        <f aca="false">f26_trob</f>
        <v>-3.5</v>
      </c>
      <c r="E535" s="9" t="n">
        <f aca="false">E534*rm_2027</f>
        <v>8.83344</v>
      </c>
      <c r="F535" s="9" t="n">
        <f aca="false">F534*rm_2028</f>
        <v>19.433568</v>
      </c>
      <c r="G535" s="9" t="n">
        <f aca="false">G534*rm_2029</f>
        <v>26.721156</v>
      </c>
    </row>
    <row r="536" customFormat="false" ht="15" hidden="false" customHeight="false" outlineLevel="0" collapsed="false">
      <c r="A536" s="4" t="s">
        <v>500</v>
      </c>
      <c r="B536" s="0" t="s">
        <v>197</v>
      </c>
      <c r="C536" s="9" t="n">
        <f aca="false">a25_corp</f>
        <v>-8.8</v>
      </c>
      <c r="D536" s="9" t="n">
        <f aca="false">f26_corp</f>
        <v>-10.4</v>
      </c>
      <c r="E536" s="9" t="n">
        <f aca="false">corp</f>
        <v>-10.4</v>
      </c>
      <c r="F536" s="9" t="n">
        <f aca="false">corp</f>
        <v>-10.4</v>
      </c>
      <c r="G536" s="9" t="n">
        <f aca="false">corp</f>
        <v>-10.4</v>
      </c>
    </row>
    <row r="537" customFormat="false" ht="15" hidden="false" customHeight="false" outlineLevel="0" collapsed="false">
      <c r="A537" s="4" t="s">
        <v>474</v>
      </c>
      <c r="B537" s="0" t="s">
        <v>197</v>
      </c>
      <c r="C537" s="9" t="n">
        <f aca="false">C531+C534</f>
        <v>3190.1</v>
      </c>
      <c r="D537" s="9" t="n">
        <f aca="false">D531+D534</f>
        <v>5111.6</v>
      </c>
      <c r="E537" s="9" t="n">
        <f aca="false">E531+E534</f>
        <v>6923.67222467179</v>
      </c>
      <c r="F537" s="9" t="n">
        <f aca="false">F531+F534</f>
        <v>7961.49851319757</v>
      </c>
      <c r="G537" s="9" t="n">
        <f aca="false">G531+G534</f>
        <v>9019.68544869644</v>
      </c>
    </row>
    <row r="538" customFormat="false" ht="17.15" hidden="false" customHeight="false" outlineLevel="0" collapsed="false">
      <c r="A538" s="4" t="s">
        <v>576</v>
      </c>
      <c r="B538" s="0" t="s">
        <v>197</v>
      </c>
      <c r="C538" s="9" t="n">
        <f aca="false">ROUND(C529+C530+C534-a25_rev,0)</f>
        <v>0</v>
      </c>
      <c r="D538" s="9" t="n">
        <f aca="false">ROUND(D529+D530+D534-f26_rev,0)</f>
        <v>0</v>
      </c>
      <c r="H538" s="8" t="s">
        <v>577</v>
      </c>
    </row>
    <row r="539" customFormat="false" ht="15" hidden="false" customHeight="false" outlineLevel="0" collapsed="false">
      <c r="A539" s="4" t="s">
        <v>553</v>
      </c>
      <c r="B539" s="0" t="s">
        <v>197</v>
      </c>
      <c r="C539" s="9" t="n">
        <f aca="false">C532+C535+C536</f>
        <v>653.2</v>
      </c>
      <c r="D539" s="9" t="n">
        <f aca="false">D532+D535+D536</f>
        <v>1629.93073654536</v>
      </c>
      <c r="E539" s="9" t="n">
        <f aca="false">E532+E535+E536</f>
        <v>2497.49251627273</v>
      </c>
      <c r="F539" s="9" t="n">
        <f aca="false">F532+F535+F536</f>
        <v>2987.68839621597</v>
      </c>
      <c r="G539" s="9" t="n">
        <f aca="false">G532+G535+G536</f>
        <v>3482.26717188148</v>
      </c>
    </row>
    <row r="540" customFormat="false" ht="15" hidden="false" customHeight="false" outlineLevel="0" collapsed="false">
      <c r="A540" s="4" t="s">
        <v>554</v>
      </c>
      <c r="B540" s="0" t="s">
        <v>99</v>
      </c>
      <c r="C540" s="11" t="n">
        <f aca="false">C539/C537</f>
        <v>0.204758471521269</v>
      </c>
      <c r="D540" s="11" t="n">
        <f aca="false">D539/D537</f>
        <v>0.318868991420565</v>
      </c>
      <c r="E540" s="11" t="n">
        <f aca="false">E539/E537</f>
        <v>0.36071790160331</v>
      </c>
      <c r="F540" s="11" t="n">
        <f aca="false">F539/F537</f>
        <v>0.375267092151479</v>
      </c>
      <c r="G540" s="11" t="n">
        <f aca="false">G539/G537</f>
        <v>0.386074125498994</v>
      </c>
    </row>
    <row r="541" customFormat="false" ht="15" hidden="false" customHeight="false" outlineLevel="0" collapsed="false">
      <c r="A541" s="4" t="s">
        <v>486</v>
      </c>
      <c r="B541" s="0" t="s">
        <v>197</v>
      </c>
      <c r="C541" s="9" t="n">
        <f aca="false">a25_tax</f>
        <v>79.3</v>
      </c>
      <c r="D541" s="9" t="n">
        <f aca="false">f26_tax</f>
        <v>231.054736545361</v>
      </c>
      <c r="E541" s="9" t="n">
        <f aca="false">E539*etr</f>
        <v>354.038035134229</v>
      </c>
      <c r="F541" s="9" t="n">
        <f aca="false">F539*etr</f>
        <v>423.526926506366</v>
      </c>
      <c r="G541" s="9" t="n">
        <f aca="false">G539*etr</f>
        <v>493.63712576215</v>
      </c>
    </row>
    <row r="542" customFormat="false" ht="17.15" hidden="false" customHeight="false" outlineLevel="0" collapsed="false">
      <c r="A542" s="4" t="s">
        <v>487</v>
      </c>
      <c r="B542" s="0" t="s">
        <v>197</v>
      </c>
      <c r="C542" s="9" t="n">
        <f aca="false">a25_aff</f>
        <v>-19.9</v>
      </c>
      <c r="D542" s="9" t="n">
        <f aca="false">f26_aff</f>
        <v>-13.2</v>
      </c>
      <c r="E542" s="9" t="n">
        <f aca="false">aff</f>
        <v>-13.2</v>
      </c>
      <c r="F542" s="9" t="n">
        <f aca="false">aff</f>
        <v>-13.2</v>
      </c>
      <c r="G542" s="9" t="n">
        <f aca="false">aff</f>
        <v>-13.2</v>
      </c>
    </row>
    <row r="543" customFormat="false" ht="17.15" hidden="false" customHeight="false" outlineLevel="0" collapsed="false">
      <c r="A543" s="4" t="s">
        <v>555</v>
      </c>
      <c r="B543" s="0" t="s">
        <v>197</v>
      </c>
      <c r="C543" s="9" t="n">
        <f aca="false">a25_ni</f>
        <v>554</v>
      </c>
      <c r="D543" s="9" t="n">
        <f aca="false">f26_ni</f>
        <v>1385.276</v>
      </c>
      <c r="E543" s="9" t="n">
        <f aca="false">E539-E541+E542</f>
        <v>2130.2544811385</v>
      </c>
      <c r="F543" s="9" t="n">
        <f aca="false">F539-F541+F542</f>
        <v>2550.96146970961</v>
      </c>
      <c r="G543" s="9" t="n">
        <f aca="false">G539-G541+G542</f>
        <v>2975.43004611933</v>
      </c>
      <c r="H543" s="8" t="s">
        <v>578</v>
      </c>
    </row>
    <row r="544" customFormat="false" ht="15" hidden="false" customHeight="false" outlineLevel="0" collapsed="false">
      <c r="A544" s="4" t="s">
        <v>579</v>
      </c>
      <c r="B544" s="4" t="s">
        <v>259</v>
      </c>
      <c r="C544" s="9" t="n">
        <f aca="false">a25_dsh</f>
        <v>159.7</v>
      </c>
      <c r="D544" s="9" t="n">
        <f aca="false">sh26</f>
        <v>157.7</v>
      </c>
      <c r="E544" s="9" t="n">
        <f aca="false">sh26*(1-bb_lo)^1</f>
        <v>157.7</v>
      </c>
      <c r="F544" s="9" t="n">
        <f aca="false">sh26*(1-bb_lo)^2</f>
        <v>157.7</v>
      </c>
      <c r="G544" s="9" t="n">
        <f aca="false">sh26*(1-bb_lo)^3</f>
        <v>157.7</v>
      </c>
    </row>
    <row r="545" customFormat="false" ht="17.15" hidden="false" customHeight="false" outlineLevel="0" collapsed="false">
      <c r="A545" s="0" t="s">
        <v>489</v>
      </c>
      <c r="B545" s="0" t="s">
        <v>202</v>
      </c>
      <c r="C545" s="18" t="n">
        <f aca="false">a25_eps</f>
        <v>3.47</v>
      </c>
      <c r="D545" s="18" t="n">
        <f aca="false">D543/D544</f>
        <v>8.78424857324033</v>
      </c>
      <c r="E545" s="18" t="n">
        <f aca="false">E543/E544</f>
        <v>13.5082719159068</v>
      </c>
      <c r="F545" s="18" t="n">
        <f aca="false">F543/F544</f>
        <v>16.1760397571947</v>
      </c>
      <c r="G545" s="18" t="n">
        <f aca="false">G543/G544</f>
        <v>18.8676604065905</v>
      </c>
    </row>
    <row r="546" customFormat="false" ht="17.15" hidden="false" customHeight="false" outlineLevel="0" collapsed="false">
      <c r="A546" s="0" t="s">
        <v>580</v>
      </c>
      <c r="B546" s="0" t="s">
        <v>99</v>
      </c>
      <c r="C546" s="11" t="n">
        <f aca="false">C525/C537</f>
        <v>0.592363875740573</v>
      </c>
      <c r="D546" s="11" t="n">
        <f aca="false">D525/D537</f>
        <v>0.635675717974802</v>
      </c>
      <c r="E546" s="11" t="n">
        <f aca="false">E525/E537</f>
        <v>0.657640790066815</v>
      </c>
      <c r="F546" s="11" t="n">
        <f aca="false">F525/F537</f>
        <v>0.641845631555813</v>
      </c>
      <c r="G546" s="11" t="n">
        <f aca="false">G525/G537</f>
        <v>0.629980566687679</v>
      </c>
    </row>
    <row r="547" customFormat="false" ht="17.15" hidden="false" customHeight="false" outlineLevel="0" collapsed="false">
      <c r="A547" s="4" t="s">
        <v>581</v>
      </c>
      <c r="B547" s="0" t="s">
        <v>99</v>
      </c>
      <c r="C547" s="11" t="n">
        <f aca="false">a25_gp/a25_rev</f>
        <v>0.582225705329154</v>
      </c>
      <c r="D547" s="11" t="n">
        <f aca="false">f26_gm</f>
        <v>0.594365646092145</v>
      </c>
      <c r="E547" s="11" t="n">
        <f aca="false">f26_gm+(Q!J13-a25_gp/a25_rev)/(Q!J4/Q!J10-a25_soc/a25_rev)*(E546-D546)</f>
        <v>0.601175024106483</v>
      </c>
      <c r="F547" s="11" t="n">
        <f aca="false">f26_gm+(Q!J13-a25_gp/a25_rev)/(Q!J4/Q!J10-a25_soc/a25_rev)*(F546-D546)</f>
        <v>0.596278377073082</v>
      </c>
      <c r="G547" s="11" t="n">
        <f aca="false">f26_gm+(Q!J13-a25_gp/a25_rev)/(Q!J4/Q!J10-a25_soc/a25_rev)*(G546-D546)</f>
        <v>0.592600095867661</v>
      </c>
      <c r="H547" s="8" t="s">
        <v>582</v>
      </c>
    </row>
    <row r="552" customFormat="false" ht="17.15" hidden="false" customHeight="false" outlineLevel="0" collapsed="false">
      <c r="A552" s="1" t="s">
        <v>899</v>
      </c>
    </row>
    <row r="553" customFormat="false" ht="17.15" hidden="false" customHeight="false" outlineLevel="0" collapsed="false">
      <c r="A553" s="5" t="s">
        <v>21</v>
      </c>
      <c r="B553" s="5" t="s">
        <v>22</v>
      </c>
      <c r="C553" s="15" t="s">
        <v>545</v>
      </c>
      <c r="D553" s="15" t="s">
        <v>559</v>
      </c>
      <c r="E553" s="15" t="s">
        <v>546</v>
      </c>
      <c r="F553" s="15" t="s">
        <v>547</v>
      </c>
      <c r="G553" s="15" t="s">
        <v>548</v>
      </c>
      <c r="H553" s="5" t="s">
        <v>374</v>
      </c>
    </row>
    <row r="554" customFormat="false" ht="17.15" hidden="false" customHeight="false" outlineLevel="0" collapsed="false">
      <c r="A554" s="0" t="s">
        <v>560</v>
      </c>
      <c r="B554" s="0" t="s">
        <v>32</v>
      </c>
      <c r="C554" s="18" t="n">
        <f aca="false">mk_soc25</f>
        <v>6.9</v>
      </c>
      <c r="D554" s="18" t="n">
        <f aca="false">ms_A_2026</f>
        <v>11</v>
      </c>
      <c r="E554" s="18" t="n">
        <f aca="false">ms_A_2027*m_soc</f>
        <v>15.4143580786026</v>
      </c>
      <c r="F554" s="18" t="n">
        <f aca="false">ms_A_2028*m_soc</f>
        <v>17.2991836614041</v>
      </c>
      <c r="G554" s="18" t="n">
        <f aca="false">ms_A_2029*m_soc</f>
        <v>19.2361762010077</v>
      </c>
    </row>
    <row r="555" customFormat="false" ht="17.15" hidden="false" customHeight="false" outlineLevel="0" collapsed="false">
      <c r="A555" s="4" t="s">
        <v>561</v>
      </c>
      <c r="B555" s="0" t="s">
        <v>32</v>
      </c>
      <c r="C555" s="18" t="n">
        <f aca="false">mk_mem25</f>
        <v>2.1</v>
      </c>
      <c r="D555" s="18" t="n">
        <f aca="false">mm_A_2026</f>
        <v>2.75</v>
      </c>
      <c r="E555" s="18" t="n">
        <f aca="false">mm_A_2027</f>
        <v>3.88007408374579</v>
      </c>
      <c r="F555" s="18" t="n">
        <f aca="false">mm_A_2028</f>
        <v>5.04607694610671</v>
      </c>
      <c r="G555" s="18" t="n">
        <f aca="false">mm_A_2029</f>
        <v>6.20223782078096</v>
      </c>
    </row>
    <row r="556" customFormat="false" ht="17.15" hidden="false" customHeight="false" outlineLevel="0" collapsed="false">
      <c r="A556" s="4" t="s">
        <v>562</v>
      </c>
      <c r="B556" s="0" t="s">
        <v>99</v>
      </c>
      <c r="C556" s="11" t="n">
        <f aca="false">a25_soc/(C554*1000)</f>
        <v>0.273869565217391</v>
      </c>
      <c r="D556" s="11" t="n">
        <f aca="false">f26_soc/(D554*1000)</f>
        <v>0.295392727272727</v>
      </c>
      <c r="E556" s="11" t="n">
        <f aca="false">s_soc</f>
        <v>0.295392727272727</v>
      </c>
      <c r="F556" s="11" t="n">
        <f aca="false">s_soc</f>
        <v>0.295392727272727</v>
      </c>
      <c r="G556" s="11" t="n">
        <f aca="false">s_soc</f>
        <v>0.295392727272727</v>
      </c>
      <c r="H556" s="8" t="s">
        <v>563</v>
      </c>
    </row>
    <row r="557" customFormat="false" ht="17.15" hidden="false" customHeight="false" outlineLevel="0" collapsed="false">
      <c r="A557" s="0" t="s">
        <v>564</v>
      </c>
      <c r="B557" s="0" t="s">
        <v>197</v>
      </c>
      <c r="C557" s="9" t="n">
        <f aca="false">a25_soc</f>
        <v>1889.7</v>
      </c>
      <c r="D557" s="9" t="n">
        <f aca="false">f26_soc</f>
        <v>3249.32</v>
      </c>
      <c r="E557" s="9" t="n">
        <f aca="false">E554*1000*E556</f>
        <v>4553.28927199682</v>
      </c>
      <c r="F557" s="9" t="n">
        <f aca="false">F554*1000*F556</f>
        <v>5110.05304133396</v>
      </c>
      <c r="G557" s="9" t="n">
        <f aca="false">G554*1000*G556</f>
        <v>5682.22655031439</v>
      </c>
      <c r="H557" s="4" t="s">
        <v>565</v>
      </c>
    </row>
    <row r="558" customFormat="false" ht="15" hidden="false" customHeight="false" outlineLevel="0" collapsed="false">
      <c r="A558" s="4" t="s">
        <v>566</v>
      </c>
      <c r="B558" s="0" t="s">
        <v>99</v>
      </c>
      <c r="C558" s="11" t="n">
        <f aca="false">a25_mem/(C555*1000)</f>
        <v>0.240428571428571</v>
      </c>
      <c r="D558" s="11" t="n">
        <f aca="false">f26_mem/(D555*1000)</f>
        <v>0.316756363636364</v>
      </c>
      <c r="E558" s="11" t="n">
        <f aca="false">s_mem</f>
        <v>0.316756363636364</v>
      </c>
      <c r="F558" s="11" t="n">
        <f aca="false">s_mem</f>
        <v>0.316756363636364</v>
      </c>
      <c r="G558" s="11" t="n">
        <f aca="false">s_mem</f>
        <v>0.316756363636364</v>
      </c>
    </row>
    <row r="559" customFormat="false" ht="15" hidden="false" customHeight="false" outlineLevel="0" collapsed="false">
      <c r="A559" s="4" t="s">
        <v>567</v>
      </c>
      <c r="B559" s="0" t="s">
        <v>197</v>
      </c>
      <c r="C559" s="9" t="n">
        <f aca="false">a25_mem</f>
        <v>504.9</v>
      </c>
      <c r="D559" s="9" t="n">
        <f aca="false">f26_mem</f>
        <v>871.08</v>
      </c>
      <c r="E559" s="9" t="n">
        <f aca="false">E555*1000*E558</f>
        <v>1229.03815740701</v>
      </c>
      <c r="F559" s="9" t="n">
        <f aca="false">F555*1000*F558</f>
        <v>1598.37698407805</v>
      </c>
      <c r="G559" s="9" t="n">
        <f aca="false">G555*1000*G558</f>
        <v>1964.5982985185</v>
      </c>
    </row>
    <row r="560" customFormat="false" ht="17.15" hidden="false" customHeight="false" outlineLevel="0" collapsed="false">
      <c r="A560" s="0" t="s">
        <v>568</v>
      </c>
      <c r="B560" s="0" t="s">
        <v>197</v>
      </c>
      <c r="C560" s="9" t="n">
        <f aca="false">a25_ist</f>
        <v>129.2</v>
      </c>
      <c r="D560" s="9" t="n">
        <f aca="false">f26_ist</f>
        <v>195.51</v>
      </c>
      <c r="E560" s="9" t="n">
        <f aca="false">$D560*E554/$D554</f>
        <v>273.969195267963</v>
      </c>
      <c r="F560" s="9" t="n">
        <f aca="false">$D560*F554/$D554</f>
        <v>307.469399785556</v>
      </c>
      <c r="G560" s="9" t="n">
        <f aca="false">$D560*G554/$D554</f>
        <v>341.896800823547</v>
      </c>
      <c r="H560" s="8" t="s">
        <v>569</v>
      </c>
    </row>
    <row r="561" customFormat="false" ht="15" hidden="false" customHeight="false" outlineLevel="0" collapsed="false">
      <c r="A561" s="4" t="s">
        <v>570</v>
      </c>
      <c r="B561" s="0" t="s">
        <v>197</v>
      </c>
      <c r="C561" s="9" t="n">
        <f aca="false">C557+C559+C560</f>
        <v>2523.8</v>
      </c>
      <c r="D561" s="9" t="n">
        <f aca="false">D557+D559+D560</f>
        <v>4315.91</v>
      </c>
      <c r="E561" s="9" t="n">
        <f aca="false">E557+E559+E560</f>
        <v>6056.29662467179</v>
      </c>
      <c r="F561" s="9" t="n">
        <f aca="false">F557+F559+F560</f>
        <v>7015.89942519757</v>
      </c>
      <c r="G561" s="9" t="n">
        <f aca="false">G557+G559+G560</f>
        <v>7988.72164965644</v>
      </c>
    </row>
    <row r="562" customFormat="false" ht="17.15" hidden="false" customHeight="false" outlineLevel="0" collapsed="false">
      <c r="A562" s="0" t="s">
        <v>571</v>
      </c>
      <c r="B562" s="0" t="s">
        <v>197</v>
      </c>
      <c r="C562" s="9" t="n">
        <f aca="false">a25_pt</f>
        <v>358</v>
      </c>
      <c r="D562" s="9" t="n">
        <f aca="false">f26_pt</f>
        <v>394.17</v>
      </c>
      <c r="E562" s="9" t="n">
        <f aca="false">D562*(1+g_pt_A)</f>
        <v>425.7036</v>
      </c>
      <c r="F562" s="9" t="n">
        <f aca="false">E562*(1+g_pt_A)</f>
        <v>459.759888</v>
      </c>
      <c r="G562" s="9" t="n">
        <f aca="false">F562*(1+g_pt_A)</f>
        <v>496.54067904</v>
      </c>
    </row>
    <row r="563" customFormat="false" ht="17.15" hidden="false" customHeight="false" outlineLevel="0" collapsed="false">
      <c r="A563" s="4" t="s">
        <v>512</v>
      </c>
      <c r="B563" s="0" t="s">
        <v>197</v>
      </c>
      <c r="C563" s="9" t="n">
        <f aca="false">C561+C562</f>
        <v>2881.8</v>
      </c>
      <c r="D563" s="9" t="n">
        <f aca="false">D561+D562</f>
        <v>4710.08</v>
      </c>
      <c r="E563" s="9" t="n">
        <f aca="false">E561+E562</f>
        <v>6482.00022467179</v>
      </c>
      <c r="F563" s="9" t="n">
        <f aca="false">F561+F562</f>
        <v>7475.65931319757</v>
      </c>
      <c r="G563" s="9" t="n">
        <f aca="false">G561+G562</f>
        <v>8485.26232869644</v>
      </c>
    </row>
    <row r="564" customFormat="false" ht="17.15" hidden="false" customHeight="false" outlineLevel="0" collapsed="false">
      <c r="A564" s="4" t="s">
        <v>572</v>
      </c>
      <c r="B564" s="0" t="s">
        <v>197</v>
      </c>
      <c r="C564" s="9" t="n">
        <f aca="false">a25_ttest</f>
        <v>761.4</v>
      </c>
      <c r="D564" s="9" t="n">
        <f aca="false">f26_ttest</f>
        <v>1643.83073654536</v>
      </c>
      <c r="E564" s="9" t="n">
        <f aca="false">t_inc*E563-t_fix+0*E563</f>
        <v>2499.05907627273</v>
      </c>
      <c r="F564" s="9" t="n">
        <f aca="false">t_inc*F563-t_fix+0*F563</f>
        <v>2978.65482821597</v>
      </c>
      <c r="G564" s="9" t="n">
        <f aca="false">t_inc*G563-t_fix+0*G563</f>
        <v>3465.94601588148</v>
      </c>
      <c r="H564" s="4" t="s">
        <v>573</v>
      </c>
    </row>
    <row r="565" customFormat="false" ht="15" hidden="false" customHeight="false" outlineLevel="0" collapsed="false">
      <c r="A565" s="4" t="s">
        <v>574</v>
      </c>
      <c r="B565" s="0" t="s">
        <v>99</v>
      </c>
      <c r="C565" s="11" t="n">
        <f aca="false">C564/C563</f>
        <v>0.26420986883198</v>
      </c>
      <c r="D565" s="11" t="n">
        <f aca="false">D564/D563</f>
        <v>0.349002721088678</v>
      </c>
      <c r="E565" s="11" t="n">
        <f aca="false">E564/E563</f>
        <v>0.385538258200117</v>
      </c>
      <c r="F565" s="11" t="n">
        <f aca="false">F564/F563</f>
        <v>0.398447107261488</v>
      </c>
      <c r="G565" s="11" t="n">
        <f aca="false">G564/G563</f>
        <v>0.408466571995063</v>
      </c>
    </row>
    <row r="566" customFormat="false" ht="17.15" hidden="false" customHeight="false" outlineLevel="0" collapsed="false">
      <c r="A566" s="4" t="s">
        <v>575</v>
      </c>
      <c r="B566" s="0" t="s">
        <v>197</v>
      </c>
      <c r="C566" s="9" t="n">
        <f aca="false">a25_rob</f>
        <v>308.3</v>
      </c>
      <c r="D566" s="9" t="n">
        <f aca="false">f26_rob</f>
        <v>401.52</v>
      </c>
      <c r="E566" s="9" t="n">
        <f aca="false">D566*(1+g_rob)</f>
        <v>441.672</v>
      </c>
      <c r="F566" s="9" t="n">
        <f aca="false">E566*(1+g_rob)</f>
        <v>485.8392</v>
      </c>
      <c r="G566" s="9" t="n">
        <f aca="false">F566*(1+g_rob)</f>
        <v>534.42312</v>
      </c>
    </row>
    <row r="567" customFormat="false" ht="15" hidden="false" customHeight="false" outlineLevel="0" collapsed="false">
      <c r="A567" s="4" t="s">
        <v>520</v>
      </c>
      <c r="B567" s="0" t="s">
        <v>197</v>
      </c>
      <c r="C567" s="9" t="n">
        <f aca="false">a25_trob</f>
        <v>-99.4</v>
      </c>
      <c r="D567" s="9" t="n">
        <f aca="false">f26_trob</f>
        <v>-3.5</v>
      </c>
      <c r="E567" s="9" t="n">
        <f aca="false">E566*rm_2027</f>
        <v>8.83344</v>
      </c>
      <c r="F567" s="9" t="n">
        <f aca="false">F566*rm_2028</f>
        <v>19.433568</v>
      </c>
      <c r="G567" s="9" t="n">
        <f aca="false">G566*rm_2029</f>
        <v>26.721156</v>
      </c>
    </row>
    <row r="568" customFormat="false" ht="15" hidden="false" customHeight="false" outlineLevel="0" collapsed="false">
      <c r="A568" s="4" t="s">
        <v>500</v>
      </c>
      <c r="B568" s="0" t="s">
        <v>197</v>
      </c>
      <c r="C568" s="9" t="n">
        <f aca="false">a25_corp</f>
        <v>-8.8</v>
      </c>
      <c r="D568" s="9" t="n">
        <f aca="false">f26_corp</f>
        <v>-10.4</v>
      </c>
      <c r="E568" s="9" t="n">
        <f aca="false">corp</f>
        <v>-10.4</v>
      </c>
      <c r="F568" s="9" t="n">
        <f aca="false">corp</f>
        <v>-10.4</v>
      </c>
      <c r="G568" s="9" t="n">
        <f aca="false">corp</f>
        <v>-10.4</v>
      </c>
    </row>
    <row r="569" customFormat="false" ht="15" hidden="false" customHeight="false" outlineLevel="0" collapsed="false">
      <c r="A569" s="4" t="s">
        <v>474</v>
      </c>
      <c r="B569" s="0" t="s">
        <v>197</v>
      </c>
      <c r="C569" s="9" t="n">
        <f aca="false">C563+C566</f>
        <v>3190.1</v>
      </c>
      <c r="D569" s="9" t="n">
        <f aca="false">D563+D566</f>
        <v>5111.6</v>
      </c>
      <c r="E569" s="9" t="n">
        <f aca="false">E563+E566</f>
        <v>6923.67222467179</v>
      </c>
      <c r="F569" s="9" t="n">
        <f aca="false">F563+F566</f>
        <v>7961.49851319757</v>
      </c>
      <c r="G569" s="9" t="n">
        <f aca="false">G563+G566</f>
        <v>9019.68544869644</v>
      </c>
    </row>
    <row r="570" customFormat="false" ht="17.15" hidden="false" customHeight="false" outlineLevel="0" collapsed="false">
      <c r="A570" s="4" t="s">
        <v>576</v>
      </c>
      <c r="B570" s="0" t="s">
        <v>197</v>
      </c>
      <c r="C570" s="9" t="n">
        <f aca="false">ROUND(C561+C562+C566-a25_rev,0)</f>
        <v>0</v>
      </c>
      <c r="D570" s="9" t="n">
        <f aca="false">ROUND(D561+D562+D566-f26_rev,0)</f>
        <v>0</v>
      </c>
      <c r="H570" s="8" t="s">
        <v>577</v>
      </c>
    </row>
    <row r="571" customFormat="false" ht="15" hidden="false" customHeight="false" outlineLevel="0" collapsed="false">
      <c r="A571" s="4" t="s">
        <v>553</v>
      </c>
      <c r="B571" s="0" t="s">
        <v>197</v>
      </c>
      <c r="C571" s="9" t="n">
        <f aca="false">C564+C567+C568</f>
        <v>653.2</v>
      </c>
      <c r="D571" s="9" t="n">
        <f aca="false">D564+D567+D568</f>
        <v>1629.93073654536</v>
      </c>
      <c r="E571" s="9" t="n">
        <f aca="false">E564+E567+E568</f>
        <v>2497.49251627273</v>
      </c>
      <c r="F571" s="9" t="n">
        <f aca="false">F564+F567+F568</f>
        <v>2987.68839621597</v>
      </c>
      <c r="G571" s="9" t="n">
        <f aca="false">G564+G567+G568</f>
        <v>3482.26717188148</v>
      </c>
    </row>
    <row r="572" customFormat="false" ht="15" hidden="false" customHeight="false" outlineLevel="0" collapsed="false">
      <c r="A572" s="4" t="s">
        <v>554</v>
      </c>
      <c r="B572" s="0" t="s">
        <v>99</v>
      </c>
      <c r="C572" s="11" t="n">
        <f aca="false">C571/C569</f>
        <v>0.204758471521269</v>
      </c>
      <c r="D572" s="11" t="n">
        <f aca="false">D571/D569</f>
        <v>0.318868991420565</v>
      </c>
      <c r="E572" s="11" t="n">
        <f aca="false">E571/E569</f>
        <v>0.36071790160331</v>
      </c>
      <c r="F572" s="11" t="n">
        <f aca="false">F571/F569</f>
        <v>0.375267092151479</v>
      </c>
      <c r="G572" s="11" t="n">
        <f aca="false">G571/G569</f>
        <v>0.386074125498994</v>
      </c>
    </row>
    <row r="573" customFormat="false" ht="15" hidden="false" customHeight="false" outlineLevel="0" collapsed="false">
      <c r="A573" s="4" t="s">
        <v>486</v>
      </c>
      <c r="B573" s="0" t="s">
        <v>197</v>
      </c>
      <c r="C573" s="9" t="n">
        <f aca="false">a25_tax</f>
        <v>79.3</v>
      </c>
      <c r="D573" s="9" t="n">
        <f aca="false">f26_tax</f>
        <v>231.054736545361</v>
      </c>
      <c r="E573" s="9" t="n">
        <f aca="false">E571*etr</f>
        <v>354.038035134229</v>
      </c>
      <c r="F573" s="9" t="n">
        <f aca="false">F571*etr</f>
        <v>423.526926506366</v>
      </c>
      <c r="G573" s="9" t="n">
        <f aca="false">G571*etr</f>
        <v>493.63712576215</v>
      </c>
    </row>
    <row r="574" customFormat="false" ht="17.15" hidden="false" customHeight="false" outlineLevel="0" collapsed="false">
      <c r="A574" s="4" t="s">
        <v>487</v>
      </c>
      <c r="B574" s="0" t="s">
        <v>197</v>
      </c>
      <c r="C574" s="9" t="n">
        <f aca="false">a25_aff</f>
        <v>-19.9</v>
      </c>
      <c r="D574" s="9" t="n">
        <f aca="false">f26_aff</f>
        <v>-13.2</v>
      </c>
      <c r="E574" s="9" t="n">
        <f aca="false">aff</f>
        <v>-13.2</v>
      </c>
      <c r="F574" s="9" t="n">
        <f aca="false">aff</f>
        <v>-13.2</v>
      </c>
      <c r="G574" s="9" t="n">
        <f aca="false">aff</f>
        <v>-13.2</v>
      </c>
    </row>
    <row r="575" customFormat="false" ht="17.15" hidden="false" customHeight="false" outlineLevel="0" collapsed="false">
      <c r="A575" s="4" t="s">
        <v>555</v>
      </c>
      <c r="B575" s="0" t="s">
        <v>197</v>
      </c>
      <c r="C575" s="9" t="n">
        <f aca="false">a25_ni</f>
        <v>554</v>
      </c>
      <c r="D575" s="9" t="n">
        <f aca="false">f26_ni</f>
        <v>1385.276</v>
      </c>
      <c r="E575" s="9" t="n">
        <f aca="false">E571-E573+E574</f>
        <v>2130.2544811385</v>
      </c>
      <c r="F575" s="9" t="n">
        <f aca="false">F571-F573+F574</f>
        <v>2550.96146970961</v>
      </c>
      <c r="G575" s="9" t="n">
        <f aca="false">G571-G573+G574</f>
        <v>2975.43004611933</v>
      </c>
      <c r="H575" s="8" t="s">
        <v>578</v>
      </c>
    </row>
    <row r="576" customFormat="false" ht="15" hidden="false" customHeight="false" outlineLevel="0" collapsed="false">
      <c r="A576" s="4" t="s">
        <v>579</v>
      </c>
      <c r="B576" s="4" t="s">
        <v>259</v>
      </c>
      <c r="C576" s="9" t="n">
        <f aca="false">a25_dsh</f>
        <v>159.7</v>
      </c>
      <c r="D576" s="9" t="n">
        <f aca="false">sh26</f>
        <v>157.7</v>
      </c>
      <c r="E576" s="9" t="n">
        <f aca="false">sh26*(1-bb_hi)^1</f>
        <v>154.546</v>
      </c>
      <c r="F576" s="9" t="n">
        <f aca="false">sh26*(1-bb_hi)^2</f>
        <v>151.45508</v>
      </c>
      <c r="G576" s="9" t="n">
        <f aca="false">sh26*(1-bb_hi)^3</f>
        <v>148.4259784</v>
      </c>
    </row>
    <row r="577" customFormat="false" ht="17.15" hidden="false" customHeight="false" outlineLevel="0" collapsed="false">
      <c r="A577" s="0" t="s">
        <v>489</v>
      </c>
      <c r="B577" s="0" t="s">
        <v>202</v>
      </c>
      <c r="C577" s="18" t="n">
        <f aca="false">a25_eps</f>
        <v>3.47</v>
      </c>
      <c r="D577" s="18" t="n">
        <f aca="false">D575/D576</f>
        <v>8.78424857324033</v>
      </c>
      <c r="E577" s="18" t="n">
        <f aca="false">E575/E576</f>
        <v>13.7839509345988</v>
      </c>
      <c r="F577" s="18" t="n">
        <f aca="false">F575/F576</f>
        <v>16.8430234872915</v>
      </c>
      <c r="G577" s="18" t="n">
        <f aca="false">G575/G576</f>
        <v>20.0465584137886</v>
      </c>
    </row>
    <row r="578" customFormat="false" ht="17.15" hidden="false" customHeight="false" outlineLevel="0" collapsed="false">
      <c r="A578" s="0" t="s">
        <v>580</v>
      </c>
      <c r="B578" s="0" t="s">
        <v>99</v>
      </c>
      <c r="C578" s="11" t="n">
        <f aca="false">C557/C569</f>
        <v>0.592363875740573</v>
      </c>
      <c r="D578" s="11" t="n">
        <f aca="false">D557/D569</f>
        <v>0.635675717974802</v>
      </c>
      <c r="E578" s="11" t="n">
        <f aca="false">E557/E569</f>
        <v>0.657640790066815</v>
      </c>
      <c r="F578" s="11" t="n">
        <f aca="false">F557/F569</f>
        <v>0.641845631555813</v>
      </c>
      <c r="G578" s="11" t="n">
        <f aca="false">G557/G569</f>
        <v>0.629980566687679</v>
      </c>
    </row>
    <row r="579" customFormat="false" ht="17.15" hidden="false" customHeight="false" outlineLevel="0" collapsed="false">
      <c r="A579" s="4" t="s">
        <v>581</v>
      </c>
      <c r="B579" s="0" t="s">
        <v>99</v>
      </c>
      <c r="C579" s="11" t="n">
        <f aca="false">a25_gp/a25_rev</f>
        <v>0.582225705329154</v>
      </c>
      <c r="D579" s="11" t="n">
        <f aca="false">f26_gm</f>
        <v>0.594365646092145</v>
      </c>
      <c r="E579" s="11" t="n">
        <f aca="false">f26_gm+(Q!J13-a25_gp/a25_rev)/(Q!J4/Q!J10-a25_soc/a25_rev)*(E578-D578)</f>
        <v>0.601175024106483</v>
      </c>
      <c r="F579" s="11" t="n">
        <f aca="false">f26_gm+(Q!J13-a25_gp/a25_rev)/(Q!J4/Q!J10-a25_soc/a25_rev)*(F578-D578)</f>
        <v>0.596278377073082</v>
      </c>
      <c r="G579" s="11" t="n">
        <f aca="false">f26_gm+(Q!J13-a25_gp/a25_rev)/(Q!J4/Q!J10-a25_soc/a25_rev)*(G578-D578)</f>
        <v>0.592600095867661</v>
      </c>
      <c r="H579" s="8" t="s">
        <v>582</v>
      </c>
    </row>
    <row r="582" customFormat="false" ht="17.15" hidden="false" customHeight="false" outlineLevel="0" collapsed="false">
      <c r="A582" s="1" t="s">
        <v>900</v>
      </c>
    </row>
    <row r="583" customFormat="false" ht="17.15" hidden="false" customHeight="false" outlineLevel="0" collapsed="false">
      <c r="A583" s="5" t="s">
        <v>844</v>
      </c>
      <c r="B583" s="5" t="s">
        <v>845</v>
      </c>
      <c r="C583" s="15" t="s">
        <v>901</v>
      </c>
      <c r="D583" s="15" t="s">
        <v>799</v>
      </c>
      <c r="E583" s="5" t="s">
        <v>902</v>
      </c>
      <c r="F583" s="5" t="s">
        <v>848</v>
      </c>
    </row>
    <row r="584" customFormat="false" ht="17.15" hidden="false" customHeight="false" outlineLevel="0" collapsed="false">
      <c r="A584" s="4" t="s">
        <v>24</v>
      </c>
      <c r="B584" s="0" t="s">
        <v>903</v>
      </c>
      <c r="C584" s="14" t="n">
        <f aca="false">(tp_wA*MAX(0,Val!B95*(1-MIN(tp_g/tp_roe,0.8))/(1+tp_r)^1+Val!B96*(1-MIN(tp_g/tp_roe,0.8))/(1+tp_r)^2+Val!B97*(1-MIN(tp_g/tp_roe,0.8))/(1+tp_r)^3+Val!B98*(1-MIN(tp_g/tp_roe,0.8))/(1+tp_r)^4+Val!B99*(1-MIN(tp_g/tp_roe,0.8))/(1+tp_r)^5+Val!B100*(1-MIN(tp_g/tp_roe,0.8))/(1+tp_r)^6+Val!B100*(1-MIN(tp_g/tp_roe,0.8))*(1+tp_g)/(tp_r-tp_g)/(1+tp_r)^6)+tp_wB*MAX(0,Val!C95*(1-MIN(tp_g/tp_roe,0.8))/(1+tp_r)^1+Val!C96*(1-MIN(tp_g/tp_roe,0.8))/(1+tp_r)^2+Val!C97*(1-MIN(tp_g/tp_roe,0.8))/(1+tp_r)^3+Val!C98*(1-MIN(tp_g/tp_roe,0.8))/(1+tp_r)^4+Val!C99*(1-MIN(tp_g/tp_roe,0.8))/(1+tp_r)^5+Val!C100*(1-MIN(tp_g/tp_roe,0.8))/(1+tp_r)^6+Val!C100*(1-MIN(tp_g/tp_roe,0.8))*(1+tp_g)/(tp_r-tp_g)/(1+tp_r)^6)+tp_wC*MAX(0,Val!D95*(1-MIN(tp_g/tp_roe,0.8))/(1+tp_r)^1+Val!D96*(1-MIN(tp_g/tp_roe,0.8))/(1+tp_r)^2+Val!D97*(1-MIN(tp_g/tp_roe,0.8))/(1+tp_r)^3+Val!D98*(1-MIN(tp_g/tp_roe,0.8))/(1+tp_r)^4+Val!D99*(1-MIN(tp_g/tp_roe,0.8))/(1+tp_r)^5+Val!D100*(1-MIN(tp_g/tp_roe,0.8))/(1+tp_r)^6+Val!D100*(1-MIN(tp_g/tp_roe,0.8))*(1+tp_g)/(tp_r-tp_g)/(1+tp_r)^6))*(1+tp_r)</f>
        <v>218.286112877241</v>
      </c>
      <c r="D584" s="14" t="n">
        <f aca="false">tp_comp_adj</f>
        <v>490.217794593997</v>
      </c>
      <c r="E584" s="14" t="n">
        <f aca="false">tp_w_dcf*C584+(1-tp_w_dcf)*D584</f>
        <v>354.251953735619</v>
      </c>
      <c r="F584" s="11" t="n">
        <f aca="false">E584/E$584-1</f>
        <v>0</v>
      </c>
    </row>
    <row r="585" customFormat="false" ht="17.15" hidden="false" customHeight="false" outlineLevel="0" collapsed="false">
      <c r="A585" s="4" t="s">
        <v>904</v>
      </c>
      <c r="B585" s="0" t="s">
        <v>905</v>
      </c>
      <c r="C585" s="14" t="n">
        <f aca="false">(tp_wA*MAX(0,Val!B95*(1-MIN(tp_g/tp_roe,0.8))/(1+(tp_r+0.01))^1+Val!B96*(1-MIN(tp_g/tp_roe,0.8))/(1+(tp_r+0.01))^2+Val!B97*(1-MIN(tp_g/tp_roe,0.8))/(1+(tp_r+0.01))^3+Val!B98*(1-MIN(tp_g/tp_roe,0.8))/(1+(tp_r+0.01))^4+Val!B99*(1-MIN(tp_g/tp_roe,0.8))/(1+(tp_r+0.01))^5+Val!B100*(1-MIN(tp_g/tp_roe,0.8))/(1+(tp_r+0.01))^6+Val!B100*(1-MIN(tp_g/tp_roe,0.8))*(1+tp_g)/((tp_r+0.01)-tp_g)/(1+(tp_r+0.01))^6)+tp_wB*MAX(0,Val!C95*(1-MIN(tp_g/tp_roe,0.8))/(1+(tp_r+0.01))^1+Val!C96*(1-MIN(tp_g/tp_roe,0.8))/(1+(tp_r+0.01))^2+Val!C97*(1-MIN(tp_g/tp_roe,0.8))/(1+(tp_r+0.01))^3+Val!C98*(1-MIN(tp_g/tp_roe,0.8))/(1+(tp_r+0.01))^4+Val!C99*(1-MIN(tp_g/tp_roe,0.8))/(1+(tp_r+0.01))^5+Val!C100*(1-MIN(tp_g/tp_roe,0.8))/(1+(tp_r+0.01))^6+Val!C100*(1-MIN(tp_g/tp_roe,0.8))*(1+tp_g)/((tp_r+0.01)-tp_g)/(1+(tp_r+0.01))^6)+tp_wC*MAX(0,Val!D95*(1-MIN(tp_g/tp_roe,0.8))/(1+(tp_r+0.01))^1+Val!D96*(1-MIN(tp_g/tp_roe,0.8))/(1+(tp_r+0.01))^2+Val!D97*(1-MIN(tp_g/tp_roe,0.8))/(1+(tp_r+0.01))^3+Val!D98*(1-MIN(tp_g/tp_roe,0.8))/(1+(tp_r+0.01))^4+Val!D99*(1-MIN(tp_g/tp_roe,0.8))/(1+(tp_r+0.01))^5+Val!D100*(1-MIN(tp_g/tp_roe,0.8))/(1+(tp_r+0.01))^6+Val!D100*(1-MIN(tp_g/tp_roe,0.8))*(1+tp_g)/((tp_r+0.01)-tp_g)/(1+(tp_r+0.01))^6))*(1+(tp_r+0.01))</f>
        <v>188.826183557931</v>
      </c>
      <c r="D585" s="14" t="n">
        <f aca="false">tp_comp_adj</f>
        <v>490.217794593997</v>
      </c>
      <c r="E585" s="14" t="n">
        <f aca="false">tp_w_dcf*C585+(1-tp_w_dcf)*D585</f>
        <v>339.521989075964</v>
      </c>
      <c r="F585" s="11" t="n">
        <f aca="false">E585/E$584-1</f>
        <v>-0.0415804754337306</v>
      </c>
    </row>
    <row r="586" customFormat="false" ht="17.15" hidden="false" customHeight="false" outlineLevel="0" collapsed="false">
      <c r="A586" s="4" t="s">
        <v>906</v>
      </c>
      <c r="B586" s="0" t="s">
        <v>907</v>
      </c>
      <c r="C586" s="14" t="n">
        <f aca="false">(tp_wA*MAX(0,Val!B95*(1-MIN(tp_g/tp_roe,0.8))/(1+(tp_r-0.01))^1+Val!B96*(1-MIN(tp_g/tp_roe,0.8))/(1+(tp_r-0.01))^2+Val!B97*(1-MIN(tp_g/tp_roe,0.8))/(1+(tp_r-0.01))^3+Val!B98*(1-MIN(tp_g/tp_roe,0.8))/(1+(tp_r-0.01))^4+Val!B99*(1-MIN(tp_g/tp_roe,0.8))/(1+(tp_r-0.01))^5+Val!B100*(1-MIN(tp_g/tp_roe,0.8))/(1+(tp_r-0.01))^6+Val!B100*(1-MIN(tp_g/tp_roe,0.8))*(1+tp_g)/((tp_r-0.01)-tp_g)/(1+(tp_r-0.01))^6)+tp_wB*MAX(0,Val!C95*(1-MIN(tp_g/tp_roe,0.8))/(1+(tp_r-0.01))^1+Val!C96*(1-MIN(tp_g/tp_roe,0.8))/(1+(tp_r-0.01))^2+Val!C97*(1-MIN(tp_g/tp_roe,0.8))/(1+(tp_r-0.01))^3+Val!C98*(1-MIN(tp_g/tp_roe,0.8))/(1+(tp_r-0.01))^4+Val!C99*(1-MIN(tp_g/tp_roe,0.8))/(1+(tp_r-0.01))^5+Val!C100*(1-MIN(tp_g/tp_roe,0.8))/(1+(tp_r-0.01))^6+Val!C100*(1-MIN(tp_g/tp_roe,0.8))*(1+tp_g)/((tp_r-0.01)-tp_g)/(1+(tp_r-0.01))^6)+tp_wC*MAX(0,Val!D95*(1-MIN(tp_g/tp_roe,0.8))/(1+(tp_r-0.01))^1+Val!D96*(1-MIN(tp_g/tp_roe,0.8))/(1+(tp_r-0.01))^2+Val!D97*(1-MIN(tp_g/tp_roe,0.8))/(1+(tp_r-0.01))^3+Val!D98*(1-MIN(tp_g/tp_roe,0.8))/(1+(tp_r-0.01))^4+Val!D99*(1-MIN(tp_g/tp_roe,0.8))/(1+(tp_r-0.01))^5+Val!D100*(1-MIN(tp_g/tp_roe,0.8))/(1+(tp_r-0.01))^6+Val!D100*(1-MIN(tp_g/tp_roe,0.8))*(1+tp_g)/((tp_r-0.01)-tp_g)/(1+(tp_r-0.01))^6))*(1+(tp_r-0.01))</f>
        <v>259.509481325414</v>
      </c>
      <c r="D586" s="14" t="n">
        <f aca="false">tp_comp_adj</f>
        <v>490.217794593997</v>
      </c>
      <c r="E586" s="14" t="n">
        <f aca="false">tp_w_dcf*C586+(1-tp_w_dcf)*D586</f>
        <v>374.863637959706</v>
      </c>
      <c r="F586" s="11" t="n">
        <f aca="false">E586/E$584-1</f>
        <v>0.0581836853875732</v>
      </c>
    </row>
    <row r="587" customFormat="false" ht="17.15" hidden="false" customHeight="false" outlineLevel="0" collapsed="false">
      <c r="A587" s="4" t="s">
        <v>908</v>
      </c>
      <c r="B587" s="0" t="s">
        <v>909</v>
      </c>
      <c r="C587" s="14" t="n">
        <f aca="false">(tp_wA*MAX(0,Val!B95*(1-MIN((tp_g+0.01)/tp_roe,0.8))/(1+tp_r)^1+Val!B96*(1-MIN((tp_g+0.01)/tp_roe,0.8))/(1+tp_r)^2+Val!B97*(1-MIN((tp_g+0.01)/tp_roe,0.8))/(1+tp_r)^3+Val!B98*(1-MIN((tp_g+0.01)/tp_roe,0.8))/(1+tp_r)^4+Val!B99*(1-MIN((tp_g+0.01)/tp_roe,0.8))/(1+tp_r)^5+Val!B100*(1-MIN((tp_g+0.01)/tp_roe,0.8))/(1+tp_r)^6+Val!B100*(1-MIN((tp_g+0.01)/tp_roe,0.8))*(1+(tp_g+0.01))/(tp_r-(tp_g+0.01))/(1+tp_r)^6)+tp_wB*MAX(0,Val!C95*(1-MIN((tp_g+0.01)/tp_roe,0.8))/(1+tp_r)^1+Val!C96*(1-MIN((tp_g+0.01)/tp_roe,0.8))/(1+tp_r)^2+Val!C97*(1-MIN((tp_g+0.01)/tp_roe,0.8))/(1+tp_r)^3+Val!C98*(1-MIN((tp_g+0.01)/tp_roe,0.8))/(1+tp_r)^4+Val!C99*(1-MIN((tp_g+0.01)/tp_roe,0.8))/(1+tp_r)^5+Val!C100*(1-MIN((tp_g+0.01)/tp_roe,0.8))/(1+tp_r)^6+Val!C100*(1-MIN((tp_g+0.01)/tp_roe,0.8))*(1+(tp_g+0.01))/(tp_r-(tp_g+0.01))/(1+tp_r)^6)+tp_wC*MAX(0,Val!D95*(1-MIN((tp_g+0.01)/tp_roe,0.8))/(1+tp_r)^1+Val!D96*(1-MIN((tp_g+0.01)/tp_roe,0.8))/(1+tp_r)^2+Val!D97*(1-MIN((tp_g+0.01)/tp_roe,0.8))/(1+tp_r)^3+Val!D98*(1-MIN((tp_g+0.01)/tp_roe,0.8))/(1+tp_r)^4+Val!D99*(1-MIN((tp_g+0.01)/tp_roe,0.8))/(1+tp_r)^5+Val!D100*(1-MIN((tp_g+0.01)/tp_roe,0.8))/(1+tp_r)^6+Val!D100*(1-MIN((tp_g+0.01)/tp_roe,0.8))*(1+(tp_g+0.01))/(tp_r-(tp_g+0.01))/(1+tp_r)^6))*(1+tp_r)</f>
        <v>234.818043724302</v>
      </c>
      <c r="D587" s="14" t="n">
        <f aca="false">tp_comp_adj</f>
        <v>490.217794593997</v>
      </c>
      <c r="E587" s="14" t="n">
        <f aca="false">tp_w_dcf*C587+(1-tp_w_dcf)*D587</f>
        <v>362.517919159149</v>
      </c>
      <c r="F587" s="11" t="n">
        <f aca="false">E587/E$584-1</f>
        <v>0.0233335775183876</v>
      </c>
    </row>
    <row r="588" customFormat="false" ht="17.15" hidden="false" customHeight="false" outlineLevel="0" collapsed="false">
      <c r="A588" s="4" t="s">
        <v>910</v>
      </c>
      <c r="B588" s="0" t="s">
        <v>911</v>
      </c>
      <c r="C588" s="14" t="n">
        <f aca="false">(tp_wA*MAX(0,Val!B95*(1-MIN((tp_g-0.01)/tp_roe,0.8))/(1+tp_r)^1+Val!B96*(1-MIN((tp_g-0.01)/tp_roe,0.8))/(1+tp_r)^2+Val!B97*(1-MIN((tp_g-0.01)/tp_roe,0.8))/(1+tp_r)^3+Val!B98*(1-MIN((tp_g-0.01)/tp_roe,0.8))/(1+tp_r)^4+Val!B99*(1-MIN((tp_g-0.01)/tp_roe,0.8))/(1+tp_r)^5+Val!B100*(1-MIN((tp_g-0.01)/tp_roe,0.8))/(1+tp_r)^6+Val!B100*(1-MIN((tp_g-0.01)/tp_roe,0.8))*(1+(tp_g-0.01))/(tp_r-(tp_g-0.01))/(1+tp_r)^6)+tp_wB*MAX(0,Val!C95*(1-MIN((tp_g-0.01)/tp_roe,0.8))/(1+tp_r)^1+Val!C96*(1-MIN((tp_g-0.01)/tp_roe,0.8))/(1+tp_r)^2+Val!C97*(1-MIN((tp_g-0.01)/tp_roe,0.8))/(1+tp_r)^3+Val!C98*(1-MIN((tp_g-0.01)/tp_roe,0.8))/(1+tp_r)^4+Val!C99*(1-MIN((tp_g-0.01)/tp_roe,0.8))/(1+tp_r)^5+Val!C100*(1-MIN((tp_g-0.01)/tp_roe,0.8))/(1+tp_r)^6+Val!C100*(1-MIN((tp_g-0.01)/tp_roe,0.8))*(1+(tp_g-0.01))/(tp_r-(tp_g-0.01))/(1+tp_r)^6)+tp_wC*MAX(0,Val!D95*(1-MIN((tp_g-0.01)/tp_roe,0.8))/(1+tp_r)^1+Val!D96*(1-MIN((tp_g-0.01)/tp_roe,0.8))/(1+tp_r)^2+Val!D97*(1-MIN((tp_g-0.01)/tp_roe,0.8))/(1+tp_r)^3+Val!D98*(1-MIN((tp_g-0.01)/tp_roe,0.8))/(1+tp_r)^4+Val!D99*(1-MIN((tp_g-0.01)/tp_roe,0.8))/(1+tp_r)^5+Val!D100*(1-MIN((tp_g-0.01)/tp_roe,0.8))/(1+tp_r)^6+Val!D100*(1-MIN((tp_g-0.01)/tp_roe,0.8))*(1+(tp_g-0.01))/(tp_r-(tp_g-0.01))/(1+tp_r)^6))*(1+tp_r)</f>
        <v>207.479299532946</v>
      </c>
      <c r="D588" s="14" t="n">
        <f aca="false">tp_comp_adj</f>
        <v>490.217794593997</v>
      </c>
      <c r="E588" s="14" t="n">
        <f aca="false">tp_w_dcf*C588+(1-tp_w_dcf)*D588</f>
        <v>348.848547063472</v>
      </c>
      <c r="F588" s="11" t="n">
        <f aca="false">E588/E$584-1</f>
        <v>-0.0152530045781486</v>
      </c>
    </row>
    <row r="589" customFormat="false" ht="17.15" hidden="false" customHeight="false" outlineLevel="0" collapsed="false">
      <c r="A589" s="0" t="s">
        <v>912</v>
      </c>
      <c r="B589" s="0" t="s">
        <v>913</v>
      </c>
      <c r="C589" s="14" t="n">
        <f aca="false">(tp_wA*MAX(0,Val!B95*(1-MIN(tp_g/tp_roe,0.8))/(1+tp_r)^1+Val!B96*(1-MIN(tp_g/tp_roe,0.8))/(1+tp_r)^2+Val!B97*(1-MIN(tp_g/tp_roe,0.8))/(1+tp_r)^3+Val!B98*(1-MIN(tp_g/tp_roe,0.8))/(1+tp_r)^4+Val!B99*(1-MIN(tp_g/tp_roe,0.8))/(1+tp_r)^5+Val!B100*(1-MIN(tp_g/tp_roe,0.8))/(1+tp_r)^6+Val!B100*(1-MIN(tp_g/tp_roe,0.8))*(1+tp_g)/(tp_r-tp_g)/(1+tp_r)^6)+tp_wB*MAX(0,Val!C95*(1-MIN(tp_g/tp_roe,0.8))/(1+tp_r)^1+Val!C96*(1-MIN(tp_g/tp_roe,0.8))/(1+tp_r)^2+Val!C97*(1-MIN(tp_g/tp_roe,0.8))/(1+tp_r)^3+Val!C98*(1-MIN(tp_g/tp_roe,0.8))/(1+tp_r)^4+Val!C99*(1-MIN(tp_g/tp_roe,0.8))/(1+tp_r)^5+Val!C100*(1-MIN(tp_g/tp_roe,0.8))/(1+tp_r)^6+Val!C100*(1-MIN(tp_g/tp_roe,0.8))*(1+tp_g)/(tp_r-tp_g)/(1+tp_r)^6)+tp_wC*MAX(0,Val!D95*(1-MIN(tp_g/tp_roe,0.8))/(1+tp_r)^1+Val!D96*(1-MIN(tp_g/tp_roe,0.8))/(1+tp_r)^2+Val!D97*(1-MIN(tp_g/tp_roe,0.8))/(1+tp_r)^3+Val!D98*(1-MIN(tp_g/tp_roe,0.8))/(1+tp_r)^4+Val!D99*(1-MIN(tp_g/tp_roe,0.8))/(1+tp_r)^5+Val!D100*(1-MIN(tp_g/tp_roe,0.8))/(1+tp_r)^6+Val!D100*(1-MIN(tp_g/tp_roe,0.8))*(1+tp_g)/(tp_r-tp_g)/(1+tp_r)^6))*(1+tp_r)</f>
        <v>218.286112877241</v>
      </c>
      <c r="D589" s="14" t="n">
        <f aca="false">tp_comp_adj</f>
        <v>490.217794593997</v>
      </c>
      <c r="E589" s="14" t="n">
        <f aca="false">0.3*C589+(1-0.3)*D589</f>
        <v>408.63829007897</v>
      </c>
      <c r="F589" s="11" t="n">
        <f aca="false">E589/E$584-1</f>
        <v>0.153524449956711</v>
      </c>
    </row>
    <row r="590" customFormat="false" ht="17.15" hidden="false" customHeight="false" outlineLevel="0" collapsed="false">
      <c r="A590" s="0" t="s">
        <v>914</v>
      </c>
      <c r="B590" s="0" t="s">
        <v>915</v>
      </c>
      <c r="C590" s="14" t="n">
        <f aca="false">(tp_wA*MAX(0,Val!B95*(1-MIN(tp_g/tp_roe,0.8))/(1+tp_r)^1+Val!B96*(1-MIN(tp_g/tp_roe,0.8))/(1+tp_r)^2+Val!B97*(1-MIN(tp_g/tp_roe,0.8))/(1+tp_r)^3+Val!B98*(1-MIN(tp_g/tp_roe,0.8))/(1+tp_r)^4+Val!B99*(1-MIN(tp_g/tp_roe,0.8))/(1+tp_r)^5+Val!B100*(1-MIN(tp_g/tp_roe,0.8))/(1+tp_r)^6+Val!B100*(1-MIN(tp_g/tp_roe,0.8))*(1+tp_g)/(tp_r-tp_g)/(1+tp_r)^6)+tp_wB*MAX(0,Val!C95*(1-MIN(tp_g/tp_roe,0.8))/(1+tp_r)^1+Val!C96*(1-MIN(tp_g/tp_roe,0.8))/(1+tp_r)^2+Val!C97*(1-MIN(tp_g/tp_roe,0.8))/(1+tp_r)^3+Val!C98*(1-MIN(tp_g/tp_roe,0.8))/(1+tp_r)^4+Val!C99*(1-MIN(tp_g/tp_roe,0.8))/(1+tp_r)^5+Val!C100*(1-MIN(tp_g/tp_roe,0.8))/(1+tp_r)^6+Val!C100*(1-MIN(tp_g/tp_roe,0.8))*(1+tp_g)/(tp_r-tp_g)/(1+tp_r)^6)+tp_wC*MAX(0,Val!D95*(1-MIN(tp_g/tp_roe,0.8))/(1+tp_r)^1+Val!D96*(1-MIN(tp_g/tp_roe,0.8))/(1+tp_r)^2+Val!D97*(1-MIN(tp_g/tp_roe,0.8))/(1+tp_r)^3+Val!D98*(1-MIN(tp_g/tp_roe,0.8))/(1+tp_r)^4+Val!D99*(1-MIN(tp_g/tp_roe,0.8))/(1+tp_r)^5+Val!D100*(1-MIN(tp_g/tp_roe,0.8))/(1+tp_r)^6+Val!D100*(1-MIN(tp_g/tp_roe,0.8))*(1+tp_g)/(tp_r-tp_g)/(1+tp_r)^6))*(1+tp_r)</f>
        <v>218.286112877241</v>
      </c>
      <c r="D590" s="14" t="n">
        <f aca="false">tp_comp_adj</f>
        <v>490.217794593997</v>
      </c>
      <c r="E590" s="14" t="n">
        <f aca="false">0.7*C590+(1-0.7)*D590</f>
        <v>299.865617392268</v>
      </c>
      <c r="F590" s="11" t="n">
        <f aca="false">E590/E$584-1</f>
        <v>-0.153524449956711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20"/>
  </cols>
  <sheetData>
    <row r="1" customFormat="false" ht="17.15" hidden="false" customHeight="false" outlineLevel="0" collapsed="false">
      <c r="A1" s="1" t="s">
        <v>916</v>
      </c>
    </row>
    <row r="2" customFormat="false" ht="17.15" hidden="false" customHeight="false" outlineLevel="0" collapsed="false">
      <c r="A2" s="4" t="s">
        <v>917</v>
      </c>
      <c r="B2" s="0" t="s">
        <v>918</v>
      </c>
    </row>
    <row r="3" customFormat="false" ht="17.15" hidden="false" customHeight="false" outlineLevel="0" collapsed="false">
      <c r="A3" s="4" t="s">
        <v>919</v>
      </c>
      <c r="B3" s="0" t="s">
        <v>920</v>
      </c>
    </row>
    <row r="4" customFormat="false" ht="17.15" hidden="false" customHeight="false" outlineLevel="0" collapsed="false">
      <c r="A4" s="4" t="s">
        <v>921</v>
      </c>
      <c r="B4" s="0" t="s">
        <v>922</v>
      </c>
    </row>
    <row r="5" customFormat="false" ht="17.15" hidden="false" customHeight="false" outlineLevel="0" collapsed="false">
      <c r="A5" s="4" t="s">
        <v>923</v>
      </c>
      <c r="B5" s="0" t="s">
        <v>924</v>
      </c>
    </row>
    <row r="6" customFormat="false" ht="17.15" hidden="false" customHeight="false" outlineLevel="0" collapsed="false">
      <c r="A6" s="4" t="s">
        <v>925</v>
      </c>
      <c r="B6" s="0" t="s">
        <v>926</v>
      </c>
    </row>
    <row r="7" customFormat="false" ht="17.15" hidden="false" customHeight="false" outlineLevel="0" collapsed="false">
      <c r="A7" s="4" t="s">
        <v>927</v>
      </c>
      <c r="B7" s="0" t="s">
        <v>928</v>
      </c>
    </row>
    <row r="8" customFormat="false" ht="17.15" hidden="false" customHeight="false" outlineLevel="0" collapsed="false">
      <c r="A8" s="4" t="s">
        <v>929</v>
      </c>
      <c r="B8" s="0" t="s">
        <v>930</v>
      </c>
    </row>
    <row r="9" customFormat="false" ht="17.15" hidden="false" customHeight="false" outlineLevel="0" collapsed="false">
      <c r="A9" s="4" t="s">
        <v>931</v>
      </c>
      <c r="B9" s="0" t="s">
        <v>932</v>
      </c>
    </row>
    <row r="10" customFormat="false" ht="17.15" hidden="false" customHeight="false" outlineLevel="0" collapsed="false">
      <c r="A10" s="0" t="s">
        <v>933</v>
      </c>
      <c r="B10" s="0" t="s">
        <v>934</v>
      </c>
    </row>
    <row r="11" customFormat="false" ht="17.15" hidden="false" customHeight="false" outlineLevel="0" collapsed="false">
      <c r="A11" s="4" t="s">
        <v>935</v>
      </c>
      <c r="B11" s="0" t="s">
        <v>936</v>
      </c>
    </row>
    <row r="12" customFormat="false" ht="17.15" hidden="false" customHeight="false" outlineLevel="0" collapsed="false">
      <c r="A12" s="0" t="s">
        <v>937</v>
      </c>
      <c r="B12" s="0" t="s">
        <v>938</v>
      </c>
    </row>
    <row r="13" customFormat="false" ht="17.15" hidden="false" customHeight="false" outlineLevel="0" collapsed="false">
      <c r="A13" s="0" t="s">
        <v>939</v>
      </c>
      <c r="B13" s="0" t="s">
        <v>940</v>
      </c>
    </row>
    <row r="14" customFormat="false" ht="17.15" hidden="false" customHeight="false" outlineLevel="0" collapsed="false">
      <c r="A14" s="0" t="s">
        <v>941</v>
      </c>
      <c r="B14" s="0" t="s">
        <v>942</v>
      </c>
    </row>
    <row r="15" customFormat="false" ht="17.15" hidden="false" customHeight="false" outlineLevel="0" collapsed="false">
      <c r="A15" s="0" t="s">
        <v>943</v>
      </c>
      <c r="B15" s="0" t="s">
        <v>944</v>
      </c>
    </row>
    <row r="16" customFormat="false" ht="17.15" hidden="false" customHeight="false" outlineLevel="0" collapsed="false">
      <c r="A16" s="0" t="s">
        <v>945</v>
      </c>
      <c r="B16" s="0" t="s">
        <v>946</v>
      </c>
    </row>
    <row r="17" customFormat="false" ht="17.15" hidden="false" customHeight="false" outlineLevel="0" collapsed="false">
      <c r="A17" s="0" t="s">
        <v>947</v>
      </c>
      <c r="B17" s="0" t="s">
        <v>948</v>
      </c>
    </row>
    <row r="18" customFormat="false" ht="17.15" hidden="false" customHeight="false" outlineLevel="0" collapsed="false">
      <c r="A18" s="0" t="s">
        <v>949</v>
      </c>
      <c r="B18" s="0" t="s">
        <v>950</v>
      </c>
    </row>
    <row r="19" customFormat="false" ht="17.15" hidden="false" customHeight="false" outlineLevel="0" collapsed="false">
      <c r="A19" s="0" t="s">
        <v>951</v>
      </c>
      <c r="B19" s="0" t="s">
        <v>952</v>
      </c>
    </row>
    <row r="20" customFormat="false" ht="17.15" hidden="false" customHeight="false" outlineLevel="0" collapsed="false">
      <c r="A20" s="0" t="s">
        <v>953</v>
      </c>
      <c r="B20" s="0" t="s">
        <v>954</v>
      </c>
    </row>
    <row r="21" customFormat="false" ht="17.15" hidden="false" customHeight="false" outlineLevel="0" collapsed="false">
      <c r="A21" s="0" t="s">
        <v>955</v>
      </c>
      <c r="B21" s="0" t="s">
        <v>956</v>
      </c>
    </row>
    <row r="22" customFormat="false" ht="17.15" hidden="false" customHeight="false" outlineLevel="0" collapsed="false">
      <c r="A22" s="0" t="s">
        <v>957</v>
      </c>
      <c r="B22" s="0" t="s">
        <v>958</v>
      </c>
    </row>
    <row r="23" customFormat="false" ht="17.15" hidden="false" customHeight="false" outlineLevel="0" collapsed="false">
      <c r="A23" s="0" t="s">
        <v>959</v>
      </c>
      <c r="B23" s="0" t="s">
        <v>960</v>
      </c>
    </row>
    <row r="24" customFormat="false" ht="17.15" hidden="false" customHeight="false" outlineLevel="0" collapsed="false">
      <c r="A24" s="4" t="s">
        <v>961</v>
      </c>
    </row>
    <row r="25" customFormat="false" ht="15" hidden="false" customHeight="false" outlineLevel="0" collapsed="false">
      <c r="A25" s="0" t="s">
        <v>962</v>
      </c>
      <c r="B25" s="4" t="s">
        <v>963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2026-10-30T18:15:19Z</dcterms:created>
  <dc:creator>openpyxl</dc:creator>
  <dc:description/>
  <dc:language>en-US</dc:language>
  <cp:lastModifiedBy/>
  <dcterms:modified xsi:type="dcterms:W3CDTF">2026-10-30T18:15:20Z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