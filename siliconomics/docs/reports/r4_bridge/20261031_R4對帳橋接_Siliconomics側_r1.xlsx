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" sheetId="1" state="visible" r:id="rId3"/>
    <sheet name="Bridge" sheetId="2" state="visible" r:id="rId4"/>
  </sheets>
  <definedNames>
    <definedName function="false" hidden="false" name="cap_amd_2026" vbProcedure="false">In!$E$21</definedName>
    <definedName function="false" hidden="false" name="cap_amd_2026_hi" vbProcedure="false">In!$F$21</definedName>
    <definedName function="false" hidden="false" name="cap_amd_2026_lo" vbProcedure="false">In!$D$21</definedName>
    <definedName function="false" hidden="false" name="cap_amd_2027" vbProcedure="false">In!$E$22</definedName>
    <definedName function="false" hidden="false" name="cap_amd_2027_hi" vbProcedure="false">In!$F$22</definedName>
    <definedName function="false" hidden="false" name="cap_amd_2027_lo" vbProcedure="false">In!$D$22</definedName>
    <definedName function="false" hidden="false" name="cap_amd_2028" vbProcedure="false">In!$E$23</definedName>
    <definedName function="false" hidden="false" name="cap_amd_2028_hi" vbProcedure="false">In!$F$23</definedName>
    <definedName function="false" hidden="false" name="cap_amd_2028_lo" vbProcedure="false">In!$D$23</definedName>
    <definedName function="false" hidden="false" name="cap_amd_2029" vbProcedure="false">In!$E$24</definedName>
    <definedName function="false" hidden="false" name="cap_amd_2029_hi" vbProcedure="false">In!$F$24</definedName>
    <definedName function="false" hidden="false" name="cap_amd_2029_lo" vbProcedure="false">In!$D$24</definedName>
    <definedName function="false" hidden="false" name="cap_bw_2026" vbProcedure="false">In!$E$5</definedName>
    <definedName function="false" hidden="false" name="cap_bw_2026_hi" vbProcedure="false">In!$F$5</definedName>
    <definedName function="false" hidden="false" name="cap_bw_2026_lo" vbProcedure="false">In!$D$5</definedName>
    <definedName function="false" hidden="false" name="cap_bw_2027" vbProcedure="false">In!$E$6</definedName>
    <definedName function="false" hidden="false" name="cap_bw_2027_hi" vbProcedure="false">In!$F$6</definedName>
    <definedName function="false" hidden="false" name="cap_bw_2027_lo" vbProcedure="false">In!$D$6</definedName>
    <definedName function="false" hidden="false" name="cap_bw_2028" vbProcedure="false">In!$E$7</definedName>
    <definedName function="false" hidden="false" name="cap_bw_2028_hi" vbProcedure="false">In!$F$7</definedName>
    <definedName function="false" hidden="false" name="cap_bw_2028_lo" vbProcedure="false">In!$D$7</definedName>
    <definedName function="false" hidden="false" name="cap_bw_2029" vbProcedure="false">In!$E$8</definedName>
    <definedName function="false" hidden="false" name="cap_bw_2029_hi" vbProcedure="false">In!$F$8</definedName>
    <definedName function="false" hidden="false" name="cap_bw_2029_lo" vbProcedure="false">In!$D$8</definedName>
    <definedName function="false" hidden="false" name="cap_hp_2026" vbProcedure="false">In!$E$17</definedName>
    <definedName function="false" hidden="false" name="cap_hp_2026_hi" vbProcedure="false">In!$F$17</definedName>
    <definedName function="false" hidden="false" name="cap_hp_2026_lo" vbProcedure="false">In!$D$17</definedName>
    <definedName function="false" hidden="false" name="cap_hp_2027" vbProcedure="false">In!$E$18</definedName>
    <definedName function="false" hidden="false" name="cap_hp_2027_hi" vbProcedure="false">In!$F$18</definedName>
    <definedName function="false" hidden="false" name="cap_hp_2027_lo" vbProcedure="false">In!$D$18</definedName>
    <definedName function="false" hidden="false" name="cap_hp_2028" vbProcedure="false">In!$E$19</definedName>
    <definedName function="false" hidden="false" name="cap_hp_2028_hi" vbProcedure="false">In!$F$19</definedName>
    <definedName function="false" hidden="false" name="cap_hp_2028_lo" vbProcedure="false">In!$D$19</definedName>
    <definedName function="false" hidden="false" name="cap_hp_2029" vbProcedure="false">In!$E$20</definedName>
    <definedName function="false" hidden="false" name="cap_hp_2029_hi" vbProcedure="false">In!$F$20</definedName>
    <definedName function="false" hidden="false" name="cap_hp_2029_lo" vbProcedure="false">In!$D$20</definedName>
    <definedName function="false" hidden="false" name="cap_oth_2026" vbProcedure="false">In!$E$33</definedName>
    <definedName function="false" hidden="false" name="cap_oth_2026_hi" vbProcedure="false">In!$F$33</definedName>
    <definedName function="false" hidden="false" name="cap_oth_2026_lo" vbProcedure="false">In!$D$33</definedName>
    <definedName function="false" hidden="false" name="cap_oth_2027" vbProcedure="false">In!$E$34</definedName>
    <definedName function="false" hidden="false" name="cap_oth_2027_hi" vbProcedure="false">In!$F$34</definedName>
    <definedName function="false" hidden="false" name="cap_oth_2027_lo" vbProcedure="false">In!$D$34</definedName>
    <definedName function="false" hidden="false" name="cap_oth_2028" vbProcedure="false">In!$E$35</definedName>
    <definedName function="false" hidden="false" name="cap_oth_2028_hi" vbProcedure="false">In!$F$35</definedName>
    <definedName function="false" hidden="false" name="cap_oth_2028_lo" vbProcedure="false">In!$D$35</definedName>
    <definedName function="false" hidden="false" name="cap_oth_2029" vbProcedure="false">In!$E$36</definedName>
    <definedName function="false" hidden="false" name="cap_oth_2029_hi" vbProcedure="false">In!$F$36</definedName>
    <definedName function="false" hidden="false" name="cap_oth_2029_lo" vbProcedure="false">In!$D$36</definedName>
    <definedName function="false" hidden="false" name="cap_rb_2026" vbProcedure="false">In!$E$9</definedName>
    <definedName function="false" hidden="false" name="cap_rb_2026_hi" vbProcedure="false">In!$F$9</definedName>
    <definedName function="false" hidden="false" name="cap_rb_2026_lo" vbProcedure="false">In!$D$9</definedName>
    <definedName function="false" hidden="false" name="cap_rb_2027" vbProcedure="false">In!$E$10</definedName>
    <definedName function="false" hidden="false" name="cap_rb_2027_hi" vbProcedure="false">In!$F$10</definedName>
    <definedName function="false" hidden="false" name="cap_rb_2027_lo" vbProcedure="false">In!$D$10</definedName>
    <definedName function="false" hidden="false" name="cap_rb_2028" vbProcedure="false">In!$E$11</definedName>
    <definedName function="false" hidden="false" name="cap_rb_2028_hi" vbProcedure="false">In!$F$11</definedName>
    <definedName function="false" hidden="false" name="cap_rb_2028_lo" vbProcedure="false">In!$D$11</definedName>
    <definedName function="false" hidden="false" name="cap_rb_2029" vbProcedure="false">In!$E$12</definedName>
    <definedName function="false" hidden="false" name="cap_rb_2029_hi" vbProcedure="false">In!$F$12</definedName>
    <definedName function="false" hidden="false" name="cap_rb_2029_lo" vbProcedure="false">In!$D$12</definedName>
    <definedName function="false" hidden="false" name="cap_ru_2026" vbProcedure="false">In!$E$13</definedName>
    <definedName function="false" hidden="false" name="cap_ru_2026_hi" vbProcedure="false">In!$F$13</definedName>
    <definedName function="false" hidden="false" name="cap_ru_2026_lo" vbProcedure="false">In!$D$13</definedName>
    <definedName function="false" hidden="false" name="cap_ru_2027" vbProcedure="false">In!$E$14</definedName>
    <definedName function="false" hidden="false" name="cap_ru_2027_hi" vbProcedure="false">In!$F$14</definedName>
    <definedName function="false" hidden="false" name="cap_ru_2027_lo" vbProcedure="false">In!$D$14</definedName>
    <definedName function="false" hidden="false" name="cap_ru_2028" vbProcedure="false">In!$E$15</definedName>
    <definedName function="false" hidden="false" name="cap_ru_2028_hi" vbProcedure="false">In!$F$15</definedName>
    <definedName function="false" hidden="false" name="cap_ru_2028_lo" vbProcedure="false">In!$D$15</definedName>
    <definedName function="false" hidden="false" name="cap_ru_2029" vbProcedure="false">In!$E$16</definedName>
    <definedName function="false" hidden="false" name="cap_ru_2029_hi" vbProcedure="false">In!$F$16</definedName>
    <definedName function="false" hidden="false" name="cap_ru_2029_lo" vbProcedure="false">In!$D$16</definedName>
    <definedName function="false" hidden="false" name="cap_tpu_2026" vbProcedure="false">In!$E$25</definedName>
    <definedName function="false" hidden="false" name="cap_tpu_2026_hi" vbProcedure="false">In!$F$25</definedName>
    <definedName function="false" hidden="false" name="cap_tpu_2026_lo" vbProcedure="false">In!$D$25</definedName>
    <definedName function="false" hidden="false" name="cap_tpu_2027" vbProcedure="false">In!$E$26</definedName>
    <definedName function="false" hidden="false" name="cap_tpu_2027_hi" vbProcedure="false">In!$F$26</definedName>
    <definedName function="false" hidden="false" name="cap_tpu_2027_lo" vbProcedure="false">In!$D$26</definedName>
    <definedName function="false" hidden="false" name="cap_tpu_2028" vbProcedure="false">In!$E$27</definedName>
    <definedName function="false" hidden="false" name="cap_tpu_2028_hi" vbProcedure="false">In!$F$27</definedName>
    <definedName function="false" hidden="false" name="cap_tpu_2028_lo" vbProcedure="false">In!$D$27</definedName>
    <definedName function="false" hidden="false" name="cap_tpu_2029" vbProcedure="false">In!$E$28</definedName>
    <definedName function="false" hidden="false" name="cap_tpu_2029_hi" vbProcedure="false">In!$F$28</definedName>
    <definedName function="false" hidden="false" name="cap_tpu_2029_lo" vbProcedure="false">In!$D$28</definedName>
    <definedName function="false" hidden="false" name="cap_trn_2026" vbProcedure="false">In!$E$29</definedName>
    <definedName function="false" hidden="false" name="cap_trn_2026_hi" vbProcedure="false">In!$F$29</definedName>
    <definedName function="false" hidden="false" name="cap_trn_2026_lo" vbProcedure="false">In!$D$29</definedName>
    <definedName function="false" hidden="false" name="cap_trn_2027" vbProcedure="false">In!$E$30</definedName>
    <definedName function="false" hidden="false" name="cap_trn_2027_hi" vbProcedure="false">In!$F$30</definedName>
    <definedName function="false" hidden="false" name="cap_trn_2027_lo" vbProcedure="false">In!$D$30</definedName>
    <definedName function="false" hidden="false" name="cap_trn_2028" vbProcedure="false">In!$E$31</definedName>
    <definedName function="false" hidden="false" name="cap_trn_2028_hi" vbProcedure="false">In!$F$31</definedName>
    <definedName function="false" hidden="false" name="cap_trn_2028_lo" vbProcedure="false">In!$D$31</definedName>
    <definedName function="false" hidden="false" name="cap_trn_2029" vbProcedure="false">In!$E$32</definedName>
    <definedName function="false" hidden="false" name="cap_trn_2029_hi" vbProcedure="false">In!$F$32</definedName>
    <definedName function="false" hidden="false" name="cap_trn_2029_lo" vbProcedure="false">In!$D$32</definedName>
    <definedName function="false" hidden="false" name="dep_2026" vbProcedure="false">In!$E$37</definedName>
    <definedName function="false" hidden="false" name="dep_2026_hi" vbProcedure="false">In!$F$37</definedName>
    <definedName function="false" hidden="false" name="dep_2026_lo" vbProcedure="false">In!$D$37</definedName>
    <definedName function="false" hidden="false" name="dep_2027" vbProcedure="false">In!$E$39</definedName>
    <definedName function="false" hidden="false" name="dep_2027_hi" vbProcedure="false">In!$F$39</definedName>
    <definedName function="false" hidden="false" name="dep_2027_lo" vbProcedure="false">In!$D$39</definedName>
    <definedName function="false" hidden="false" name="dep_2028" vbProcedure="false">In!$E$41</definedName>
    <definedName function="false" hidden="false" name="dep_2028_hi" vbProcedure="false">In!$F$41</definedName>
    <definedName function="false" hidden="false" name="dep_2028_lo" vbProcedure="false">In!$D$41</definedName>
    <definedName function="false" hidden="false" name="dep_2029" vbProcedure="false">In!$E$43</definedName>
    <definedName function="false" hidden="false" name="dep_2029_hi" vbProcedure="false">In!$F$43</definedName>
    <definedName function="false" hidden="false" name="dep_2029_lo" vbProcedure="false">In!$D$43</definedName>
    <definedName function="false" hidden="false" name="gerst_27" vbProcedure="false">In!$E$64</definedName>
    <definedName function="false" hidden="false" name="gerst_27_hi" vbProcedure="false">In!$F$64</definedName>
    <definedName function="false" hidden="false" name="gerst_27_lo" vbProcedure="false">In!$D$64</definedName>
    <definedName function="false" hidden="false" name="hold_amd" vbProcedure="false">In!$E$47</definedName>
    <definedName function="false" hidden="false" name="hold_amd_hi" vbProcedure="false">In!$F$47</definedName>
    <definedName function="false" hidden="false" name="hold_amd_lo" vbProcedure="false">In!$D$47</definedName>
    <definedName function="false" hidden="false" name="hold_oth" vbProcedure="false">In!$E$50</definedName>
    <definedName function="false" hidden="false" name="hold_oth_hi" vbProcedure="false">In!$F$50</definedName>
    <definedName function="false" hidden="false" name="hold_oth_lo" vbProcedure="false">In!$D$50</definedName>
    <definedName function="false" hidden="false" name="hold_tpu" vbProcedure="false">In!$E$48</definedName>
    <definedName function="false" hidden="false" name="hold_tpu_hi" vbProcedure="false">In!$F$48</definedName>
    <definedName function="false" hidden="false" name="hold_tpu_lo" vbProcedure="false">In!$D$48</definedName>
    <definedName function="false" hidden="false" name="hold_trn" vbProcedure="false">In!$E$49</definedName>
    <definedName function="false" hidden="false" name="hold_trn_hi" vbProcedure="false">In!$F$49</definedName>
    <definedName function="false" hidden="false" name="hold_trn_lo" vbProcedure="false">In!$D$49</definedName>
    <definedName function="false" hidden="false" name="inv_k" vbProcedure="false">In!$E$58</definedName>
    <definedName function="false" hidden="false" name="inv_k_hi" vbProcedure="false">In!$F$58</definedName>
    <definedName function="false" hidden="false" name="inv_k_lo" vbProcedure="false">In!$D$58</definedName>
    <definedName function="false" hidden="false" name="lag" vbProcedure="false">In!$E$52</definedName>
    <definedName function="false" hidden="false" name="lag_hi" vbProcedure="false">In!$F$52</definedName>
    <definedName function="false" hidden="false" name="lag_lo" vbProcedure="false">In!$D$52</definedName>
    <definedName function="false" hidden="false" name="nonnv_25" vbProcedure="false">In!$E$56</definedName>
    <definedName function="false" hidden="false" name="nonnv_25_hi" vbProcedure="false">In!$F$56</definedName>
    <definedName function="false" hidden="false" name="nonnv_25_lo" vbProcedure="false">In!$D$56</definedName>
    <definedName function="false" hidden="false" name="nvc_gb_jh" vbProcedure="false">In!$E$62</definedName>
    <definedName function="false" hidden="false" name="nvc_gb_jh_hi" vbProcedure="false">In!$F$62</definedName>
    <definedName function="false" hidden="false" name="nvc_gb_jh_lo" vbProcedure="false">In!$D$62</definedName>
    <definedName function="false" hidden="false" name="nvc_gb_tk" vbProcedure="false">In!$E$61</definedName>
    <definedName function="false" hidden="false" name="nvc_gb_tk_hi" vbProcedure="false">In!$F$61</definedName>
    <definedName function="false" hidden="false" name="nvc_gb_tk_lo" vbProcedure="false">In!$D$61</definedName>
    <definedName function="false" hidden="false" name="nvc_vr_jh" vbProcedure="false">In!$E$63</definedName>
    <definedName function="false" hidden="false" name="nvc_vr_jh_hi" vbProcedure="false">In!$F$63</definedName>
    <definedName function="false" hidden="false" name="nvc_vr_jh_lo" vbProcedure="false">In!$D$63</definedName>
    <definedName function="false" hidden="false" name="nv_dc_25" vbProcedure="false">In!$E$53</definedName>
    <definedName function="false" hidden="false" name="nv_dc_25_hi" vbProcedure="false">In!$F$53</definedName>
    <definedName function="false" hidden="false" name="nv_dc_25_lo" vbProcedure="false">In!$D$53</definedName>
    <definedName function="false" hidden="false" name="nv_dc_26" vbProcedure="false">In!$E$54</definedName>
    <definedName function="false" hidden="false" name="nv_dc_26_hi" vbProcedure="false">In!$F$54</definedName>
    <definedName function="false" hidden="false" name="nv_dc_26_lo" vbProcedure="false">In!$D$54</definedName>
    <definedName function="false" hidden="false" name="pgw_2026" vbProcedure="false">In!$E$38</definedName>
    <definedName function="false" hidden="false" name="pgw_2026_hi" vbProcedure="false">In!$F$38</definedName>
    <definedName function="false" hidden="false" name="pgw_2026_lo" vbProcedure="false">In!$D$38</definedName>
    <definedName function="false" hidden="false" name="pgw_2027" vbProcedure="false">In!$E$40</definedName>
    <definedName function="false" hidden="false" name="pgw_2027_hi" vbProcedure="false">In!$F$40</definedName>
    <definedName function="false" hidden="false" name="pgw_2027_lo" vbProcedure="false">In!$D$40</definedName>
    <definedName function="false" hidden="false" name="pgw_2028" vbProcedure="false">In!$E$42</definedName>
    <definedName function="false" hidden="false" name="pgw_2028_hi" vbProcedure="false">In!$F$42</definedName>
    <definedName function="false" hidden="false" name="pgw_2028_lo" vbProcedure="false">In!$D$42</definedName>
    <definedName function="false" hidden="false" name="pgw_2029" vbProcedure="false">In!$E$44</definedName>
    <definedName function="false" hidden="false" name="pgw_2029_hi" vbProcedure="false">In!$F$44</definedName>
    <definedName function="false" hidden="false" name="pgw_2029_lo" vbProcedure="false">In!$D$44</definedName>
    <definedName function="false" hidden="false" name="pgw_25" vbProcedure="false">In!$E$55</definedName>
    <definedName function="false" hidden="false" name="pgw_25_hi" vbProcedure="false">In!$F$55</definedName>
    <definedName function="false" hidden="false" name="pgw_25_lo" vbProcedure="false">In!$D$55</definedName>
    <definedName function="false" hidden="false" name="pgw_vr" vbProcedure="false">In!$E$46</definedName>
    <definedName function="false" hidden="false" name="pgw_vr_hi" vbProcedure="false">In!$F$46</definedName>
    <definedName function="false" hidden="false" name="pgw_vr_lo" vbProcedure="false">In!$D$46</definedName>
    <definedName function="false" hidden="false" name="retire" vbProcedure="false">In!$E$59</definedName>
    <definedName function="false" hidden="false" name="retire_hi" vbProcedure="false">In!$F$59</definedName>
    <definedName function="false" hidden="false" name="retire_lo" vbProcedure="false">In!$D$59</definedName>
    <definedName function="false" hidden="false" name="wt_new_2025" vbProcedure="false">In!$E$66</definedName>
    <definedName function="false" hidden="false" name="wt_new_2025_hi" vbProcedure="false">In!$F$66</definedName>
    <definedName function="false" hidden="false" name="wt_new_2025_lo" vbProcedure="false">In!$D$66</definedName>
    <definedName function="false" hidden="false" name="wt_new_2026" vbProcedure="false">In!$E$69</definedName>
    <definedName function="false" hidden="false" name="wt_new_2026_hi" vbProcedure="false">In!$F$69</definedName>
    <definedName function="false" hidden="false" name="wt_new_2026_lo" vbProcedure="false">In!$D$69</definedName>
    <definedName function="false" hidden="false" name="wt_new_2027" vbProcedure="false">In!$E$72</definedName>
    <definedName function="false" hidden="false" name="wt_new_2027_hi" vbProcedure="false">In!$F$72</definedName>
    <definedName function="false" hidden="false" name="wt_new_2027_lo" vbProcedure="false">In!$D$72</definedName>
    <definedName function="false" hidden="false" name="wt_new_2028" vbProcedure="false">In!$E$75</definedName>
    <definedName function="false" hidden="false" name="wt_new_2028_hi" vbProcedure="false">In!$F$75</definedName>
    <definedName function="false" hidden="false" name="wt_new_2028_lo" vbProcedure="false">In!$D$75</definedName>
    <definedName function="false" hidden="false" name="wt_new_2029" vbProcedure="false">In!$E$78</definedName>
    <definedName function="false" hidden="false" name="wt_new_2029_hi" vbProcedure="false">In!$F$78</definedName>
    <definedName function="false" hidden="false" name="wt_new_2029_lo" vbProcedure="false">In!$D$78</definedName>
    <definedName function="false" hidden="false" name="wt_site_2025" vbProcedure="false">In!$E$67</definedName>
    <definedName function="false" hidden="false" name="wt_site_2025_hi" vbProcedure="false">In!$F$67</definedName>
    <definedName function="false" hidden="false" name="wt_site_2025_lo" vbProcedure="false">In!$D$67</definedName>
    <definedName function="false" hidden="false" name="wt_site_2026" vbProcedure="false">In!$E$70</definedName>
    <definedName function="false" hidden="false" name="wt_site_2026_hi" vbProcedure="false">In!$F$70</definedName>
    <definedName function="false" hidden="false" name="wt_site_2026_lo" vbProcedure="false">In!$D$70</definedName>
    <definedName function="false" hidden="false" name="wt_site_2027" vbProcedure="false">In!$E$73</definedName>
    <definedName function="false" hidden="false" name="wt_site_2027_hi" vbProcedure="false">In!$F$73</definedName>
    <definedName function="false" hidden="false" name="wt_site_2027_lo" vbProcedure="false">In!$D$73</definedName>
    <definedName function="false" hidden="false" name="wt_site_2028" vbProcedure="false">In!$E$76</definedName>
    <definedName function="false" hidden="false" name="wt_site_2028_hi" vbProcedure="false">In!$F$76</definedName>
    <definedName function="false" hidden="false" name="wt_site_2028_lo" vbProcedure="false">In!$D$76</definedName>
    <definedName function="false" hidden="false" name="wt_site_2029" vbProcedure="false">In!$E$79</definedName>
    <definedName function="false" hidden="false" name="wt_site_2029_hi" vbProcedure="false">In!$F$79</definedName>
    <definedName function="false" hidden="false" name="wt_site_2029_lo" vbProcedure="false">In!$D$79</definedName>
    <definedName function="false" hidden="false" name="wt_ye_2024" vbProcedure="false">In!$E$68</definedName>
    <definedName function="false" hidden="false" name="wt_ye_2024_hi" vbProcedure="false">In!$F$68</definedName>
    <definedName function="false" hidden="false" name="wt_ye_2024_lo" vbProcedure="false">In!$D$68</definedName>
    <definedName function="false" hidden="false" name="wt_ye_2025" vbProcedure="false">In!$E$71</definedName>
    <definedName function="false" hidden="false" name="wt_ye_2025_hi" vbProcedure="false">In!$F$71</definedName>
    <definedName function="false" hidden="false" name="wt_ye_2025_lo" vbProcedure="false">In!$D$71</definedName>
    <definedName function="false" hidden="false" name="wt_ye_2026" vbProcedure="false">In!$E$74</definedName>
    <definedName function="false" hidden="false" name="wt_ye_2026_hi" vbProcedure="false">In!$F$74</definedName>
    <definedName function="false" hidden="false" name="wt_ye_2026_lo" vbProcedure="false">In!$D$74</definedName>
    <definedName function="false" hidden="false" name="wt_ye_2027" vbProcedure="false">In!$E$77</definedName>
    <definedName function="false" hidden="false" name="wt_ye_2027_hi" vbProcedure="false">In!$F$77</definedName>
    <definedName function="false" hidden="false" name="wt_ye_2027_lo" vbProcedure="false">In!$D$77</definedName>
    <definedName function="false" hidden="false" name="wt_ye_2028" vbProcedure="false">In!$E$80</definedName>
    <definedName function="false" hidden="false" name="wt_ye_2028_hi" vbProcedure="false">In!$F$80</definedName>
    <definedName function="false" hidden="false" name="wt_ye_2028_lo" vbProcedure="false">In!$D$80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<sst xmlns="http://schemas.openxmlformats.org/spreadsheetml/2006/main" count="451" uniqueCount="303">
  <si>
    <r>
      <rPr>
        <b val="true"/>
        <sz val="11"/>
        <rFont val="Cambria"/>
        <family val="0"/>
        <charset val="1"/>
      </rPr>
      <t xml:space="preserve">In — R4 </t>
    </r>
    <r>
      <rPr>
        <b val="true"/>
        <sz val="11"/>
        <rFont val="Noto Sans CJK SC"/>
        <family val="2"/>
      </rPr>
      <t xml:space="preserve">對帳橋接的輸入。藍字＝輸入（取自 </t>
    </r>
    <r>
      <rPr>
        <b val="true"/>
        <sz val="11"/>
        <rFont val="Cambria"/>
        <family val="0"/>
        <charset val="1"/>
      </rPr>
      <t xml:space="preserve">20261031_Siliconomics_v0.9.xlsx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20261031_Wattonomics_v0.1.6.xlsx </t>
    </r>
    <r>
      <rPr>
        <b val="true"/>
        <sz val="11"/>
        <rFont val="Noto Sans CJK SC"/>
        <family val="2"/>
      </rPr>
      <t xml:space="preserve">或本次查得的外部說法）；低／高為敏感度。標記沿用專案規則。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</si>
  <si>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</si>
  <si>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</si>
  <si>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</si>
  <si>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</si>
  <si>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</si>
  <si>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</si>
  <si>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</si>
  <si>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</t>
  </si>
  <si>
    <r>
      <rPr>
        <b val="true"/>
        <sz val="11"/>
        <rFont val="Cambria"/>
        <family val="0"/>
        <charset val="1"/>
      </rPr>
      <t xml:space="preserve">A. Siliconomics </t>
    </r>
    <r>
      <rPr>
        <b val="true"/>
        <sz val="11"/>
        <rFont val="Noto Sans CJK SC"/>
        <family val="2"/>
      </rPr>
      <t xml:space="preserve">平台別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資本支出（百萬顆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 </t>
    </r>
    <r>
      <rPr>
        <b val="true"/>
        <sz val="11"/>
        <rFont val="Cambria"/>
        <family val="0"/>
        <charset val="1"/>
      </rPr>
      <t xml:space="preserve">IT capex </t>
    </r>
    <r>
      <rPr>
        <b val="true"/>
        <sz val="11"/>
        <rFont val="Noto Sans CJK SC"/>
        <family val="2"/>
      </rPr>
      <t xml:space="preserve">千美元 ＝ 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，未乘情境係數）</t>
    </r>
  </si>
  <si>
    <t xml:space="preserve">cap_bw_2026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</si>
  <si>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AI IT capex 2026</t>
    </r>
  </si>
  <si>
    <t xml:space="preserve">$B</t>
  </si>
  <si>
    <t xml:space="preserve">Derived</t>
  </si>
  <si>
    <r>
      <rPr>
        <sz val="11"/>
        <color theme="1"/>
        <rFont val="Calibri"/>
        <family val="2"/>
        <charset val="1"/>
      </rPr>
      <t xml:space="preserve">20261031_Siliconomics_v0.9.xlsx Units!C4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5.4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66.19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</si>
  <si>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cap_bw_2027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</si>
  <si>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AI IT capex 2027</t>
    </r>
  </si>
  <si>
    <r>
      <rPr>
        <sz val="11"/>
        <color theme="1"/>
        <rFont val="Calibri"/>
        <family val="2"/>
        <charset val="1"/>
      </rPr>
      <t xml:space="preserve">20261031_Siliconomics_v0.9.xlsx Units!D4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66.19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</si>
  <si>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cap_bw_2028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</si>
  <si>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AI IT capex 2028</t>
    </r>
  </si>
  <si>
    <r>
      <rPr>
        <sz val="11"/>
        <color theme="1"/>
        <rFont val="Calibri"/>
        <family val="2"/>
        <charset val="1"/>
      </rPr>
      <t xml:space="preserve">20261031_Siliconomics_v0.9.xlsx Units!E4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66.19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</si>
  <si>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cap_bw_2029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</si>
  <si>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AI IT capex 2029</t>
    </r>
  </si>
  <si>
    <r>
      <rPr>
        <sz val="11"/>
        <color theme="1"/>
        <rFont val="Calibri"/>
        <family val="2"/>
        <charset val="1"/>
      </rPr>
      <t xml:space="preserve">20261031_Siliconomics_v0.9.xlsx Units!F4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66.19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</si>
  <si>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cap_rb_2026</t>
  </si>
  <si>
    <t xml:space="preserve">NVIDIA Rubin AI IT capex 2026</t>
  </si>
  <si>
    <r>
      <rPr>
        <sz val="11"/>
        <color theme="1"/>
        <rFont val="Calibri"/>
        <family val="2"/>
        <charset val="1"/>
      </rPr>
      <t xml:space="preserve">20261031_Siliconomics_v0.9.xlsx Units!C5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128.83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</si>
  <si>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cap_rb_2027</t>
  </si>
  <si>
    <t xml:space="preserve">NVIDIA Rubin AI IT capex 2027</t>
  </si>
  <si>
    <r>
      <rPr>
        <sz val="11"/>
        <color theme="1"/>
        <rFont val="Calibri"/>
        <family val="2"/>
        <charset val="1"/>
      </rPr>
      <t xml:space="preserve">20261031_Siliconomics_v0.9.xlsx Units!D5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128.83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</si>
  <si>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cap_rb_2028</t>
  </si>
  <si>
    <t xml:space="preserve">NVIDIA Rubin AI IT capex 2028</t>
  </si>
  <si>
    <r>
      <rPr>
        <sz val="11"/>
        <color theme="1"/>
        <rFont val="Calibri"/>
        <family val="2"/>
        <charset val="1"/>
      </rPr>
      <t xml:space="preserve">20261031_Siliconomics_v0.9.xlsx Units!E5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128.83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</si>
  <si>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cap_rb_2029</t>
  </si>
  <si>
    <t xml:space="preserve">NVIDIA Rubin AI IT capex 2029</t>
  </si>
  <si>
    <r>
      <rPr>
        <sz val="11"/>
        <color theme="1"/>
        <rFont val="Calibri"/>
        <family val="2"/>
        <charset val="1"/>
      </rPr>
      <t xml:space="preserve">20261031_Siliconomics_v0.9.xlsx Units!F5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8.05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128.83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</si>
  <si>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cap_ru_2026</t>
  </si>
  <si>
    <t xml:space="preserve">NVIDIA Rubin Ultra AI IT capex 2026</t>
  </si>
  <si>
    <r>
      <rPr>
        <sz val="11"/>
        <color theme="1"/>
        <rFont val="Calibri"/>
        <family val="2"/>
        <charset val="1"/>
      </rPr>
      <t xml:space="preserve">20261031_Siliconomics_v0.9.xlsx Units!C6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257.17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</si>
  <si>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cap_ru_2027</t>
  </si>
  <si>
    <t xml:space="preserve">NVIDIA Rubin Ultra AI IT capex 2027</t>
  </si>
  <si>
    <r>
      <rPr>
        <sz val="11"/>
        <color theme="1"/>
        <rFont val="Calibri"/>
        <family val="2"/>
        <charset val="1"/>
      </rPr>
      <t xml:space="preserve">20261031_Siliconomics_v0.9.xlsx Units!D6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257.17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</si>
  <si>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cap_ru_2028</t>
  </si>
  <si>
    <t xml:space="preserve">NVIDIA Rubin Ultra AI IT capex 2028</t>
  </si>
  <si>
    <r>
      <rPr>
        <sz val="11"/>
        <color theme="1"/>
        <rFont val="Calibri"/>
        <family val="2"/>
        <charset val="1"/>
      </rPr>
      <t xml:space="preserve">20261031_Siliconomics_v0.9.xlsx Units!E6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257.17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</si>
  <si>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cap_ru_2029</t>
  </si>
  <si>
    <t xml:space="preserve">NVIDIA Rubin Ultra AI IT capex 2029</t>
  </si>
  <si>
    <r>
      <rPr>
        <sz val="11"/>
        <color theme="1"/>
        <rFont val="Calibri"/>
        <family val="2"/>
        <charset val="1"/>
      </rPr>
      <t xml:space="preserve">20261031_Siliconomics_v0.9.xlsx Units!F6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2.3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257.17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</si>
  <si>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cap_hp_2026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</si>
  <si>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AI IT capex 2026</t>
    </r>
  </si>
  <si>
    <r>
      <rPr>
        <sz val="11"/>
        <color theme="1"/>
        <rFont val="Calibri"/>
        <family val="2"/>
        <charset val="1"/>
      </rPr>
      <t xml:space="preserve">20261031_Siliconomics_v0.9.xlsx Units!C7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38.31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</si>
  <si>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cap_hp_2027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</si>
  <si>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AI IT capex 2027</t>
    </r>
  </si>
  <si>
    <r>
      <rPr>
        <sz val="11"/>
        <color theme="1"/>
        <rFont val="Calibri"/>
        <family val="2"/>
        <charset val="1"/>
      </rPr>
      <t xml:space="preserve">20261031_Siliconomics_v0.9.xlsx Units!D7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38.31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</si>
  <si>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cap_hp_2028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</si>
  <si>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AI IT capex 2028</t>
    </r>
  </si>
  <si>
    <r>
      <rPr>
        <sz val="11"/>
        <color theme="1"/>
        <rFont val="Calibri"/>
        <family val="2"/>
        <charset val="1"/>
      </rPr>
      <t xml:space="preserve">20261031_Siliconomics_v0.9.xlsx Units!E7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38.31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</si>
  <si>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cap_hp_2029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</si>
  <si>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AI IT capex 2029</t>
    </r>
  </si>
  <si>
    <r>
      <rPr>
        <sz val="11"/>
        <color theme="1"/>
        <rFont val="Calibri"/>
        <family val="2"/>
        <charset val="1"/>
      </rPr>
      <t xml:space="preserve">20261031_Siliconomics_v0.9.xlsx Units!F7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38.31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</si>
  <si>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cap_amd_2026</t>
  </si>
  <si>
    <t xml:space="preserve">AMD Instinct AI IT capex 2026</t>
  </si>
  <si>
    <r>
      <rPr>
        <sz val="11"/>
        <color theme="1"/>
        <rFont val="Calibri"/>
        <family val="2"/>
        <charset val="1"/>
      </rPr>
      <t xml:space="preserve">20261031_Siliconomics_v0.9.xlsx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40.00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</si>
  <si>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cap_amd_2027</t>
  </si>
  <si>
    <t xml:space="preserve">AMD Instinct AI IT capex 2027</t>
  </si>
  <si>
    <r>
      <rPr>
        <sz val="11"/>
        <color theme="1"/>
        <rFont val="Calibri"/>
        <family val="2"/>
        <charset val="1"/>
      </rPr>
      <t xml:space="preserve">20261031_Siliconomics_v0.9.xlsx Units!D8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100.00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</si>
  <si>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cap_amd_2028</t>
  </si>
  <si>
    <t xml:space="preserve">AMD Instinct AI IT capex 2028</t>
  </si>
  <si>
    <r>
      <rPr>
        <sz val="11"/>
        <color theme="1"/>
        <rFont val="Calibri"/>
        <family val="2"/>
        <charset val="1"/>
      </rPr>
      <t xml:space="preserve">20261031_Siliconomics_v0.9.xlsx Units!E8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100.00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</si>
  <si>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cap_amd_2029</t>
  </si>
  <si>
    <t xml:space="preserve">AMD Instinct AI IT capex 2029</t>
  </si>
  <si>
    <r>
      <rPr>
        <sz val="11"/>
        <color theme="1"/>
        <rFont val="Calibri"/>
        <family val="2"/>
        <charset val="1"/>
      </rPr>
      <t xml:space="preserve">20261031_Siliconomics_v0.9.xlsx Units!F8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2.3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100.00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</si>
  <si>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cap_tpu_2026</t>
  </si>
  <si>
    <t xml:space="preserve">Google TPU AI IT capex 2026</t>
  </si>
  <si>
    <r>
      <rPr>
        <sz val="11"/>
        <color theme="1"/>
        <rFont val="Calibri"/>
        <family val="2"/>
        <charset val="1"/>
      </rPr>
      <t xml:space="preserve">20261031_Siliconomics_v0.9.xlsx Units!C9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3.85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25.00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</si>
  <si>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cap_tpu_2027</t>
  </si>
  <si>
    <t xml:space="preserve">Google TPU AI IT capex 2027</t>
  </si>
  <si>
    <r>
      <rPr>
        <sz val="11"/>
        <color theme="1"/>
        <rFont val="Calibri"/>
        <family val="2"/>
        <charset val="1"/>
      </rPr>
      <t xml:space="preserve">20261031_Siliconomics_v0.9.xlsx Units!D9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25.00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</si>
  <si>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cap_tpu_2028</t>
  </si>
  <si>
    <t xml:space="preserve">Google TPU AI IT capex 2028</t>
  </si>
  <si>
    <r>
      <rPr>
        <sz val="11"/>
        <color theme="1"/>
        <rFont val="Calibri"/>
        <family val="2"/>
        <charset val="1"/>
      </rPr>
      <t xml:space="preserve">20261031_Siliconomics_v0.9.xlsx Units!E9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25.00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</si>
  <si>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cap_tpu_2029</t>
  </si>
  <si>
    <t xml:space="preserve">Google TPU AI IT capex 2029</t>
  </si>
  <si>
    <r>
      <rPr>
        <sz val="11"/>
        <color theme="1"/>
        <rFont val="Calibri"/>
        <family val="2"/>
        <charset val="1"/>
      </rPr>
      <t xml:space="preserve">20261031_Siliconomics_v0.9.xlsx Units!F9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8.05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25.00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</si>
  <si>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cap_trn_2026</t>
  </si>
  <si>
    <t xml:space="preserve">AWS Trainium AI IT capex 2026</t>
  </si>
  <si>
    <r>
      <rPr>
        <sz val="11"/>
        <color theme="1"/>
        <rFont val="Calibri"/>
        <family val="2"/>
        <charset val="1"/>
      </rPr>
      <t xml:space="preserve">20261031_Siliconomics_v0.9.xlsx Units!C10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</si>
  <si>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cap_trn_2027</t>
  </si>
  <si>
    <t xml:space="preserve">AWS Trainium AI IT capex 2027</t>
  </si>
  <si>
    <r>
      <rPr>
        <sz val="11"/>
        <color theme="1"/>
        <rFont val="Calibri"/>
        <family val="2"/>
        <charset val="1"/>
      </rPr>
      <t xml:space="preserve">20261031_Siliconomics_v0.9.xlsx Units!D10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</si>
  <si>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cap_trn_2028</t>
  </si>
  <si>
    <t xml:space="preserve">AWS Trainium AI IT capex 2028</t>
  </si>
  <si>
    <r>
      <rPr>
        <sz val="11"/>
        <color theme="1"/>
        <rFont val="Calibri"/>
        <family val="2"/>
        <charset val="1"/>
      </rPr>
      <t xml:space="preserve">20261031_Siliconomics_v0.9.xlsx Units!E10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</si>
  <si>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cap_trn_2029</t>
  </si>
  <si>
    <t xml:space="preserve">AWS Trainium AI IT capex 2029</t>
  </si>
  <si>
    <r>
      <rPr>
        <sz val="11"/>
        <color theme="1"/>
        <rFont val="Calibri"/>
        <family val="2"/>
        <charset val="1"/>
      </rPr>
      <t xml:space="preserve">20261031_Siliconomics_v0.9.xlsx Units!F10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3.45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</si>
  <si>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cap_oth_2026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</si>
  <si>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AI IT capex 2026</t>
    </r>
  </si>
  <si>
    <r>
      <rPr>
        <sz val="11"/>
        <color theme="1"/>
        <rFont val="Calibri"/>
        <family val="2"/>
        <charset val="1"/>
      </rPr>
      <t xml:space="preserve">20261031_Siliconomics_v0.9.xlsx Units!C11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</si>
  <si>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cap_oth_2027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</si>
  <si>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AI IT capex 2027</t>
    </r>
  </si>
  <si>
    <r>
      <rPr>
        <sz val="11"/>
        <color theme="1"/>
        <rFont val="Calibri"/>
        <family val="2"/>
        <charset val="1"/>
      </rPr>
      <t xml:space="preserve">20261031_Siliconomics_v0.9.xlsx Units!D11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</si>
  <si>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cap_oth_2028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</si>
  <si>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AI IT capex 2028</t>
    </r>
  </si>
  <si>
    <r>
      <rPr>
        <sz val="11"/>
        <color theme="1"/>
        <rFont val="Calibri"/>
        <family val="2"/>
        <charset val="1"/>
      </rPr>
      <t xml:space="preserve">20261031_Siliconomics_v0.9.xlsx Units!E11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</si>
  <si>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cap_oth_2029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</si>
  <si>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AI IT capex 2029</t>
    </r>
  </si>
  <si>
    <r>
      <rPr>
        <sz val="11"/>
        <color theme="1"/>
        <rFont val="Calibri"/>
        <family val="2"/>
        <charset val="1"/>
      </rPr>
      <t xml:space="preserve">20261031_Siliconomics_v0.9.xlsx Units!F11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5.75 </t>
    </r>
    <r>
      <rPr>
        <sz val="11"/>
        <color theme="1"/>
        <rFont val="Noto Sans CJK SC"/>
        <family val="2"/>
      </rPr>
      <t xml:space="preserve">百萬顆）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20.00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</si>
  <si>
    <t xml:space="preserve">dep_2026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</si>
  <si>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</si>
  <si>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t xml:space="preserve">GW</t>
  </si>
  <si>
    <r>
      <rPr>
        <sz val="11"/>
        <color theme="1"/>
        <rFont val="Calibri"/>
        <family val="2"/>
        <charset val="1"/>
      </rPr>
      <t xml:space="preserve">20261031_Siliconomics_v0.9.xlsx Deploy!C9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</si>
  <si>
    <t xml:space="preserve">pgw_2026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</si>
  <si>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2026</t>
    </r>
    <r>
      <rPr>
        <sz val="11"/>
        <color theme="1"/>
        <rFont val="Noto Sans CJK SC"/>
        <family val="2"/>
      </rPr>
      <t xml:space="preserve">（成本等值的分母）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</si>
  <si>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</si>
  <si>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20261031_Siliconomics_v0.9.xlsx Deploy!C8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</si>
  <si>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dep_2027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</si>
  <si>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</si>
  <si>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20261031_Siliconomics_v0.9.xlsx Deploy!D9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</si>
  <si>
    <t xml:space="preserve">pgw_2027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</si>
  <si>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2027</t>
    </r>
    <r>
      <rPr>
        <sz val="11"/>
        <color theme="1"/>
        <rFont val="Noto Sans CJK SC"/>
        <family val="2"/>
      </rPr>
      <t xml:space="preserve">（成本等值的分母）</t>
    </r>
  </si>
  <si>
    <r>
      <rPr>
        <sz val="11"/>
        <color theme="1"/>
        <rFont val="Calibri"/>
        <family val="2"/>
        <charset val="1"/>
      </rPr>
      <t xml:space="preserve">20261031_Siliconomics_v0.9.xlsx Deploy!D8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</si>
  <si>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dep_2028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</si>
  <si>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</si>
  <si>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20261031_Siliconomics_v0.9.xlsx Deploy!E9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</si>
  <si>
    <t xml:space="preserve">pgw_2028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</si>
  <si>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2028</t>
    </r>
    <r>
      <rPr>
        <sz val="11"/>
        <color theme="1"/>
        <rFont val="Noto Sans CJK SC"/>
        <family val="2"/>
      </rPr>
      <t xml:space="preserve">（成本等值的分母）</t>
    </r>
  </si>
  <si>
    <r>
      <rPr>
        <sz val="11"/>
        <color theme="1"/>
        <rFont val="Calibri"/>
        <family val="2"/>
        <charset val="1"/>
      </rPr>
      <t xml:space="preserve">20261031_Siliconomics_v0.9.xlsx Deploy!E8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</si>
  <si>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dep_2029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</si>
  <si>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</si>
  <si>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20261031_Siliconomics_v0.9.xlsx Deploy!F9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</si>
  <si>
    <t xml:space="preserve">pgw_2029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</si>
  <si>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2029</t>
    </r>
    <r>
      <rPr>
        <sz val="11"/>
        <color theme="1"/>
        <rFont val="Noto Sans CJK SC"/>
        <family val="2"/>
      </rPr>
      <t xml:space="preserve">（成本等值的分母）</t>
    </r>
  </si>
  <si>
    <r>
      <rPr>
        <sz val="11"/>
        <color theme="1"/>
        <rFont val="Calibri"/>
        <family val="2"/>
        <charset val="1"/>
      </rPr>
      <t xml:space="preserve">20261031_Siliconomics_v0.9.xlsx Deploy!F8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</si>
  <si>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實體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換算：每 </t>
    </r>
    <r>
      <rPr>
        <b val="true"/>
        <sz val="11"/>
        <rFont val="Cambria"/>
        <family val="0"/>
        <charset val="1"/>
      </rPr>
      <t xml:space="preserve">GW IT capex </t>
    </r>
    <r>
      <rPr>
        <b val="true"/>
        <sz val="11"/>
        <rFont val="Noto Sans CJK SC"/>
        <family val="2"/>
      </rPr>
      <t xml:space="preserve">＝ 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IT capex × </t>
    </r>
    <r>
      <rPr>
        <b val="true"/>
        <sz val="11"/>
        <rFont val="Noto Sans CJK SC"/>
        <family val="2"/>
      </rPr>
      <t xml:space="preserve">持有成本比（與 </t>
    </r>
    <r>
      <rPr>
        <b val="true"/>
        <sz val="11"/>
        <rFont val="Cambria"/>
        <family val="0"/>
        <charset val="1"/>
      </rPr>
      <t xml:space="preserve">Wattonomics CapexGW </t>
    </r>
    <r>
      <rPr>
        <b val="true"/>
        <sz val="11"/>
        <rFont val="Noto Sans CJK SC"/>
        <family val="2"/>
      </rPr>
      <t xml:space="preserve">同法）</t>
    </r>
  </si>
  <si>
    <t xml:space="preserve">pgw_vr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</si>
  <si>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</si>
  <si>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r>
      <rPr>
        <sz val="11"/>
        <color theme="1"/>
        <rFont val="Calibri"/>
        <family val="2"/>
        <charset val="1"/>
      </rPr>
      <t xml:space="preserve">Tokenomics v21.7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</si>
  <si>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hold_amd</t>
  </si>
  <si>
    <r>
      <rPr>
        <sz val="11"/>
        <color theme="1"/>
        <rFont val="Noto Sans CJK SC"/>
        <family val="2"/>
      </rPr>
      <t xml:space="preserve">持有成本比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÷ VR200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</si>
  <si>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</si>
  <si>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</si>
  <si>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Tokenomics v21.7 IF_NonNV_Hold_AMD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</si>
  <si>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hold_tpu</t>
  </si>
  <si>
    <r>
      <rPr>
        <sz val="11"/>
        <color theme="1"/>
        <rFont val="Noto Sans CJK SC"/>
        <family val="2"/>
      </rPr>
      <t xml:space="preserve">持有成本比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÷ VR200</t>
    </r>
  </si>
  <si>
    <r>
      <rPr>
        <sz val="11"/>
        <color theme="1"/>
        <rFont val="Calibri"/>
        <family val="2"/>
        <charset val="1"/>
      </rPr>
      <t xml:space="preserve">Tokenomics v21.7 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</si>
  <si>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hold_trn</t>
  </si>
  <si>
    <r>
      <rPr>
        <sz val="11"/>
        <color theme="1"/>
        <rFont val="Noto Sans CJK SC"/>
        <family val="2"/>
      </rPr>
      <t xml:space="preserve">持有成本比 </t>
    </r>
    <r>
      <rPr>
        <sz val="11"/>
        <color theme="1"/>
        <rFont val="Calibri"/>
        <family val="2"/>
        <charset val="1"/>
      </rPr>
      <t xml:space="preserve">AWS Trainium3 ÷ VR200</t>
    </r>
  </si>
  <si>
    <r>
      <rPr>
        <sz val="11"/>
        <color theme="1"/>
        <rFont val="Calibri"/>
        <family val="2"/>
        <charset val="1"/>
      </rPr>
      <t xml:space="preserve">Tokenomics v21.7 IF_NonNV_Hold_Trn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</si>
  <si>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hold_oth</t>
  </si>
  <si>
    <r>
      <rPr>
        <sz val="11"/>
        <color theme="1"/>
        <rFont val="Noto Sans CJK SC"/>
        <family val="2"/>
      </rPr>
      <t xml:space="preserve">持有成本比 其他 </t>
    </r>
    <r>
      <rPr>
        <sz val="11"/>
        <color theme="1"/>
        <rFont val="Calibri"/>
        <family val="2"/>
        <charset val="1"/>
      </rPr>
      <t xml:space="preserve">ASIC ÷ 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、昇騰、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客製三者簡單平均）</t>
    </r>
  </si>
  <si>
    <r>
      <rPr>
        <sz val="11"/>
        <color theme="1"/>
        <rFont val="Calibri"/>
        <family val="2"/>
        <charset val="1"/>
      </rPr>
      <t xml:space="preserve">Tokenomics v21.7 IF_NonNV_Hold_Maia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_OAI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值，組合權重未知故取簡單平均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</si>
  <si>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出貨年 → 上線年</t>
    </r>
  </si>
  <si>
    <t xml:space="preserve">lag</t>
  </si>
  <si>
    <t xml:space="preserve">出貨到上線的平均延遲（年）</t>
  </si>
  <si>
    <t xml:space="preserve">年</t>
  </si>
  <si>
    <r>
      <rPr>
        <sz val="11"/>
        <color theme="1"/>
        <rFont val="Noto Sans CJK SC"/>
        <family val="2"/>
      </rPr>
      <t xml:space="preserve">加速器出貨後經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整機、運送、上架、驗收到供電運轉；取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個月，基準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個月。來源：未找到可量化的公開統計</t>
    </r>
  </si>
  <si>
    <t xml:space="preserve">nv_dc_25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</si>
  <si>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</si>
  <si>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</si>
  <si>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NVIDIA 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Q1–Q4 39.1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nvidia/build_nvidia.py Q </t>
    </r>
    <r>
      <rPr>
        <sz val="11"/>
        <color theme="1"/>
        <rFont val="Noto Sans CJK SC"/>
        <family val="2"/>
      </rPr>
      <t xml:space="preserve">頁）</t>
    </r>
  </si>
  <si>
    <t xml:space="preserve">nv_dc_26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</si>
  <si>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錨點（約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</si>
  <si>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</si>
  <si>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75.2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）</t>
    </r>
  </si>
  <si>
    <t xml:space="preserve">pgw_25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</si>
  <si>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世代加權）</t>
    </r>
  </si>
  <si>
    <r>
      <rPr>
        <sz val="11"/>
        <color theme="1"/>
        <rFont val="Calibri"/>
        <family val="2"/>
        <charset val="1"/>
      </rPr>
      <t xml:space="preserve">20261031_Wattonomics_v0.1.6.xlsx CapexGW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（世代加權）」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欄</t>
    </r>
  </si>
  <si>
    <t xml:space="preserve">nonnv_25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</si>
  <si>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2025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÷ 2026</t>
    </r>
  </si>
  <si>
    <r>
      <rPr>
        <sz val="11"/>
        <color theme="1"/>
        <rFont val="Calibri"/>
        <family val="2"/>
        <charset val="1"/>
      </rPr>
      <t xml:space="preserve">2025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顆數本庫未建；</t>
    </r>
    <r>
      <rPr>
        <sz val="11"/>
        <color theme="1"/>
        <rFont val="Calibri"/>
        <family val="2"/>
        <charset val="1"/>
      </rPr>
      <t xml:space="preserve">TPU v6→v7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Trn2→Trn3 </t>
    </r>
    <r>
      <rPr>
        <sz val="11"/>
        <color theme="1"/>
        <rFont val="Noto Sans CJK SC"/>
        <family val="2"/>
      </rPr>
      <t xml:space="preserve">放量，取約六成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</si>
  <si>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通路與未上線庫存、汰換（毛→淨）</t>
    </r>
  </si>
  <si>
    <t xml:space="preserve">inv_k</t>
  </si>
  <si>
    <r>
      <rPr>
        <sz val="11"/>
        <color theme="1"/>
        <rFont val="Noto Sans CJK SC"/>
        <family val="2"/>
      </rPr>
      <t xml:space="preserve">已出貨未上線庫存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年出貨（庫存增加＝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出貨年增量）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</si>
  <si>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週出貨量（基準）；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年雲端客戶談到『有晶片沒電』（下方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Gerstner </t>
    </r>
    <r>
      <rPr>
        <sz val="11"/>
        <color theme="1"/>
        <rFont val="Noto Sans CJK SC"/>
        <family val="2"/>
      </rPr>
      <t xml:space="preserve">說法）屬高值方向</t>
    </r>
  </si>
  <si>
    <t xml:space="preserve">retire</t>
  </si>
  <si>
    <r>
      <rPr>
        <sz val="11"/>
        <color theme="1"/>
        <rFont val="Noto Sans CJK SC"/>
        <family val="2"/>
      </rPr>
      <t xml:space="preserve">汰換率（舊加速器下線釋出的電力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前一年年底在役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</si>
  <si>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</si>
  <si>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Calibri"/>
        <family val="2"/>
        <charset val="1"/>
      </rPr>
      <t xml:space="preserve">A100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下線少；高值反映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換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就地更新</t>
    </r>
  </si>
  <si>
    <r>
      <rPr>
        <b val="true"/>
        <sz val="11"/>
        <rFont val="Cambria"/>
        <family val="0"/>
        <charset val="1"/>
      </rPr>
      <t xml:space="preserve">E. NVIDIA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內容交叉檢核（只作敏感度，不入基準）</t>
    </r>
  </si>
  <si>
    <t xml:space="preserve">nvc_gb_tk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</si>
  <si>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 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</si>
  <si>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TK IF_GPUsPerGW GB300 487,008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42.8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Siliconomics nv_content</t>
    </r>
    <r>
      <rPr>
        <sz val="11"/>
        <color theme="1"/>
        <rFont val="Noto Sans CJK SC"/>
        <family val="2"/>
      </rPr>
      <t xml:space="preserve">）</t>
    </r>
  </si>
  <si>
    <t xml:space="preserve">nvc_gb_jh</t>
  </si>
  <si>
    <r>
      <rPr>
        <sz val="11"/>
        <color theme="1"/>
        <rFont val="Noto Sans CJK SC"/>
        <family val="2"/>
      </rPr>
      <t xml:space="preserve">黃仁勳說法：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Grace Blackwell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</si>
  <si>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</si>
  <si>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247wallst 2026-09-24 </t>
    </r>
    <r>
      <rPr>
        <sz val="11"/>
        <color theme="1"/>
        <rFont val="Noto Sans CJK SC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Grace 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（十億美元／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Bg2 Pod 2026-10-15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18 → 20 some → 40 plus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或廠區）未說明</t>
    </r>
  </si>
  <si>
    <t xml:space="preserve">nvc_vr_jh</t>
  </si>
  <si>
    <r>
      <rPr>
        <sz val="11"/>
        <color theme="1"/>
        <rFont val="Noto Sans CJK SC"/>
        <family val="2"/>
      </rPr>
      <t xml:space="preserve">黃仁勳說法：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</si>
  <si>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</si>
  <si>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gerst_27</t>
  </si>
  <si>
    <r>
      <rPr>
        <sz val="11"/>
        <color theme="1"/>
        <rFont val="Calibri"/>
        <family val="2"/>
        <charset val="1"/>
      </rPr>
      <t xml:space="preserve">Gerstner </t>
    </r>
    <r>
      <rPr>
        <sz val="11"/>
        <color theme="1"/>
        <rFont val="Noto Sans CJK SC"/>
        <family val="2"/>
      </rPr>
      <t xml:space="preserve">說法：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</si>
  <si>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Bg2 Pod 2026-10-15</t>
    </r>
    <r>
      <rPr>
        <sz val="11"/>
        <color theme="1"/>
        <rFont val="Noto Sans CJK SC"/>
        <family val="2"/>
      </rPr>
      <t xml:space="preserve">；同集 </t>
    </r>
    <r>
      <rPr>
        <sz val="11"/>
        <color theme="1"/>
        <rFont val="Calibri"/>
        <family val="2"/>
        <charset val="1"/>
      </rPr>
      <t xml:space="preserve">Tang</t>
    </r>
    <r>
      <rPr>
        <sz val="11"/>
        <color theme="1"/>
        <rFont val="Noto Sans CJK SC"/>
        <family val="2"/>
      </rPr>
      <t xml:space="preserve">：已宣布晶片約 </t>
    </r>
    <r>
      <rPr>
        <sz val="11"/>
        <color theme="1"/>
        <rFont val="Calibri"/>
        <family val="2"/>
        <charset val="1"/>
      </rPr>
      <t xml:space="preserve">50 GW</t>
    </r>
    <r>
      <rPr>
        <sz val="11"/>
        <color theme="1"/>
        <rFont val="Noto Sans CJK SC"/>
        <family val="2"/>
      </rPr>
      <t xml:space="preserve">、土地電力廠房 </t>
    </r>
    <r>
      <rPr>
        <sz val="11"/>
        <color theme="1"/>
        <rFont val="Calibri"/>
        <family val="2"/>
        <charset val="1"/>
      </rPr>
      <t xml:space="preserve">35–40 GW</t>
    </r>
  </si>
  <si>
    <r>
      <rPr>
        <b val="true"/>
        <sz val="11"/>
        <rFont val="Cambria"/>
        <family val="0"/>
        <charset val="1"/>
      </rPr>
      <t xml:space="preserve">F. Wattonomics </t>
    </r>
    <r>
      <rPr>
        <b val="true"/>
        <sz val="11"/>
        <rFont val="Noto Sans CJK SC"/>
        <family val="2"/>
      </rPr>
      <t xml:space="preserve">對照（主路徑、需求情景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</si>
  <si>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wt_new_2025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</si>
  <si>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</si>
  <si>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20261031_Wattonomics_v0.1.6.xlsx Deploy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</si>
  <si>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wt_site_2025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</si>
  <si>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</si>
  <si>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20261031_Wattonomics_v0.1.6.xlsx Compare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</si>
  <si>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wt_ye_2024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</si>
  <si>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 2024</t>
    </r>
  </si>
  <si>
    <t xml:space="preserve">wt_new_2026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</si>
  <si>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2026</t>
    </r>
  </si>
  <si>
    <t xml:space="preserve">wt_site_2026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</si>
  <si>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</si>
  <si>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t xml:space="preserve">wt_ye_2025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</si>
  <si>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 2025</t>
    </r>
  </si>
  <si>
    <t xml:space="preserve">wt_new_2027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</si>
  <si>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2027</t>
    </r>
  </si>
  <si>
    <t xml:space="preserve">wt_site_2027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</si>
  <si>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</si>
  <si>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t xml:space="preserve">wt_ye_2026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</si>
  <si>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 2026</t>
    </r>
  </si>
  <si>
    <t xml:space="preserve">wt_new_2028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</si>
  <si>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2028</t>
    </r>
  </si>
  <si>
    <t xml:space="preserve">wt_site_2028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</si>
  <si>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</si>
  <si>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t xml:space="preserve">wt_ye_2027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</si>
  <si>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 2027</t>
    </r>
  </si>
  <si>
    <t xml:space="preserve">wt_new_2029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</si>
  <si>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2029</t>
    </r>
  </si>
  <si>
    <t xml:space="preserve">wt_site_2029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</si>
  <si>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</si>
  <si>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t xml:space="preserve">wt_ye_2028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</si>
  <si>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 2028</t>
    </r>
  </si>
  <si>
    <r>
      <rPr>
        <b val="true"/>
        <sz val="11"/>
        <rFont val="Cambria"/>
        <family val="0"/>
        <charset val="1"/>
      </rPr>
      <t xml:space="preserve">Bridge — Siliconomics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（成本等值、出貨年）→ 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推得的淨新增上線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Wattonomics </t>
    </r>
    <r>
      <rPr>
        <b val="true"/>
        <sz val="11"/>
        <rFont val="Noto Sans CJK SC"/>
        <family val="2"/>
      </rPr>
      <t xml:space="preserve">主路徑並列。殘差＝</t>
    </r>
    <r>
      <rPr>
        <b val="true"/>
        <sz val="11"/>
        <rFont val="Cambria"/>
        <family val="0"/>
        <charset val="1"/>
      </rPr>
      <t xml:space="preserve">Wattonomics </t>
    </r>
    <r>
      <rPr>
        <b val="true"/>
        <sz val="11"/>
        <rFont val="Noto Sans CJK SC"/>
        <family val="2"/>
      </rPr>
      <t xml:space="preserve">側尚未解釋的部分（覆蓋率；算力收支補量化）。情境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的比值與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相同，因 </t>
    </r>
    <r>
      <rPr>
        <b val="true"/>
        <sz val="11"/>
        <rFont val="Cambria"/>
        <family val="0"/>
        <charset val="1"/>
      </rPr>
      <t xml:space="preserve">Wattonomics 2028–29 </t>
    </r>
    <r>
      <rPr>
        <b val="true"/>
        <sz val="11"/>
        <rFont val="Noto Sans CJK SC"/>
        <family val="2"/>
      </rPr>
      <t xml:space="preserve">目前讀 </t>
    </r>
    <r>
      <rPr>
        <b val="true"/>
        <sz val="11"/>
        <rFont val="Cambria"/>
        <family val="0"/>
        <charset val="1"/>
      </rPr>
      <t xml:space="preserve">SIF_UnitsCoef</t>
    </r>
  </si>
  <si>
    <t xml:space="preserve">列</t>
  </si>
  <si>
    <t xml:space="preserve">說明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</si>
  <si>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</si>
  <si>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</si>
  <si>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</si>
  <si>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</si>
  <si>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</si>
  <si>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b1</t>
  </si>
  <si>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（成本等值；出貨年）</t>
    </r>
  </si>
  <si>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列</t>
    </r>
  </si>
  <si>
    <t xml:space="preserve">b2a</t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</si>
  <si>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</si>
  <si>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（本庫分母）</t>
    </r>
  </si>
  <si>
    <t xml:space="preserve">b2b</t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</si>
  <si>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</si>
  <si>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Σ capex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持有成本比）</t>
    </r>
  </si>
  <si>
    <t xml:space="preserve">b2</t>
  </si>
  <si>
    <r>
      <rPr>
        <sz val="11"/>
        <color theme="1"/>
        <rFont val="Noto Sans CJK SC"/>
        <family val="2"/>
      </rPr>
      <t xml:space="preserve">① 成本等值 → 實體（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較便宜）</t>
    </r>
  </si>
  <si>
    <r>
      <rPr>
        <sz val="11"/>
        <color theme="1"/>
        <rFont val="Calibri"/>
        <family val="2"/>
        <charset val="1"/>
      </rPr>
      <t xml:space="preserve">b2b − b2a</t>
    </r>
    <r>
      <rPr>
        <sz val="11"/>
        <color theme="1"/>
        <rFont val="Noto Sans CJK SC"/>
        <family val="2"/>
      </rPr>
      <t xml:space="preserve">；方向：放大差距</t>
    </r>
  </si>
  <si>
    <t xml:space="preserve">b3</t>
  </si>
  <si>
    <r>
      <rPr>
        <b val="true"/>
        <sz val="11"/>
        <rFont val="Noto Sans CJK SC"/>
        <family val="2"/>
      </rPr>
      <t xml:space="preserve">實體出貨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</si>
  <si>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Cambria"/>
        <family val="0"/>
        <charset val="1"/>
      </rPr>
      <t xml:space="preserve">b1 + ①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營收比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世代每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成本換算＋非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比例</t>
    </r>
  </si>
  <si>
    <t xml:space="preserve">b4</t>
  </si>
  <si>
    <t xml:space="preserve">② 出貨年 → 上線年</t>
  </si>
  <si>
    <r>
      <rPr>
        <sz val="11"/>
        <color theme="1"/>
        <rFont val="Calibri"/>
        <family val="2"/>
        <charset val="1"/>
      </rPr>
      <t xml:space="preserve">−lag ×</t>
    </r>
    <r>
      <rPr>
        <sz val="11"/>
        <color theme="1"/>
        <rFont val="Noto Sans CJK SC"/>
        <family val="2"/>
      </rPr>
      <t xml:space="preserve">（當年實體出貨 − 前一年）</t>
    </r>
  </si>
  <si>
    <t xml:space="preserve">b5</t>
  </si>
  <si>
    <t xml:space="preserve">③ 已出貨未上線庫存增加</t>
  </si>
  <si>
    <r>
      <rPr>
        <sz val="11"/>
        <color theme="1"/>
        <rFont val="Calibri"/>
        <family val="2"/>
        <charset val="1"/>
      </rPr>
      <t xml:space="preserve">−inv_k ×</t>
    </r>
    <r>
      <rPr>
        <sz val="11"/>
        <color theme="1"/>
        <rFont val="Noto Sans CJK SC"/>
        <family val="2"/>
      </rPr>
      <t xml:space="preserve">（當年實體出貨 − 前一年）</t>
    </r>
  </si>
  <si>
    <t xml:space="preserve">b6</t>
  </si>
  <si>
    <t xml:space="preserve">④ 汰換（毛 → 淨）</t>
  </si>
  <si>
    <r>
      <rPr>
        <sz val="11"/>
        <color theme="1"/>
        <rFont val="Noto Sans CJK SC"/>
        <family val="2"/>
      </rPr>
      <t xml:space="preserve">−汰換率 </t>
    </r>
    <r>
      <rPr>
        <sz val="11"/>
        <color theme="1"/>
        <rFont val="Calibri"/>
        <family val="2"/>
        <charset val="1"/>
      </rPr>
      <t xml:space="preserve">× Wattonomics </t>
    </r>
    <r>
      <rPr>
        <sz val="11"/>
        <color theme="1"/>
        <rFont val="Noto Sans CJK SC"/>
        <family val="2"/>
      </rPr>
      <t xml:space="preserve">前一年年底在役 </t>
    </r>
    <r>
      <rPr>
        <sz val="11"/>
        <color theme="1"/>
        <rFont val="Calibri"/>
        <family val="2"/>
        <charset val="1"/>
      </rPr>
      <t xml:space="preserve">GW</t>
    </r>
  </si>
  <si>
    <t xml:space="preserve">b7</t>
  </si>
  <si>
    <t xml:space="preserve">⑤ 中國</t>
  </si>
  <si>
    <r>
      <rPr>
        <sz val="11"/>
        <color theme="1"/>
        <rFont val="Noto Sans CJK SC"/>
        <family val="2"/>
      </rPr>
      <t xml:space="preserve">兩邊都含中國（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等出貨；</t>
    </r>
    <r>
      <rPr>
        <sz val="11"/>
        <color theme="1"/>
        <rFont val="Calibri"/>
        <family val="2"/>
        <charset val="1"/>
      </rPr>
      <t xml:space="preserve">Wattonomics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占比），不調整；見 </t>
    </r>
    <r>
      <rPr>
        <sz val="11"/>
        <color theme="1"/>
        <rFont val="Calibri"/>
        <family val="2"/>
        <charset val="1"/>
      </rPr>
      <t xml:space="preserve">b7m</t>
    </r>
  </si>
  <si>
    <t xml:space="preserve">b7m</t>
  </si>
  <si>
    <r>
      <rPr>
        <sz val="11"/>
        <color theme="1"/>
        <rFont val="Noto Sans CJK SC"/>
        <family val="2"/>
      </rPr>
      <t xml:space="preserve">　（揭露）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</si>
  <si>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hp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；昇騰在『其他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』內未拆</t>
    </r>
  </si>
  <si>
    <t xml:space="preserve">b8</t>
  </si>
  <si>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推得 淨新增上線 </t>
    </r>
    <r>
      <rPr>
        <b val="true"/>
        <sz val="11"/>
        <rFont val="Cambria"/>
        <family val="0"/>
        <charset val="1"/>
      </rPr>
      <t xml:space="preserve">IT GW</t>
    </r>
  </si>
  <si>
    <t xml:space="preserve">b3 + ② + ③ + ④ + ⑤</t>
  </si>
  <si>
    <t xml:space="preserve">b9</t>
  </si>
  <si>
    <r>
      <rPr>
        <b val="true"/>
        <sz val="11"/>
        <rFont val="Cambria"/>
        <family val="0"/>
        <charset val="1"/>
      </rPr>
      <t xml:space="preserve">Wattonomics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</si>
  <si>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b9s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</si>
  <si>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Wattonomics SiteOnly</t>
    </r>
  </si>
  <si>
    <t xml:space="preserve">只有站點證據</t>
  </si>
  <si>
    <t xml:space="preserve">b10</t>
  </si>
  <si>
    <r>
      <rPr>
        <b val="true"/>
        <sz val="11"/>
        <rFont val="Noto Sans CJK SC"/>
        <family val="2"/>
      </rPr>
      <t xml:space="preserve">⑥ 殘差（</t>
    </r>
    <r>
      <rPr>
        <b val="true"/>
        <sz val="11"/>
        <rFont val="Cambria"/>
        <family val="0"/>
        <charset val="1"/>
      </rPr>
      <t xml:space="preserve">Wattonomics </t>
    </r>
    <r>
      <rPr>
        <b val="true"/>
        <sz val="11"/>
        <rFont val="Noto Sans CJK SC"/>
        <family val="2"/>
      </rPr>
      <t xml:space="preserve">側未解釋；歸覆蓋率）</t>
    </r>
  </si>
  <si>
    <r>
      <rPr>
        <b val="true"/>
        <sz val="11"/>
        <rFont val="Cambria"/>
        <family val="0"/>
        <charset val="1"/>
      </rPr>
      <t xml:space="preserve">b8 − b9</t>
    </r>
    <r>
      <rPr>
        <b val="true"/>
        <sz val="11"/>
        <rFont val="Noto Sans CJK SC"/>
        <family val="2"/>
      </rPr>
      <t xml:space="preserve">；由算力收支以 </t>
    </r>
    <r>
      <rPr>
        <b val="true"/>
        <sz val="11"/>
        <rFont val="Cambria"/>
        <family val="0"/>
        <charset val="1"/>
      </rPr>
      <t xml:space="preserve">Wattonomics lag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園區列量化（</t>
    </r>
    <r>
      <rPr>
        <b val="true"/>
        <sz val="11"/>
        <rFont val="Cambria"/>
        <family val="0"/>
        <charset val="1"/>
      </rPr>
      <t xml:space="preserve">11-07</t>
    </r>
    <r>
      <rPr>
        <b val="true"/>
        <sz val="11"/>
        <rFont val="Noto Sans CJK SC"/>
        <family val="2"/>
      </rPr>
      <t xml:space="preserve">）</t>
    </r>
  </si>
  <si>
    <t xml:space="preserve">b11</t>
  </si>
  <si>
    <r>
      <rPr>
        <sz val="11"/>
        <color theme="1"/>
        <rFont val="Noto Sans CJK SC"/>
        <family val="2"/>
      </rPr>
      <t xml:space="preserve">比值：</t>
    </r>
    <r>
      <rPr>
        <sz val="11"/>
        <color theme="1"/>
        <rFont val="Calibri"/>
        <family val="2"/>
        <charset val="1"/>
      </rPr>
      <t xml:space="preserve">Wattonomics ÷ 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（原始）</t>
    </r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</si>
  <si>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頁同值</t>
    </r>
  </si>
  <si>
    <t xml:space="preserve">b12</t>
  </si>
  <si>
    <r>
      <rPr>
        <b val="true"/>
        <sz val="11"/>
        <rFont val="Noto Sans CJK SC"/>
        <family val="2"/>
      </rPr>
      <t xml:space="preserve">比值：</t>
    </r>
    <r>
      <rPr>
        <b val="true"/>
        <sz val="11"/>
        <rFont val="Cambria"/>
        <family val="0"/>
        <charset val="1"/>
      </rPr>
      <t xml:space="preserve">Wattonomics ÷ Siliconomics </t>
    </r>
    <r>
      <rPr>
        <b val="true"/>
        <sz val="11"/>
        <rFont val="Noto Sans CJK SC"/>
        <family val="2"/>
      </rPr>
      <t xml:space="preserve">推得上線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（橋接後）</t>
    </r>
  </si>
  <si>
    <t xml:space="preserve">b13</t>
  </si>
  <si>
    <r>
      <rPr>
        <sz val="11"/>
        <color theme="1"/>
        <rFont val="Noto Sans CJK SC"/>
        <family val="2"/>
      </rPr>
      <t xml:space="preserve">殘差占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</si>
  <si>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敏感度（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推得上線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；一次動一個輸入，其餘取基準）</t>
    </r>
  </si>
  <si>
    <t xml:space="preserve">情況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</si>
  <si>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推得上線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</si>
  <si>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推得上線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</si>
  <si>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殘差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</si>
  <si>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殘差</t>
    </r>
  </si>
  <si>
    <r>
      <rPr>
        <sz val="11"/>
        <color theme="1"/>
        <rFont val="Noto Sans CJK SC"/>
        <family val="2"/>
      </rPr>
      <t xml:space="preserve">延遲 低（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</si>
  <si>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延遲 高（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個月）</t>
    </r>
  </si>
  <si>
    <t xml:space="preserve">庫存 低</t>
  </si>
  <si>
    <t xml:space="preserve">庫存 高</t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</si>
  <si>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0</t>
    </r>
  </si>
  <si>
    <t xml:space="preserve">汰換 高</t>
  </si>
  <si>
    <r>
      <rPr>
        <sz val="11"/>
        <color theme="1"/>
        <rFont val="Noto Sans CJK SC"/>
        <family val="2"/>
      </rPr>
      <t xml:space="preserve">持有成本比 低（非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更便宜→實體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更多）</t>
    </r>
  </si>
  <si>
    <t xml:space="preserve">持有成本比 高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</si>
  <si>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</si>
  <si>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</si>
  <si>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內容取黃仁勳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說法（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× TK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÷ 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</si>
  <si>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口徑未說明，只作方向</t>
    </r>
  </si>
  <si>
    <r>
      <rPr>
        <sz val="11"/>
        <color theme="1"/>
        <rFont val="Noto Sans CJK SC"/>
        <family val="2"/>
      </rPr>
      <t xml:space="preserve">讀法：① 使差距變大（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較便宜，同樣金額買到更多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）；②③④ 使差距縮小；⑤ 兩邊口徑相同、不調整。</t>
    </r>
  </si>
  <si>
    <r>
      <rPr>
        <sz val="11"/>
        <color theme="1"/>
        <rFont val="Noto Sans CJK SC"/>
        <family val="2"/>
      </rPr>
      <t xml:space="preserve">殘差主要是 </t>
    </r>
    <r>
      <rPr>
        <sz val="11"/>
        <color theme="1"/>
        <rFont val="Calibri"/>
        <family val="2"/>
        <charset val="1"/>
      </rPr>
      <t xml:space="preserve">Wattonomics 2026 </t>
    </r>
    <r>
      <rPr>
        <sz val="11"/>
        <color theme="1"/>
        <rFont val="Noto Sans CJK SC"/>
        <family val="2"/>
      </rPr>
      <t xml:space="preserve">年主路徑＝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（只有站點證據；大型雲端公司多不公布遠期園區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起七家改用資本支出推得（甲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），其餘玩家仍只有站點證據。</t>
    </r>
  </si>
  <si>
    <r>
      <rPr>
        <sz val="11"/>
        <color theme="1"/>
        <rFont val="Noto Sans CJK SC"/>
        <family val="2"/>
      </rPr>
      <t xml:space="preserve">改讀設計（差距可解釋後）：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，轉成出貨年＝</t>
    </r>
    <r>
      <rPr>
        <sz val="11"/>
        <color theme="1"/>
        <rFont val="Calibri"/>
        <family val="2"/>
        <charset val="1"/>
      </rPr>
      <t xml:space="preserve">(1−lag)×</t>
    </r>
    <r>
      <rPr>
        <sz val="11"/>
        <color theme="1"/>
        <rFont val="Noto Sans CJK SC"/>
        <family val="2"/>
      </rPr>
      <t xml:space="preserve">上線</t>
    </r>
    <r>
      <rPr>
        <sz val="11"/>
        <color theme="1"/>
        <rFont val="Calibri"/>
        <family val="2"/>
        <charset val="1"/>
      </rPr>
      <t xml:space="preserve">(t)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lag×</t>
    </r>
    <r>
      <rPr>
        <sz val="11"/>
        <color theme="1"/>
        <rFont val="Noto Sans CJK SC"/>
        <family val="2"/>
      </rPr>
      <t xml:space="preserve">上線</t>
    </r>
    <r>
      <rPr>
        <sz val="11"/>
        <color theme="1"/>
        <rFont val="Calibri"/>
        <family val="2"/>
        <charset val="1"/>
      </rPr>
      <t xml:space="preserve">(t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1)</t>
    </r>
    <r>
      <rPr>
        <sz val="11"/>
        <color theme="1"/>
        <rFont val="Noto Sans CJK SC"/>
        <family val="2"/>
      </rPr>
      <t xml:space="preserve">，再加回庫存增加與汰換，最後扣 ① 回到成本等值口徑，才與現行市場公式相容。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</si>
</sst>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7.15" hidden="false" customHeight="false" outlineLevel="0" collapsed="false">
      <c r="A4" s="1" t="s">
        <v>9</v>
      </c>
    </row>
    <row r="5" customFormat="false" ht="17.15" hidden="false" customHeight="false" outlineLevel="0" collapsed="false">
      <c r="A5" s="0" t="s">
        <v>10</v>
      </c>
      <c r="B5" s="0" t="s">
        <v>11</v>
      </c>
      <c r="C5" s="0" t="s">
        <v>12</v>
      </c>
      <c r="E5" s="3" t="n">
        <v>357.45</v>
      </c>
      <c r="G5" s="4" t="s">
        <v>13</v>
      </c>
      <c r="H5" s="4" t="s">
        <v>14</v>
      </c>
    </row>
    <row r="6" customFormat="false" ht="17.15" hidden="false" customHeight="false" outlineLevel="0" collapsed="false">
      <c r="A6" s="0" t="s">
        <v>15</v>
      </c>
      <c r="B6" s="0" t="s">
        <v>16</v>
      </c>
      <c r="C6" s="0" t="s">
        <v>12</v>
      </c>
      <c r="E6" s="3" t="n">
        <v>158.866666666667</v>
      </c>
      <c r="G6" s="4" t="s">
        <v>13</v>
      </c>
      <c r="H6" s="4" t="s">
        <v>17</v>
      </c>
    </row>
    <row r="7" customFormat="false" ht="17.15" hidden="false" customHeight="false" outlineLevel="0" collapsed="false">
      <c r="A7" s="0" t="s">
        <v>18</v>
      </c>
      <c r="B7" s="0" t="s">
        <v>19</v>
      </c>
      <c r="C7" s="0" t="s">
        <v>12</v>
      </c>
      <c r="E7" s="3" t="n">
        <v>33.0972222222222</v>
      </c>
      <c r="G7" s="4" t="s">
        <v>13</v>
      </c>
      <c r="H7" s="4" t="s">
        <v>20</v>
      </c>
    </row>
    <row r="8" customFormat="false" ht="17.15" hidden="false" customHeight="false" outlineLevel="0" collapsed="false">
      <c r="A8" s="0" t="s">
        <v>21</v>
      </c>
      <c r="B8" s="0" t="s">
        <v>22</v>
      </c>
      <c r="C8" s="0" t="s">
        <v>12</v>
      </c>
      <c r="E8" s="3" t="n">
        <v>16.5486111111111</v>
      </c>
      <c r="G8" s="4" t="s">
        <v>13</v>
      </c>
      <c r="H8" s="4" t="s">
        <v>23</v>
      </c>
    </row>
    <row r="9" customFormat="false" ht="17.15" hidden="false" customHeight="false" outlineLevel="0" collapsed="false">
      <c r="A9" s="0" t="s">
        <v>24</v>
      </c>
      <c r="B9" s="0" t="s">
        <v>25</v>
      </c>
      <c r="C9" s="0" t="s">
        <v>12</v>
      </c>
      <c r="E9" s="3" t="n">
        <v>219.016666666666</v>
      </c>
      <c r="G9" s="4" t="s">
        <v>13</v>
      </c>
      <c r="H9" s="4" t="s">
        <v>26</v>
      </c>
    </row>
    <row r="10" customFormat="false" ht="17.15" hidden="false" customHeight="false" outlineLevel="0" collapsed="false">
      <c r="A10" s="0" t="s">
        <v>27</v>
      </c>
      <c r="B10" s="0" t="s">
        <v>28</v>
      </c>
      <c r="C10" s="0" t="s">
        <v>12</v>
      </c>
      <c r="E10" s="3" t="n">
        <v>901.833333333331</v>
      </c>
      <c r="G10" s="4" t="s">
        <v>13</v>
      </c>
      <c r="H10" s="4" t="s">
        <v>29</v>
      </c>
    </row>
    <row r="11" customFormat="false" ht="17.15" hidden="false" customHeight="false" outlineLevel="0" collapsed="false">
      <c r="A11" s="0" t="s">
        <v>30</v>
      </c>
      <c r="B11" s="0" t="s">
        <v>31</v>
      </c>
      <c r="C11" s="0" t="s">
        <v>12</v>
      </c>
      <c r="E11" s="3" t="n">
        <v>901.833333333331</v>
      </c>
      <c r="G11" s="4" t="s">
        <v>13</v>
      </c>
      <c r="H11" s="4" t="s">
        <v>32</v>
      </c>
    </row>
    <row r="12" customFormat="false" ht="17.15" hidden="false" customHeight="false" outlineLevel="0" collapsed="false">
      <c r="A12" s="0" t="s">
        <v>33</v>
      </c>
      <c r="B12" s="0" t="s">
        <v>34</v>
      </c>
      <c r="C12" s="0" t="s">
        <v>12</v>
      </c>
      <c r="E12" s="3" t="n">
        <v>1037.10833333333</v>
      </c>
      <c r="G12" s="4" t="s">
        <v>13</v>
      </c>
      <c r="H12" s="4" t="s">
        <v>35</v>
      </c>
    </row>
    <row r="13" customFormat="false" ht="17.15" hidden="false" customHeight="false" outlineLevel="0" collapsed="false">
      <c r="A13" s="0" t="s">
        <v>36</v>
      </c>
      <c r="B13" s="0" t="s">
        <v>37</v>
      </c>
      <c r="C13" s="0" t="s">
        <v>12</v>
      </c>
      <c r="E13" s="3" t="n">
        <v>0</v>
      </c>
      <c r="G13" s="4" t="s">
        <v>13</v>
      </c>
      <c r="H13" s="4" t="s">
        <v>38</v>
      </c>
    </row>
    <row r="14" customFormat="false" ht="17.15" hidden="false" customHeight="false" outlineLevel="0" collapsed="false">
      <c r="A14" s="0" t="s">
        <v>39</v>
      </c>
      <c r="B14" s="0" t="s">
        <v>40</v>
      </c>
      <c r="C14" s="0" t="s">
        <v>12</v>
      </c>
      <c r="E14" s="3" t="n">
        <v>77.1500000000001</v>
      </c>
      <c r="G14" s="4" t="s">
        <v>13</v>
      </c>
      <c r="H14" s="4" t="s">
        <v>41</v>
      </c>
    </row>
    <row r="15" customFormat="false" ht="17.15" hidden="false" customHeight="false" outlineLevel="0" collapsed="false">
      <c r="A15" s="0" t="s">
        <v>42</v>
      </c>
      <c r="B15" s="0" t="s">
        <v>43</v>
      </c>
      <c r="C15" s="0" t="s">
        <v>12</v>
      </c>
      <c r="E15" s="3" t="n">
        <v>514.333333333334</v>
      </c>
      <c r="G15" s="4" t="s">
        <v>13</v>
      </c>
      <c r="H15" s="4" t="s">
        <v>44</v>
      </c>
    </row>
    <row r="16" customFormat="false" ht="17.15" hidden="false" customHeight="false" outlineLevel="0" collapsed="false">
      <c r="A16" s="0" t="s">
        <v>45</v>
      </c>
      <c r="B16" s="0" t="s">
        <v>46</v>
      </c>
      <c r="C16" s="0" t="s">
        <v>12</v>
      </c>
      <c r="E16" s="3" t="n">
        <v>591.483333333334</v>
      </c>
      <c r="G16" s="4" t="s">
        <v>13</v>
      </c>
      <c r="H16" s="4" t="s">
        <v>47</v>
      </c>
    </row>
    <row r="17" customFormat="false" ht="17.15" hidden="false" customHeight="false" outlineLevel="0" collapsed="false">
      <c r="A17" s="0" t="s">
        <v>48</v>
      </c>
      <c r="B17" s="0" t="s">
        <v>49</v>
      </c>
      <c r="C17" s="0" t="s">
        <v>12</v>
      </c>
      <c r="E17" s="3" t="n">
        <v>19.15625</v>
      </c>
      <c r="G17" s="4" t="s">
        <v>13</v>
      </c>
      <c r="H17" s="4" t="s">
        <v>50</v>
      </c>
    </row>
    <row r="18" customFormat="false" ht="17.15" hidden="false" customHeight="false" outlineLevel="0" collapsed="false">
      <c r="A18" s="0" t="s">
        <v>51</v>
      </c>
      <c r="B18" s="0" t="s">
        <v>52</v>
      </c>
      <c r="C18" s="0" t="s">
        <v>12</v>
      </c>
      <c r="E18" s="3" t="n">
        <v>0</v>
      </c>
      <c r="G18" s="4" t="s">
        <v>13</v>
      </c>
      <c r="H18" s="4" t="s">
        <v>53</v>
      </c>
    </row>
    <row r="19" customFormat="false" ht="17.15" hidden="false" customHeight="false" outlineLevel="0" collapsed="false">
      <c r="A19" s="0" t="s">
        <v>54</v>
      </c>
      <c r="B19" s="0" t="s">
        <v>55</v>
      </c>
      <c r="C19" s="0" t="s">
        <v>12</v>
      </c>
      <c r="E19" s="3" t="n">
        <v>0</v>
      </c>
      <c r="G19" s="4" t="s">
        <v>13</v>
      </c>
      <c r="H19" s="4" t="s">
        <v>56</v>
      </c>
    </row>
    <row r="20" customFormat="false" ht="17.15" hidden="false" customHeight="false" outlineLevel="0" collapsed="false">
      <c r="A20" s="0" t="s">
        <v>57</v>
      </c>
      <c r="B20" s="0" t="s">
        <v>58</v>
      </c>
      <c r="C20" s="0" t="s">
        <v>12</v>
      </c>
      <c r="E20" s="3" t="n">
        <v>0</v>
      </c>
      <c r="G20" s="4" t="s">
        <v>13</v>
      </c>
      <c r="H20" s="4" t="s">
        <v>59</v>
      </c>
    </row>
    <row r="21" customFormat="false" ht="17.15" hidden="false" customHeight="false" outlineLevel="0" collapsed="false">
      <c r="A21" s="0" t="s">
        <v>60</v>
      </c>
      <c r="B21" s="0" t="s">
        <v>61</v>
      </c>
      <c r="C21" s="0" t="s">
        <v>12</v>
      </c>
      <c r="E21" s="3" t="n">
        <v>30</v>
      </c>
      <c r="G21" s="4" t="s">
        <v>13</v>
      </c>
      <c r="H21" s="4" t="s">
        <v>62</v>
      </c>
    </row>
    <row r="22" customFormat="false" ht="17.15" hidden="false" customHeight="false" outlineLevel="0" collapsed="false">
      <c r="A22" s="0" t="s">
        <v>63</v>
      </c>
      <c r="B22" s="0" t="s">
        <v>64</v>
      </c>
      <c r="C22" s="0" t="s">
        <v>12</v>
      </c>
      <c r="E22" s="3" t="n">
        <v>150</v>
      </c>
      <c r="G22" s="4" t="s">
        <v>13</v>
      </c>
      <c r="H22" s="4" t="s">
        <v>65</v>
      </c>
    </row>
    <row r="23" customFormat="false" ht="17.15" hidden="false" customHeight="false" outlineLevel="0" collapsed="false">
      <c r="A23" s="0" t="s">
        <v>66</v>
      </c>
      <c r="B23" s="0" t="s">
        <v>67</v>
      </c>
      <c r="C23" s="0" t="s">
        <v>12</v>
      </c>
      <c r="E23" s="3" t="n">
        <v>200</v>
      </c>
      <c r="G23" s="4" t="s">
        <v>13</v>
      </c>
      <c r="H23" s="4" t="s">
        <v>68</v>
      </c>
    </row>
    <row r="24" customFormat="false" ht="17.15" hidden="false" customHeight="false" outlineLevel="0" collapsed="false">
      <c r="A24" s="0" t="s">
        <v>69</v>
      </c>
      <c r="B24" s="0" t="s">
        <v>70</v>
      </c>
      <c r="C24" s="0" t="s">
        <v>12</v>
      </c>
      <c r="E24" s="3" t="n">
        <v>230</v>
      </c>
      <c r="G24" s="4" t="s">
        <v>13</v>
      </c>
      <c r="H24" s="4" t="s">
        <v>71</v>
      </c>
    </row>
    <row r="25" customFormat="false" ht="17.15" hidden="false" customHeight="false" outlineLevel="0" collapsed="false">
      <c r="A25" s="0" t="s">
        <v>72</v>
      </c>
      <c r="B25" s="0" t="s">
        <v>73</v>
      </c>
      <c r="C25" s="0" t="s">
        <v>12</v>
      </c>
      <c r="E25" s="3" t="n">
        <v>96.25</v>
      </c>
      <c r="G25" s="4" t="s">
        <v>13</v>
      </c>
      <c r="H25" s="4" t="s">
        <v>74</v>
      </c>
    </row>
    <row r="26" customFormat="false" ht="17.15" hidden="false" customHeight="false" outlineLevel="0" collapsed="false">
      <c r="A26" s="0" t="s">
        <v>75</v>
      </c>
      <c r="B26" s="0" t="s">
        <v>76</v>
      </c>
      <c r="C26" s="0" t="s">
        <v>12</v>
      </c>
      <c r="E26" s="3" t="n">
        <v>137.5</v>
      </c>
      <c r="G26" s="4" t="s">
        <v>13</v>
      </c>
      <c r="H26" s="4" t="s">
        <v>77</v>
      </c>
    </row>
    <row r="27" customFormat="false" ht="17.15" hidden="false" customHeight="false" outlineLevel="0" collapsed="false">
      <c r="A27" s="0" t="s">
        <v>78</v>
      </c>
      <c r="B27" s="0" t="s">
        <v>79</v>
      </c>
      <c r="C27" s="0" t="s">
        <v>12</v>
      </c>
      <c r="E27" s="3" t="n">
        <v>175</v>
      </c>
      <c r="G27" s="4" t="s">
        <v>13</v>
      </c>
      <c r="H27" s="4" t="s">
        <v>80</v>
      </c>
    </row>
    <row r="28" customFormat="false" ht="17.15" hidden="false" customHeight="false" outlineLevel="0" collapsed="false">
      <c r="A28" s="0" t="s">
        <v>81</v>
      </c>
      <c r="B28" s="0" t="s">
        <v>82</v>
      </c>
      <c r="C28" s="0" t="s">
        <v>12</v>
      </c>
      <c r="E28" s="3" t="n">
        <v>201.25</v>
      </c>
      <c r="G28" s="4" t="s">
        <v>13</v>
      </c>
      <c r="H28" s="4" t="s">
        <v>83</v>
      </c>
    </row>
    <row r="29" customFormat="false" ht="17.15" hidden="false" customHeight="false" outlineLevel="0" collapsed="false">
      <c r="A29" s="0" t="s">
        <v>84</v>
      </c>
      <c r="B29" s="0" t="s">
        <v>85</v>
      </c>
      <c r="C29" s="0" t="s">
        <v>12</v>
      </c>
      <c r="E29" s="3" t="n">
        <v>40</v>
      </c>
      <c r="G29" s="4" t="s">
        <v>13</v>
      </c>
      <c r="H29" s="4" t="s">
        <v>86</v>
      </c>
    </row>
    <row r="30" customFormat="false" ht="17.15" hidden="false" customHeight="false" outlineLevel="0" collapsed="false">
      <c r="A30" s="0" t="s">
        <v>87</v>
      </c>
      <c r="B30" s="0" t="s">
        <v>88</v>
      </c>
      <c r="C30" s="0" t="s">
        <v>12</v>
      </c>
      <c r="E30" s="3" t="n">
        <v>50</v>
      </c>
      <c r="G30" s="4" t="s">
        <v>13</v>
      </c>
      <c r="H30" s="4" t="s">
        <v>89</v>
      </c>
    </row>
    <row r="31" customFormat="false" ht="17.15" hidden="false" customHeight="false" outlineLevel="0" collapsed="false">
      <c r="A31" s="0" t="s">
        <v>90</v>
      </c>
      <c r="B31" s="0" t="s">
        <v>91</v>
      </c>
      <c r="C31" s="0" t="s">
        <v>12</v>
      </c>
      <c r="E31" s="3" t="n">
        <v>60</v>
      </c>
      <c r="G31" s="4" t="s">
        <v>13</v>
      </c>
      <c r="H31" s="4" t="s">
        <v>92</v>
      </c>
    </row>
    <row r="32" customFormat="false" ht="17.15" hidden="false" customHeight="false" outlineLevel="0" collapsed="false">
      <c r="A32" s="0" t="s">
        <v>93</v>
      </c>
      <c r="B32" s="0" t="s">
        <v>94</v>
      </c>
      <c r="C32" s="0" t="s">
        <v>12</v>
      </c>
      <c r="E32" s="3" t="n">
        <v>69</v>
      </c>
      <c r="G32" s="4" t="s">
        <v>13</v>
      </c>
      <c r="H32" s="4" t="s">
        <v>95</v>
      </c>
    </row>
    <row r="33" customFormat="false" ht="17.15" hidden="false" customHeight="false" outlineLevel="0" collapsed="false">
      <c r="A33" s="0" t="s">
        <v>96</v>
      </c>
      <c r="B33" s="5" t="s">
        <v>97</v>
      </c>
      <c r="C33" s="0" t="s">
        <v>12</v>
      </c>
      <c r="E33" s="3" t="n">
        <v>20</v>
      </c>
      <c r="G33" s="4" t="s">
        <v>13</v>
      </c>
      <c r="H33" s="4" t="s">
        <v>98</v>
      </c>
    </row>
    <row r="34" customFormat="false" ht="17.15" hidden="false" customHeight="false" outlineLevel="0" collapsed="false">
      <c r="A34" s="0" t="s">
        <v>99</v>
      </c>
      <c r="B34" s="5" t="s">
        <v>100</v>
      </c>
      <c r="C34" s="0" t="s">
        <v>12</v>
      </c>
      <c r="E34" s="3" t="n">
        <v>90</v>
      </c>
      <c r="G34" s="4" t="s">
        <v>13</v>
      </c>
      <c r="H34" s="4" t="s">
        <v>101</v>
      </c>
    </row>
    <row r="35" customFormat="false" ht="17.15" hidden="false" customHeight="false" outlineLevel="0" collapsed="false">
      <c r="A35" s="0" t="s">
        <v>102</v>
      </c>
      <c r="B35" s="5" t="s">
        <v>103</v>
      </c>
      <c r="C35" s="0" t="s">
        <v>12</v>
      </c>
      <c r="E35" s="3" t="n">
        <v>100</v>
      </c>
      <c r="G35" s="4" t="s">
        <v>13</v>
      </c>
      <c r="H35" s="4" t="s">
        <v>104</v>
      </c>
    </row>
    <row r="36" customFormat="false" ht="17.15" hidden="false" customHeight="false" outlineLevel="0" collapsed="false">
      <c r="A36" s="0" t="s">
        <v>105</v>
      </c>
      <c r="B36" s="5" t="s">
        <v>106</v>
      </c>
      <c r="C36" s="0" t="s">
        <v>12</v>
      </c>
      <c r="E36" s="3" t="n">
        <v>115</v>
      </c>
      <c r="G36" s="4" t="s">
        <v>13</v>
      </c>
      <c r="H36" s="4" t="s">
        <v>107</v>
      </c>
    </row>
    <row r="37" customFormat="false" ht="17.15" hidden="false" customHeight="false" outlineLevel="0" collapsed="false">
      <c r="A37" s="0" t="s">
        <v>108</v>
      </c>
      <c r="B37" s="0" t="s">
        <v>109</v>
      </c>
      <c r="C37" s="0" t="s">
        <v>110</v>
      </c>
      <c r="E37" s="3" t="n">
        <v>23.3995380420639</v>
      </c>
      <c r="G37" s="4" t="s">
        <v>13</v>
      </c>
      <c r="H37" s="4" t="s">
        <v>111</v>
      </c>
    </row>
    <row r="38" customFormat="false" ht="17.15" hidden="false" customHeight="false" outlineLevel="0" collapsed="false">
      <c r="A38" s="0" t="s">
        <v>112</v>
      </c>
      <c r="B38" s="0" t="s">
        <v>113</v>
      </c>
      <c r="C38" s="0" t="s">
        <v>114</v>
      </c>
      <c r="E38" s="3" t="n">
        <v>33.41403216</v>
      </c>
      <c r="G38" s="4" t="s">
        <v>13</v>
      </c>
      <c r="H38" s="4" t="s">
        <v>115</v>
      </c>
    </row>
    <row r="39" customFormat="false" ht="17.15" hidden="false" customHeight="false" outlineLevel="0" collapsed="false">
      <c r="A39" s="0" t="s">
        <v>116</v>
      </c>
      <c r="B39" s="0" t="s">
        <v>117</v>
      </c>
      <c r="C39" s="0" t="s">
        <v>110</v>
      </c>
      <c r="E39" s="3" t="n">
        <v>41.6467658260637</v>
      </c>
      <c r="G39" s="4" t="s">
        <v>13</v>
      </c>
      <c r="H39" s="4" t="s">
        <v>118</v>
      </c>
    </row>
    <row r="40" customFormat="false" ht="17.15" hidden="false" customHeight="false" outlineLevel="0" collapsed="false">
      <c r="A40" s="0" t="s">
        <v>119</v>
      </c>
      <c r="B40" s="0" t="s">
        <v>120</v>
      </c>
      <c r="C40" s="0" t="s">
        <v>114</v>
      </c>
      <c r="E40" s="3" t="n">
        <v>37.586352</v>
      </c>
      <c r="G40" s="4" t="s">
        <v>13</v>
      </c>
      <c r="H40" s="4" t="s">
        <v>121</v>
      </c>
    </row>
    <row r="41" customFormat="false" ht="17.15" hidden="false" customHeight="false" outlineLevel="0" collapsed="false">
      <c r="A41" s="0" t="s">
        <v>122</v>
      </c>
      <c r="B41" s="0" t="s">
        <v>123</v>
      </c>
      <c r="C41" s="0" t="s">
        <v>110</v>
      </c>
      <c r="E41" s="3" t="n">
        <v>52.792138191248</v>
      </c>
      <c r="G41" s="4" t="s">
        <v>13</v>
      </c>
      <c r="H41" s="4" t="s">
        <v>124</v>
      </c>
    </row>
    <row r="42" customFormat="false" ht="17.15" hidden="false" customHeight="false" outlineLevel="0" collapsed="false">
      <c r="A42" s="0" t="s">
        <v>125</v>
      </c>
      <c r="B42" s="0" t="s">
        <v>126</v>
      </c>
      <c r="C42" s="0" t="s">
        <v>114</v>
      </c>
      <c r="E42" s="3" t="n">
        <v>37.586352</v>
      </c>
      <c r="G42" s="4" t="s">
        <v>13</v>
      </c>
      <c r="H42" s="4" t="s">
        <v>127</v>
      </c>
    </row>
    <row r="43" customFormat="false" ht="17.15" hidden="false" customHeight="false" outlineLevel="0" collapsed="false">
      <c r="A43" s="0" t="s">
        <v>128</v>
      </c>
      <c r="B43" s="0" t="s">
        <v>129</v>
      </c>
      <c r="C43" s="0" t="s">
        <v>110</v>
      </c>
      <c r="E43" s="3" t="n">
        <v>60.1385917361115</v>
      </c>
      <c r="G43" s="4" t="s">
        <v>13</v>
      </c>
      <c r="H43" s="4" t="s">
        <v>130</v>
      </c>
    </row>
    <row r="44" customFormat="false" ht="17.15" hidden="false" customHeight="false" outlineLevel="0" collapsed="false">
      <c r="A44" s="0" t="s">
        <v>131</v>
      </c>
      <c r="B44" s="0" t="s">
        <v>132</v>
      </c>
      <c r="C44" s="0" t="s">
        <v>114</v>
      </c>
      <c r="E44" s="3" t="n">
        <v>37.586352</v>
      </c>
      <c r="G44" s="4" t="s">
        <v>13</v>
      </c>
      <c r="H44" s="4" t="s">
        <v>133</v>
      </c>
    </row>
    <row r="45" customFormat="false" ht="17.15" hidden="false" customHeight="false" outlineLevel="0" collapsed="false">
      <c r="A45" s="1" t="s">
        <v>134</v>
      </c>
    </row>
    <row r="46" customFormat="false" ht="17.15" hidden="false" customHeight="false" outlineLevel="0" collapsed="false">
      <c r="A46" s="0" t="s">
        <v>135</v>
      </c>
      <c r="B46" s="0" t="s">
        <v>136</v>
      </c>
      <c r="C46" s="0" t="s">
        <v>114</v>
      </c>
      <c r="D46" s="3" t="n">
        <v>31.9970232</v>
      </c>
      <c r="E46" s="3" t="n">
        <v>37.586352</v>
      </c>
      <c r="F46" s="3" t="n">
        <v>42.6375752</v>
      </c>
      <c r="G46" s="4" t="s">
        <v>13</v>
      </c>
      <c r="H46" s="4" t="s">
        <v>137</v>
      </c>
    </row>
    <row r="47" customFormat="false" ht="17.15" hidden="false" customHeight="false" outlineLevel="0" collapsed="false">
      <c r="A47" s="0" t="s">
        <v>138</v>
      </c>
      <c r="B47" s="5" t="s">
        <v>139</v>
      </c>
      <c r="C47" s="0" t="s">
        <v>140</v>
      </c>
      <c r="D47" s="3" t="n">
        <v>0.67</v>
      </c>
      <c r="E47" s="3" t="n">
        <v>0.85</v>
      </c>
      <c r="F47" s="3" t="n">
        <v>1.12</v>
      </c>
      <c r="G47" s="4" t="s">
        <v>141</v>
      </c>
      <c r="H47" s="4" t="s">
        <v>142</v>
      </c>
    </row>
    <row r="48" customFormat="false" ht="17.15" hidden="false" customHeight="false" outlineLevel="0" collapsed="false">
      <c r="A48" s="0" t="s">
        <v>143</v>
      </c>
      <c r="B48" s="5" t="s">
        <v>144</v>
      </c>
      <c r="C48" s="0" t="s">
        <v>140</v>
      </c>
      <c r="D48" s="3" t="n">
        <v>0.65</v>
      </c>
      <c r="E48" s="3" t="n">
        <v>0.7</v>
      </c>
      <c r="F48" s="3" t="n">
        <v>0.9</v>
      </c>
      <c r="G48" s="4" t="s">
        <v>141</v>
      </c>
      <c r="H48" s="4" t="s">
        <v>145</v>
      </c>
    </row>
    <row r="49" customFormat="false" ht="17.15" hidden="false" customHeight="false" outlineLevel="0" collapsed="false">
      <c r="A49" s="0" t="s">
        <v>146</v>
      </c>
      <c r="B49" s="5" t="s">
        <v>147</v>
      </c>
      <c r="C49" s="0" t="s">
        <v>140</v>
      </c>
      <c r="D49" s="3" t="n">
        <v>0.45</v>
      </c>
      <c r="E49" s="3" t="n">
        <v>0.61</v>
      </c>
      <c r="F49" s="3" t="n">
        <v>0.7</v>
      </c>
      <c r="G49" s="4" t="s">
        <v>141</v>
      </c>
      <c r="H49" s="4" t="s">
        <v>148</v>
      </c>
    </row>
    <row r="50" customFormat="false" ht="17.15" hidden="false" customHeight="false" outlineLevel="0" collapsed="false">
      <c r="A50" s="0" t="s">
        <v>149</v>
      </c>
      <c r="B50" s="5" t="s">
        <v>150</v>
      </c>
      <c r="C50" s="0" t="s">
        <v>140</v>
      </c>
      <c r="D50" s="3" t="n">
        <v>0.517</v>
      </c>
      <c r="E50" s="3" t="n">
        <v>0.617</v>
      </c>
      <c r="F50" s="3" t="n">
        <v>0.767</v>
      </c>
      <c r="G50" s="4" t="s">
        <v>141</v>
      </c>
      <c r="H50" s="4" t="s">
        <v>151</v>
      </c>
    </row>
    <row r="51" customFormat="false" ht="17.15" hidden="false" customHeight="false" outlineLevel="0" collapsed="false">
      <c r="A51" s="1" t="s">
        <v>152</v>
      </c>
    </row>
    <row r="52" customFormat="false" ht="17.15" hidden="false" customHeight="false" outlineLevel="0" collapsed="false">
      <c r="A52" s="0" t="s">
        <v>153</v>
      </c>
      <c r="B52" s="5" t="s">
        <v>154</v>
      </c>
      <c r="C52" s="5" t="s">
        <v>155</v>
      </c>
      <c r="D52" s="3" t="n">
        <v>0.25</v>
      </c>
      <c r="E52" s="3" t="n">
        <v>0.375</v>
      </c>
      <c r="F52" s="3" t="n">
        <v>0.5</v>
      </c>
      <c r="G52" s="4" t="s">
        <v>141</v>
      </c>
      <c r="H52" s="5" t="s">
        <v>156</v>
      </c>
    </row>
    <row r="53" customFormat="false" ht="17.15" hidden="false" customHeight="false" outlineLevel="0" collapsed="false">
      <c r="A53" s="0" t="s">
        <v>157</v>
      </c>
      <c r="B53" s="0" t="s">
        <v>158</v>
      </c>
      <c r="C53" s="0" t="s">
        <v>12</v>
      </c>
      <c r="E53" s="3" t="n">
        <v>193.7</v>
      </c>
      <c r="G53" s="4" t="s">
        <v>159</v>
      </c>
      <c r="H53" s="4" t="s">
        <v>160</v>
      </c>
    </row>
    <row r="54" customFormat="false" ht="17.15" hidden="false" customHeight="false" outlineLevel="0" collapsed="false">
      <c r="A54" s="0" t="s">
        <v>161</v>
      </c>
      <c r="B54" s="0" t="s">
        <v>162</v>
      </c>
      <c r="C54" s="0" t="s">
        <v>12</v>
      </c>
      <c r="E54" s="3" t="n">
        <v>375.46</v>
      </c>
      <c r="G54" s="4" t="s">
        <v>163</v>
      </c>
      <c r="H54" s="4" t="s">
        <v>164</v>
      </c>
    </row>
    <row r="55" customFormat="false" ht="17.15" hidden="false" customHeight="false" outlineLevel="0" collapsed="false">
      <c r="A55" s="0" t="s">
        <v>165</v>
      </c>
      <c r="B55" s="5" t="s">
        <v>166</v>
      </c>
      <c r="C55" s="0" t="s">
        <v>114</v>
      </c>
      <c r="E55" s="3" t="n">
        <v>26.01</v>
      </c>
      <c r="G55" s="4" t="s">
        <v>13</v>
      </c>
      <c r="H55" s="4" t="s">
        <v>167</v>
      </c>
    </row>
    <row r="56" customFormat="false" ht="17.15" hidden="false" customHeight="false" outlineLevel="0" collapsed="false">
      <c r="A56" s="0" t="s">
        <v>168</v>
      </c>
      <c r="B56" s="5" t="s">
        <v>169</v>
      </c>
      <c r="C56" s="0" t="s">
        <v>140</v>
      </c>
      <c r="D56" s="3" t="n">
        <v>0.5</v>
      </c>
      <c r="E56" s="3" t="n">
        <v>0.6</v>
      </c>
      <c r="F56" s="3" t="n">
        <v>0.75</v>
      </c>
      <c r="G56" s="4" t="s">
        <v>141</v>
      </c>
      <c r="H56" s="4" t="s">
        <v>170</v>
      </c>
    </row>
    <row r="57" customFormat="false" ht="17.15" hidden="false" customHeight="false" outlineLevel="0" collapsed="false">
      <c r="A57" s="1" t="s">
        <v>171</v>
      </c>
    </row>
    <row r="58" customFormat="false" ht="17.15" hidden="false" customHeight="false" outlineLevel="0" collapsed="false">
      <c r="A58" s="0" t="s">
        <v>172</v>
      </c>
      <c r="B58" s="5" t="s">
        <v>173</v>
      </c>
      <c r="C58" s="0" t="s">
        <v>140</v>
      </c>
      <c r="D58" s="3" t="n">
        <v>0.05</v>
      </c>
      <c r="E58" s="3" t="n">
        <v>0.1</v>
      </c>
      <c r="F58" s="3" t="n">
        <v>0.2</v>
      </c>
      <c r="G58" s="4" t="s">
        <v>141</v>
      </c>
      <c r="H58" s="5" t="s">
        <v>174</v>
      </c>
    </row>
    <row r="59" customFormat="false" ht="17.15" hidden="false" customHeight="false" outlineLevel="0" collapsed="false">
      <c r="A59" s="0" t="s">
        <v>175</v>
      </c>
      <c r="B59" s="5" t="s">
        <v>176</v>
      </c>
      <c r="C59" s="0" t="s">
        <v>177</v>
      </c>
      <c r="D59" s="3" t="n">
        <v>0</v>
      </c>
      <c r="E59" s="3" t="n">
        <v>0.02</v>
      </c>
      <c r="F59" s="3" t="n">
        <v>0.05</v>
      </c>
      <c r="G59" s="4" t="s">
        <v>141</v>
      </c>
      <c r="H59" s="4" t="s">
        <v>178</v>
      </c>
    </row>
    <row r="60" customFormat="false" ht="17.15" hidden="false" customHeight="false" outlineLevel="0" collapsed="false">
      <c r="A60" s="1" t="s">
        <v>179</v>
      </c>
    </row>
    <row r="61" customFormat="false" ht="17.15" hidden="false" customHeight="false" outlineLevel="0" collapsed="false">
      <c r="A61" s="0" t="s">
        <v>180</v>
      </c>
      <c r="B61" s="0" t="s">
        <v>181</v>
      </c>
      <c r="C61" s="0" t="s">
        <v>114</v>
      </c>
      <c r="E61" s="3" t="n">
        <v>20.84</v>
      </c>
      <c r="G61" s="4" t="s">
        <v>13</v>
      </c>
      <c r="H61" s="4" t="s">
        <v>182</v>
      </c>
    </row>
    <row r="62" customFormat="false" ht="17.15" hidden="false" customHeight="false" outlineLevel="0" collapsed="false">
      <c r="A62" s="0" t="s">
        <v>183</v>
      </c>
      <c r="B62" s="5" t="s">
        <v>184</v>
      </c>
      <c r="C62" s="0" t="s">
        <v>114</v>
      </c>
      <c r="E62" s="3" t="n">
        <v>25</v>
      </c>
      <c r="G62" s="4" t="s">
        <v>185</v>
      </c>
      <c r="H62" s="4" t="s">
        <v>186</v>
      </c>
    </row>
    <row r="63" customFormat="false" ht="17.15" hidden="false" customHeight="false" outlineLevel="0" collapsed="false">
      <c r="A63" s="0" t="s">
        <v>187</v>
      </c>
      <c r="B63" s="5" t="s">
        <v>188</v>
      </c>
      <c r="C63" s="0" t="s">
        <v>114</v>
      </c>
      <c r="E63" s="3" t="n">
        <v>40</v>
      </c>
      <c r="G63" s="4" t="s">
        <v>185</v>
      </c>
      <c r="H63" s="5" t="s">
        <v>189</v>
      </c>
    </row>
    <row r="64" customFormat="false" ht="17.15" hidden="false" customHeight="false" outlineLevel="0" collapsed="false">
      <c r="A64" s="0" t="s">
        <v>190</v>
      </c>
      <c r="B64" s="0" t="s">
        <v>191</v>
      </c>
      <c r="C64" s="0" t="s">
        <v>110</v>
      </c>
      <c r="E64" s="3" t="n">
        <v>43</v>
      </c>
      <c r="G64" s="4" t="s">
        <v>185</v>
      </c>
      <c r="H64" s="4" t="s">
        <v>192</v>
      </c>
    </row>
    <row r="65" customFormat="false" ht="17.15" hidden="false" customHeight="false" outlineLevel="0" collapsed="false">
      <c r="A65" s="1" t="s">
        <v>193</v>
      </c>
    </row>
    <row r="66" customFormat="false" ht="17.15" hidden="false" customHeight="false" outlineLevel="0" collapsed="false">
      <c r="A66" s="0" t="s">
        <v>194</v>
      </c>
      <c r="B66" s="0" t="s">
        <v>195</v>
      </c>
      <c r="C66" s="0" t="s">
        <v>110</v>
      </c>
      <c r="E66" s="3" t="n">
        <v>9.04912429484716</v>
      </c>
      <c r="G66" s="4" t="s">
        <v>13</v>
      </c>
      <c r="H66" s="4" t="s">
        <v>196</v>
      </c>
    </row>
    <row r="67" customFormat="false" ht="17.15" hidden="false" customHeight="false" outlineLevel="0" collapsed="false">
      <c r="A67" s="0" t="s">
        <v>197</v>
      </c>
      <c r="B67" s="0" t="s">
        <v>198</v>
      </c>
      <c r="C67" s="0" t="s">
        <v>110</v>
      </c>
      <c r="E67" s="3" t="n">
        <v>9.04912429484716</v>
      </c>
      <c r="G67" s="4" t="s">
        <v>13</v>
      </c>
      <c r="H67" s="4" t="s">
        <v>199</v>
      </c>
    </row>
    <row r="68" customFormat="false" ht="17.15" hidden="false" customHeight="false" outlineLevel="0" collapsed="false">
      <c r="A68" s="0" t="s">
        <v>200</v>
      </c>
      <c r="B68" s="0" t="s">
        <v>201</v>
      </c>
      <c r="C68" s="0" t="s">
        <v>110</v>
      </c>
      <c r="E68" s="3" t="n">
        <v>6.20938570515285</v>
      </c>
      <c r="G68" s="4" t="s">
        <v>13</v>
      </c>
      <c r="H68" s="4" t="s">
        <v>196</v>
      </c>
    </row>
    <row r="69" customFormat="false" ht="17.15" hidden="false" customHeight="false" outlineLevel="0" collapsed="false">
      <c r="A69" s="0" t="s">
        <v>202</v>
      </c>
      <c r="B69" s="0" t="s">
        <v>203</v>
      </c>
      <c r="C69" s="0" t="s">
        <v>110</v>
      </c>
      <c r="E69" s="3" t="n">
        <v>12.5153714610592</v>
      </c>
      <c r="G69" s="4" t="s">
        <v>13</v>
      </c>
      <c r="H69" s="4" t="s">
        <v>196</v>
      </c>
    </row>
    <row r="70" customFormat="false" ht="17.15" hidden="false" customHeight="false" outlineLevel="0" collapsed="false">
      <c r="A70" s="0" t="s">
        <v>204</v>
      </c>
      <c r="B70" s="0" t="s">
        <v>205</v>
      </c>
      <c r="C70" s="0" t="s">
        <v>110</v>
      </c>
      <c r="E70" s="3" t="n">
        <v>12.5153714610592</v>
      </c>
      <c r="G70" s="4" t="s">
        <v>13</v>
      </c>
      <c r="H70" s="4" t="s">
        <v>199</v>
      </c>
    </row>
    <row r="71" customFormat="false" ht="17.15" hidden="false" customHeight="false" outlineLevel="0" collapsed="false">
      <c r="A71" s="0" t="s">
        <v>206</v>
      </c>
      <c r="B71" s="0" t="s">
        <v>207</v>
      </c>
      <c r="C71" s="0" t="s">
        <v>110</v>
      </c>
      <c r="E71" s="3" t="n">
        <v>25.3371433333333</v>
      </c>
      <c r="G71" s="4" t="s">
        <v>13</v>
      </c>
      <c r="H71" s="4" t="s">
        <v>196</v>
      </c>
    </row>
    <row r="72" customFormat="false" ht="17.15" hidden="false" customHeight="false" outlineLevel="0" collapsed="false">
      <c r="A72" s="0" t="s">
        <v>208</v>
      </c>
      <c r="B72" s="0" t="s">
        <v>209</v>
      </c>
      <c r="C72" s="0" t="s">
        <v>110</v>
      </c>
      <c r="E72" s="3" t="n">
        <v>23.9622539260371</v>
      </c>
      <c r="G72" s="4" t="s">
        <v>13</v>
      </c>
      <c r="H72" s="4" t="s">
        <v>196</v>
      </c>
    </row>
    <row r="73" customFormat="false" ht="17.15" hidden="false" customHeight="false" outlineLevel="0" collapsed="false">
      <c r="A73" s="0" t="s">
        <v>210</v>
      </c>
      <c r="B73" s="0" t="s">
        <v>211</v>
      </c>
      <c r="C73" s="0" t="s">
        <v>110</v>
      </c>
      <c r="E73" s="3" t="n">
        <v>12.6031451245072</v>
      </c>
      <c r="G73" s="4" t="s">
        <v>13</v>
      </c>
      <c r="H73" s="4" t="s">
        <v>199</v>
      </c>
    </row>
    <row r="74" customFormat="false" ht="17.15" hidden="false" customHeight="false" outlineLevel="0" collapsed="false">
      <c r="A74" s="0" t="s">
        <v>212</v>
      </c>
      <c r="B74" s="0" t="s">
        <v>213</v>
      </c>
      <c r="C74" s="0" t="s">
        <v>110</v>
      </c>
      <c r="E74" s="3" t="n">
        <v>37.8525147943925</v>
      </c>
      <c r="G74" s="4" t="s">
        <v>13</v>
      </c>
      <c r="H74" s="4" t="s">
        <v>196</v>
      </c>
    </row>
    <row r="75" customFormat="false" ht="17.15" hidden="false" customHeight="false" outlineLevel="0" collapsed="false">
      <c r="A75" s="0" t="s">
        <v>214</v>
      </c>
      <c r="B75" s="0" t="s">
        <v>215</v>
      </c>
      <c r="C75" s="0" t="s">
        <v>110</v>
      </c>
      <c r="E75" s="3" t="n">
        <v>26.9232927993498</v>
      </c>
      <c r="G75" s="4" t="s">
        <v>13</v>
      </c>
      <c r="H75" s="4" t="s">
        <v>196</v>
      </c>
    </row>
    <row r="76" customFormat="false" ht="17.15" hidden="false" customHeight="false" outlineLevel="0" collapsed="false">
      <c r="A76" s="0" t="s">
        <v>216</v>
      </c>
      <c r="B76" s="0" t="s">
        <v>217</v>
      </c>
      <c r="C76" s="0" t="s">
        <v>110</v>
      </c>
      <c r="E76" s="3" t="n">
        <v>19.2160473942424</v>
      </c>
      <c r="G76" s="4" t="s">
        <v>13</v>
      </c>
      <c r="H76" s="4" t="s">
        <v>199</v>
      </c>
    </row>
    <row r="77" customFormat="false" ht="17.15" hidden="false" customHeight="false" outlineLevel="0" collapsed="false">
      <c r="A77" s="0" t="s">
        <v>218</v>
      </c>
      <c r="B77" s="0" t="s">
        <v>219</v>
      </c>
      <c r="C77" s="0" t="s">
        <v>110</v>
      </c>
      <c r="E77" s="3" t="n">
        <v>61.8147687204296</v>
      </c>
      <c r="G77" s="4" t="s">
        <v>13</v>
      </c>
      <c r="H77" s="4" t="s">
        <v>196</v>
      </c>
    </row>
    <row r="78" customFormat="false" ht="17.15" hidden="false" customHeight="false" outlineLevel="0" collapsed="false">
      <c r="A78" s="0" t="s">
        <v>220</v>
      </c>
      <c r="B78" s="0" t="s">
        <v>221</v>
      </c>
      <c r="C78" s="0" t="s">
        <v>110</v>
      </c>
      <c r="E78" s="3" t="n">
        <v>27.6634681049025</v>
      </c>
      <c r="G78" s="4" t="s">
        <v>13</v>
      </c>
      <c r="H78" s="4" t="s">
        <v>196</v>
      </c>
    </row>
    <row r="79" customFormat="false" ht="17.15" hidden="false" customHeight="false" outlineLevel="0" collapsed="false">
      <c r="A79" s="0" t="s">
        <v>222</v>
      </c>
      <c r="B79" s="0" t="s">
        <v>223</v>
      </c>
      <c r="C79" s="0" t="s">
        <v>110</v>
      </c>
      <c r="E79" s="3" t="n">
        <v>6.47302133099745</v>
      </c>
      <c r="G79" s="4" t="s">
        <v>13</v>
      </c>
      <c r="H79" s="4" t="s">
        <v>199</v>
      </c>
    </row>
    <row r="80" customFormat="false" ht="17.15" hidden="false" customHeight="false" outlineLevel="0" collapsed="false">
      <c r="A80" s="0" t="s">
        <v>224</v>
      </c>
      <c r="B80" s="0" t="s">
        <v>225</v>
      </c>
      <c r="C80" s="0" t="s">
        <v>110</v>
      </c>
      <c r="E80" s="3" t="n">
        <v>88.7380615197793</v>
      </c>
      <c r="G80" s="4" t="s">
        <v>13</v>
      </c>
      <c r="H80" s="4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8" min="4" style="0" width="11"/>
  </cols>
  <sheetData>
    <row r="1" customFormat="false" ht="17.15" hidden="false" customHeight="false" outlineLevel="0" collapsed="false">
      <c r="A1" s="1" t="s">
        <v>226</v>
      </c>
    </row>
    <row r="3" customFormat="false" ht="15" hidden="false" customHeight="false" outlineLevel="0" collapsed="false">
      <c r="A3" s="2" t="s">
        <v>227</v>
      </c>
      <c r="B3" s="2" t="s">
        <v>2</v>
      </c>
      <c r="C3" s="2" t="s">
        <v>228</v>
      </c>
      <c r="D3" s="6" t="s">
        <v>229</v>
      </c>
      <c r="E3" s="6" t="s">
        <v>230</v>
      </c>
      <c r="F3" s="6" t="s">
        <v>231</v>
      </c>
      <c r="G3" s="6" t="s">
        <v>232</v>
      </c>
      <c r="H3" s="6" t="s">
        <v>233</v>
      </c>
    </row>
    <row r="4" customFormat="false" ht="17.15" hidden="false" customHeight="false" outlineLevel="0" collapsed="false">
      <c r="A4" s="1" t="s">
        <v>234</v>
      </c>
      <c r="B4" s="1" t="s">
        <v>235</v>
      </c>
      <c r="C4" s="1" t="s">
        <v>236</v>
      </c>
      <c r="D4" s="1"/>
      <c r="E4" s="7" t="n">
        <f aca="false">dep_2026</f>
        <v>23.3995380420639</v>
      </c>
      <c r="F4" s="7" t="n">
        <f aca="false">dep_2027</f>
        <v>41.6467658260637</v>
      </c>
      <c r="G4" s="7" t="n">
        <f aca="false">dep_2028</f>
        <v>52.792138191248</v>
      </c>
      <c r="H4" s="7" t="n">
        <f aca="false">dep_2029</f>
        <v>60.1385917361115</v>
      </c>
    </row>
    <row r="5" customFormat="false" ht="17.15" hidden="false" customHeight="false" outlineLevel="0" collapsed="false">
      <c r="A5" s="0" t="s">
        <v>237</v>
      </c>
      <c r="B5" s="5" t="s">
        <v>238</v>
      </c>
      <c r="C5" s="0" t="s">
        <v>239</v>
      </c>
      <c r="E5" s="8" t="n">
        <f aca="false">(cap_amd_2026+cap_tpu_2026+cap_trn_2026+cap_oth_2026)/pgw_2026</f>
        <v>5.57400552881972</v>
      </c>
      <c r="F5" s="8" t="n">
        <f aca="false">(cap_amd_2027+cap_tpu_2027+cap_trn_2027+cap_oth_2027)/pgw_2027</f>
        <v>11.3738093018445</v>
      </c>
      <c r="G5" s="8" t="n">
        <f aca="false">(cap_amd_2028+cap_tpu_2028+cap_trn_2028+cap_oth_2028)/pgw_2028</f>
        <v>14.2338900034779</v>
      </c>
      <c r="H5" s="8" t="n">
        <f aca="false">(cap_amd_2029+cap_tpu_2029+cap_trn_2029+cap_oth_2029)/pgw_2029</f>
        <v>16.3689735039995</v>
      </c>
    </row>
    <row r="6" customFormat="false" ht="17.15" hidden="false" customHeight="false" outlineLevel="0" collapsed="false">
      <c r="A6" s="0" t="s">
        <v>240</v>
      </c>
      <c r="B6" s="5" t="s">
        <v>241</v>
      </c>
      <c r="C6" s="0" t="s">
        <v>242</v>
      </c>
      <c r="E6" s="8" t="n">
        <f aca="false">cap_amd_2026/(pgw_vr*hold_amd)+cap_tpu_2026/(pgw_vr*hold_tpu)+cap_trn_2026/(pgw_vr*hold_trn)+cap_oth_2026/(pgw_vr*hold_oth)</f>
        <v>7.20428518835394</v>
      </c>
      <c r="F6" s="8" t="n">
        <f aca="false">cap_amd_2027/(pgw_vr*hold_amd)+cap_tpu_2027/(pgw_vr*hold_tpu)+cap_trn_2027/(pgw_vr*hold_trn)+cap_oth_2027/(pgw_vr*hold_oth)</f>
        <v>15.9827554332514</v>
      </c>
      <c r="G6" s="8" t="n">
        <f aca="false">cap_amd_2028/(pgw_vr*hold_amd)+cap_tpu_2028/(pgw_vr*hold_tpu)+cap_trn_2028/(pgw_vr*hold_trn)+cap_oth_2028/(pgw_vr*hold_oth)</f>
        <v>19.8404284533849</v>
      </c>
      <c r="H6" s="8" t="n">
        <f aca="false">cap_amd_2029/(pgw_vr*hold_amd)+cap_tpu_2029/(pgw_vr*hold_tpu)+cap_trn_2029/(pgw_vr*hold_trn)+cap_oth_2029/(pgw_vr*hold_oth)</f>
        <v>22.8164927213926</v>
      </c>
    </row>
    <row r="7" customFormat="false" ht="17.15" hidden="false" customHeight="false" outlineLevel="0" collapsed="false">
      <c r="A7" s="0" t="s">
        <v>243</v>
      </c>
      <c r="B7" s="5" t="s">
        <v>244</v>
      </c>
      <c r="C7" s="0" t="s">
        <v>245</v>
      </c>
      <c r="E7" s="8" t="n">
        <f aca="false">E6-E5</f>
        <v>1.63027965953421</v>
      </c>
      <c r="F7" s="8" t="n">
        <f aca="false">F6-F5</f>
        <v>4.6089461314069</v>
      </c>
      <c r="G7" s="8" t="n">
        <f aca="false">G6-G5</f>
        <v>5.60653844990702</v>
      </c>
      <c r="H7" s="8" t="n">
        <f aca="false">H6-H5</f>
        <v>6.44751921739307</v>
      </c>
    </row>
    <row r="8" customFormat="false" ht="17.15" hidden="false" customHeight="false" outlineLevel="0" collapsed="false">
      <c r="A8" s="1" t="s">
        <v>246</v>
      </c>
      <c r="B8" s="9" t="s">
        <v>247</v>
      </c>
      <c r="C8" s="1" t="s">
        <v>248</v>
      </c>
      <c r="D8" s="7" t="n">
        <f aca="false">(E4-E5)*(nv_dc_25/nv_dc_26)*(pgw_2026/pgw_25)+E6*nonnv_25</f>
        <v>16.1365717964169</v>
      </c>
      <c r="E8" s="7" t="n">
        <f aca="false">E4+E7</f>
        <v>25.0298177015981</v>
      </c>
      <c r="F8" s="7" t="n">
        <f aca="false">F4+F7</f>
        <v>46.2557119574706</v>
      </c>
      <c r="G8" s="7" t="n">
        <f aca="false">G4+G7</f>
        <v>58.398676641155</v>
      </c>
      <c r="H8" s="7" t="n">
        <f aca="false">H4+H7</f>
        <v>66.5861109535046</v>
      </c>
    </row>
    <row r="9" customFormat="false" ht="17.15" hidden="false" customHeight="false" outlineLevel="0" collapsed="false">
      <c r="A9" s="0" t="s">
        <v>249</v>
      </c>
      <c r="B9" s="5" t="s">
        <v>250</v>
      </c>
      <c r="C9" s="0" t="s">
        <v>251</v>
      </c>
      <c r="E9" s="8" t="n">
        <f aca="false">-lag*(E8-D8)</f>
        <v>-3.33496721444297</v>
      </c>
      <c r="F9" s="8" t="n">
        <f aca="false">-lag*(F8-E8)</f>
        <v>-7.95971034595218</v>
      </c>
      <c r="G9" s="8" t="n">
        <f aca="false">-lag*(G8-F8)</f>
        <v>-4.55361175638166</v>
      </c>
      <c r="H9" s="8" t="n">
        <f aca="false">-lag*(H8-G8)</f>
        <v>-3.07028786713108</v>
      </c>
    </row>
    <row r="10" customFormat="false" ht="17.15" hidden="false" customHeight="false" outlineLevel="0" collapsed="false">
      <c r="A10" s="0" t="s">
        <v>252</v>
      </c>
      <c r="B10" s="5" t="s">
        <v>253</v>
      </c>
      <c r="C10" s="0" t="s">
        <v>254</v>
      </c>
      <c r="E10" s="8" t="n">
        <f aca="false">-inv_k*(E8-D8)</f>
        <v>-0.889324590518125</v>
      </c>
      <c r="F10" s="8" t="n">
        <f aca="false">-inv_k*(F8-E8)</f>
        <v>-2.12258942558725</v>
      </c>
      <c r="G10" s="8" t="n">
        <f aca="false">-inv_k*(G8-F8)</f>
        <v>-1.21429646836844</v>
      </c>
      <c r="H10" s="8" t="n">
        <f aca="false">-inv_k*(H8-G8)</f>
        <v>-0.818743431234956</v>
      </c>
    </row>
    <row r="11" customFormat="false" ht="17.15" hidden="false" customHeight="false" outlineLevel="0" collapsed="false">
      <c r="A11" s="0" t="s">
        <v>255</v>
      </c>
      <c r="B11" s="5" t="s">
        <v>256</v>
      </c>
      <c r="C11" s="5" t="s">
        <v>257</v>
      </c>
      <c r="E11" s="8" t="n">
        <f aca="false">-retire*wt_ye_2025</f>
        <v>-0.506742866666666</v>
      </c>
      <c r="F11" s="8" t="n">
        <f aca="false">-retire*wt_ye_2026</f>
        <v>-0.75705029588785</v>
      </c>
      <c r="G11" s="8" t="n">
        <f aca="false">-retire*wt_ye_2027</f>
        <v>-1.23629537440859</v>
      </c>
      <c r="H11" s="8" t="n">
        <f aca="false">-retire*wt_ye_2028</f>
        <v>-1.77476123039559</v>
      </c>
    </row>
    <row r="12" customFormat="false" ht="17.15" hidden="false" customHeight="false" outlineLevel="0" collapsed="false">
      <c r="A12" s="0" t="s">
        <v>258</v>
      </c>
      <c r="B12" s="5" t="s">
        <v>259</v>
      </c>
      <c r="C12" s="5" t="s">
        <v>260</v>
      </c>
      <c r="E12" s="8" t="n">
        <v>0</v>
      </c>
      <c r="F12" s="8" t="n">
        <v>0</v>
      </c>
      <c r="G12" s="8" t="n">
        <v>0</v>
      </c>
      <c r="H12" s="8" t="n">
        <v>0</v>
      </c>
    </row>
    <row r="13" customFormat="false" ht="17.15" hidden="false" customHeight="false" outlineLevel="0" collapsed="false">
      <c r="A13" s="0" t="s">
        <v>261</v>
      </c>
      <c r="B13" s="5" t="s">
        <v>262</v>
      </c>
      <c r="C13" s="0" t="s">
        <v>263</v>
      </c>
      <c r="E13" s="8" t="n">
        <f aca="false">cap_hp_2026/pgw_2026</f>
        <v>0.573299561940686</v>
      </c>
      <c r="F13" s="8" t="n">
        <f aca="false">cap_hp_2027/pgw_2027</f>
        <v>0</v>
      </c>
      <c r="G13" s="8" t="n">
        <f aca="false">cap_hp_2028/pgw_2028</f>
        <v>0</v>
      </c>
      <c r="H13" s="8" t="n">
        <f aca="false">cap_hp_2029/pgw_2029</f>
        <v>0</v>
      </c>
    </row>
    <row r="14" customFormat="false" ht="17.15" hidden="false" customHeight="false" outlineLevel="0" collapsed="false">
      <c r="A14" s="1" t="s">
        <v>264</v>
      </c>
      <c r="B14" s="1" t="s">
        <v>265</v>
      </c>
      <c r="C14" s="1" t="s">
        <v>266</v>
      </c>
      <c r="D14" s="1"/>
      <c r="E14" s="7" t="n">
        <f aca="false">E8+E9+E10+E11+E12</f>
        <v>20.2987830299704</v>
      </c>
      <c r="F14" s="7" t="n">
        <f aca="false">F8+F9+F10+F11+F12</f>
        <v>35.4163618900433</v>
      </c>
      <c r="G14" s="7" t="n">
        <f aca="false">G8+G9+G10+G11+G12</f>
        <v>51.3944730419963</v>
      </c>
      <c r="H14" s="7" t="n">
        <f aca="false">H8+H9+H10+H11+H12</f>
        <v>60.922318424743</v>
      </c>
    </row>
    <row r="15" customFormat="false" ht="17.15" hidden="false" customHeight="false" outlineLevel="0" collapsed="false">
      <c r="A15" s="1" t="s">
        <v>267</v>
      </c>
      <c r="B15" s="1" t="s">
        <v>268</v>
      </c>
      <c r="C15" s="1"/>
      <c r="D15" s="7" t="n">
        <f aca="false">wt_new_2025</f>
        <v>9.04912429484716</v>
      </c>
      <c r="E15" s="7" t="n">
        <f aca="false">wt_new_2026</f>
        <v>12.5153714610592</v>
      </c>
      <c r="F15" s="7" t="n">
        <f aca="false">wt_new_2027</f>
        <v>23.9622539260371</v>
      </c>
      <c r="G15" s="7" t="n">
        <f aca="false">wt_new_2028</f>
        <v>26.9232927993498</v>
      </c>
      <c r="H15" s="7" t="n">
        <f aca="false">wt_new_2029</f>
        <v>27.6634681049025</v>
      </c>
    </row>
    <row r="16" customFormat="false" ht="17.15" hidden="false" customHeight="false" outlineLevel="0" collapsed="false">
      <c r="A16" s="0" t="s">
        <v>269</v>
      </c>
      <c r="B16" s="5" t="s">
        <v>270</v>
      </c>
      <c r="C16" s="5" t="s">
        <v>271</v>
      </c>
      <c r="D16" s="8" t="n">
        <f aca="false">wt_site_2025</f>
        <v>9.04912429484716</v>
      </c>
      <c r="E16" s="8" t="n">
        <f aca="false">wt_site_2026</f>
        <v>12.5153714610592</v>
      </c>
      <c r="F16" s="8" t="n">
        <f aca="false">wt_site_2027</f>
        <v>12.6031451245072</v>
      </c>
      <c r="G16" s="8" t="n">
        <f aca="false">wt_site_2028</f>
        <v>19.2160473942424</v>
      </c>
      <c r="H16" s="8" t="n">
        <f aca="false">wt_site_2029</f>
        <v>6.47302133099745</v>
      </c>
    </row>
    <row r="17" customFormat="false" ht="17.15" hidden="false" customHeight="false" outlineLevel="0" collapsed="false">
      <c r="A17" s="1" t="s">
        <v>272</v>
      </c>
      <c r="B17" s="9" t="s">
        <v>273</v>
      </c>
      <c r="C17" s="1" t="s">
        <v>274</v>
      </c>
      <c r="D17" s="1"/>
      <c r="E17" s="7" t="n">
        <f aca="false">E14-E15</f>
        <v>7.78341156891115</v>
      </c>
      <c r="F17" s="7" t="n">
        <f aca="false">F14-F15</f>
        <v>11.4541079640062</v>
      </c>
      <c r="G17" s="7" t="n">
        <f aca="false">G14-G15</f>
        <v>24.4711802426465</v>
      </c>
      <c r="H17" s="7" t="n">
        <f aca="false">H14-H15</f>
        <v>33.2588503198405</v>
      </c>
    </row>
    <row r="18" customFormat="false" ht="17.15" hidden="false" customHeight="false" outlineLevel="0" collapsed="false">
      <c r="A18" s="0" t="s">
        <v>275</v>
      </c>
      <c r="B18" s="5" t="s">
        <v>276</v>
      </c>
      <c r="C18" s="0" t="s">
        <v>277</v>
      </c>
      <c r="E18" s="8" t="n">
        <f aca="false">E15/E4</f>
        <v>0.534855493239272</v>
      </c>
      <c r="F18" s="8" t="n">
        <f aca="false">F15/F4</f>
        <v>0.575368902020259</v>
      </c>
      <c r="G18" s="8" t="n">
        <f aca="false">G15/G4</f>
        <v>0.509986784430209</v>
      </c>
      <c r="H18" s="8" t="n">
        <f aca="false">H15/H4</f>
        <v>0.459995276016605</v>
      </c>
    </row>
    <row r="19" customFormat="false" ht="17.15" hidden="false" customHeight="false" outlineLevel="0" collapsed="false">
      <c r="A19" s="1" t="s">
        <v>278</v>
      </c>
      <c r="B19" s="9" t="s">
        <v>279</v>
      </c>
      <c r="C19" s="1"/>
      <c r="D19" s="1"/>
      <c r="E19" s="7" t="n">
        <f aca="false">E15/E14</f>
        <v>0.61655772380939</v>
      </c>
      <c r="F19" s="7" t="n">
        <f aca="false">F15/F14</f>
        <v>0.676587109665086</v>
      </c>
      <c r="G19" s="7" t="n">
        <f aca="false">G15/G14</f>
        <v>0.523855800162593</v>
      </c>
      <c r="H19" s="7" t="n">
        <f aca="false">H15/H14</f>
        <v>0.454077730792124</v>
      </c>
    </row>
    <row r="20" customFormat="false" ht="17.15" hidden="false" customHeight="false" outlineLevel="0" collapsed="false">
      <c r="A20" s="0" t="s">
        <v>280</v>
      </c>
      <c r="B20" s="5" t="s">
        <v>281</v>
      </c>
      <c r="E20" s="8" t="n">
        <f aca="false">E17/E4</f>
        <v>0.332630992753763</v>
      </c>
      <c r="F20" s="8" t="n">
        <f aca="false">F17/F4</f>
        <v>0.275029950989325</v>
      </c>
      <c r="G20" s="8" t="n">
        <f aca="false">G17/G4</f>
        <v>0.463538342659957</v>
      </c>
      <c r="H20" s="8" t="n">
        <f aca="false">H17/H4</f>
        <v>0.553036733313951</v>
      </c>
    </row>
    <row r="22" customFormat="false" ht="17.15" hidden="false" customHeight="false" outlineLevel="0" collapsed="false">
      <c r="A22" s="9" t="s">
        <v>282</v>
      </c>
    </row>
    <row r="23" customFormat="false" ht="17.15" hidden="false" customHeight="false" outlineLevel="0" collapsed="false">
      <c r="A23" s="2" t="s">
        <v>227</v>
      </c>
      <c r="B23" s="2" t="s">
        <v>283</v>
      </c>
      <c r="C23" s="2" t="s">
        <v>228</v>
      </c>
      <c r="D23" s="6" t="s">
        <v>284</v>
      </c>
      <c r="E23" s="6" t="s">
        <v>285</v>
      </c>
      <c r="F23" s="6" t="s">
        <v>286</v>
      </c>
      <c r="G23" s="6" t="s">
        <v>287</v>
      </c>
    </row>
    <row r="24" customFormat="false" ht="15" hidden="false" customHeight="false" outlineLevel="0" collapsed="false">
      <c r="B24" s="5" t="s">
        <v>5</v>
      </c>
      <c r="D24" s="8" t="n">
        <f aca="false">((dep_2026-((cap_amd_2026+cap_tpu_2026+cap_trn_2026+cap_oth_2026)/pgw_2026))*1+(cap_amd_2026/(pgw_vr*hold_amd)+cap_tpu_2026/(pgw_vr*hold_tpu)+cap_trn_2026/(pgw_vr*hold_trn)+cap_oth_2026/(pgw_vr*hold_oth)))-(lag+inv_k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25))-retire*wt_ye_2025</f>
        <v>20.2987830299704</v>
      </c>
      <c r="E24" s="8" t="n">
        <f aca="false">((dep_2027-((cap_amd_2027+cap_tpu_2027+cap_trn_2027+cap_oth_2027)/pgw_2027))*1+(cap_amd_2027/(pgw_vr*hold_amd)+cap_tpu_2027/(pgw_vr*hold_tpu)+cap_trn_2027/(pgw_vr*hold_trn)+cap_oth_2027/(pgw_vr*hold_oth)))-(lag+inv_k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*wt_ye_2026</f>
        <v>35.4163618900433</v>
      </c>
      <c r="F24" s="8" t="n">
        <f aca="false">D24-wt_new_2026</f>
        <v>7.78341156891115</v>
      </c>
      <c r="G24" s="8" t="n">
        <f aca="false">E24-wt_new_2027</f>
        <v>11.4541079640062</v>
      </c>
    </row>
    <row r="25" customFormat="false" ht="17.15" hidden="false" customHeight="false" outlineLevel="0" collapsed="false">
      <c r="B25" s="5" t="s">
        <v>288</v>
      </c>
      <c r="D25" s="8" t="n">
        <f aca="false">((dep_2026-((cap_amd_2026+cap_tpu_2026+cap_trn_2026+cap_oth_2026)/pgw_2026))*1+(cap_amd_2026/(pgw_vr*hold_amd)+cap_tpu_2026/(pgw_vr*hold_tpu)+cap_trn_2026/(pgw_vr*hold_trn)+cap_oth_2026/(pgw_vr*hold_oth)))-(lag_lo+inv_k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25))-retire*wt_ye_2025</f>
        <v>21.410438768118</v>
      </c>
      <c r="E25" s="8" t="n">
        <f aca="false">((dep_2027-((cap_amd_2027+cap_tpu_2027+cap_trn_2027+cap_oth_2027)/pgw_2027))*1+(cap_amd_2027/(pgw_vr*hold_amd)+cap_tpu_2027/(pgw_vr*hold_tpu)+cap_trn_2027/(pgw_vr*hold_trn)+cap_oth_2027/(pgw_vr*hold_oth)))-(lag_lo+inv_k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*wt_ye_2026</f>
        <v>38.0695986720274</v>
      </c>
      <c r="F25" s="8" t="n">
        <f aca="false">D25-wt_new_2026</f>
        <v>8.89506730705881</v>
      </c>
      <c r="G25" s="8" t="n">
        <f aca="false">E25-wt_new_2027</f>
        <v>14.1073447459903</v>
      </c>
    </row>
    <row r="26" customFormat="false" ht="17.15" hidden="false" customHeight="false" outlineLevel="0" collapsed="false">
      <c r="B26" s="5" t="s">
        <v>289</v>
      </c>
      <c r="D26" s="8" t="n">
        <f aca="false">((dep_2026-((cap_amd_2026+cap_tpu_2026+cap_trn_2026+cap_oth_2026)/pgw_2026))*1+(cap_amd_2026/(pgw_vr*hold_amd)+cap_tpu_2026/(pgw_vr*hold_tpu)+cap_trn_2026/(pgw_vr*hold_trn)+cap_oth_2026/(pgw_vr*hold_oth)))-(lag_hi+inv_k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25))-retire*wt_ye_2025</f>
        <v>19.1871272918227</v>
      </c>
      <c r="E26" s="8" t="n">
        <f aca="false">((dep_2027-((cap_amd_2027+cap_tpu_2027+cap_trn_2027+cap_oth_2027)/pgw_2027))*1+(cap_amd_2027/(pgw_vr*hold_amd)+cap_tpu_2027/(pgw_vr*hold_tpu)+cap_trn_2027/(pgw_vr*hold_trn)+cap_oth_2027/(pgw_vr*hold_oth)))-(lag_hi+inv_k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*wt_ye_2026</f>
        <v>32.7631251080593</v>
      </c>
      <c r="F26" s="8" t="n">
        <f aca="false">D26-wt_new_2026</f>
        <v>6.67175583076349</v>
      </c>
      <c r="G26" s="8" t="n">
        <f aca="false">E26-wt_new_2027</f>
        <v>8.80087118202216</v>
      </c>
    </row>
    <row r="27" customFormat="false" ht="15" hidden="false" customHeight="false" outlineLevel="0" collapsed="false">
      <c r="B27" s="5" t="s">
        <v>290</v>
      </c>
      <c r="D27" s="8" t="n">
        <f aca="false">((dep_2026-((cap_amd_2026+cap_tpu_2026+cap_trn_2026+cap_oth_2026)/pgw_2026))*1+(cap_amd_2026/(pgw_vr*hold_amd)+cap_tpu_2026/(pgw_vr*hold_tpu)+cap_trn_2026/(pgw_vr*hold_trn)+cap_oth_2026/(pgw_vr*hold_oth)))-(lag+inv_k_lo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25))-retire*wt_ye_2025</f>
        <v>20.7434453252294</v>
      </c>
      <c r="E27" s="8" t="n">
        <f aca="false">((dep_2027-((cap_amd_2027+cap_tpu_2027+cap_trn_2027+cap_oth_2027)/pgw_2027))*1+(cap_amd_2027/(pgw_vr*hold_amd)+cap_tpu_2027/(pgw_vr*hold_tpu)+cap_trn_2027/(pgw_vr*hold_trn)+cap_oth_2027/(pgw_vr*hold_oth)))-(lag+inv_k_lo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*wt_ye_2026</f>
        <v>36.4776566028369</v>
      </c>
      <c r="F27" s="8" t="n">
        <f aca="false">D27-wt_new_2026</f>
        <v>8.22807386417021</v>
      </c>
      <c r="G27" s="8" t="n">
        <f aca="false">E27-wt_new_2027</f>
        <v>12.5154026767998</v>
      </c>
    </row>
    <row r="28" customFormat="false" ht="15" hidden="false" customHeight="false" outlineLevel="0" collapsed="false">
      <c r="B28" s="5" t="s">
        <v>291</v>
      </c>
      <c r="D28" s="8" t="n">
        <f aca="false">((dep_2026-((cap_amd_2026+cap_tpu_2026+cap_trn_2026+cap_oth_2026)/pgw_2026))*1+(cap_amd_2026/(pgw_vr*hold_amd)+cap_tpu_2026/(pgw_vr*hold_tpu)+cap_trn_2026/(pgw_vr*hold_trn)+cap_oth_2026/(pgw_vr*hold_oth)))-(lag+inv_k_hi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25))-retire*wt_ye_2025</f>
        <v>19.4094584394522</v>
      </c>
      <c r="E28" s="8" t="n">
        <f aca="false">((dep_2027-((cap_amd_2027+cap_tpu_2027+cap_trn_2027+cap_oth_2027)/pgw_2027))*1+(cap_amd_2027/(pgw_vr*hold_amd)+cap_tpu_2027/(pgw_vr*hold_tpu)+cap_trn_2027/(pgw_vr*hold_trn)+cap_oth_2027/(pgw_vr*hold_oth)))-(lag+inv_k_hi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*wt_ye_2026</f>
        <v>33.2937724644561</v>
      </c>
      <c r="F28" s="8" t="n">
        <f aca="false">D28-wt_new_2026</f>
        <v>6.89408697839303</v>
      </c>
      <c r="G28" s="8" t="n">
        <f aca="false">E28-wt_new_2027</f>
        <v>9.33151853841897</v>
      </c>
    </row>
    <row r="29" customFormat="false" ht="17.15" hidden="false" customHeight="false" outlineLevel="0" collapsed="false">
      <c r="B29" s="5" t="s">
        <v>292</v>
      </c>
      <c r="D29" s="8" t="n">
        <f aca="false">((dep_2026-((cap_amd_2026+cap_tpu_2026+cap_trn_2026+cap_oth_2026)/pgw_2026))*1+(cap_amd_2026/(pgw_vr*hold_amd)+cap_tpu_2026/(pgw_vr*hold_tpu)+cap_trn_2026/(pgw_vr*hold_trn)+cap_oth_2026/(pgw_vr*hold_oth)))-(lag+inv_k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25))-retire_lo*wt_ye_2025</f>
        <v>20.805525896637</v>
      </c>
      <c r="E29" s="8" t="n">
        <f aca="false">((dep_2027-((cap_amd_2027+cap_tpu_2027+cap_trn_2027+cap_oth_2027)/pgw_2027))*1+(cap_amd_2027/(pgw_vr*hold_amd)+cap_tpu_2027/(pgw_vr*hold_tpu)+cap_trn_2027/(pgw_vr*hold_trn)+cap_oth_2027/(pgw_vr*hold_oth)))-(lag+inv_k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_lo*wt_ye_2026</f>
        <v>36.1734121859312</v>
      </c>
      <c r="F29" s="8" t="n">
        <f aca="false">D29-wt_new_2026</f>
        <v>8.29015443557782</v>
      </c>
      <c r="G29" s="8" t="n">
        <f aca="false">E29-wt_new_2027</f>
        <v>12.2111582598941</v>
      </c>
    </row>
    <row r="30" customFormat="false" ht="15" hidden="false" customHeight="false" outlineLevel="0" collapsed="false">
      <c r="B30" s="5" t="s">
        <v>293</v>
      </c>
      <c r="D30" s="8" t="n">
        <f aca="false">((dep_2026-((cap_amd_2026+cap_tpu_2026+cap_trn_2026+cap_oth_2026)/pgw_2026))*1+(cap_amd_2026/(pgw_vr*hold_amd)+cap_tpu_2026/(pgw_vr*hold_tpu)+cap_trn_2026/(pgw_vr*hold_trn)+cap_oth_2026/(pgw_vr*hold_oth)))-(lag+inv_k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25))-retire_hi*wt_ye_2025</f>
        <v>19.5386687299704</v>
      </c>
      <c r="E30" s="8" t="n">
        <f aca="false">((dep_2027-((cap_amd_2027+cap_tpu_2027+cap_trn_2027+cap_oth_2027)/pgw_2027))*1+(cap_amd_2027/(pgw_vr*hold_amd)+cap_tpu_2027/(pgw_vr*hold_tpu)+cap_trn_2027/(pgw_vr*hold_trn)+cap_oth_2027/(pgw_vr*hold_oth)))-(lag+inv_k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_hi*wt_ye_2026</f>
        <v>34.2807864462115</v>
      </c>
      <c r="F30" s="8" t="n">
        <f aca="false">D30-wt_new_2026</f>
        <v>7.02329726891115</v>
      </c>
      <c r="G30" s="8" t="n">
        <f aca="false">E30-wt_new_2027</f>
        <v>10.3185325201744</v>
      </c>
    </row>
    <row r="31" customFormat="false" ht="17.15" hidden="false" customHeight="false" outlineLevel="0" collapsed="false">
      <c r="B31" s="5" t="s">
        <v>294</v>
      </c>
      <c r="D31" s="8" t="n">
        <f aca="false">((dep_2026-((cap_amd_2026+cap_tpu_2026+cap_trn_2026+cap_oth_2026)/pgw_2026))*1+(cap_amd_2026/(pgw_vr*hold_amd_lo)+cap_tpu_2026/(pgw_vr*hold_tpu_lo)+cap_trn_2026/(pgw_vr*hold_trn_lo)+cap_oth_2026/(pgw_vr*hold_oth_lo)))-(lag+inv_k)*(((dep_2026-((cap_amd_2026+cap_tpu_2026+cap_trn_2026+cap_oth_2026)/pgw_2026))*1+(cap_amd_2026/(pgw_vr*hold_amd_lo)+cap_tpu_2026/(pgw_vr*hold_tpu_lo)+cap_trn_2026/(pgw_vr*hold_trn_lo)+cap_oth_2026/(pgw_vr*hold_oth_lo)))-((dep_2026-((cap_amd_2026+cap_tpu_2026+cap_trn_2026+cap_oth_2026)/pgw_2026))*1*(nv_dc_25/nv_dc_26)*(pgw_2026/pgw_25)+(cap_amd_2026/(pgw_vr*hold_amd_lo)+cap_tpu_2026/(pgw_vr*hold_tpu_lo)+cap_trn_2026/(pgw_vr*hold_trn_lo)+cap_oth_2026/(pgw_vr*hold_oth_lo))*nonnv_25))-retire*wt_ye_2025</f>
        <v>21.368626680784</v>
      </c>
      <c r="E31" s="8" t="n">
        <f aca="false">((dep_2027-((cap_amd_2027+cap_tpu_2027+cap_trn_2027+cap_oth_2027)/pgw_2027))*1+(cap_amd_2027/(pgw_vr*hold_amd_lo)+cap_tpu_2027/(pgw_vr*hold_tpu_lo)+cap_trn_2027/(pgw_vr*hold_trn_lo)+cap_oth_2027/(pgw_vr*hold_oth_lo)))-(lag+inv_k)*(((dep_2027-((cap_amd_2027+cap_tpu_2027+cap_trn_2027+cap_oth_2027)/pgw_2027))*1+(cap_amd_2027/(pgw_vr*hold_amd_lo)+cap_tpu_2027/(pgw_vr*hold_tpu_lo)+cap_trn_2027/(pgw_vr*hold_trn_lo)+cap_oth_2027/(pgw_vr*hold_oth_lo)))-((dep_2026-((cap_amd_2026+cap_tpu_2026+cap_trn_2026+cap_oth_2026)/pgw_2026))*1+(cap_amd_2026/(pgw_vr*hold_amd_lo)+cap_tpu_2026/(pgw_vr*hold_tpu_lo)+cap_trn_2026/(pgw_vr*hold_trn_lo)+cap_oth_2026/(pgw_vr*hold_oth_lo))))-retire*wt_ye_2026</f>
        <v>37.7181746868716</v>
      </c>
      <c r="F31" s="8" t="n">
        <f aca="false">D31-wt_new_2026</f>
        <v>8.85325521972477</v>
      </c>
      <c r="G31" s="8" t="n">
        <f aca="false">E31-wt_new_2027</f>
        <v>13.7559207608345</v>
      </c>
    </row>
    <row r="32" customFormat="false" ht="15" hidden="false" customHeight="false" outlineLevel="0" collapsed="false">
      <c r="B32" s="5" t="s">
        <v>295</v>
      </c>
      <c r="D32" s="8" t="n">
        <f aca="false">((dep_2026-((cap_amd_2026+cap_tpu_2026+cap_trn_2026+cap_oth_2026)/pgw_2026))*1+(cap_amd_2026/(pgw_vr*hold_amd_hi)+cap_tpu_2026/(pgw_vr*hold_tpu_hi)+cap_trn_2026/(pgw_vr*hold_trn_hi)+cap_oth_2026/(pgw_vr*hold_oth_hi)))-(lag+inv_k)*(((dep_2026-((cap_amd_2026+cap_tpu_2026+cap_trn_2026+cap_oth_2026)/pgw_2026))*1+(cap_amd_2026/(pgw_vr*hold_amd_hi)+cap_tpu_2026/(pgw_vr*hold_tpu_hi)+cap_trn_2026/(pgw_vr*hold_trn_hi)+cap_oth_2026/(pgw_vr*hold_oth_hi)))-((dep_2026-((cap_amd_2026+cap_tpu_2026+cap_trn_2026+cap_oth_2026)/pgw_2026))*1*(nv_dc_25/nv_dc_26)*(pgw_2026/pgw_25)+(cap_amd_2026/(pgw_vr*hold_amd_hi)+cap_tpu_2026/(pgw_vr*hold_tpu_hi)+cap_trn_2026/(pgw_vr*hold_trn_hi)+cap_oth_2026/(pgw_vr*hold_oth_hi))*nonnv_25))-retire*wt_ye_2025</f>
        <v>19.1386365836912</v>
      </c>
      <c r="E32" s="8" t="n">
        <f aca="false">((dep_2027-((cap_amd_2027+cap_tpu_2027+cap_trn_2027+cap_oth_2027)/pgw_2027))*1+(cap_amd_2027/(pgw_vr*hold_amd_hi)+cap_tpu_2027/(pgw_vr*hold_tpu_hi)+cap_trn_2027/(pgw_vr*hold_trn_hi)+cap_oth_2027/(pgw_vr*hold_oth_hi)))-(lag+inv_k)*(((dep_2027-((cap_amd_2027+cap_tpu_2027+cap_trn_2027+cap_oth_2027)/pgw_2027))*1+(cap_amd_2027/(pgw_vr*hold_amd_hi)+cap_tpu_2027/(pgw_vr*hold_tpu_hi)+cap_trn_2027/(pgw_vr*hold_trn_hi)+cap_oth_2027/(pgw_vr*hold_oth_hi)))-((dep_2026-((cap_amd_2026+cap_tpu_2026+cap_trn_2026+cap_oth_2026)/pgw_2026))*1+(cap_amd_2026/(pgw_vr*hold_amd_hi)+cap_tpu_2026/(pgw_vr*hold_tpu_hi)+cap_trn_2026/(pgw_vr*hold_trn_hi)+cap_oth_2026/(pgw_vr*hold_oth_hi))))-retire*wt_ye_2026</f>
        <v>32.9864422077119</v>
      </c>
      <c r="F32" s="8" t="n">
        <f aca="false">D32-wt_new_2026</f>
        <v>6.62326512263205</v>
      </c>
      <c r="G32" s="8" t="n">
        <f aca="false">E32-wt_new_2027</f>
        <v>9.02418828167482</v>
      </c>
    </row>
    <row r="33" customFormat="false" ht="17.15" hidden="false" customHeight="false" outlineLevel="0" collapsed="false">
      <c r="B33" s="0" t="s">
        <v>296</v>
      </c>
      <c r="D33" s="8" t="n">
        <f aca="false">((dep_2026-((cap_amd_2026+cap_tpu_2026+cap_trn_2026+cap_oth_2026)/pgw_2026))*1+(cap_amd_2026/(pgw_vr*hold_amd)+cap_tpu_2026/(pgw_vr*hold_tpu)+cap_trn_2026/(pgw_vr*hold_trn)+cap_oth_2026/(pgw_vr*hold_oth)))-(lag+inv_k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_lo))-retire*wt_ye_2025</f>
        <v>19.9565794835235</v>
      </c>
      <c r="E33" s="8" t="n">
        <f aca="false">((dep_2027-((cap_amd_2027+cap_tpu_2027+cap_trn_2027+cap_oth_2027)/pgw_2027))*1+(cap_amd_2027/(pgw_vr*hold_amd)+cap_tpu_2027/(pgw_vr*hold_tpu)+cap_trn_2027/(pgw_vr*hold_trn)+cap_oth_2027/(pgw_vr*hold_oth)))-(lag+inv_k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*wt_ye_2026</f>
        <v>35.4163618900433</v>
      </c>
      <c r="F33" s="8" t="n">
        <f aca="false">D33-wt_new_2026</f>
        <v>7.44120802246434</v>
      </c>
      <c r="G33" s="8" t="n">
        <f aca="false">E33-wt_new_2027</f>
        <v>11.4541079640062</v>
      </c>
    </row>
    <row r="34" customFormat="false" ht="17.15" hidden="false" customHeight="false" outlineLevel="0" collapsed="false">
      <c r="B34" s="0" t="s">
        <v>297</v>
      </c>
      <c r="D34" s="8" t="n">
        <f aca="false">((dep_2026-((cap_amd_2026+cap_tpu_2026+cap_trn_2026+cap_oth_2026)/pgw_2026))*1+(cap_amd_2026/(pgw_vr*hold_amd)+cap_tpu_2026/(pgw_vr*hold_tpu)+cap_trn_2026/(pgw_vr*hold_trn)+cap_oth_2026/(pgw_vr*hold_oth)))-(lag+inv_k)*(((dep_2026-((cap_amd_2026+cap_tpu_2026+cap_trn_2026+cap_oth_2026)/pgw_2026))*1+(cap_amd_2026/(pgw_vr*hold_amd)+cap_tpu_2026/(pgw_vr*hold_tpu)+cap_trn_2026/(pgw_vr*hold_trn)+cap_oth_2026/(pgw_vr*hold_oth)))-((dep_2026-((cap_amd_2026+cap_tpu_2026+cap_trn_2026+cap_oth_2026)/pgw_2026))*1*(nv_dc_25/nv_dc_26)*(pgw_2026/pgw_25)+(cap_amd_2026/(pgw_vr*hold_amd)+cap_tpu_2026/(pgw_vr*hold_tpu)+cap_trn_2026/(pgw_vr*hold_trn)+cap_oth_2026/(pgw_vr*hold_oth))*nonnv_25_hi))-retire*wt_ye_2025</f>
        <v>20.8120883496406</v>
      </c>
      <c r="E34" s="8" t="n">
        <f aca="false">((dep_2027-((cap_amd_2027+cap_tpu_2027+cap_trn_2027+cap_oth_2027)/pgw_2027))*1+(cap_amd_2027/(pgw_vr*hold_amd)+cap_tpu_2027/(pgw_vr*hold_tpu)+cap_trn_2027/(pgw_vr*hold_trn)+cap_oth_2027/(pgw_vr*hold_oth)))-(lag+inv_k)*(((dep_2027-((cap_amd_2027+cap_tpu_2027+cap_trn_2027+cap_oth_2027)/pgw_2027))*1+(cap_amd_2027/(pgw_vr*hold_amd)+cap_tpu_2027/(pgw_vr*hold_tpu)+cap_trn_2027/(pgw_vr*hold_trn)+cap_oth_2027/(pgw_vr*hold_oth)))-((dep_2026-((cap_amd_2026+cap_tpu_2026+cap_trn_2026+cap_oth_2026)/pgw_2026))*1+(cap_amd_2026/(pgw_vr*hold_amd)+cap_tpu_2026/(pgw_vr*hold_tpu)+cap_trn_2026/(pgw_vr*hold_trn)+cap_oth_2026/(pgw_vr*hold_oth))))-retire*wt_ye_2026</f>
        <v>35.4163618900433</v>
      </c>
      <c r="F34" s="8" t="n">
        <f aca="false">D34-wt_new_2026</f>
        <v>8.29671688858137</v>
      </c>
      <c r="G34" s="8" t="n">
        <f aca="false">E34-wt_new_2027</f>
        <v>11.4541079640062</v>
      </c>
    </row>
    <row r="35" customFormat="false" ht="17.15" hidden="false" customHeight="false" outlineLevel="0" collapsed="false">
      <c r="B35" s="0" t="s">
        <v>298</v>
      </c>
      <c r="C35" s="0" t="s">
        <v>299</v>
      </c>
      <c r="D35" s="8" t="n">
        <f aca="false">((dep_2026-((cap_amd_2026+cap_tpu_2026+cap_trn_2026+cap_oth_2026)/pgw_2026))*(nvc_gb_tk/nvc_gb_jh)+(cap_amd_2026/(pgw_vr*hold_amd)+cap_tpu_2026/(pgw_vr*hold_tpu)+cap_trn_2026/(pgw_vr*hold_trn)+cap_oth_2026/(pgw_vr*hold_oth)))-(lag+inv_k)*(((dep_2026-((cap_amd_2026+cap_tpu_2026+cap_trn_2026+cap_oth_2026)/pgw_2026))*(nvc_gb_tk/nvc_gb_jh)+(cap_amd_2026/(pgw_vr*hold_amd)+cap_tpu_2026/(pgw_vr*hold_tpu)+cap_trn_2026/(pgw_vr*hold_trn)+cap_oth_2026/(pgw_vr*hold_oth)))-((dep_2026-((cap_amd_2026+cap_tpu_2026+cap_trn_2026+cap_oth_2026)/pgw_2026))*(nvc_gb_tk/nvc_gb_jh)*(nv_dc_25/nv_dc_26)*(pgw_2026/pgw_25)+(cap_amd_2026/(pgw_vr*hold_amd)+cap_tpu_2026/(pgw_vr*hold_tpu)+cap_trn_2026/(pgw_vr*hold_trn)+cap_oth_2026/(pgw_vr*hold_oth))*nonnv_25))-retire*wt_ye_2025</f>
        <v>17.807765895597</v>
      </c>
      <c r="E35" s="8" t="n">
        <f aca="false">((dep_2027-((cap_amd_2027+cap_tpu_2027+cap_trn_2027+cap_oth_2027)/pgw_2027))*(nvc_gb_tk/nvc_gb_jh)+(cap_amd_2027/(pgw_vr*hold_amd)+cap_tpu_2027/(pgw_vr*hold_tpu)+cap_trn_2027/(pgw_vr*hold_trn)+cap_oth_2027/(pgw_vr*hold_oth)))-(lag+inv_k)*(((dep_2027-((cap_amd_2027+cap_tpu_2027+cap_trn_2027+cap_oth_2027)/pgw_2027))*(nvc_gb_tk/nvc_gb_jh)+(cap_amd_2027/(pgw_vr*hold_amd)+cap_tpu_2027/(pgw_vr*hold_tpu)+cap_trn_2027/(pgw_vr*hold_trn)+cap_oth_2027/(pgw_vr*hold_oth)))-((dep_2026-((cap_amd_2026+cap_tpu_2026+cap_trn_2026+cap_oth_2026)/pgw_2026))*(nvc_gb_tk/nvc_gb_jh)+(cap_amd_2026/(pgw_vr*hold_amd)+cap_tpu_2026/(pgw_vr*hold_tpu)+cap_trn_2026/(pgw_vr*hold_trn)+cap_oth_2026/(pgw_vr*hold_oth))))-retire*wt_ye_2026</f>
        <v>31.3627863182407</v>
      </c>
      <c r="F35" s="8" t="n">
        <f aca="false">D35-wt_new_2026</f>
        <v>5.29239443453785</v>
      </c>
      <c r="G35" s="8" t="n">
        <f aca="false">E35-wt_new_2027</f>
        <v>7.40053239220361</v>
      </c>
    </row>
    <row r="38" customFormat="false" ht="17.15" hidden="false" customHeight="false" outlineLevel="0" collapsed="false">
      <c r="A38" s="5" t="s">
        <v>300</v>
      </c>
    </row>
    <row r="39" customFormat="false" ht="17.15" hidden="false" customHeight="false" outlineLevel="0" collapsed="false">
      <c r="A39" s="5" t="s">
        <v>301</v>
      </c>
    </row>
    <row r="40" customFormat="false" ht="17.15" hidden="false" customHeight="false" outlineLevel="0" collapsed="false">
      <c r="A40" s="5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2026-10-31T02:56:25Z</dcterms:created>
  <dc:creator>openpyxl</dc:creator>
  <dc:description/>
  <dc:language>en-US</dc:language>
  <cp:lastModifiedBy/>
  <dcterms:modified xsi:type="dcterms:W3CDTF">2026-10-31T02:56:25Z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