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Checks!$C$104</definedName>
    <definedName function="false" hidden="false" name="SGOV_Warn" vbProcedure="false">Checks!$C$105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Interface!$E$680:$H$680</definedName>
    <definedName function="false" hidden="false" name="SIF_ABFDemIdx_B" vbProcedure="false">Interface!$E$681:$H$681</definedName>
    <definedName function="false" hidden="false" name="SIF_ABFDemIdx_C" vbProcedure="false">Interface!$E$682:$H$682</definedName>
    <definedName function="false" hidden="false" name="SIF_ABFFilmIdx" vbProcedure="false">Interface!$E$684:$H$684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Interface!$E$686:$H$686</definedName>
    <definedName function="false" hidden="false" name="SIF_ABFGap_B" vbProcedure="false">Interface!$E$687:$H$687</definedName>
    <definedName function="false" hidden="false" name="SIF_ABFGap_C" vbProcedure="false">Interface!$E$688:$H$688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Interface!$E$667:$H$667</definedName>
    <definedName function="false" hidden="false" name="SIF_ABFShareSum_ot" vbProcedure="false">Interface!$E$668:$H$668</definedName>
    <definedName function="false" hidden="false" name="SIF_ABFSubCapIdx" vbProcedure="false">Interface!$E$683:$H$683</definedName>
    <definedName function="false" hidden="false" name="SIF_ABFSupIdx" vbProcedure="false">Interface!$E$685:$H$685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Interface!$E$671:$H$671</definedName>
    <definedName function="false" hidden="false" name="SIF_AIITCapex_B" vbProcedure="false">Interface!$E$672:$H$672</definedName>
    <definedName function="false" hidden="false" name="SIF_AIITCapex_C" vbProcedure="false">Interface!$E$673:$H$673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Interface!$E$662:$G$662</definedName>
    <definedName function="false" hidden="false" name="SIF_ASICShareSum_tpu" vbProcedure="false">Interface!$E$661:$G$661</definedName>
    <definedName function="false" hidden="false" name="SIF_ASICShareSum_trnA" vbProcedure="false">Interface!$E$663:$G$663</definedName>
    <definedName function="false" hidden="false" name="SIF_ASICShareSum_trnB" vbProcedure="false">Interface!$E$664:$G$664</definedName>
    <definedName function="false" hidden="false" name="SIF_ASICShareSum_trnC" vbProcedure="false">Interface!$E$665:$G$665</definedName>
    <definedName function="false" hidden="false" name="SIF_AsmMkt_A" vbProcedure="false">Interface!$E$702:$H$702</definedName>
    <definedName function="false" hidden="false" name="SIF_AsmMkt_B" vbProcedure="false">Interface!$E$703:$H$703</definedName>
    <definedName function="false" hidden="false" name="SIF_AsmMkt_C" vbProcedure="false">Interface!$E$704:$H$704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CCLMkt_A" vbProcedure="false">Interface!$E$696:$H$696</definedName>
    <definedName function="false" hidden="false" name="SIF_CCLMkt_B" vbProcedure="false">Interface!$E$697:$H$697</definedName>
    <definedName function="false" hidden="false" name="SIF_CCLMkt_C" vbProcedure="false">Interface!$E$698:$H$698</definedName>
    <definedName function="false" hidden="false" name="SIF_CCLperGW" vbProcedure="false">Interface!$E$692:$H$692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Interface!$E$666:$G$666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Interface!$E$675:$H$675</definedName>
    <definedName function="false" hidden="false" name="SIF_DeployGW_B" vbProcedure="false">Interface!$E$676:$H$676</definedName>
    <definedName function="false" hidden="false" name="SIF_DeployGW_C" vbProcedure="false">Interface!$E$677:$H$677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Interface!$E$709:$H$709</definedName>
    <definedName function="false" hidden="false" name="SIF_GPUSysMkt_B" vbProcedure="false">Interface!$E$710:$H$710</definedName>
    <definedName function="false" hidden="false" name="SIF_GPUSysMkt_C" vbProcedure="false">Interface!$E$711:$H$711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Interface!$D$736:$H$736</definedName>
    <definedName function="false" hidden="false" name="SIF_HBMHybrid_B" vbProcedure="false">Interface!$D$737:$H$737</definedName>
    <definedName function="false" hidden="false" name="SIF_HBMHybrid_C" vbProcedure="false">Interface!$D$738:$H$738</definedName>
    <definedName function="false" hidden="false" name="SIF_HBMShareSum" vbProcedure="false">Interface!$D$746:$H$746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Interface!$D$624:$H$624</definedName>
    <definedName function="false" hidden="false" name="SIF_HBM_DemandGrossEB" vbProcedure="false">Interface!$D$625:$H$625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Interface!$D$631:$H$631</definedName>
    <definedName function="false" hidden="false" name="SIF_HBM_GapEB_B" vbProcedure="false">Interface!$D$636:$H$636</definedName>
    <definedName function="false" hidden="false" name="SIF_HBM_GapEB_C" vbProcedure="false">Interface!$D$641:$H$641</definedName>
    <definedName function="false" hidden="false" name="SIF_HBM_GBperUnit" vbProcedure="false">Interface!$D$627:$H$627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Interface!$D$633:$H$633</definedName>
    <definedName function="false" hidden="false" name="SIF_HBM_Mkt_B" vbProcedure="false">Interface!$D$638:$H$638</definedName>
    <definedName function="false" hidden="false" name="SIF_HBM_Mkt_C" vbProcedure="false">Interface!$D$643:$H$643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Interface!$D$632:$H$632</definedName>
    <definedName function="false" hidden="false" name="SIF_HBM_Price_B" vbProcedure="false">Interface!$D$637:$H$637</definedName>
    <definedName function="false" hidden="false" name="SIF_HBM_Price_C" vbProcedure="false">Interface!$D$642:$H$642</definedName>
    <definedName function="false" hidden="false" name="SIF_HBM_ShipEB_A" vbProcedure="false">Interface!$D$630:$H$630</definedName>
    <definedName function="false" hidden="false" name="SIF_HBM_ShipEB_B" vbProcedure="false">Interface!$D$635:$H$635</definedName>
    <definedName function="false" hidden="false" name="SIF_HBM_ShipEB_C" vbProcedure="false">Interface!$D$640:$H$640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Interface!$D$628:$H$628</definedName>
    <definedName function="false" hidden="false" name="SIF_ITCapexPerGW" vbProcedure="false">Interface!$E$674:$H$674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Interface!$E$719:$H$719</definedName>
    <definedName function="false" hidden="false" name="SIF_LiqMkt_B" vbProcedure="false">Interface!$E$720:$H$720</definedName>
    <definedName function="false" hidden="false" name="SIF_LiqMkt_C" vbProcedure="false">Interface!$E$721:$H$721</definedName>
    <definedName function="false" hidden="false" name="SIF_LiqPen_A" vbProcedure="false">Interface!$E$716:$H$716</definedName>
    <definedName function="false" hidden="false" name="SIF_LiqPen_B" vbProcedure="false">Interface!$E$717:$H$717</definedName>
    <definedName function="false" hidden="false" name="SIF_LiqPen_C" vbProcedure="false">Interface!$E$718:$H$718</definedName>
    <definedName function="false" hidden="false" name="SIF_LiqPerGW" vbProcedure="false">Interface!$E$715:$H$715</definedName>
    <definedName function="false" hidden="false" name="SIF_LiqShareSum_A" vbProcedure="false">Interface!$E$741:$H$741</definedName>
    <definedName function="false" hidden="false" name="SIF_LiqShareSum_B" vbProcedure="false">Interface!$E$742:$H$742</definedName>
    <definedName function="false" hidden="false" name="SIF_LiqShareSum_C" vbProcedure="false">Interface!$E$743:$H$743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Interface!$E$701:$H$701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Interface!$E$693:$H$693</definedName>
    <definedName function="false" hidden="false" name="SIF_PCBMkt_B" vbProcedure="false">Interface!$E$694:$H$694</definedName>
    <definedName function="false" hidden="false" name="SIF_PCBMkt_C" vbProcedure="false">Interface!$E$695:$H$695</definedName>
    <definedName function="false" hidden="false" name="SIF_PCBperGW" vbProcedure="false">Interface!$E$691:$H$691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Interface!$E$712:$H$712</definedName>
    <definedName function="false" hidden="false" name="SIF_PwrMkt_B" vbProcedure="false">Interface!$E$713:$H$713</definedName>
    <definedName function="false" hidden="false" name="SIF_PwrMkt_C" vbProcedure="false">Interface!$E$714:$H$714</definedName>
    <definedName function="false" hidden="false" name="SIF_PwrShareSum_A" vbProcedure="false">Interface!$E$749:$H$749</definedName>
    <definedName function="false" hidden="false" name="SIF_PwrShareSum_B" vbProcedure="false">Interface!$E$750:$H$750</definedName>
    <definedName function="false" hidden="false" name="SIF_PwrShareSum_C" vbProcedure="false">Interface!$E$751:$H$751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Interface!$D$724:$H$724</definedName>
    <definedName function="false" hidden="false" name="SIF_SEMI_FoundryLogic" vbProcedure="false">Interface!$D$726:$H$726</definedName>
    <definedName function="false" hidden="false" name="SIF_SEMI_NAND" vbProcedure="false">Interface!$D$725:$H$725</definedName>
    <definedName function="false" hidden="false" name="SIF_SEMI_Pkg" vbProcedure="false">Interface!$D$729:$H$729</definedName>
    <definedName function="false" hidden="false" name="SIF_SEMI_Test" vbProcedure="false">Interface!$D$728:$H$728</definedName>
    <definedName function="false" hidden="false" name="SIF_SEMI_Total" vbProcedure="false">Interface!$D$730:$H$730</definedName>
    <definedName function="false" hidden="false" name="SIF_SEMI_WFE" vbProcedure="false">Interface!$D$727:$H$727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Interface!$E$707:$H$707</definedName>
    <definedName function="false" hidden="false" name="SIF_SysUnitsVR" vbProcedure="false">Interface!$E$708:$H$708</definedName>
    <definedName function="false" hidden="false" name="SIF_SysValGB" vbProcedure="false">Interface!$E$705:$H$705</definedName>
    <definedName function="false" hidden="false" name="SIF_SysValVR" vbProcedure="false">Interface!$E$706:$H$706</definedName>
    <definedName function="false" hidden="false" name="SIF_TestSoCMkt_A" vbProcedure="false">Interface!$D$731:$H$731</definedName>
    <definedName function="false" hidden="false" name="SIF_TestSoCMkt_B" vbProcedure="false">Interface!$D$732:$H$732</definedName>
    <definedName function="false" hidden="false" name="SIF_TestSoCMkt_C" vbProcedure="false">Interface!$D$733:$H$733</definedName>
    <definedName function="false" hidden="false" name="SIF_TestWFE_SEMI" vbProcedure="false">Interface!$D$734:$H$734</definedName>
    <definedName function="false" hidden="false" name="SIF_TestWFE_SoC" vbProcedure="false">Interface!$D$735:$H$735</definedName>
    <definedName function="false" hidden="false" name="SIF_TK_CapexFacility_GB200" vbProcedure="false">Interface!$E$771</definedName>
    <definedName function="false" hidden="false" name="SIF_TK_CapexFacility_GB200_hi" vbProcedure="false">Interface!$F$771</definedName>
    <definedName function="false" hidden="false" name="SIF_TK_CapexFacility_GB200_lo" vbProcedure="false">Interface!$D$771</definedName>
    <definedName function="false" hidden="false" name="SIF_TK_CapexFacility_GB300" vbProcedure="false">Interface!$E$772</definedName>
    <definedName function="false" hidden="false" name="SIF_TK_CapexFacility_GB300_hi" vbProcedure="false">Interface!$F$772</definedName>
    <definedName function="false" hidden="false" name="SIF_TK_CapexFacility_GB300_lo" vbProcedure="false">Interface!$D$772</definedName>
    <definedName function="false" hidden="false" name="SIF_TK_CapexFacility_H100" vbProcedure="false">Interface!$E$770</definedName>
    <definedName function="false" hidden="false" name="SIF_TK_CapexFacility_H100_hi" vbProcedure="false">Interface!$F$770</definedName>
    <definedName function="false" hidden="false" name="SIF_TK_CapexFacility_H100_lo" vbProcedure="false">Interface!$D$770</definedName>
    <definedName function="false" hidden="false" name="SIF_TK_CapexFacility_RU" vbProcedure="false">Interface!$E$774</definedName>
    <definedName function="false" hidden="false" name="SIF_TK_CapexFacility_RU_hi" vbProcedure="false">Interface!$F$774</definedName>
    <definedName function="false" hidden="false" name="SIF_TK_CapexFacility_RU_lo" vbProcedure="false">Interface!$D$774</definedName>
    <definedName function="false" hidden="false" name="SIF_TK_CapexFacility_VR200" vbProcedure="false">Interface!$E$773</definedName>
    <definedName function="false" hidden="false" name="SIF_TK_CapexFacility_VR200_hi" vbProcedure="false">Interface!$F$773</definedName>
    <definedName function="false" hidden="false" name="SIF_TK_CapexFacility_VR200_lo" vbProcedure="false">Interface!$D$773</definedName>
    <definedName function="false" hidden="false" name="SIF_TK_CapexIT_GB200" vbProcedure="false">Interface!$E$766</definedName>
    <definedName function="false" hidden="false" name="SIF_TK_CapexIT_GB200_hi" vbProcedure="false">Interface!$F$766</definedName>
    <definedName function="false" hidden="false" name="SIF_TK_CapexIT_GB200_lo" vbProcedure="false">Interface!$D$766</definedName>
    <definedName function="false" hidden="false" name="SIF_TK_CapexIT_GB300" vbProcedure="false">Interface!$E$767</definedName>
    <definedName function="false" hidden="false" name="SIF_TK_CapexIT_GB300_hi" vbProcedure="false">Interface!$F$767</definedName>
    <definedName function="false" hidden="false" name="SIF_TK_CapexIT_GB300_lo" vbProcedure="false">Interface!$D$767</definedName>
    <definedName function="false" hidden="false" name="SIF_TK_CapexIT_H100" vbProcedure="false">Interface!$E$765</definedName>
    <definedName function="false" hidden="false" name="SIF_TK_CapexIT_H100_hi" vbProcedure="false">Interface!$F$765</definedName>
    <definedName function="false" hidden="false" name="SIF_TK_CapexIT_H100_lo" vbProcedure="false">Interface!$D$765</definedName>
    <definedName function="false" hidden="false" name="SIF_TK_CapexIT_RU" vbProcedure="false">Interface!$E$769</definedName>
    <definedName function="false" hidden="false" name="SIF_TK_CapexIT_RU_hi" vbProcedure="false">Interface!$F$769</definedName>
    <definedName function="false" hidden="false" name="SIF_TK_CapexIT_RU_lo" vbProcedure="false">Interface!$D$769</definedName>
    <definedName function="false" hidden="false" name="SIF_TK_CapexIT_VR200" vbProcedure="false">Interface!$E$768</definedName>
    <definedName function="false" hidden="false" name="SIF_TK_CapexIT_VR200_hi" vbProcedure="false">Interface!$F$768</definedName>
    <definedName function="false" hidden="false" name="SIF_TK_CapexIT_VR200_lo" vbProcedure="false">Interface!$D$768</definedName>
    <definedName function="false" hidden="false" name="SIF_TK_CapexTotal_GB200" vbProcedure="false">Interface!$E$776</definedName>
    <definedName function="false" hidden="false" name="SIF_TK_CapexTotal_GB200_hi" vbProcedure="false">Interface!$F$776</definedName>
    <definedName function="false" hidden="false" name="SIF_TK_CapexTotal_GB200_lo" vbProcedure="false">Interface!$D$776</definedName>
    <definedName function="false" hidden="false" name="SIF_TK_CapexTotal_GB300" vbProcedure="false">Interface!$E$777</definedName>
    <definedName function="false" hidden="false" name="SIF_TK_CapexTotal_GB300_hi" vbProcedure="false">Interface!$F$777</definedName>
    <definedName function="false" hidden="false" name="SIF_TK_CapexTotal_GB300_lo" vbProcedure="false">Interface!$D$777</definedName>
    <definedName function="false" hidden="false" name="SIF_TK_CapexTotal_H100" vbProcedure="false">Interface!$E$775</definedName>
    <definedName function="false" hidden="false" name="SIF_TK_CapexTotal_H100_hi" vbProcedure="false">Interface!$F$775</definedName>
    <definedName function="false" hidden="false" name="SIF_TK_CapexTotal_H100_lo" vbProcedure="false">Interface!$D$775</definedName>
    <definedName function="false" hidden="false" name="SIF_TK_CapexTotal_RU" vbProcedure="false">Interface!$E$779</definedName>
    <definedName function="false" hidden="false" name="SIF_TK_CapexTotal_RU_hi" vbProcedure="false">Interface!$F$779</definedName>
    <definedName function="false" hidden="false" name="SIF_TK_CapexTotal_RU_lo" vbProcedure="false">Interface!$D$779</definedName>
    <definedName function="false" hidden="false" name="SIF_TK_CapexTotal_VR200" vbProcedure="false">Interface!$E$778</definedName>
    <definedName function="false" hidden="false" name="SIF_TK_CapexTotal_VR200_hi" vbProcedure="false">Interface!$F$778</definedName>
    <definedName function="false" hidden="false" name="SIF_TK_CapexTotal_VR200_lo" vbProcedure="false">Interface!$D$778</definedName>
    <definedName function="false" hidden="false" name="SIF_TK_GPUsPerGW_GB200" vbProcedure="false">Interface!$E$761</definedName>
    <definedName function="false" hidden="false" name="SIF_TK_GPUsPerGW_GB200_hi" vbProcedure="false">Interface!$F$761</definedName>
    <definedName function="false" hidden="false" name="SIF_TK_GPUsPerGW_GB200_lo" vbProcedure="false">Interface!$D$761</definedName>
    <definedName function="false" hidden="false" name="SIF_TK_GPUsPerGW_GB300" vbProcedure="false">Interface!$E$762</definedName>
    <definedName function="false" hidden="false" name="SIF_TK_GPUsPerGW_GB300_hi" vbProcedure="false">Interface!$F$762</definedName>
    <definedName function="false" hidden="false" name="SIF_TK_GPUsPerGW_GB300_lo" vbProcedure="false">Interface!$D$762</definedName>
    <definedName function="false" hidden="false" name="SIF_TK_GPUsPerGW_H100" vbProcedure="false">Interface!$E$760</definedName>
    <definedName function="false" hidden="false" name="SIF_TK_GPUsPerGW_H100_hi" vbProcedure="false">Interface!$F$760</definedName>
    <definedName function="false" hidden="false" name="SIF_TK_GPUsPerGW_H100_lo" vbProcedure="false">Interface!$D$760</definedName>
    <definedName function="false" hidden="false" name="SIF_TK_GPUsPerGW_RU" vbProcedure="false">Interface!$E$764</definedName>
    <definedName function="false" hidden="false" name="SIF_TK_GPUsPerGW_RU_hi" vbProcedure="false">Interface!$F$764</definedName>
    <definedName function="false" hidden="false" name="SIF_TK_GPUsPerGW_RU_lo" vbProcedure="false">Interface!$D$764</definedName>
    <definedName function="false" hidden="false" name="SIF_TK_GPUsPerGW_VR200" vbProcedure="false">Interface!$E$763</definedName>
    <definedName function="false" hidden="false" name="SIF_TK_GPUsPerGW_VR200_hi" vbProcedure="false">Interface!$F$763</definedName>
    <definedName function="false" hidden="false" name="SIF_TK_GPUsPerGW_VR200_lo" vbProcedure="false">Interface!$D$763</definedName>
    <definedName function="false" hidden="false" name="SIF_TK_NonNV_Hold_AMD" vbProcedure="false">Interface!$E$802</definedName>
    <definedName function="false" hidden="false" name="SIF_TK_NonNV_Hold_AMD_hi" vbProcedure="false">Interface!$F$802</definedName>
    <definedName function="false" hidden="false" name="SIF_TK_NonNV_Hold_AMD_lo" vbProcedure="false">Interface!$D$802</definedName>
    <definedName function="false" hidden="false" name="SIF_TK_NonNV_Hold_Ascend" vbProcedure="false">Interface!$E$807</definedName>
    <definedName function="false" hidden="false" name="SIF_TK_NonNV_Hold_Ascend_hi" vbProcedure="false">Interface!$F$807</definedName>
    <definedName function="false" hidden="false" name="SIF_TK_NonNV_Hold_Ascend_lo" vbProcedure="false">Interface!$D$807</definedName>
    <definedName function="false" hidden="false" name="SIF_TK_NonNV_Hold_CS" vbProcedure="false">Interface!$E$805</definedName>
    <definedName function="false" hidden="false" name="SIF_TK_NonNV_Hold_CS_hi" vbProcedure="false">Interface!$F$805</definedName>
    <definedName function="false" hidden="false" name="SIF_TK_NonNV_Hold_CS_lo" vbProcedure="false">Interface!$D$805</definedName>
    <definedName function="false" hidden="false" name="SIF_TK_NonNV_Hold_Maia" vbProcedure="false">Interface!$E$808</definedName>
    <definedName function="false" hidden="false" name="SIF_TK_NonNV_Hold_Maia_hi" vbProcedure="false">Interface!$F$808</definedName>
    <definedName function="false" hidden="false" name="SIF_TK_NonNV_Hold_Maia_lo" vbProcedure="false">Interface!$D$808</definedName>
    <definedName function="false" hidden="false" name="SIF_TK_NonNV_Hold_OAI" vbProcedure="false">Interface!$E$806</definedName>
    <definedName function="false" hidden="false" name="SIF_TK_NonNV_Hold_OAI_hi" vbProcedure="false">Interface!$F$806</definedName>
    <definedName function="false" hidden="false" name="SIF_TK_NonNV_Hold_OAI_lo" vbProcedure="false">Interface!$D$806</definedName>
    <definedName function="false" hidden="false" name="SIF_TK_NonNV_Hold_TPU" vbProcedure="false">Interface!$E$803</definedName>
    <definedName function="false" hidden="false" name="SIF_TK_NonNV_Hold_TPU_hi" vbProcedure="false">Interface!$F$803</definedName>
    <definedName function="false" hidden="false" name="SIF_TK_NonNV_Hold_TPU_lo" vbProcedure="false">Interface!$D$803</definedName>
    <definedName function="false" hidden="false" name="SIF_TK_NonNV_Hold_Trn" vbProcedure="false">Interface!$E$804</definedName>
    <definedName function="false" hidden="false" name="SIF_TK_NonNV_Hold_Trn_hi" vbProcedure="false">Interface!$F$804</definedName>
    <definedName function="false" hidden="false" name="SIF_TK_NonNV_Hold_Trn_lo" vbProcedure="false">Interface!$D$804</definedName>
    <definedName function="false" hidden="false" name="SIF_TK_NonNV_Out_AMD" vbProcedure="false">Interface!$E$795</definedName>
    <definedName function="false" hidden="false" name="SIF_TK_NonNV_Out_AMD_hi" vbProcedure="false">Interface!$F$795</definedName>
    <definedName function="false" hidden="false" name="SIF_TK_NonNV_Out_AMD_lo" vbProcedure="false">Interface!$D$795</definedName>
    <definedName function="false" hidden="false" name="SIF_TK_NonNV_Out_Ascend" vbProcedure="false">Interface!$E$800</definedName>
    <definedName function="false" hidden="false" name="SIF_TK_NonNV_Out_Ascend_hi" vbProcedure="false">Interface!$F$800</definedName>
    <definedName function="false" hidden="false" name="SIF_TK_NonNV_Out_Ascend_lo" vbProcedure="false">Interface!$D$800</definedName>
    <definedName function="false" hidden="false" name="SIF_TK_NonNV_Out_CS" vbProcedure="false">Interface!$E$798</definedName>
    <definedName function="false" hidden="false" name="SIF_TK_NonNV_Out_CS_hi" vbProcedure="false">Interface!$F$798</definedName>
    <definedName function="false" hidden="false" name="SIF_TK_NonNV_Out_CS_lo" vbProcedure="false">Interface!$D$798</definedName>
    <definedName function="false" hidden="false" name="SIF_TK_NonNV_Out_Maia" vbProcedure="false">Interface!$E$801</definedName>
    <definedName function="false" hidden="false" name="SIF_TK_NonNV_Out_Maia_hi" vbProcedure="false">Interface!$F$801</definedName>
    <definedName function="false" hidden="false" name="SIF_TK_NonNV_Out_Maia_lo" vbProcedure="false">Interface!$D$801</definedName>
    <definedName function="false" hidden="false" name="SIF_TK_NonNV_Out_OAI" vbProcedure="false">Interface!$E$799</definedName>
    <definedName function="false" hidden="false" name="SIF_TK_NonNV_Out_OAI_hi" vbProcedure="false">Interface!$F$799</definedName>
    <definedName function="false" hidden="false" name="SIF_TK_NonNV_Out_OAI_lo" vbProcedure="false">Interface!$D$799</definedName>
    <definedName function="false" hidden="false" name="SIF_TK_NonNV_Out_TPU" vbProcedure="false">Interface!$E$796</definedName>
    <definedName function="false" hidden="false" name="SIF_TK_NonNV_Out_TPU_hi" vbProcedure="false">Interface!$F$796</definedName>
    <definedName function="false" hidden="false" name="SIF_TK_NonNV_Out_TPU_lo" vbProcedure="false">Interface!$D$796</definedName>
    <definedName function="false" hidden="false" name="SIF_TK_NonNV_Out_Trn" vbProcedure="false">Interface!$E$797</definedName>
    <definedName function="false" hidden="false" name="SIF_TK_NonNV_Out_Trn_hi" vbProcedure="false">Interface!$F$797</definedName>
    <definedName function="false" hidden="false" name="SIF_TK_NonNV_Out_Trn_lo" vbProcedure="false">Interface!$D$797</definedName>
    <definedName function="false" hidden="false" name="SIF_TK_RackPrice_GB200" vbProcedure="false">Interface!$E$781</definedName>
    <definedName function="false" hidden="false" name="SIF_TK_RackPrice_GB200_hi" vbProcedure="false">Interface!$F$781</definedName>
    <definedName function="false" hidden="false" name="SIF_TK_RackPrice_GB200_lo" vbProcedure="false">Interface!$D$781</definedName>
    <definedName function="false" hidden="false" name="SIF_TK_RackPrice_GB300" vbProcedure="false">Interface!$E$782</definedName>
    <definedName function="false" hidden="false" name="SIF_TK_RackPrice_GB300_hi" vbProcedure="false">Interface!$F$782</definedName>
    <definedName function="false" hidden="false" name="SIF_TK_RackPrice_GB300_lo" vbProcedure="false">Interface!$D$782</definedName>
    <definedName function="false" hidden="false" name="SIF_TK_RackPrice_H100" vbProcedure="false">Interface!$E$780</definedName>
    <definedName function="false" hidden="false" name="SIF_TK_RackPrice_H100_hi" vbProcedure="false">Interface!$F$780</definedName>
    <definedName function="false" hidden="false" name="SIF_TK_RackPrice_H100_lo" vbProcedure="false">Interface!$D$780</definedName>
    <definedName function="false" hidden="false" name="SIF_TK_RackPrice_RU" vbProcedure="false">Interface!$E$784</definedName>
    <definedName function="false" hidden="false" name="SIF_TK_RackPrice_RU_hi" vbProcedure="false">Interface!$F$784</definedName>
    <definedName function="false" hidden="false" name="SIF_TK_RackPrice_RU_lo" vbProcedure="false">Interface!$D$784</definedName>
    <definedName function="false" hidden="false" name="SIF_TK_RackPrice_VR200" vbProcedure="false">Interface!$E$783</definedName>
    <definedName function="false" hidden="false" name="SIF_TK_RackPrice_VR200_hi" vbProcedure="false">Interface!$F$783</definedName>
    <definedName function="false" hidden="false" name="SIF_TK_RackPrice_VR200_lo" vbProcedure="false">Interface!$D$783</definedName>
    <definedName function="false" hidden="false" name="SIF_TK_RacksPerGW_GB200" vbProcedure="false">Interface!$E$756</definedName>
    <definedName function="false" hidden="false" name="SIF_TK_RacksPerGW_GB200_hi" vbProcedure="false">Interface!$F$756</definedName>
    <definedName function="false" hidden="false" name="SIF_TK_RacksPerGW_GB200_lo" vbProcedure="false">Interface!$D$756</definedName>
    <definedName function="false" hidden="false" name="SIF_TK_RacksPerGW_GB300" vbProcedure="false">Interface!$E$757</definedName>
    <definedName function="false" hidden="false" name="SIF_TK_RacksPerGW_GB300_hi" vbProcedure="false">Interface!$F$757</definedName>
    <definedName function="false" hidden="false" name="SIF_TK_RacksPerGW_GB300_lo" vbProcedure="false">Interface!$D$757</definedName>
    <definedName function="false" hidden="false" name="SIF_TK_RacksPerGW_H100" vbProcedure="false">Interface!$E$755</definedName>
    <definedName function="false" hidden="false" name="SIF_TK_RacksPerGW_H100_hi" vbProcedure="false">Interface!$F$755</definedName>
    <definedName function="false" hidden="false" name="SIF_TK_RacksPerGW_H100_lo" vbProcedure="false">Interface!$D$755</definedName>
    <definedName function="false" hidden="false" name="SIF_TK_RacksPerGW_RU" vbProcedure="false">Interface!$E$759</definedName>
    <definedName function="false" hidden="false" name="SIF_TK_RacksPerGW_RU_hi" vbProcedure="false">Interface!$F$759</definedName>
    <definedName function="false" hidden="false" name="SIF_TK_RacksPerGW_RU_lo" vbProcedure="false">Interface!$D$759</definedName>
    <definedName function="false" hidden="false" name="SIF_TK_RacksPerGW_VR200" vbProcedure="false">Interface!$E$758</definedName>
    <definedName function="false" hidden="false" name="SIF_TK_RacksPerGW_VR200_hi" vbProcedure="false">Interface!$F$758</definedName>
    <definedName function="false" hidden="false" name="SIF_TK_RacksPerGW_VR200_lo" vbProcedure="false">Interface!$D$758</definedName>
    <definedName function="false" hidden="false" name="SIF_TK_ScaleOutShare_GB200" vbProcedure="false">Interface!$E$786</definedName>
    <definedName function="false" hidden="false" name="SIF_TK_ScaleOutShare_GB200_hi" vbProcedure="false">Interface!$F$786</definedName>
    <definedName function="false" hidden="false" name="SIF_TK_ScaleOutShare_GB200_lo" vbProcedure="false">Interface!$D$786</definedName>
    <definedName function="false" hidden="false" name="SIF_TK_ScaleOutShare_GB300" vbProcedure="false">Interface!$E$787</definedName>
    <definedName function="false" hidden="false" name="SIF_TK_ScaleOutShare_GB300_hi" vbProcedure="false">Interface!$F$787</definedName>
    <definedName function="false" hidden="false" name="SIF_TK_ScaleOutShare_GB300_lo" vbProcedure="false">Interface!$D$787</definedName>
    <definedName function="false" hidden="false" name="SIF_TK_ScaleOutShare_H100" vbProcedure="false">Interface!$E$785</definedName>
    <definedName function="false" hidden="false" name="SIF_TK_ScaleOutShare_H100_hi" vbProcedure="false">Interface!$F$785</definedName>
    <definedName function="false" hidden="false" name="SIF_TK_ScaleOutShare_H100_lo" vbProcedure="false">Interface!$D$785</definedName>
    <definedName function="false" hidden="false" name="SIF_TK_ScaleOutShare_RU" vbProcedure="false">Interface!$E$789</definedName>
    <definedName function="false" hidden="false" name="SIF_TK_ScaleOutShare_RU_hi" vbProcedure="false">Interface!$F$789</definedName>
    <definedName function="false" hidden="false" name="SIF_TK_ScaleOutShare_RU_lo" vbProcedure="false">Interface!$D$789</definedName>
    <definedName function="false" hidden="false" name="SIF_TK_ScaleOutShare_VR200" vbProcedure="false">Interface!$E$788</definedName>
    <definedName function="false" hidden="false" name="SIF_TK_ScaleOutShare_VR200_hi" vbProcedure="false">Interface!$F$788</definedName>
    <definedName function="false" hidden="false" name="SIF_TK_ScaleOutShare_VR200_lo" vbProcedure="false">Interface!$D$788</definedName>
    <definedName function="false" hidden="false" name="SIF_TK_StoragePerGPU_GB200" vbProcedure="false">Interface!$E$791</definedName>
    <definedName function="false" hidden="false" name="SIF_TK_StoragePerGPU_GB200_hi" vbProcedure="false">Interface!$F$791</definedName>
    <definedName function="false" hidden="false" name="SIF_TK_StoragePerGPU_GB200_lo" vbProcedure="false">Interface!$D$791</definedName>
    <definedName function="false" hidden="false" name="SIF_TK_StoragePerGPU_GB300" vbProcedure="false">Interface!$E$792</definedName>
    <definedName function="false" hidden="false" name="SIF_TK_StoragePerGPU_GB300_hi" vbProcedure="false">Interface!$F$792</definedName>
    <definedName function="false" hidden="false" name="SIF_TK_StoragePerGPU_GB300_lo" vbProcedure="false">Interface!$D$792</definedName>
    <definedName function="false" hidden="false" name="SIF_TK_StoragePerGPU_H100" vbProcedure="false">Interface!$E$790</definedName>
    <definedName function="false" hidden="false" name="SIF_TK_StoragePerGPU_H100_hi" vbProcedure="false">Interface!$F$790</definedName>
    <definedName function="false" hidden="false" name="SIF_TK_StoragePerGPU_H100_lo" vbProcedure="false">Interface!$D$790</definedName>
    <definedName function="false" hidden="false" name="SIF_TK_StoragePerGPU_RU" vbProcedure="false">Interface!$E$794</definedName>
    <definedName function="false" hidden="false" name="SIF_TK_StoragePerGPU_RU_hi" vbProcedure="false">Interface!$F$794</definedName>
    <definedName function="false" hidden="false" name="SIF_TK_StoragePerGPU_RU_lo" vbProcedure="false">Interface!$D$794</definedName>
    <definedName function="false" hidden="false" name="SIF_TK_StoragePerGPU_VR200" vbProcedure="false">Interface!$E$793</definedName>
    <definedName function="false" hidden="false" name="SIF_TK_StoragePerGPU_VR200_hi" vbProcedure="false">Interface!$F$793</definedName>
    <definedName function="false" hidden="false" name="SIF_TK_StoragePerGPU_VR200_lo" vbProcedure="false">Interface!$D$793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Interface!$D$629:$H$629</definedName>
    <definedName function="false" hidden="false" name="SIF_UnitsCoef_B" vbProcedure="false">Interface!$D$634:$H$634</definedName>
    <definedName function="false" hidden="false" name="SIF_UnitsCoef_C" vbProcedure="false">Interface!$D$639:$H$639</definedName>
    <definedName function="false" hidden="false" name="SIF_UnitsGrowth29" vbProcedure="false">Interface!$E$658</definedName>
    <definedName function="false" hidden="false" name="SIF_UnitsPlat_amd" vbProcedure="false">Interface!$D$650:$H$650</definedName>
    <definedName function="false" hidden="false" name="SIF_UnitsPlat_bw" vbProcedure="false">Interface!$D$646:$H$646</definedName>
    <definedName function="false" hidden="false" name="SIF_UnitsPlat_hp" vbProcedure="false">Interface!$D$649:$H$649</definedName>
    <definedName function="false" hidden="false" name="SIF_UnitsPlat_oth" vbProcedure="false">Interface!$D$653:$H$653</definedName>
    <definedName function="false" hidden="false" name="SIF_UnitsPlat_rb" vbProcedure="false">Interface!$D$647:$H$647</definedName>
    <definedName function="false" hidden="false" name="SIF_UnitsPlat_ru" vbProcedure="false">Interface!$D$648:$H$648</definedName>
    <definedName function="false" hidden="false" name="SIF_UnitsPlat_Total" vbProcedure="false">Interface!$D$654:$H$654</definedName>
    <definedName function="false" hidden="false" name="SIF_UnitsPlat_Total_A" vbProcedure="false">Interface!$D$655:$H$655</definedName>
    <definedName function="false" hidden="false" name="SIF_UnitsPlat_Total_B" vbProcedure="false">Interface!$D$656:$H$656</definedName>
    <definedName function="false" hidden="false" name="SIF_UnitsPlat_Total_C" vbProcedure="false">Interface!$D$657:$H$657</definedName>
    <definedName function="false" hidden="false" name="SIF_UnitsPlat_tpu" vbProcedure="false">Interface!$D$651:$H$651</definedName>
    <definedName function="false" hidden="false" name="SIF_UnitsPlat_trn" vbProcedure="false">Interface!$D$652:$H$652</definedName>
    <definedName function="false" hidden="false" name="SIF_Units_Total" vbProcedure="false">Interface!$D$626:$H$626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<sst xmlns="http://schemas.openxmlformats.org/spreadsheetml/2006/main" count="9034" uniqueCount="4521">
  <si>
    <r>
      <rPr>
        <b val="true"/>
        <sz val="13"/>
        <rFont val="Cambria"/>
        <family val="0"/>
        <charset val="1"/>
      </rPr>
      <t xml:space="preserve">Siliconomics v0.8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</si>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</sst>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48.5" hidden="false" customHeight="false" outlineLevel="0" collapsed="false">
      <c r="A9" s="3" t="s">
        <v>8</v>
      </c>
    </row>
    <row r="10" customFormat="false" ht="48.5" hidden="false" customHeight="false" outlineLevel="0" collapsed="false">
      <c r="A10" s="3" t="s">
        <v>9</v>
      </c>
    </row>
    <row r="11" customFormat="false" ht="48.5" hidden="false" customHeight="false" outlineLevel="0" collapsed="false">
      <c r="A11" s="3" t="s">
        <v>10</v>
      </c>
    </row>
    <row r="12" customFormat="false" ht="17.15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32.8" hidden="false" customHeight="false" outlineLevel="0" collapsed="false">
      <c r="A14" s="3" t="s">
        <v>13</v>
      </c>
    </row>
    <row r="15" customFormat="false" ht="32.8" hidden="false" customHeight="false" outlineLevel="0" collapsed="false">
      <c r="A15" s="3" t="s">
        <v>14</v>
      </c>
    </row>
    <row r="16" customFormat="false" ht="32.8" hidden="false" customHeight="false" outlineLevel="0" collapsed="false">
      <c r="A16" s="3" t="s">
        <v>15</v>
      </c>
    </row>
    <row r="17" customFormat="false" ht="17.15" hidden="false" customHeight="false" outlineLevel="0" collapsed="false">
      <c r="A17" s="2" t="s">
        <v>16</v>
      </c>
    </row>
    <row r="18" customFormat="false" ht="17.15" hidden="false" customHeight="false" outlineLevel="0" collapsed="false">
      <c r="A18" s="2" t="s">
        <v>17</v>
      </c>
    </row>
    <row r="19" customFormat="false" ht="17.15" hidden="false" customHeight="false" outlineLevel="0" collapsed="false">
      <c r="A19" s="2" t="s">
        <v>18</v>
      </c>
    </row>
    <row r="20" customFormat="false" ht="17.15" hidden="false" customHeight="false" outlineLevel="0" collapsed="false">
      <c r="A20" s="3" t="s">
        <v>19</v>
      </c>
    </row>
    <row r="21" customFormat="false" ht="17.15" hidden="false" customHeight="false" outlineLevel="0" collapsed="false">
      <c r="A21" s="2" t="s">
        <v>20</v>
      </c>
    </row>
    <row r="22" customFormat="false" ht="32.8" hidden="false" customHeight="false" outlineLevel="0" collapsed="false">
      <c r="A2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5" t="s">
        <v>27</v>
      </c>
      <c r="F3" s="5" t="s">
        <v>28</v>
      </c>
      <c r="G3" s="5" t="s">
        <v>29</v>
      </c>
    </row>
    <row r="4" customFormat="false" ht="17.15" hidden="false" customHeight="false" outlineLevel="0" collapsed="false">
      <c r="A4" s="0" t="s">
        <v>30</v>
      </c>
      <c r="B4" s="6" t="s">
        <v>31</v>
      </c>
      <c r="C4" s="6" t="s">
        <v>32</v>
      </c>
      <c r="D4" s="0" t="s">
        <v>33</v>
      </c>
      <c r="E4" s="7" t="n">
        <f aca="false">um28_A</f>
        <v>1</v>
      </c>
      <c r="F4" s="7" t="n">
        <f aca="false">um29_A</f>
        <v>1</v>
      </c>
      <c r="G4" s="8" t="s">
        <v>34</v>
      </c>
    </row>
    <row r="5" customFormat="false" ht="17.15" hidden="false" customHeight="false" outlineLevel="0" collapsed="false">
      <c r="A5" s="0" t="s">
        <v>35</v>
      </c>
      <c r="B5" s="6" t="s">
        <v>36</v>
      </c>
      <c r="C5" s="0" t="s">
        <v>37</v>
      </c>
      <c r="D5" s="0" t="s">
        <v>38</v>
      </c>
      <c r="E5" s="7" t="n">
        <f aca="false">um28_B</f>
        <v>0.8</v>
      </c>
      <c r="F5" s="7" t="n">
        <f aca="false">um29_B</f>
        <v>0.85</v>
      </c>
      <c r="G5" s="8" t="s">
        <v>34</v>
      </c>
    </row>
    <row r="6" customFormat="false" ht="17.15" hidden="false" customHeight="false" outlineLevel="0" collapsed="false">
      <c r="A6" s="0" t="s">
        <v>39</v>
      </c>
      <c r="B6" s="6" t="s">
        <v>40</v>
      </c>
      <c r="C6" s="6" t="s">
        <v>41</v>
      </c>
      <c r="D6" s="0" t="s">
        <v>42</v>
      </c>
      <c r="E6" s="7" t="n">
        <f aca="false">um28_C</f>
        <v>0.6</v>
      </c>
      <c r="F6" s="7" t="n">
        <f aca="false">um29_C</f>
        <v>0.6</v>
      </c>
      <c r="G6" s="8" t="s">
        <v>34</v>
      </c>
    </row>
    <row r="9" customFormat="false" ht="15" hidden="false" customHeight="false" outlineLevel="0" collapsed="false">
      <c r="A9" s="9" t="s">
        <v>43</v>
      </c>
    </row>
    <row r="10" customFormat="false" ht="17.15" hidden="false" customHeight="false" outlineLevel="0" collapsed="false">
      <c r="A10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45</v>
      </c>
    </row>
    <row r="2" customFormat="false" ht="17.15" hidden="false" customHeight="false" outlineLevel="0" collapsed="false">
      <c r="A2" s="6" t="s">
        <v>46</v>
      </c>
    </row>
    <row r="4" customFormat="false" ht="17.15" hidden="false" customHeight="fals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5" t="s">
        <v>55</v>
      </c>
      <c r="J4" s="4" t="s">
        <v>56</v>
      </c>
    </row>
    <row r="5" customFormat="false" ht="17.15" hidden="false" customHeight="false" outlineLevel="0" collapsed="false">
      <c r="A5" s="10" t="s">
        <v>57</v>
      </c>
    </row>
    <row r="6" customFormat="false" ht="17.15" hidden="false" customHeight="false" outlineLevel="0" collapsed="false">
      <c r="A6" s="0" t="s">
        <v>58</v>
      </c>
      <c r="B6" s="6" t="s">
        <v>59</v>
      </c>
      <c r="C6" s="0" t="s">
        <v>60</v>
      </c>
      <c r="E6" s="11" t="n">
        <v>-0.025</v>
      </c>
      <c r="G6" s="12" t="s">
        <v>61</v>
      </c>
      <c r="H6" s="12" t="s">
        <v>62</v>
      </c>
      <c r="I6" s="12" t="s">
        <v>63</v>
      </c>
    </row>
    <row r="7" customFormat="false" ht="17.15" hidden="false" customHeight="false" outlineLevel="0" collapsed="false">
      <c r="A7" s="0" t="s">
        <v>64</v>
      </c>
      <c r="B7" s="6" t="s">
        <v>65</v>
      </c>
      <c r="C7" s="0" t="s">
        <v>60</v>
      </c>
      <c r="E7" s="11" t="n">
        <v>0.125</v>
      </c>
      <c r="G7" s="12" t="s">
        <v>61</v>
      </c>
      <c r="H7" s="6" t="s">
        <v>66</v>
      </c>
      <c r="I7" s="12" t="s">
        <v>67</v>
      </c>
    </row>
    <row r="8" customFormat="false" ht="17.15" hidden="false" customHeight="false" outlineLevel="0" collapsed="false">
      <c r="A8" s="0" t="s">
        <v>68</v>
      </c>
      <c r="B8" s="6" t="s">
        <v>69</v>
      </c>
      <c r="C8" s="0" t="s">
        <v>60</v>
      </c>
      <c r="E8" s="11" t="n">
        <v>0.475</v>
      </c>
      <c r="G8" s="12" t="s">
        <v>61</v>
      </c>
      <c r="H8" s="6" t="s">
        <v>66</v>
      </c>
      <c r="I8" s="12" t="s">
        <v>70</v>
      </c>
    </row>
    <row r="9" customFormat="false" ht="17.15" hidden="false" customHeight="false" outlineLevel="0" collapsed="false">
      <c r="A9" s="0" t="s">
        <v>71</v>
      </c>
      <c r="B9" s="6" t="s">
        <v>72</v>
      </c>
      <c r="C9" s="0" t="s">
        <v>60</v>
      </c>
      <c r="E9" s="11" t="n">
        <v>0.95</v>
      </c>
      <c r="G9" s="12" t="s">
        <v>61</v>
      </c>
      <c r="H9" s="6" t="s">
        <v>66</v>
      </c>
      <c r="I9" s="12" t="s">
        <v>73</v>
      </c>
    </row>
    <row r="10" customFormat="false" ht="17.15" hidden="false" customHeight="false" outlineLevel="0" collapsed="false">
      <c r="A10" s="0" t="s">
        <v>74</v>
      </c>
      <c r="B10" s="6" t="s">
        <v>75</v>
      </c>
      <c r="C10" s="0" t="s">
        <v>60</v>
      </c>
      <c r="E10" s="11" t="n">
        <v>0.605</v>
      </c>
      <c r="G10" s="12" t="s">
        <v>61</v>
      </c>
      <c r="H10" s="6" t="s">
        <v>66</v>
      </c>
      <c r="I10" s="12" t="s">
        <v>76</v>
      </c>
    </row>
    <row r="11" customFormat="false" ht="17.15" hidden="false" customHeight="false" outlineLevel="0" collapsed="false">
      <c r="A11" s="0" t="s">
        <v>77</v>
      </c>
      <c r="B11" s="6" t="s">
        <v>78</v>
      </c>
      <c r="C11" s="0" t="s">
        <v>60</v>
      </c>
      <c r="E11" s="11" t="n">
        <v>0.155</v>
      </c>
      <c r="G11" s="12" t="s">
        <v>61</v>
      </c>
      <c r="H11" s="6" t="s">
        <v>66</v>
      </c>
      <c r="I11" s="12" t="s">
        <v>79</v>
      </c>
    </row>
    <row r="12" customFormat="false" ht="17.15" hidden="false" customHeight="false" outlineLevel="0" collapsed="false">
      <c r="A12" s="0" t="s">
        <v>80</v>
      </c>
      <c r="B12" s="6" t="s">
        <v>81</v>
      </c>
      <c r="C12" s="0" t="s">
        <v>60</v>
      </c>
      <c r="E12" s="11" t="n">
        <v>0.125</v>
      </c>
      <c r="G12" s="12" t="s">
        <v>61</v>
      </c>
      <c r="H12" s="6" t="s">
        <v>66</v>
      </c>
      <c r="I12" s="12" t="s">
        <v>82</v>
      </c>
    </row>
    <row r="13" customFormat="false" ht="17.15" hidden="false" customHeight="false" outlineLevel="0" collapsed="false">
      <c r="A13" s="0" t="s">
        <v>83</v>
      </c>
      <c r="B13" s="6" t="s">
        <v>84</v>
      </c>
      <c r="C13" s="0" t="s">
        <v>60</v>
      </c>
      <c r="E13" s="11" t="n">
        <v>0.03</v>
      </c>
      <c r="G13" s="12" t="s">
        <v>61</v>
      </c>
      <c r="H13" s="12" t="s">
        <v>85</v>
      </c>
      <c r="I13" s="12" t="s">
        <v>86</v>
      </c>
    </row>
    <row r="14" customFormat="false" ht="17.15" hidden="false" customHeight="false" outlineLevel="0" collapsed="false">
      <c r="A14" s="0" t="s">
        <v>87</v>
      </c>
      <c r="B14" s="6" t="s">
        <v>88</v>
      </c>
      <c r="C14" s="0" t="s">
        <v>60</v>
      </c>
      <c r="E14" s="11" t="n">
        <v>0</v>
      </c>
      <c r="G14" s="12" t="s">
        <v>61</v>
      </c>
      <c r="H14" s="6" t="s">
        <v>66</v>
      </c>
      <c r="I14" s="12" t="s">
        <v>89</v>
      </c>
    </row>
    <row r="15" customFormat="false" ht="17.15" hidden="false" customHeight="false" outlineLevel="0" collapsed="false">
      <c r="A15" s="0" t="s">
        <v>90</v>
      </c>
      <c r="B15" s="6" t="s">
        <v>91</v>
      </c>
      <c r="C15" s="0" t="s">
        <v>60</v>
      </c>
      <c r="E15" s="11" t="n">
        <v>-0.02</v>
      </c>
      <c r="G15" s="12" t="s">
        <v>61</v>
      </c>
      <c r="H15" s="6" t="s">
        <v>66</v>
      </c>
      <c r="I15" s="12" t="s">
        <v>92</v>
      </c>
    </row>
    <row r="16" customFormat="false" ht="17.15" hidden="false" customHeight="false" outlineLevel="0" collapsed="false">
      <c r="A16" s="0" t="s">
        <v>93</v>
      </c>
      <c r="B16" s="6" t="s">
        <v>94</v>
      </c>
      <c r="C16" s="0" t="s">
        <v>60</v>
      </c>
      <c r="E16" s="11" t="n">
        <v>-0.03</v>
      </c>
      <c r="G16" s="12" t="s">
        <v>61</v>
      </c>
      <c r="H16" s="6" t="s">
        <v>66</v>
      </c>
      <c r="I16" s="12" t="s">
        <v>95</v>
      </c>
    </row>
    <row r="17" customFormat="false" ht="17.15" hidden="false" customHeight="false" outlineLevel="0" collapsed="false">
      <c r="A17" s="0" t="s">
        <v>96</v>
      </c>
      <c r="B17" s="6" t="s">
        <v>97</v>
      </c>
      <c r="C17" s="0" t="s">
        <v>60</v>
      </c>
      <c r="E17" s="11" t="n">
        <v>-0.03</v>
      </c>
      <c r="G17" s="12" t="s">
        <v>61</v>
      </c>
      <c r="H17" s="6" t="s">
        <v>66</v>
      </c>
      <c r="I17" s="12" t="s">
        <v>98</v>
      </c>
    </row>
    <row r="18" customFormat="false" ht="17.15" hidden="false" customHeight="false" outlineLevel="0" collapsed="false">
      <c r="A18" s="0" t="s">
        <v>99</v>
      </c>
      <c r="B18" s="6" t="s">
        <v>100</v>
      </c>
      <c r="C18" s="0" t="s">
        <v>60</v>
      </c>
      <c r="E18" s="11" t="n">
        <v>-0.03</v>
      </c>
      <c r="G18" s="12" t="s">
        <v>61</v>
      </c>
      <c r="H18" s="6" t="s">
        <v>66</v>
      </c>
      <c r="I18" s="12" t="s">
        <v>101</v>
      </c>
    </row>
    <row r="19" customFormat="false" ht="17.15" hidden="false" customHeight="false" outlineLevel="0" collapsed="false">
      <c r="A19" s="0" t="s">
        <v>102</v>
      </c>
      <c r="B19" s="6" t="s">
        <v>103</v>
      </c>
      <c r="C19" s="0" t="s">
        <v>60</v>
      </c>
      <c r="E19" s="11" t="n">
        <v>-0.02</v>
      </c>
      <c r="G19" s="12" t="s">
        <v>61</v>
      </c>
      <c r="H19" s="6" t="s">
        <v>66</v>
      </c>
      <c r="I19" s="12" t="s">
        <v>104</v>
      </c>
    </row>
    <row r="20" customFormat="false" ht="17.15" hidden="false" customHeight="false" outlineLevel="0" collapsed="false">
      <c r="A20" s="0" t="s">
        <v>105</v>
      </c>
      <c r="B20" s="6" t="s">
        <v>106</v>
      </c>
      <c r="C20" s="0" t="s">
        <v>60</v>
      </c>
      <c r="E20" s="11" t="n">
        <v>-0.02</v>
      </c>
      <c r="G20" s="12" t="s">
        <v>61</v>
      </c>
      <c r="H20" s="6" t="s">
        <v>66</v>
      </c>
      <c r="I20" s="12" t="s">
        <v>107</v>
      </c>
    </row>
    <row r="21" customFormat="false" ht="17.15" hidden="false" customHeight="false" outlineLevel="0" collapsed="false">
      <c r="A21" s="0" t="s">
        <v>108</v>
      </c>
      <c r="B21" s="6" t="s">
        <v>109</v>
      </c>
      <c r="C21" s="0" t="s">
        <v>60</v>
      </c>
      <c r="E21" s="11" t="n">
        <v>-0.03</v>
      </c>
      <c r="G21" s="12" t="s">
        <v>61</v>
      </c>
      <c r="H21" s="6" t="s">
        <v>66</v>
      </c>
      <c r="I21" s="12" t="s">
        <v>110</v>
      </c>
    </row>
    <row r="22" customFormat="false" ht="17.15" hidden="false" customHeight="false" outlineLevel="0" collapsed="false">
      <c r="A22" s="0" t="s">
        <v>111</v>
      </c>
      <c r="B22" s="6" t="s">
        <v>112</v>
      </c>
      <c r="C22" s="0" t="s">
        <v>60</v>
      </c>
      <c r="E22" s="11" t="n">
        <v>-0.03</v>
      </c>
      <c r="G22" s="12" t="s">
        <v>61</v>
      </c>
      <c r="H22" s="6" t="s">
        <v>66</v>
      </c>
      <c r="I22" s="12" t="s">
        <v>113</v>
      </c>
    </row>
    <row r="23" customFormat="false" ht="17.15" hidden="false" customHeight="false" outlineLevel="0" collapsed="false">
      <c r="A23" s="0" t="s">
        <v>114</v>
      </c>
      <c r="B23" s="6" t="s">
        <v>115</v>
      </c>
      <c r="C23" s="0" t="s">
        <v>60</v>
      </c>
      <c r="E23" s="11" t="n">
        <v>-0.02</v>
      </c>
      <c r="G23" s="12" t="s">
        <v>61</v>
      </c>
      <c r="H23" s="6" t="s">
        <v>66</v>
      </c>
      <c r="I23" s="12" t="s">
        <v>116</v>
      </c>
    </row>
    <row r="24" customFormat="false" ht="17.15" hidden="false" customHeight="false" outlineLevel="0" collapsed="false">
      <c r="A24" s="0" t="s">
        <v>117</v>
      </c>
      <c r="B24" s="6" t="s">
        <v>118</v>
      </c>
      <c r="C24" s="0" t="s">
        <v>60</v>
      </c>
      <c r="E24" s="11" t="n">
        <v>-0.02</v>
      </c>
      <c r="G24" s="12" t="s">
        <v>61</v>
      </c>
      <c r="H24" s="6" t="s">
        <v>66</v>
      </c>
      <c r="I24" s="12" t="s">
        <v>119</v>
      </c>
    </row>
    <row r="25" customFormat="false" ht="17.15" hidden="false" customHeight="false" outlineLevel="0" collapsed="false">
      <c r="A25" s="0" t="s">
        <v>120</v>
      </c>
      <c r="B25" s="6" t="s">
        <v>121</v>
      </c>
      <c r="C25" s="0" t="s">
        <v>60</v>
      </c>
      <c r="E25" s="11" t="n">
        <v>0.05</v>
      </c>
      <c r="G25" s="12" t="s">
        <v>61</v>
      </c>
      <c r="H25" s="12" t="s">
        <v>122</v>
      </c>
      <c r="I25" s="12" t="s">
        <v>123</v>
      </c>
    </row>
    <row r="26" customFormat="false" ht="17.15" hidden="false" customHeight="false" outlineLevel="0" collapsed="false">
      <c r="A26" s="0" t="s">
        <v>124</v>
      </c>
      <c r="B26" s="6" t="s">
        <v>125</v>
      </c>
      <c r="C26" s="0" t="s">
        <v>60</v>
      </c>
      <c r="E26" s="11" t="n">
        <v>0.02</v>
      </c>
      <c r="G26" s="12" t="s">
        <v>61</v>
      </c>
      <c r="H26" s="6" t="s">
        <v>66</v>
      </c>
      <c r="I26" s="12" t="s">
        <v>126</v>
      </c>
    </row>
    <row r="27" customFormat="false" ht="17.15" hidden="false" customHeight="false" outlineLevel="0" collapsed="false">
      <c r="A27" s="0" t="s">
        <v>127</v>
      </c>
      <c r="B27" s="6" t="s">
        <v>128</v>
      </c>
      <c r="C27" s="0" t="s">
        <v>60</v>
      </c>
      <c r="E27" s="11" t="n">
        <v>-0.08</v>
      </c>
      <c r="G27" s="12" t="s">
        <v>61</v>
      </c>
      <c r="H27" s="6" t="s">
        <v>66</v>
      </c>
      <c r="I27" s="12" t="s">
        <v>129</v>
      </c>
    </row>
    <row r="28" customFormat="false" ht="17.15" hidden="false" customHeight="false" outlineLevel="0" collapsed="false">
      <c r="A28" s="0" t="s">
        <v>130</v>
      </c>
      <c r="B28" s="6" t="s">
        <v>131</v>
      </c>
      <c r="C28" s="0" t="s">
        <v>60</v>
      </c>
      <c r="E28" s="11" t="n">
        <v>-0.15</v>
      </c>
      <c r="G28" s="12" t="s">
        <v>61</v>
      </c>
      <c r="H28" s="6" t="s">
        <v>66</v>
      </c>
      <c r="I28" s="12" t="s">
        <v>132</v>
      </c>
    </row>
    <row r="29" customFormat="false" ht="17.15" hidden="false" customHeight="false" outlineLevel="0" collapsed="false">
      <c r="A29" s="0" t="s">
        <v>133</v>
      </c>
      <c r="B29" s="6" t="s">
        <v>134</v>
      </c>
      <c r="C29" s="0" t="s">
        <v>60</v>
      </c>
      <c r="E29" s="11" t="n">
        <v>-0.25</v>
      </c>
      <c r="G29" s="12" t="s">
        <v>61</v>
      </c>
      <c r="H29" s="6" t="s">
        <v>66</v>
      </c>
      <c r="I29" s="12" t="s">
        <v>135</v>
      </c>
    </row>
    <row r="30" customFormat="false" ht="17.15" hidden="false" customHeight="false" outlineLevel="0" collapsed="false">
      <c r="A30" s="0" t="s">
        <v>136</v>
      </c>
      <c r="B30" s="6" t="s">
        <v>137</v>
      </c>
      <c r="C30" s="0" t="s">
        <v>60</v>
      </c>
      <c r="E30" s="11" t="n">
        <v>-0.15</v>
      </c>
      <c r="G30" s="12" t="s">
        <v>61</v>
      </c>
      <c r="H30" s="6" t="s">
        <v>66</v>
      </c>
      <c r="I30" s="12" t="s">
        <v>138</v>
      </c>
    </row>
    <row r="31" customFormat="false" ht="17.15" hidden="false" customHeight="false" outlineLevel="0" collapsed="false">
      <c r="A31" s="0" t="s">
        <v>139</v>
      </c>
      <c r="B31" s="6" t="s">
        <v>140</v>
      </c>
      <c r="C31" s="0" t="s">
        <v>60</v>
      </c>
      <c r="E31" s="11" t="n">
        <v>-0.1</v>
      </c>
      <c r="G31" s="12" t="s">
        <v>61</v>
      </c>
      <c r="H31" s="6" t="s">
        <v>66</v>
      </c>
      <c r="I31" s="12" t="s">
        <v>141</v>
      </c>
    </row>
    <row r="32" customFormat="false" ht="17.15" hidden="false" customHeight="false" outlineLevel="0" collapsed="false">
      <c r="A32" s="0" t="s">
        <v>142</v>
      </c>
      <c r="B32" s="6" t="s">
        <v>143</v>
      </c>
      <c r="C32" s="0" t="s">
        <v>60</v>
      </c>
      <c r="E32" s="11" t="n">
        <v>-0.05</v>
      </c>
      <c r="G32" s="12" t="s">
        <v>61</v>
      </c>
      <c r="H32" s="6" t="s">
        <v>66</v>
      </c>
      <c r="I32" s="12" t="s">
        <v>144</v>
      </c>
    </row>
    <row r="33" customFormat="false" ht="17.15" hidden="false" customHeight="false" outlineLevel="0" collapsed="false">
      <c r="A33" s="0" t="s">
        <v>145</v>
      </c>
      <c r="B33" s="6" t="s">
        <v>146</v>
      </c>
      <c r="C33" s="0" t="s">
        <v>60</v>
      </c>
      <c r="E33" s="11" t="n">
        <v>0.05</v>
      </c>
      <c r="G33" s="12" t="s">
        <v>61</v>
      </c>
      <c r="H33" s="6" t="s">
        <v>66</v>
      </c>
      <c r="I33" s="12" t="s">
        <v>147</v>
      </c>
    </row>
    <row r="34" customFormat="false" ht="17.15" hidden="false" customHeight="false" outlineLevel="0" collapsed="false">
      <c r="A34" s="0" t="s">
        <v>148</v>
      </c>
      <c r="B34" s="6" t="s">
        <v>149</v>
      </c>
      <c r="C34" s="0" t="s">
        <v>60</v>
      </c>
      <c r="E34" s="11" t="n">
        <v>0.05</v>
      </c>
      <c r="G34" s="12" t="s">
        <v>61</v>
      </c>
      <c r="H34" s="6" t="s">
        <v>66</v>
      </c>
      <c r="I34" s="12" t="s">
        <v>150</v>
      </c>
    </row>
    <row r="35" customFormat="false" ht="17.15" hidden="false" customHeight="false" outlineLevel="0" collapsed="false">
      <c r="A35" s="0" t="s">
        <v>151</v>
      </c>
      <c r="B35" s="6" t="s">
        <v>152</v>
      </c>
      <c r="C35" s="0" t="s">
        <v>60</v>
      </c>
      <c r="E35" s="11" t="n">
        <v>0.03</v>
      </c>
      <c r="G35" s="12" t="s">
        <v>61</v>
      </c>
      <c r="H35" s="6" t="s">
        <v>66</v>
      </c>
      <c r="I35" s="12" t="s">
        <v>153</v>
      </c>
    </row>
    <row r="36" customFormat="false" ht="17.15" hidden="false" customHeight="false" outlineLevel="0" collapsed="false">
      <c r="A36" s="0" t="s">
        <v>154</v>
      </c>
      <c r="B36" s="6" t="s">
        <v>155</v>
      </c>
      <c r="C36" s="0" t="s">
        <v>60</v>
      </c>
      <c r="E36" s="11" t="n">
        <v>0.03</v>
      </c>
      <c r="G36" s="12" t="s">
        <v>61</v>
      </c>
      <c r="H36" s="6" t="s">
        <v>66</v>
      </c>
      <c r="I36" s="12" t="s">
        <v>156</v>
      </c>
    </row>
    <row r="37" customFormat="false" ht="17.15" hidden="false" customHeight="false" outlineLevel="0" collapsed="false">
      <c r="A37" s="0" t="s">
        <v>157</v>
      </c>
      <c r="B37" s="6" t="s">
        <v>158</v>
      </c>
      <c r="C37" s="0" t="s">
        <v>60</v>
      </c>
      <c r="D37" s="11" t="n">
        <v>0</v>
      </c>
      <c r="E37" s="11" t="n">
        <v>0.05</v>
      </c>
      <c r="F37" s="11" t="n">
        <v>0.1</v>
      </c>
      <c r="G37" s="12" t="s">
        <v>159</v>
      </c>
      <c r="H37" s="12" t="s">
        <v>160</v>
      </c>
      <c r="I37" s="12" t="s">
        <v>161</v>
      </c>
    </row>
    <row r="38" customFormat="false" ht="17.15" hidden="false" customHeight="false" outlineLevel="0" collapsed="false">
      <c r="A38" s="0" t="s">
        <v>162</v>
      </c>
      <c r="B38" s="6" t="s">
        <v>163</v>
      </c>
      <c r="C38" s="0" t="s">
        <v>60</v>
      </c>
      <c r="D38" s="11" t="n">
        <v>-0.03</v>
      </c>
      <c r="E38" s="11" t="n">
        <v>0.02</v>
      </c>
      <c r="F38" s="11" t="n">
        <v>0.07</v>
      </c>
      <c r="G38" s="12" t="s">
        <v>159</v>
      </c>
      <c r="H38" s="6" t="s">
        <v>66</v>
      </c>
      <c r="I38" s="12" t="s">
        <v>164</v>
      </c>
    </row>
    <row r="39" customFormat="false" ht="17.15" hidden="false" customHeight="false" outlineLevel="0" collapsed="false">
      <c r="A39" s="0" t="s">
        <v>165</v>
      </c>
      <c r="B39" s="6" t="s">
        <v>166</v>
      </c>
      <c r="C39" s="0" t="s">
        <v>60</v>
      </c>
      <c r="D39" s="11" t="n">
        <v>-0.13</v>
      </c>
      <c r="E39" s="11" t="n">
        <v>-0.08</v>
      </c>
      <c r="F39" s="11" t="n">
        <v>-0.03</v>
      </c>
      <c r="G39" s="12" t="s">
        <v>159</v>
      </c>
      <c r="H39" s="6" t="s">
        <v>66</v>
      </c>
      <c r="I39" s="12" t="s">
        <v>167</v>
      </c>
    </row>
    <row r="40" customFormat="false" ht="17.15" hidden="false" customHeight="false" outlineLevel="0" collapsed="false">
      <c r="A40" s="0" t="s">
        <v>168</v>
      </c>
      <c r="B40" s="6" t="s">
        <v>169</v>
      </c>
      <c r="C40" s="0" t="s">
        <v>60</v>
      </c>
      <c r="D40" s="11" t="n">
        <v>-0.2</v>
      </c>
      <c r="E40" s="11" t="n">
        <v>-0.15</v>
      </c>
      <c r="F40" s="11" t="n">
        <v>-0.1</v>
      </c>
      <c r="G40" s="12" t="s">
        <v>159</v>
      </c>
      <c r="H40" s="6" t="s">
        <v>66</v>
      </c>
      <c r="I40" s="12" t="s">
        <v>170</v>
      </c>
    </row>
    <row r="41" customFormat="false" ht="17.15" hidden="false" customHeight="false" outlineLevel="0" collapsed="false">
      <c r="A41" s="0" t="s">
        <v>171</v>
      </c>
      <c r="B41" s="6" t="s">
        <v>172</v>
      </c>
      <c r="C41" s="0" t="s">
        <v>60</v>
      </c>
      <c r="D41" s="11" t="n">
        <v>-0.45</v>
      </c>
      <c r="E41" s="11" t="n">
        <v>-0.35</v>
      </c>
      <c r="F41" s="11" t="n">
        <v>-0.25</v>
      </c>
      <c r="G41" s="12" t="s">
        <v>159</v>
      </c>
      <c r="H41" s="6" t="s">
        <v>66</v>
      </c>
      <c r="I41" s="12" t="s">
        <v>173</v>
      </c>
    </row>
    <row r="42" customFormat="false" ht="17.15" hidden="false" customHeight="false" outlineLevel="0" collapsed="false">
      <c r="A42" s="0" t="s">
        <v>174</v>
      </c>
      <c r="B42" s="6" t="s">
        <v>175</v>
      </c>
      <c r="C42" s="0" t="s">
        <v>60</v>
      </c>
      <c r="D42" s="11" t="n">
        <v>-0.4</v>
      </c>
      <c r="E42" s="11" t="n">
        <v>-0.3</v>
      </c>
      <c r="F42" s="11" t="n">
        <v>-0.2</v>
      </c>
      <c r="G42" s="12" t="s">
        <v>159</v>
      </c>
      <c r="H42" s="6" t="s">
        <v>66</v>
      </c>
      <c r="I42" s="12" t="s">
        <v>176</v>
      </c>
    </row>
    <row r="43" customFormat="false" ht="17.15" hidden="false" customHeight="false" outlineLevel="0" collapsed="false">
      <c r="A43" s="0" t="s">
        <v>177</v>
      </c>
      <c r="B43" s="6" t="s">
        <v>178</v>
      </c>
      <c r="C43" s="0" t="s">
        <v>60</v>
      </c>
      <c r="D43" s="11" t="n">
        <v>-0.35</v>
      </c>
      <c r="E43" s="11" t="n">
        <v>-0.25</v>
      </c>
      <c r="F43" s="11" t="n">
        <v>-0.15</v>
      </c>
      <c r="G43" s="12" t="s">
        <v>159</v>
      </c>
      <c r="H43" s="6" t="s">
        <v>66</v>
      </c>
      <c r="I43" s="12" t="s">
        <v>179</v>
      </c>
    </row>
    <row r="44" customFormat="false" ht="17.15" hidden="false" customHeight="false" outlineLevel="0" collapsed="false">
      <c r="A44" s="0" t="s">
        <v>180</v>
      </c>
      <c r="B44" s="6" t="s">
        <v>181</v>
      </c>
      <c r="C44" s="0" t="s">
        <v>60</v>
      </c>
      <c r="D44" s="11" t="n">
        <v>-0.3</v>
      </c>
      <c r="E44" s="11" t="n">
        <v>-0.2</v>
      </c>
      <c r="F44" s="11" t="n">
        <v>-0.1</v>
      </c>
      <c r="G44" s="12" t="s">
        <v>159</v>
      </c>
      <c r="H44" s="6" t="s">
        <v>66</v>
      </c>
      <c r="I44" s="12" t="s">
        <v>182</v>
      </c>
    </row>
    <row r="45" customFormat="false" ht="17.15" hidden="false" customHeight="false" outlineLevel="0" collapsed="false">
      <c r="A45" s="0" t="s">
        <v>183</v>
      </c>
      <c r="B45" s="6" t="s">
        <v>184</v>
      </c>
      <c r="C45" s="0" t="s">
        <v>60</v>
      </c>
      <c r="D45" s="11" t="n">
        <v>-0.1</v>
      </c>
      <c r="E45" s="11" t="n">
        <v>0</v>
      </c>
      <c r="F45" s="11" t="n">
        <v>0.1</v>
      </c>
      <c r="G45" s="12" t="s">
        <v>159</v>
      </c>
      <c r="H45" s="6" t="s">
        <v>66</v>
      </c>
      <c r="I45" s="12" t="s">
        <v>185</v>
      </c>
    </row>
    <row r="46" customFormat="false" ht="17.15" hidden="false" customHeight="false" outlineLevel="0" collapsed="false">
      <c r="A46" s="0" t="s">
        <v>186</v>
      </c>
      <c r="B46" s="6" t="s">
        <v>187</v>
      </c>
      <c r="C46" s="0" t="s">
        <v>60</v>
      </c>
      <c r="D46" s="11" t="n">
        <v>-0.05</v>
      </c>
      <c r="E46" s="11" t="n">
        <v>0.05</v>
      </c>
      <c r="F46" s="11" t="n">
        <v>0.15</v>
      </c>
      <c r="G46" s="12" t="s">
        <v>159</v>
      </c>
      <c r="H46" s="6" t="s">
        <v>66</v>
      </c>
      <c r="I46" s="12" t="s">
        <v>188</v>
      </c>
    </row>
    <row r="47" customFormat="false" ht="17.15" hidden="false" customHeight="false" outlineLevel="0" collapsed="false">
      <c r="A47" s="0" t="s">
        <v>189</v>
      </c>
      <c r="B47" s="6" t="s">
        <v>190</v>
      </c>
      <c r="C47" s="0" t="s">
        <v>60</v>
      </c>
      <c r="D47" s="11" t="n">
        <v>-0.02</v>
      </c>
      <c r="E47" s="11" t="n">
        <v>0.08</v>
      </c>
      <c r="F47" s="11" t="n">
        <v>0.18</v>
      </c>
      <c r="G47" s="12" t="s">
        <v>159</v>
      </c>
      <c r="H47" s="6" t="s">
        <v>66</v>
      </c>
      <c r="I47" s="12" t="s">
        <v>191</v>
      </c>
    </row>
    <row r="48" customFormat="false" ht="17.15" hidden="false" customHeight="false" outlineLevel="0" collapsed="false">
      <c r="A48" s="0" t="s">
        <v>192</v>
      </c>
      <c r="B48" s="6" t="s">
        <v>193</v>
      </c>
      <c r="C48" s="0" t="s">
        <v>60</v>
      </c>
      <c r="D48" s="11" t="n">
        <v>0</v>
      </c>
      <c r="E48" s="11" t="n">
        <v>0.1</v>
      </c>
      <c r="F48" s="11" t="n">
        <v>0.2</v>
      </c>
      <c r="G48" s="12" t="s">
        <v>159</v>
      </c>
      <c r="H48" s="6" t="s">
        <v>66</v>
      </c>
      <c r="I48" s="12" t="s">
        <v>194</v>
      </c>
    </row>
    <row r="49" customFormat="false" ht="17.15" hidden="false" customHeight="false" outlineLevel="0" collapsed="false">
      <c r="A49" s="0" t="s">
        <v>195</v>
      </c>
      <c r="B49" s="0" t="s">
        <v>196</v>
      </c>
      <c r="C49" s="0" t="s">
        <v>60</v>
      </c>
      <c r="E49" s="11" t="n">
        <v>0</v>
      </c>
      <c r="G49" s="12" t="s">
        <v>61</v>
      </c>
      <c r="H49" s="12" t="s">
        <v>197</v>
      </c>
      <c r="I49" s="12" t="s">
        <v>198</v>
      </c>
    </row>
    <row r="50" customFormat="false" ht="17.15" hidden="false" customHeight="false" outlineLevel="0" collapsed="false">
      <c r="A50" s="0" t="s">
        <v>199</v>
      </c>
      <c r="B50" s="0" t="s">
        <v>200</v>
      </c>
      <c r="C50" s="0" t="s">
        <v>60</v>
      </c>
      <c r="E50" s="11" t="n">
        <v>0.05</v>
      </c>
      <c r="G50" s="12" t="s">
        <v>61</v>
      </c>
      <c r="H50" s="6" t="s">
        <v>66</v>
      </c>
      <c r="I50" s="12" t="s">
        <v>201</v>
      </c>
    </row>
    <row r="51" customFormat="false" ht="17.15" hidden="false" customHeight="false" outlineLevel="0" collapsed="false">
      <c r="A51" s="0" t="s">
        <v>202</v>
      </c>
      <c r="B51" s="0" t="s">
        <v>203</v>
      </c>
      <c r="C51" s="0" t="s">
        <v>60</v>
      </c>
      <c r="E51" s="11" t="n">
        <v>0.3</v>
      </c>
      <c r="G51" s="12" t="s">
        <v>61</v>
      </c>
      <c r="H51" s="6" t="s">
        <v>66</v>
      </c>
      <c r="I51" s="12" t="s">
        <v>204</v>
      </c>
    </row>
    <row r="52" customFormat="false" ht="17.15" hidden="false" customHeight="false" outlineLevel="0" collapsed="false">
      <c r="A52" s="0" t="s">
        <v>205</v>
      </c>
      <c r="B52" s="0" t="s">
        <v>206</v>
      </c>
      <c r="C52" s="0" t="s">
        <v>60</v>
      </c>
      <c r="E52" s="11" t="n">
        <v>0.875</v>
      </c>
      <c r="G52" s="12" t="s">
        <v>61</v>
      </c>
      <c r="H52" s="6" t="s">
        <v>66</v>
      </c>
      <c r="I52" s="12" t="s">
        <v>207</v>
      </c>
    </row>
    <row r="53" customFormat="false" ht="17.15" hidden="false" customHeight="false" outlineLevel="0" collapsed="false">
      <c r="A53" s="0" t="s">
        <v>208</v>
      </c>
      <c r="B53" s="0" t="s">
        <v>209</v>
      </c>
      <c r="C53" s="0" t="s">
        <v>60</v>
      </c>
      <c r="E53" s="11" t="n">
        <v>0.725</v>
      </c>
      <c r="G53" s="12" t="s">
        <v>61</v>
      </c>
      <c r="H53" s="6" t="s">
        <v>66</v>
      </c>
      <c r="I53" s="12" t="s">
        <v>210</v>
      </c>
    </row>
    <row r="54" customFormat="false" ht="17.15" hidden="false" customHeight="false" outlineLevel="0" collapsed="false">
      <c r="A54" s="0" t="s">
        <v>211</v>
      </c>
      <c r="B54" s="0" t="s">
        <v>212</v>
      </c>
      <c r="C54" s="0" t="s">
        <v>60</v>
      </c>
      <c r="E54" s="11" t="n">
        <v>0.15</v>
      </c>
      <c r="G54" s="12" t="s">
        <v>61</v>
      </c>
      <c r="H54" s="6" t="s">
        <v>66</v>
      </c>
      <c r="I54" s="12" t="s">
        <v>213</v>
      </c>
    </row>
    <row r="55" customFormat="false" ht="17.15" hidden="false" customHeight="false" outlineLevel="0" collapsed="false">
      <c r="A55" s="0" t="s">
        <v>214</v>
      </c>
      <c r="B55" s="0" t="s">
        <v>215</v>
      </c>
      <c r="C55" s="0" t="s">
        <v>60</v>
      </c>
      <c r="E55" s="11" t="n">
        <v>0.175</v>
      </c>
      <c r="G55" s="12" t="s">
        <v>61</v>
      </c>
      <c r="H55" s="6" t="s">
        <v>66</v>
      </c>
      <c r="I55" s="12" t="s">
        <v>216</v>
      </c>
    </row>
    <row r="56" customFormat="false" ht="17.15" hidden="false" customHeight="false" outlineLevel="0" collapsed="false">
      <c r="A56" s="0" t="s">
        <v>217</v>
      </c>
      <c r="B56" s="0" t="s">
        <v>218</v>
      </c>
      <c r="C56" s="0" t="s">
        <v>60</v>
      </c>
      <c r="E56" s="11" t="n">
        <v>0.03</v>
      </c>
      <c r="G56" s="12" t="s">
        <v>61</v>
      </c>
      <c r="H56" s="12" t="s">
        <v>219</v>
      </c>
      <c r="I56" s="12" t="s">
        <v>220</v>
      </c>
    </row>
    <row r="57" customFormat="false" ht="17.15" hidden="false" customHeight="false" outlineLevel="0" collapsed="false">
      <c r="A57" s="0" t="s">
        <v>221</v>
      </c>
      <c r="B57" s="0" t="s">
        <v>222</v>
      </c>
      <c r="C57" s="0" t="s">
        <v>60</v>
      </c>
      <c r="E57" s="11" t="n">
        <v>0</v>
      </c>
      <c r="G57" s="12" t="s">
        <v>61</v>
      </c>
      <c r="H57" s="6" t="s">
        <v>66</v>
      </c>
      <c r="I57" s="12" t="s">
        <v>223</v>
      </c>
    </row>
    <row r="58" customFormat="false" ht="17.15" hidden="false" customHeight="false" outlineLevel="0" collapsed="false">
      <c r="A58" s="0" t="s">
        <v>224</v>
      </c>
      <c r="B58" s="0" t="s">
        <v>225</v>
      </c>
      <c r="C58" s="0" t="s">
        <v>60</v>
      </c>
      <c r="E58" s="11" t="n">
        <v>-0.05</v>
      </c>
      <c r="G58" s="12" t="s">
        <v>61</v>
      </c>
      <c r="H58" s="6" t="s">
        <v>66</v>
      </c>
      <c r="I58" s="12" t="s">
        <v>226</v>
      </c>
    </row>
    <row r="59" customFormat="false" ht="17.15" hidden="false" customHeight="false" outlineLevel="0" collapsed="false">
      <c r="A59" s="0" t="s">
        <v>227</v>
      </c>
      <c r="B59" s="0" t="s">
        <v>228</v>
      </c>
      <c r="C59" s="0" t="s">
        <v>60</v>
      </c>
      <c r="E59" s="11" t="n">
        <v>-0.07</v>
      </c>
      <c r="G59" s="12" t="s">
        <v>61</v>
      </c>
      <c r="H59" s="6" t="s">
        <v>66</v>
      </c>
      <c r="I59" s="12" t="s">
        <v>229</v>
      </c>
    </row>
    <row r="60" customFormat="false" ht="17.15" hidden="false" customHeight="false" outlineLevel="0" collapsed="false">
      <c r="A60" s="0" t="s">
        <v>230</v>
      </c>
      <c r="B60" s="0" t="s">
        <v>231</v>
      </c>
      <c r="C60" s="0" t="s">
        <v>60</v>
      </c>
      <c r="E60" s="11" t="n">
        <v>-0.05</v>
      </c>
      <c r="G60" s="12" t="s">
        <v>61</v>
      </c>
      <c r="H60" s="6" t="s">
        <v>66</v>
      </c>
      <c r="I60" s="12" t="s">
        <v>232</v>
      </c>
    </row>
    <row r="61" customFormat="false" ht="17.15" hidden="false" customHeight="false" outlineLevel="0" collapsed="false">
      <c r="A61" s="0" t="s">
        <v>233</v>
      </c>
      <c r="B61" s="0" t="s">
        <v>234</v>
      </c>
      <c r="C61" s="0" t="s">
        <v>60</v>
      </c>
      <c r="E61" s="11" t="n">
        <v>-0.05</v>
      </c>
      <c r="G61" s="12" t="s">
        <v>61</v>
      </c>
      <c r="H61" s="6" t="s">
        <v>66</v>
      </c>
      <c r="I61" s="12" t="s">
        <v>235</v>
      </c>
    </row>
    <row r="62" customFormat="false" ht="17.15" hidden="false" customHeight="false" outlineLevel="0" collapsed="false">
      <c r="A62" s="0" t="s">
        <v>236</v>
      </c>
      <c r="B62" s="0" t="s">
        <v>237</v>
      </c>
      <c r="C62" s="0" t="s">
        <v>60</v>
      </c>
      <c r="E62" s="11" t="n">
        <v>-0.05</v>
      </c>
      <c r="G62" s="12" t="s">
        <v>61</v>
      </c>
      <c r="H62" s="6" t="s">
        <v>66</v>
      </c>
      <c r="I62" s="12" t="s">
        <v>238</v>
      </c>
    </row>
    <row r="63" customFormat="false" ht="17.15" hidden="false" customHeight="false" outlineLevel="0" collapsed="false">
      <c r="A63" s="0" t="s">
        <v>239</v>
      </c>
      <c r="B63" s="0" t="s">
        <v>240</v>
      </c>
      <c r="C63" s="0" t="s">
        <v>60</v>
      </c>
      <c r="E63" s="11" t="n">
        <v>-0.05</v>
      </c>
      <c r="G63" s="12" t="s">
        <v>61</v>
      </c>
      <c r="H63" s="6" t="s">
        <v>66</v>
      </c>
      <c r="I63" s="12" t="s">
        <v>241</v>
      </c>
    </row>
    <row r="64" customFormat="false" ht="17.15" hidden="false" customHeight="false" outlineLevel="0" collapsed="false">
      <c r="A64" s="0" t="s">
        <v>242</v>
      </c>
      <c r="B64" s="0" t="s">
        <v>243</v>
      </c>
      <c r="C64" s="0" t="s">
        <v>60</v>
      </c>
      <c r="E64" s="11" t="n">
        <v>-0.03</v>
      </c>
      <c r="G64" s="12" t="s">
        <v>61</v>
      </c>
      <c r="H64" s="6" t="s">
        <v>66</v>
      </c>
      <c r="I64" s="12" t="s">
        <v>244</v>
      </c>
    </row>
    <row r="65" customFormat="false" ht="17.15" hidden="false" customHeight="false" outlineLevel="0" collapsed="false">
      <c r="A65" s="0" t="s">
        <v>245</v>
      </c>
      <c r="B65" s="0" t="s">
        <v>246</v>
      </c>
      <c r="C65" s="0" t="s">
        <v>60</v>
      </c>
      <c r="E65" s="11" t="n">
        <v>-0.03</v>
      </c>
      <c r="G65" s="12" t="s">
        <v>61</v>
      </c>
      <c r="H65" s="6" t="s">
        <v>66</v>
      </c>
      <c r="I65" s="12" t="s">
        <v>247</v>
      </c>
    </row>
    <row r="66" customFormat="false" ht="17.15" hidden="false" customHeight="false" outlineLevel="0" collapsed="false">
      <c r="A66" s="0" t="s">
        <v>248</v>
      </c>
      <c r="B66" s="0" t="s">
        <v>249</v>
      </c>
      <c r="C66" s="0" t="s">
        <v>60</v>
      </c>
      <c r="E66" s="11" t="n">
        <v>-0.03</v>
      </c>
      <c r="G66" s="12" t="s">
        <v>61</v>
      </c>
      <c r="H66" s="6" t="s">
        <v>66</v>
      </c>
      <c r="I66" s="12" t="s">
        <v>250</v>
      </c>
    </row>
    <row r="67" customFormat="false" ht="17.15" hidden="false" customHeight="false" outlineLevel="0" collapsed="false">
      <c r="A67" s="0" t="s">
        <v>251</v>
      </c>
      <c r="B67" s="0" t="s">
        <v>252</v>
      </c>
      <c r="C67" s="0" t="s">
        <v>60</v>
      </c>
      <c r="E67" s="11" t="n">
        <v>-0.03</v>
      </c>
      <c r="G67" s="12" t="s">
        <v>61</v>
      </c>
      <c r="H67" s="6" t="s">
        <v>66</v>
      </c>
      <c r="I67" s="12" t="s">
        <v>253</v>
      </c>
    </row>
    <row r="68" customFormat="false" ht="17.15" hidden="false" customHeight="false" outlineLevel="0" collapsed="false">
      <c r="A68" s="0" t="s">
        <v>254</v>
      </c>
      <c r="B68" s="0" t="s">
        <v>255</v>
      </c>
      <c r="C68" s="0" t="s">
        <v>60</v>
      </c>
      <c r="E68" s="11" t="n">
        <v>0.05</v>
      </c>
      <c r="G68" s="12" t="s">
        <v>61</v>
      </c>
      <c r="H68" s="12" t="s">
        <v>256</v>
      </c>
      <c r="I68" s="12" t="s">
        <v>257</v>
      </c>
    </row>
    <row r="69" customFormat="false" ht="17.15" hidden="false" customHeight="false" outlineLevel="0" collapsed="false">
      <c r="A69" s="0" t="s">
        <v>258</v>
      </c>
      <c r="B69" s="0" t="s">
        <v>259</v>
      </c>
      <c r="C69" s="0" t="s">
        <v>60</v>
      </c>
      <c r="E69" s="11" t="n">
        <v>0.02</v>
      </c>
      <c r="G69" s="12" t="s">
        <v>61</v>
      </c>
      <c r="H69" s="6" t="s">
        <v>66</v>
      </c>
      <c r="I69" s="12" t="s">
        <v>260</v>
      </c>
    </row>
    <row r="70" customFormat="false" ht="17.15" hidden="false" customHeight="false" outlineLevel="0" collapsed="false">
      <c r="A70" s="0" t="s">
        <v>261</v>
      </c>
      <c r="B70" s="0" t="s">
        <v>262</v>
      </c>
      <c r="C70" s="0" t="s">
        <v>60</v>
      </c>
      <c r="E70" s="11" t="n">
        <v>-0.1</v>
      </c>
      <c r="G70" s="12" t="s">
        <v>61</v>
      </c>
      <c r="H70" s="6" t="s">
        <v>66</v>
      </c>
      <c r="I70" s="12" t="s">
        <v>263</v>
      </c>
    </row>
    <row r="71" customFormat="false" ht="17.15" hidden="false" customHeight="false" outlineLevel="0" collapsed="false">
      <c r="A71" s="0" t="s">
        <v>264</v>
      </c>
      <c r="B71" s="0" t="s">
        <v>265</v>
      </c>
      <c r="C71" s="0" t="s">
        <v>60</v>
      </c>
      <c r="E71" s="11" t="n">
        <v>-0.2</v>
      </c>
      <c r="G71" s="12" t="s">
        <v>61</v>
      </c>
      <c r="H71" s="6" t="s">
        <v>66</v>
      </c>
      <c r="I71" s="12" t="s">
        <v>266</v>
      </c>
    </row>
    <row r="72" customFormat="false" ht="17.15" hidden="false" customHeight="false" outlineLevel="0" collapsed="false">
      <c r="A72" s="0" t="s">
        <v>267</v>
      </c>
      <c r="B72" s="0" t="s">
        <v>268</v>
      </c>
      <c r="C72" s="0" t="s">
        <v>60</v>
      </c>
      <c r="E72" s="11" t="n">
        <v>-0.3</v>
      </c>
      <c r="G72" s="12" t="s">
        <v>61</v>
      </c>
      <c r="H72" s="6" t="s">
        <v>66</v>
      </c>
      <c r="I72" s="12" t="s">
        <v>269</v>
      </c>
    </row>
    <row r="73" customFormat="false" ht="17.15" hidden="false" customHeight="false" outlineLevel="0" collapsed="false">
      <c r="A73" s="0" t="s">
        <v>270</v>
      </c>
      <c r="B73" s="0" t="s">
        <v>271</v>
      </c>
      <c r="C73" s="0" t="s">
        <v>60</v>
      </c>
      <c r="E73" s="11" t="n">
        <v>-0.25</v>
      </c>
      <c r="G73" s="12" t="s">
        <v>61</v>
      </c>
      <c r="H73" s="6" t="s">
        <v>66</v>
      </c>
      <c r="I73" s="12" t="s">
        <v>272</v>
      </c>
    </row>
    <row r="74" customFormat="false" ht="17.15" hidden="false" customHeight="false" outlineLevel="0" collapsed="false">
      <c r="A74" s="0" t="s">
        <v>273</v>
      </c>
      <c r="B74" s="0" t="s">
        <v>274</v>
      </c>
      <c r="C74" s="0" t="s">
        <v>60</v>
      </c>
      <c r="E74" s="11" t="n">
        <v>-0.2</v>
      </c>
      <c r="G74" s="12" t="s">
        <v>61</v>
      </c>
      <c r="H74" s="6" t="s">
        <v>66</v>
      </c>
      <c r="I74" s="12" t="s">
        <v>275</v>
      </c>
    </row>
    <row r="75" customFormat="false" ht="17.15" hidden="false" customHeight="false" outlineLevel="0" collapsed="false">
      <c r="A75" s="0" t="s">
        <v>276</v>
      </c>
      <c r="B75" s="0" t="s">
        <v>277</v>
      </c>
      <c r="C75" s="0" t="s">
        <v>60</v>
      </c>
      <c r="E75" s="11" t="n">
        <v>-0.1</v>
      </c>
      <c r="G75" s="12" t="s">
        <v>61</v>
      </c>
      <c r="H75" s="6" t="s">
        <v>66</v>
      </c>
      <c r="I75" s="12" t="s">
        <v>278</v>
      </c>
    </row>
    <row r="76" customFormat="false" ht="17.15" hidden="false" customHeight="false" outlineLevel="0" collapsed="false">
      <c r="A76" s="0" t="s">
        <v>279</v>
      </c>
      <c r="B76" s="0" t="s">
        <v>280</v>
      </c>
      <c r="C76" s="0" t="s">
        <v>60</v>
      </c>
      <c r="E76" s="11" t="n">
        <v>0.05</v>
      </c>
      <c r="G76" s="12" t="s">
        <v>61</v>
      </c>
      <c r="H76" s="6" t="s">
        <v>66</v>
      </c>
      <c r="I76" s="12" t="s">
        <v>281</v>
      </c>
    </row>
    <row r="77" customFormat="false" ht="17.15" hidden="false" customHeight="false" outlineLevel="0" collapsed="false">
      <c r="A77" s="0" t="s">
        <v>282</v>
      </c>
      <c r="B77" s="0" t="s">
        <v>283</v>
      </c>
      <c r="C77" s="0" t="s">
        <v>60</v>
      </c>
      <c r="E77" s="11" t="n">
        <v>0.05</v>
      </c>
      <c r="G77" s="12" t="s">
        <v>61</v>
      </c>
      <c r="H77" s="6" t="s">
        <v>66</v>
      </c>
      <c r="I77" s="12" t="s">
        <v>284</v>
      </c>
    </row>
    <row r="78" customFormat="false" ht="17.15" hidden="false" customHeight="false" outlineLevel="0" collapsed="false">
      <c r="A78" s="0" t="s">
        <v>285</v>
      </c>
      <c r="B78" s="0" t="s">
        <v>286</v>
      </c>
      <c r="C78" s="0" t="s">
        <v>60</v>
      </c>
      <c r="E78" s="11" t="n">
        <v>0.03</v>
      </c>
      <c r="G78" s="12" t="s">
        <v>61</v>
      </c>
      <c r="H78" s="6" t="s">
        <v>66</v>
      </c>
      <c r="I78" s="12" t="s">
        <v>287</v>
      </c>
    </row>
    <row r="79" customFormat="false" ht="17.15" hidden="false" customHeight="false" outlineLevel="0" collapsed="false">
      <c r="A79" s="0" t="s">
        <v>288</v>
      </c>
      <c r="B79" s="0" t="s">
        <v>289</v>
      </c>
      <c r="C79" s="0" t="s">
        <v>60</v>
      </c>
      <c r="E79" s="11" t="n">
        <v>0.03</v>
      </c>
      <c r="G79" s="12" t="s">
        <v>61</v>
      </c>
      <c r="H79" s="6" t="s">
        <v>66</v>
      </c>
      <c r="I79" s="12" t="s">
        <v>290</v>
      </c>
    </row>
    <row r="80" customFormat="false" ht="17.15" hidden="false" customHeight="false" outlineLevel="0" collapsed="false">
      <c r="A80" s="0" t="s">
        <v>291</v>
      </c>
      <c r="B80" s="0" t="s">
        <v>292</v>
      </c>
      <c r="C80" s="0" t="s">
        <v>60</v>
      </c>
      <c r="D80" s="11" t="n">
        <v>0</v>
      </c>
      <c r="E80" s="11" t="n">
        <v>0.05</v>
      </c>
      <c r="F80" s="11" t="n">
        <v>0.1</v>
      </c>
      <c r="G80" s="12" t="s">
        <v>159</v>
      </c>
      <c r="H80" s="12" t="s">
        <v>293</v>
      </c>
      <c r="I80" s="12" t="s">
        <v>294</v>
      </c>
    </row>
    <row r="81" customFormat="false" ht="17.15" hidden="false" customHeight="false" outlineLevel="0" collapsed="false">
      <c r="A81" s="0" t="s">
        <v>295</v>
      </c>
      <c r="B81" s="0" t="s">
        <v>296</v>
      </c>
      <c r="C81" s="0" t="s">
        <v>60</v>
      </c>
      <c r="D81" s="11" t="n">
        <v>-0.03</v>
      </c>
      <c r="E81" s="11" t="n">
        <v>0.02</v>
      </c>
      <c r="F81" s="11" t="n">
        <v>0.07</v>
      </c>
      <c r="G81" s="12" t="s">
        <v>159</v>
      </c>
      <c r="H81" s="6" t="s">
        <v>66</v>
      </c>
      <c r="I81" s="12" t="s">
        <v>297</v>
      </c>
    </row>
    <row r="82" customFormat="false" ht="17.15" hidden="false" customHeight="false" outlineLevel="0" collapsed="false">
      <c r="A82" s="0" t="s">
        <v>298</v>
      </c>
      <c r="B82" s="0" t="s">
        <v>299</v>
      </c>
      <c r="C82" s="0" t="s">
        <v>60</v>
      </c>
      <c r="D82" s="11" t="n">
        <v>-0.15</v>
      </c>
      <c r="E82" s="11" t="n">
        <v>-0.1</v>
      </c>
      <c r="F82" s="11" t="n">
        <v>-0.05</v>
      </c>
      <c r="G82" s="12" t="s">
        <v>159</v>
      </c>
      <c r="H82" s="6" t="s">
        <v>66</v>
      </c>
      <c r="I82" s="12" t="s">
        <v>300</v>
      </c>
    </row>
    <row r="83" customFormat="false" ht="17.15" hidden="false" customHeight="false" outlineLevel="0" collapsed="false">
      <c r="A83" s="0" t="s">
        <v>301</v>
      </c>
      <c r="B83" s="0" t="s">
        <v>302</v>
      </c>
      <c r="C83" s="0" t="s">
        <v>60</v>
      </c>
      <c r="D83" s="11" t="n">
        <v>-0.25</v>
      </c>
      <c r="E83" s="11" t="n">
        <v>-0.2</v>
      </c>
      <c r="F83" s="11" t="n">
        <v>-0.15</v>
      </c>
      <c r="G83" s="12" t="s">
        <v>159</v>
      </c>
      <c r="H83" s="6" t="s">
        <v>66</v>
      </c>
      <c r="I83" s="12" t="s">
        <v>303</v>
      </c>
    </row>
    <row r="84" customFormat="false" ht="17.15" hidden="false" customHeight="false" outlineLevel="0" collapsed="false">
      <c r="A84" s="0" t="s">
        <v>304</v>
      </c>
      <c r="B84" s="0" t="s">
        <v>305</v>
      </c>
      <c r="C84" s="0" t="s">
        <v>60</v>
      </c>
      <c r="D84" s="11" t="n">
        <v>-0.45</v>
      </c>
      <c r="E84" s="11" t="n">
        <v>-0.35</v>
      </c>
      <c r="F84" s="11" t="n">
        <v>-0.25</v>
      </c>
      <c r="G84" s="12" t="s">
        <v>159</v>
      </c>
      <c r="H84" s="6" t="s">
        <v>66</v>
      </c>
      <c r="I84" s="12" t="s">
        <v>306</v>
      </c>
    </row>
    <row r="85" customFormat="false" ht="17.15" hidden="false" customHeight="false" outlineLevel="0" collapsed="false">
      <c r="A85" s="0" t="s">
        <v>307</v>
      </c>
      <c r="B85" s="0" t="s">
        <v>308</v>
      </c>
      <c r="C85" s="0" t="s">
        <v>60</v>
      </c>
      <c r="D85" s="11" t="n">
        <v>-0.45</v>
      </c>
      <c r="E85" s="11" t="n">
        <v>-0.35</v>
      </c>
      <c r="F85" s="11" t="n">
        <v>-0.25</v>
      </c>
      <c r="G85" s="12" t="s">
        <v>159</v>
      </c>
      <c r="H85" s="6" t="s">
        <v>66</v>
      </c>
      <c r="I85" s="12" t="s">
        <v>309</v>
      </c>
    </row>
    <row r="86" customFormat="false" ht="17.15" hidden="false" customHeight="false" outlineLevel="0" collapsed="false">
      <c r="A86" s="0" t="s">
        <v>310</v>
      </c>
      <c r="B86" s="0" t="s">
        <v>311</v>
      </c>
      <c r="C86" s="0" t="s">
        <v>60</v>
      </c>
      <c r="D86" s="11" t="n">
        <v>-0.35</v>
      </c>
      <c r="E86" s="11" t="n">
        <v>-0.25</v>
      </c>
      <c r="F86" s="11" t="n">
        <v>-0.15</v>
      </c>
      <c r="G86" s="12" t="s">
        <v>159</v>
      </c>
      <c r="H86" s="6" t="s">
        <v>66</v>
      </c>
      <c r="I86" s="12" t="s">
        <v>312</v>
      </c>
    </row>
    <row r="87" customFormat="false" ht="17.15" hidden="false" customHeight="false" outlineLevel="0" collapsed="false">
      <c r="A87" s="0" t="s">
        <v>313</v>
      </c>
      <c r="B87" s="0" t="s">
        <v>314</v>
      </c>
      <c r="C87" s="0" t="s">
        <v>60</v>
      </c>
      <c r="D87" s="11" t="n">
        <v>-0.3</v>
      </c>
      <c r="E87" s="11" t="n">
        <v>-0.2</v>
      </c>
      <c r="F87" s="11" t="n">
        <v>-0.1</v>
      </c>
      <c r="G87" s="12" t="s">
        <v>159</v>
      </c>
      <c r="H87" s="6" t="s">
        <v>66</v>
      </c>
      <c r="I87" s="12" t="s">
        <v>315</v>
      </c>
    </row>
    <row r="88" customFormat="false" ht="17.15" hidden="false" customHeight="false" outlineLevel="0" collapsed="false">
      <c r="A88" s="0" t="s">
        <v>316</v>
      </c>
      <c r="B88" s="0" t="s">
        <v>317</v>
      </c>
      <c r="C88" s="0" t="s">
        <v>60</v>
      </c>
      <c r="D88" s="11" t="n">
        <v>-0.1</v>
      </c>
      <c r="E88" s="11" t="n">
        <v>0</v>
      </c>
      <c r="F88" s="11" t="n">
        <v>0.1</v>
      </c>
      <c r="G88" s="12" t="s">
        <v>159</v>
      </c>
      <c r="H88" s="6" t="s">
        <v>66</v>
      </c>
      <c r="I88" s="12" t="s">
        <v>318</v>
      </c>
    </row>
    <row r="89" customFormat="false" ht="17.15" hidden="false" customHeight="false" outlineLevel="0" collapsed="false">
      <c r="A89" s="0" t="s">
        <v>319</v>
      </c>
      <c r="B89" s="0" t="s">
        <v>320</v>
      </c>
      <c r="C89" s="0" t="s">
        <v>60</v>
      </c>
      <c r="D89" s="11" t="n">
        <v>-0.05</v>
      </c>
      <c r="E89" s="11" t="n">
        <v>0.05</v>
      </c>
      <c r="F89" s="11" t="n">
        <v>0.15</v>
      </c>
      <c r="G89" s="12" t="s">
        <v>159</v>
      </c>
      <c r="H89" s="6" t="s">
        <v>66</v>
      </c>
      <c r="I89" s="12" t="s">
        <v>321</v>
      </c>
    </row>
    <row r="90" customFormat="false" ht="17.15" hidden="false" customHeight="false" outlineLevel="0" collapsed="false">
      <c r="A90" s="0" t="s">
        <v>322</v>
      </c>
      <c r="B90" s="0" t="s">
        <v>323</v>
      </c>
      <c r="C90" s="0" t="s">
        <v>60</v>
      </c>
      <c r="D90" s="11" t="n">
        <v>-0.02</v>
      </c>
      <c r="E90" s="11" t="n">
        <v>0.08</v>
      </c>
      <c r="F90" s="11" t="n">
        <v>0.18</v>
      </c>
      <c r="G90" s="12" t="s">
        <v>159</v>
      </c>
      <c r="H90" s="6" t="s">
        <v>66</v>
      </c>
      <c r="I90" s="12" t="s">
        <v>324</v>
      </c>
    </row>
    <row r="91" customFormat="false" ht="17.15" hidden="false" customHeight="false" outlineLevel="0" collapsed="false">
      <c r="A91" s="0" t="s">
        <v>325</v>
      </c>
      <c r="B91" s="0" t="s">
        <v>326</v>
      </c>
      <c r="C91" s="0" t="s">
        <v>60</v>
      </c>
      <c r="D91" s="11" t="n">
        <v>0</v>
      </c>
      <c r="E91" s="11" t="n">
        <v>0.1</v>
      </c>
      <c r="F91" s="11" t="n">
        <v>0.2</v>
      </c>
      <c r="G91" s="12" t="s">
        <v>159</v>
      </c>
      <c r="H91" s="6" t="s">
        <v>66</v>
      </c>
      <c r="I91" s="12" t="s">
        <v>327</v>
      </c>
    </row>
    <row r="92" customFormat="false" ht="17.15" hidden="false" customHeight="false" outlineLevel="0" collapsed="false">
      <c r="A92" s="10" t="s">
        <v>328</v>
      </c>
    </row>
    <row r="93" customFormat="false" ht="17.15" hidden="false" customHeight="false" outlineLevel="0" collapsed="false">
      <c r="A93" s="0" t="s">
        <v>329</v>
      </c>
      <c r="B93" s="0" t="s">
        <v>330</v>
      </c>
      <c r="C93" s="6" t="s">
        <v>331</v>
      </c>
      <c r="E93" s="13" t="n">
        <v>5.4</v>
      </c>
      <c r="G93" s="12" t="s">
        <v>61</v>
      </c>
      <c r="H93" s="6" t="s">
        <v>332</v>
      </c>
      <c r="I93" s="12" t="s">
        <v>333</v>
      </c>
    </row>
    <row r="94" customFormat="false" ht="17.15" hidden="false" customHeight="false" outlineLevel="0" collapsed="false">
      <c r="A94" s="0" t="s">
        <v>334</v>
      </c>
      <c r="B94" s="0" t="s">
        <v>335</v>
      </c>
      <c r="C94" s="6" t="s">
        <v>331</v>
      </c>
      <c r="E94" s="13" t="n">
        <v>2.4</v>
      </c>
      <c r="G94" s="12" t="s">
        <v>61</v>
      </c>
      <c r="H94" s="6" t="s">
        <v>66</v>
      </c>
      <c r="I94" s="12" t="s">
        <v>336</v>
      </c>
    </row>
    <row r="95" customFormat="false" ht="17.15" hidden="false" customHeight="false" outlineLevel="0" collapsed="false">
      <c r="A95" s="0" t="s">
        <v>337</v>
      </c>
      <c r="B95" s="0" t="s">
        <v>338</v>
      </c>
      <c r="C95" s="6" t="s">
        <v>331</v>
      </c>
      <c r="E95" s="13" t="n">
        <v>0.5</v>
      </c>
      <c r="G95" s="12" t="s">
        <v>61</v>
      </c>
      <c r="H95" s="6" t="s">
        <v>66</v>
      </c>
      <c r="I95" s="12" t="s">
        <v>339</v>
      </c>
    </row>
    <row r="96" customFormat="false" ht="17.15" hidden="false" customHeight="false" outlineLevel="0" collapsed="false">
      <c r="A96" s="0" t="s">
        <v>340</v>
      </c>
      <c r="B96" s="0" t="s">
        <v>341</v>
      </c>
      <c r="C96" s="0" t="s">
        <v>342</v>
      </c>
      <c r="E96" s="13" t="n">
        <v>260</v>
      </c>
      <c r="G96" s="12" t="s">
        <v>61</v>
      </c>
      <c r="H96" s="6" t="s">
        <v>66</v>
      </c>
      <c r="I96" s="12" t="s">
        <v>343</v>
      </c>
    </row>
    <row r="97" customFormat="false" ht="17.15" hidden="false" customHeight="false" outlineLevel="0" collapsed="false">
      <c r="A97" s="0" t="s">
        <v>344</v>
      </c>
      <c r="B97" s="0" t="s">
        <v>345</v>
      </c>
      <c r="C97" s="0" t="s">
        <v>342</v>
      </c>
      <c r="E97" s="13" t="n">
        <v>280</v>
      </c>
      <c r="G97" s="12" t="s">
        <v>61</v>
      </c>
      <c r="H97" s="6" t="s">
        <v>66</v>
      </c>
      <c r="I97" s="12" t="s">
        <v>346</v>
      </c>
    </row>
    <row r="98" customFormat="false" ht="17.15" hidden="false" customHeight="false" outlineLevel="0" collapsed="false">
      <c r="A98" s="0" t="s">
        <v>347</v>
      </c>
      <c r="B98" s="0" t="s">
        <v>348</v>
      </c>
      <c r="C98" s="0" t="s">
        <v>342</v>
      </c>
      <c r="E98" s="13" t="n">
        <v>288</v>
      </c>
      <c r="G98" s="12" t="s">
        <v>61</v>
      </c>
      <c r="H98" s="6" t="s">
        <v>66</v>
      </c>
      <c r="I98" s="12" t="s">
        <v>349</v>
      </c>
    </row>
    <row r="99" customFormat="false" ht="17.15" hidden="false" customHeight="false" outlineLevel="0" collapsed="false">
      <c r="A99" s="0" t="s">
        <v>350</v>
      </c>
      <c r="B99" s="0" t="s">
        <v>351</v>
      </c>
      <c r="C99" s="6" t="s">
        <v>331</v>
      </c>
      <c r="E99" s="13" t="n">
        <v>1.7</v>
      </c>
      <c r="G99" s="12" t="s">
        <v>61</v>
      </c>
      <c r="H99" s="12" t="s">
        <v>352</v>
      </c>
      <c r="I99" s="12" t="s">
        <v>353</v>
      </c>
    </row>
    <row r="100" customFormat="false" ht="17.15" hidden="false" customHeight="false" outlineLevel="0" collapsed="false">
      <c r="A100" s="0" t="s">
        <v>354</v>
      </c>
      <c r="B100" s="0" t="s">
        <v>355</v>
      </c>
      <c r="C100" s="6" t="s">
        <v>331</v>
      </c>
      <c r="E100" s="13" t="n">
        <v>7</v>
      </c>
      <c r="G100" s="12" t="s">
        <v>61</v>
      </c>
      <c r="H100" s="6" t="s">
        <v>66</v>
      </c>
      <c r="I100" s="12" t="s">
        <v>356</v>
      </c>
    </row>
    <row r="101" customFormat="false" ht="17.15" hidden="false" customHeight="false" outlineLevel="0" collapsed="false">
      <c r="A101" s="0" t="s">
        <v>357</v>
      </c>
      <c r="B101" s="0" t="s">
        <v>358</v>
      </c>
      <c r="C101" s="6" t="s">
        <v>331</v>
      </c>
      <c r="E101" s="13" t="n">
        <v>7</v>
      </c>
      <c r="G101" s="12" t="s">
        <v>61</v>
      </c>
      <c r="H101" s="6" t="s">
        <v>66</v>
      </c>
      <c r="I101" s="12" t="s">
        <v>359</v>
      </c>
    </row>
    <row r="102" customFormat="false" ht="17.15" hidden="false" customHeight="false" outlineLevel="0" collapsed="false">
      <c r="A102" s="0" t="s">
        <v>360</v>
      </c>
      <c r="B102" s="0" t="s">
        <v>361</v>
      </c>
      <c r="C102" s="0" t="s">
        <v>342</v>
      </c>
      <c r="E102" s="13" t="n">
        <v>288</v>
      </c>
      <c r="G102" s="12" t="s">
        <v>61</v>
      </c>
      <c r="H102" s="6" t="s">
        <v>66</v>
      </c>
      <c r="I102" s="12" t="s">
        <v>362</v>
      </c>
    </row>
    <row r="103" customFormat="false" ht="17.15" hidden="false" customHeight="false" outlineLevel="0" collapsed="false">
      <c r="A103" s="0" t="s">
        <v>363</v>
      </c>
      <c r="B103" s="0" t="s">
        <v>364</v>
      </c>
      <c r="C103" s="0" t="s">
        <v>342</v>
      </c>
      <c r="E103" s="13" t="n">
        <v>288</v>
      </c>
      <c r="G103" s="12" t="s">
        <v>61</v>
      </c>
      <c r="H103" s="6" t="s">
        <v>66</v>
      </c>
      <c r="I103" s="12" t="s">
        <v>365</v>
      </c>
    </row>
    <row r="104" customFormat="false" ht="17.15" hidden="false" customHeight="false" outlineLevel="0" collapsed="false">
      <c r="A104" s="0" t="s">
        <v>366</v>
      </c>
      <c r="B104" s="0" t="s">
        <v>367</v>
      </c>
      <c r="C104" s="0" t="s">
        <v>342</v>
      </c>
      <c r="E104" s="13" t="n">
        <v>288</v>
      </c>
      <c r="G104" s="12" t="s">
        <v>61</v>
      </c>
      <c r="H104" s="6" t="s">
        <v>66</v>
      </c>
      <c r="I104" s="12" t="s">
        <v>368</v>
      </c>
    </row>
    <row r="105" customFormat="false" ht="17.15" hidden="false" customHeight="false" outlineLevel="0" collapsed="false">
      <c r="A105" s="0" t="s">
        <v>369</v>
      </c>
      <c r="B105" s="0" t="s">
        <v>370</v>
      </c>
      <c r="C105" s="6" t="s">
        <v>331</v>
      </c>
      <c r="D105" s="13" t="n">
        <v>0</v>
      </c>
      <c r="E105" s="13" t="n">
        <v>0</v>
      </c>
      <c r="F105" s="13" t="n">
        <v>0</v>
      </c>
      <c r="G105" s="12" t="s">
        <v>159</v>
      </c>
      <c r="H105" s="6" t="s">
        <v>371</v>
      </c>
      <c r="I105" s="12" t="s">
        <v>372</v>
      </c>
    </row>
    <row r="106" customFormat="false" ht="17.15" hidden="false" customHeight="false" outlineLevel="0" collapsed="false">
      <c r="A106" s="0" t="s">
        <v>373</v>
      </c>
      <c r="B106" s="0" t="s">
        <v>374</v>
      </c>
      <c r="C106" s="6" t="s">
        <v>331</v>
      </c>
      <c r="D106" s="13" t="n">
        <v>0</v>
      </c>
      <c r="E106" s="13" t="n">
        <v>0.3</v>
      </c>
      <c r="F106" s="13" t="n">
        <v>0.6</v>
      </c>
      <c r="G106" s="12" t="s">
        <v>159</v>
      </c>
      <c r="H106" s="6" t="s">
        <v>66</v>
      </c>
      <c r="I106" s="12" t="s">
        <v>375</v>
      </c>
    </row>
    <row r="107" customFormat="false" ht="17.15" hidden="false" customHeight="false" outlineLevel="0" collapsed="false">
      <c r="A107" s="0" t="s">
        <v>376</v>
      </c>
      <c r="B107" s="0" t="s">
        <v>377</v>
      </c>
      <c r="C107" s="6" t="s">
        <v>331</v>
      </c>
      <c r="D107" s="13" t="n">
        <v>1</v>
      </c>
      <c r="E107" s="13" t="n">
        <v>2</v>
      </c>
      <c r="F107" s="13" t="n">
        <v>3</v>
      </c>
      <c r="G107" s="12" t="s">
        <v>159</v>
      </c>
      <c r="H107" s="6" t="s">
        <v>66</v>
      </c>
      <c r="I107" s="12" t="s">
        <v>378</v>
      </c>
    </row>
    <row r="108" customFormat="false" ht="17.15" hidden="false" customHeight="false" outlineLevel="0" collapsed="false">
      <c r="A108" s="0" t="s">
        <v>379</v>
      </c>
      <c r="B108" s="0" t="s">
        <v>380</v>
      </c>
      <c r="C108" s="0" t="s">
        <v>342</v>
      </c>
      <c r="E108" s="13" t="n">
        <v>1024</v>
      </c>
      <c r="G108" s="12" t="s">
        <v>61</v>
      </c>
      <c r="H108" s="12" t="s">
        <v>381</v>
      </c>
      <c r="I108" s="12" t="s">
        <v>382</v>
      </c>
    </row>
    <row r="109" customFormat="false" ht="17.15" hidden="false" customHeight="false" outlineLevel="0" collapsed="false">
      <c r="A109" s="0" t="s">
        <v>383</v>
      </c>
      <c r="B109" s="0" t="s">
        <v>384</v>
      </c>
      <c r="C109" s="0" t="s">
        <v>342</v>
      </c>
      <c r="E109" s="13" t="n">
        <v>1024</v>
      </c>
      <c r="G109" s="12" t="s">
        <v>61</v>
      </c>
      <c r="H109" s="6" t="s">
        <v>66</v>
      </c>
      <c r="I109" s="12" t="s">
        <v>385</v>
      </c>
    </row>
    <row r="110" customFormat="false" ht="17.15" hidden="false" customHeight="false" outlineLevel="0" collapsed="false">
      <c r="A110" s="0" t="s">
        <v>386</v>
      </c>
      <c r="B110" s="0" t="s">
        <v>387</v>
      </c>
      <c r="C110" s="0" t="s">
        <v>342</v>
      </c>
      <c r="E110" s="13" t="n">
        <v>1024</v>
      </c>
      <c r="G110" s="12" t="s">
        <v>61</v>
      </c>
      <c r="H110" s="6" t="s">
        <v>66</v>
      </c>
      <c r="I110" s="12" t="s">
        <v>388</v>
      </c>
    </row>
    <row r="111" customFormat="false" ht="17.15" hidden="false" customHeight="false" outlineLevel="0" collapsed="false">
      <c r="A111" s="0" t="s">
        <v>389</v>
      </c>
      <c r="B111" s="0" t="s">
        <v>390</v>
      </c>
      <c r="C111" s="6" t="s">
        <v>331</v>
      </c>
      <c r="E111" s="13" t="n">
        <v>0.5</v>
      </c>
      <c r="G111" s="12" t="s">
        <v>61</v>
      </c>
      <c r="H111" s="12" t="s">
        <v>391</v>
      </c>
      <c r="I111" s="12" t="s">
        <v>392</v>
      </c>
    </row>
    <row r="112" customFormat="false" ht="17.15" hidden="false" customHeight="false" outlineLevel="0" collapsed="false">
      <c r="A112" s="0" t="s">
        <v>393</v>
      </c>
      <c r="B112" s="0" t="s">
        <v>394</v>
      </c>
      <c r="C112" s="6" t="s">
        <v>331</v>
      </c>
      <c r="E112" s="13" t="n">
        <v>0</v>
      </c>
      <c r="G112" s="12" t="s">
        <v>61</v>
      </c>
      <c r="H112" s="6" t="s">
        <v>66</v>
      </c>
      <c r="I112" s="12" t="s">
        <v>395</v>
      </c>
    </row>
    <row r="113" customFormat="false" ht="17.15" hidden="false" customHeight="false" outlineLevel="0" collapsed="false">
      <c r="A113" s="0" t="s">
        <v>396</v>
      </c>
      <c r="B113" s="0" t="s">
        <v>397</v>
      </c>
      <c r="C113" s="6" t="s">
        <v>331</v>
      </c>
      <c r="E113" s="13" t="n">
        <v>0</v>
      </c>
      <c r="G113" s="12" t="s">
        <v>61</v>
      </c>
      <c r="H113" s="6" t="s">
        <v>66</v>
      </c>
      <c r="I113" s="12" t="s">
        <v>398</v>
      </c>
    </row>
    <row r="114" customFormat="false" ht="17.15" hidden="false" customHeight="false" outlineLevel="0" collapsed="false">
      <c r="A114" s="0" t="s">
        <v>399</v>
      </c>
      <c r="B114" s="0" t="s">
        <v>400</v>
      </c>
      <c r="C114" s="0" t="s">
        <v>342</v>
      </c>
      <c r="E114" s="13" t="n">
        <v>141</v>
      </c>
      <c r="G114" s="12" t="s">
        <v>61</v>
      </c>
      <c r="H114" s="6" t="s">
        <v>66</v>
      </c>
      <c r="I114" s="12" t="s">
        <v>401</v>
      </c>
    </row>
    <row r="115" customFormat="false" ht="17.15" hidden="false" customHeight="false" outlineLevel="0" collapsed="false">
      <c r="A115" s="0" t="s">
        <v>402</v>
      </c>
      <c r="B115" s="0" t="s">
        <v>403</v>
      </c>
      <c r="C115" s="0" t="s">
        <v>342</v>
      </c>
      <c r="E115" s="13" t="n">
        <v>141</v>
      </c>
      <c r="G115" s="12" t="s">
        <v>61</v>
      </c>
      <c r="H115" s="6" t="s">
        <v>66</v>
      </c>
      <c r="I115" s="12" t="s">
        <v>404</v>
      </c>
    </row>
    <row r="116" customFormat="false" ht="17.15" hidden="false" customHeight="false" outlineLevel="0" collapsed="false">
      <c r="A116" s="0" t="s">
        <v>405</v>
      </c>
      <c r="B116" s="0" t="s">
        <v>406</v>
      </c>
      <c r="C116" s="0" t="s">
        <v>342</v>
      </c>
      <c r="E116" s="13" t="n">
        <v>141</v>
      </c>
      <c r="G116" s="12" t="s">
        <v>61</v>
      </c>
      <c r="H116" s="6" t="s">
        <v>66</v>
      </c>
      <c r="I116" s="12" t="s">
        <v>407</v>
      </c>
    </row>
    <row r="117" customFormat="false" ht="17.15" hidden="false" customHeight="false" outlineLevel="0" collapsed="false">
      <c r="A117" s="0" t="s">
        <v>408</v>
      </c>
      <c r="B117" s="0" t="s">
        <v>409</v>
      </c>
      <c r="C117" s="6" t="s">
        <v>331</v>
      </c>
      <c r="D117" s="13" t="n">
        <v>0.6</v>
      </c>
      <c r="E117" s="13" t="n">
        <v>0.75</v>
      </c>
      <c r="F117" s="13" t="n">
        <v>0.9</v>
      </c>
      <c r="G117" s="12" t="s">
        <v>410</v>
      </c>
      <c r="H117" s="12" t="s">
        <v>411</v>
      </c>
      <c r="I117" s="12" t="s">
        <v>412</v>
      </c>
    </row>
    <row r="118" customFormat="false" ht="17.15" hidden="false" customHeight="false" outlineLevel="0" collapsed="false">
      <c r="A118" s="0" t="s">
        <v>413</v>
      </c>
      <c r="B118" s="0" t="s">
        <v>414</v>
      </c>
      <c r="C118" s="6" t="s">
        <v>331</v>
      </c>
      <c r="D118" s="13" t="n">
        <v>1.2</v>
      </c>
      <c r="E118" s="13" t="n">
        <v>1.5</v>
      </c>
      <c r="F118" s="13" t="n">
        <v>1.8</v>
      </c>
      <c r="G118" s="12" t="s">
        <v>410</v>
      </c>
      <c r="H118" s="6" t="s">
        <v>66</v>
      </c>
      <c r="I118" s="12" t="s">
        <v>415</v>
      </c>
    </row>
    <row r="119" customFormat="false" ht="17.15" hidden="false" customHeight="false" outlineLevel="0" collapsed="false">
      <c r="A119" s="0" t="s">
        <v>416</v>
      </c>
      <c r="B119" s="0" t="s">
        <v>417</v>
      </c>
      <c r="C119" s="6" t="s">
        <v>331</v>
      </c>
      <c r="D119" s="13" t="n">
        <v>1.5</v>
      </c>
      <c r="E119" s="13" t="n">
        <v>2</v>
      </c>
      <c r="F119" s="13" t="n">
        <v>2.5</v>
      </c>
      <c r="G119" s="12" t="s">
        <v>410</v>
      </c>
      <c r="H119" s="6" t="s">
        <v>66</v>
      </c>
      <c r="I119" s="12" t="s">
        <v>418</v>
      </c>
    </row>
    <row r="120" customFormat="false" ht="17.15" hidden="false" customHeight="false" outlineLevel="0" collapsed="false">
      <c r="A120" s="0" t="s">
        <v>419</v>
      </c>
      <c r="B120" s="0" t="s">
        <v>420</v>
      </c>
      <c r="C120" s="0" t="s">
        <v>342</v>
      </c>
      <c r="D120" s="13" t="n">
        <v>288</v>
      </c>
      <c r="E120" s="13" t="n">
        <v>288</v>
      </c>
      <c r="F120" s="13" t="n">
        <v>288</v>
      </c>
      <c r="G120" s="12" t="s">
        <v>410</v>
      </c>
      <c r="H120" s="6" t="s">
        <v>66</v>
      </c>
      <c r="I120" s="12" t="s">
        <v>421</v>
      </c>
    </row>
    <row r="121" customFormat="false" ht="17.15" hidden="false" customHeight="false" outlineLevel="0" collapsed="false">
      <c r="A121" s="0" t="s">
        <v>422</v>
      </c>
      <c r="B121" s="0" t="s">
        <v>423</v>
      </c>
      <c r="C121" s="0" t="s">
        <v>342</v>
      </c>
      <c r="D121" s="13" t="n">
        <v>288</v>
      </c>
      <c r="E121" s="13" t="n">
        <v>360</v>
      </c>
      <c r="F121" s="13" t="n">
        <v>432</v>
      </c>
      <c r="G121" s="12" t="s">
        <v>410</v>
      </c>
      <c r="H121" s="6" t="s">
        <v>66</v>
      </c>
      <c r="I121" s="12" t="s">
        <v>424</v>
      </c>
    </row>
    <row r="122" customFormat="false" ht="17.15" hidden="false" customHeight="false" outlineLevel="0" collapsed="false">
      <c r="A122" s="0" t="s">
        <v>425</v>
      </c>
      <c r="B122" s="0" t="s">
        <v>426</v>
      </c>
      <c r="C122" s="0" t="s">
        <v>342</v>
      </c>
      <c r="D122" s="13" t="n">
        <v>432</v>
      </c>
      <c r="E122" s="13" t="n">
        <v>432</v>
      </c>
      <c r="F122" s="13" t="n">
        <v>432</v>
      </c>
      <c r="G122" s="12" t="s">
        <v>410</v>
      </c>
      <c r="H122" s="6" t="s">
        <v>66</v>
      </c>
      <c r="I122" s="12" t="s">
        <v>427</v>
      </c>
    </row>
    <row r="123" customFormat="false" ht="17.15" hidden="false" customHeight="false" outlineLevel="0" collapsed="false">
      <c r="A123" s="0" t="s">
        <v>428</v>
      </c>
      <c r="B123" s="0" t="s">
        <v>429</v>
      </c>
      <c r="C123" s="6" t="s">
        <v>331</v>
      </c>
      <c r="E123" s="13" t="n">
        <v>3.85</v>
      </c>
      <c r="G123" s="12" t="s">
        <v>61</v>
      </c>
      <c r="H123" s="12" t="s">
        <v>430</v>
      </c>
      <c r="I123" s="12" t="s">
        <v>431</v>
      </c>
    </row>
    <row r="124" customFormat="false" ht="17.15" hidden="false" customHeight="false" outlineLevel="0" collapsed="false">
      <c r="A124" s="0" t="s">
        <v>432</v>
      </c>
      <c r="B124" s="0" t="s">
        <v>433</v>
      </c>
      <c r="C124" s="6" t="s">
        <v>331</v>
      </c>
      <c r="E124" s="13" t="n">
        <v>5.5</v>
      </c>
      <c r="G124" s="12" t="s">
        <v>61</v>
      </c>
      <c r="H124" s="6" t="s">
        <v>66</v>
      </c>
      <c r="I124" s="12" t="s">
        <v>434</v>
      </c>
    </row>
    <row r="125" customFormat="false" ht="17.15" hidden="false" customHeight="false" outlineLevel="0" collapsed="false">
      <c r="A125" s="0" t="s">
        <v>435</v>
      </c>
      <c r="B125" s="0" t="s">
        <v>436</v>
      </c>
      <c r="C125" s="6" t="s">
        <v>331</v>
      </c>
      <c r="E125" s="13" t="n">
        <v>7</v>
      </c>
      <c r="G125" s="12" t="s">
        <v>61</v>
      </c>
      <c r="H125" s="6" t="s">
        <v>66</v>
      </c>
      <c r="I125" s="12" t="s">
        <v>437</v>
      </c>
    </row>
    <row r="126" customFormat="false" ht="17.15" hidden="false" customHeight="false" outlineLevel="0" collapsed="false">
      <c r="A126" s="0" t="s">
        <v>438</v>
      </c>
      <c r="B126" s="0" t="s">
        <v>439</v>
      </c>
      <c r="C126" s="0" t="s">
        <v>342</v>
      </c>
      <c r="E126" s="13" t="n">
        <v>192</v>
      </c>
      <c r="G126" s="12" t="s">
        <v>61</v>
      </c>
      <c r="H126" s="6" t="s">
        <v>66</v>
      </c>
      <c r="I126" s="12" t="s">
        <v>440</v>
      </c>
    </row>
    <row r="127" customFormat="false" ht="17.15" hidden="false" customHeight="false" outlineLevel="0" collapsed="false">
      <c r="A127" s="0" t="s">
        <v>441</v>
      </c>
      <c r="B127" s="0" t="s">
        <v>442</v>
      </c>
      <c r="C127" s="0" t="s">
        <v>342</v>
      </c>
      <c r="E127" s="13" t="n">
        <v>250</v>
      </c>
      <c r="G127" s="12" t="s">
        <v>61</v>
      </c>
      <c r="H127" s="6" t="s">
        <v>66</v>
      </c>
      <c r="I127" s="12" t="s">
        <v>443</v>
      </c>
    </row>
    <row r="128" customFormat="false" ht="17.15" hidden="false" customHeight="false" outlineLevel="0" collapsed="false">
      <c r="A128" s="0" t="s">
        <v>444</v>
      </c>
      <c r="B128" s="0" t="s">
        <v>445</v>
      </c>
      <c r="C128" s="0" t="s">
        <v>342</v>
      </c>
      <c r="E128" s="13" t="n">
        <v>288</v>
      </c>
      <c r="G128" s="12" t="s">
        <v>61</v>
      </c>
      <c r="H128" s="6" t="s">
        <v>66</v>
      </c>
      <c r="I128" s="12" t="s">
        <v>446</v>
      </c>
    </row>
    <row r="129" customFormat="false" ht="17.15" hidden="false" customHeight="false" outlineLevel="0" collapsed="false">
      <c r="A129" s="0" t="s">
        <v>447</v>
      </c>
      <c r="B129" s="0" t="s">
        <v>448</v>
      </c>
      <c r="C129" s="6" t="s">
        <v>331</v>
      </c>
      <c r="D129" s="13" t="n">
        <v>1.5</v>
      </c>
      <c r="E129" s="13" t="n">
        <v>2</v>
      </c>
      <c r="F129" s="13" t="n">
        <v>2.5</v>
      </c>
      <c r="G129" s="12" t="s">
        <v>159</v>
      </c>
      <c r="H129" s="6" t="s">
        <v>449</v>
      </c>
      <c r="I129" s="12" t="s">
        <v>450</v>
      </c>
    </row>
    <row r="130" customFormat="false" ht="17.15" hidden="false" customHeight="false" outlineLevel="0" collapsed="false">
      <c r="A130" s="0" t="s">
        <v>451</v>
      </c>
      <c r="B130" s="0" t="s">
        <v>452</v>
      </c>
      <c r="C130" s="6" t="s">
        <v>331</v>
      </c>
      <c r="D130" s="13" t="n">
        <v>2</v>
      </c>
      <c r="E130" s="13" t="n">
        <v>2.5</v>
      </c>
      <c r="F130" s="13" t="n">
        <v>3.5</v>
      </c>
      <c r="G130" s="12" t="s">
        <v>159</v>
      </c>
      <c r="H130" s="6" t="s">
        <v>66</v>
      </c>
      <c r="I130" s="12" t="s">
        <v>453</v>
      </c>
    </row>
    <row r="131" customFormat="false" ht="17.15" hidden="false" customHeight="false" outlineLevel="0" collapsed="false">
      <c r="A131" s="0" t="s">
        <v>454</v>
      </c>
      <c r="B131" s="0" t="s">
        <v>455</v>
      </c>
      <c r="C131" s="6" t="s">
        <v>331</v>
      </c>
      <c r="D131" s="13" t="n">
        <v>2</v>
      </c>
      <c r="E131" s="13" t="n">
        <v>3</v>
      </c>
      <c r="F131" s="13" t="n">
        <v>4</v>
      </c>
      <c r="G131" s="12" t="s">
        <v>159</v>
      </c>
      <c r="H131" s="6" t="s">
        <v>66</v>
      </c>
      <c r="I131" s="12" t="s">
        <v>456</v>
      </c>
    </row>
    <row r="132" customFormat="false" ht="17.15" hidden="false" customHeight="false" outlineLevel="0" collapsed="false">
      <c r="A132" s="0" t="s">
        <v>457</v>
      </c>
      <c r="B132" s="0" t="s">
        <v>458</v>
      </c>
      <c r="C132" s="0" t="s">
        <v>342</v>
      </c>
      <c r="D132" s="13" t="n">
        <v>96</v>
      </c>
      <c r="E132" s="13" t="n">
        <v>110</v>
      </c>
      <c r="F132" s="13" t="n">
        <v>144</v>
      </c>
      <c r="G132" s="12" t="s">
        <v>159</v>
      </c>
      <c r="H132" s="6" t="s">
        <v>66</v>
      </c>
      <c r="I132" s="12" t="s">
        <v>459</v>
      </c>
    </row>
    <row r="133" customFormat="false" ht="17.15" hidden="false" customHeight="false" outlineLevel="0" collapsed="false">
      <c r="A133" s="0" t="s">
        <v>460</v>
      </c>
      <c r="B133" s="0" t="s">
        <v>461</v>
      </c>
      <c r="C133" s="0" t="s">
        <v>342</v>
      </c>
      <c r="D133" s="13" t="n">
        <v>120</v>
      </c>
      <c r="E133" s="13" t="n">
        <v>144</v>
      </c>
      <c r="F133" s="13" t="n">
        <v>144</v>
      </c>
      <c r="G133" s="12" t="s">
        <v>159</v>
      </c>
      <c r="H133" s="6" t="s">
        <v>66</v>
      </c>
      <c r="I133" s="12" t="s">
        <v>462</v>
      </c>
    </row>
    <row r="134" customFormat="false" ht="17.15" hidden="false" customHeight="false" outlineLevel="0" collapsed="false">
      <c r="A134" s="0" t="s">
        <v>463</v>
      </c>
      <c r="B134" s="0" t="s">
        <v>464</v>
      </c>
      <c r="C134" s="0" t="s">
        <v>342</v>
      </c>
      <c r="D134" s="13" t="n">
        <v>144</v>
      </c>
      <c r="E134" s="13" t="n">
        <v>200</v>
      </c>
      <c r="F134" s="13" t="n">
        <v>256</v>
      </c>
      <c r="G134" s="12" t="s">
        <v>159</v>
      </c>
      <c r="H134" s="6" t="s">
        <v>66</v>
      </c>
      <c r="I134" s="12" t="s">
        <v>465</v>
      </c>
    </row>
    <row r="135" customFormat="false" ht="17.15" hidden="false" customHeight="false" outlineLevel="0" collapsed="false">
      <c r="A135" s="0" t="s">
        <v>466</v>
      </c>
      <c r="B135" s="6" t="s">
        <v>467</v>
      </c>
      <c r="C135" s="6" t="s">
        <v>331</v>
      </c>
      <c r="D135" s="13" t="n">
        <v>0.5</v>
      </c>
      <c r="E135" s="13" t="n">
        <v>1</v>
      </c>
      <c r="F135" s="13" t="n">
        <v>1.5</v>
      </c>
      <c r="G135" s="12" t="s">
        <v>468</v>
      </c>
      <c r="H135" s="12" t="s">
        <v>469</v>
      </c>
      <c r="I135" s="12" t="s">
        <v>470</v>
      </c>
    </row>
    <row r="136" customFormat="false" ht="17.15" hidden="false" customHeight="false" outlineLevel="0" collapsed="false">
      <c r="A136" s="0" t="s">
        <v>471</v>
      </c>
      <c r="B136" s="6" t="s">
        <v>472</v>
      </c>
      <c r="C136" s="6" t="s">
        <v>331</v>
      </c>
      <c r="D136" s="13" t="n">
        <v>3</v>
      </c>
      <c r="E136" s="13" t="n">
        <v>4.5</v>
      </c>
      <c r="F136" s="13" t="n">
        <v>6</v>
      </c>
      <c r="G136" s="12" t="s">
        <v>468</v>
      </c>
      <c r="H136" s="6" t="s">
        <v>66</v>
      </c>
      <c r="I136" s="12" t="s">
        <v>473</v>
      </c>
    </row>
    <row r="137" customFormat="false" ht="17.15" hidden="false" customHeight="false" outlineLevel="0" collapsed="false">
      <c r="A137" s="0" t="s">
        <v>474</v>
      </c>
      <c r="B137" s="6" t="s">
        <v>475</v>
      </c>
      <c r="C137" s="6" t="s">
        <v>331</v>
      </c>
      <c r="D137" s="13" t="n">
        <v>3.5</v>
      </c>
      <c r="E137" s="13" t="n">
        <v>5</v>
      </c>
      <c r="F137" s="13" t="n">
        <v>7</v>
      </c>
      <c r="G137" s="12" t="s">
        <v>468</v>
      </c>
      <c r="H137" s="6" t="s">
        <v>66</v>
      </c>
      <c r="I137" s="12" t="s">
        <v>476</v>
      </c>
    </row>
    <row r="138" customFormat="false" ht="17.15" hidden="false" customHeight="false" outlineLevel="0" collapsed="false">
      <c r="A138" s="0" t="s">
        <v>477</v>
      </c>
      <c r="B138" s="6" t="s">
        <v>478</v>
      </c>
      <c r="C138" s="0" t="s">
        <v>342</v>
      </c>
      <c r="D138" s="13" t="n">
        <v>100</v>
      </c>
      <c r="E138" s="13" t="n">
        <v>150</v>
      </c>
      <c r="F138" s="13" t="n">
        <v>200</v>
      </c>
      <c r="G138" s="12" t="s">
        <v>468</v>
      </c>
      <c r="H138" s="6" t="s">
        <v>66</v>
      </c>
      <c r="I138" s="12" t="s">
        <v>479</v>
      </c>
    </row>
    <row r="139" customFormat="false" ht="17.15" hidden="false" customHeight="false" outlineLevel="0" collapsed="false">
      <c r="A139" s="0" t="s">
        <v>480</v>
      </c>
      <c r="B139" s="6" t="s">
        <v>481</v>
      </c>
      <c r="C139" s="0" t="s">
        <v>342</v>
      </c>
      <c r="D139" s="13" t="n">
        <v>150</v>
      </c>
      <c r="E139" s="13" t="n">
        <v>200</v>
      </c>
      <c r="F139" s="13" t="n">
        <v>250</v>
      </c>
      <c r="G139" s="12" t="s">
        <v>468</v>
      </c>
      <c r="H139" s="6" t="s">
        <v>66</v>
      </c>
      <c r="I139" s="12" t="s">
        <v>482</v>
      </c>
    </row>
    <row r="140" customFormat="false" ht="17.15" hidden="false" customHeight="false" outlineLevel="0" collapsed="false">
      <c r="A140" s="0" t="s">
        <v>483</v>
      </c>
      <c r="B140" s="6" t="s">
        <v>484</v>
      </c>
      <c r="C140" s="0" t="s">
        <v>342</v>
      </c>
      <c r="D140" s="13" t="n">
        <v>200</v>
      </c>
      <c r="E140" s="13" t="n">
        <v>250</v>
      </c>
      <c r="F140" s="13" t="n">
        <v>300</v>
      </c>
      <c r="G140" s="12" t="s">
        <v>468</v>
      </c>
      <c r="H140" s="6" t="s">
        <v>66</v>
      </c>
      <c r="I140" s="12" t="s">
        <v>485</v>
      </c>
    </row>
    <row r="141" customFormat="false" ht="17.15" hidden="false" customHeight="false" outlineLevel="0" collapsed="false">
      <c r="A141" s="10" t="s">
        <v>486</v>
      </c>
    </row>
    <row r="142" customFormat="false" ht="17.15" hidden="false" customHeight="false" outlineLevel="0" collapsed="false">
      <c r="A142" s="0" t="s">
        <v>487</v>
      </c>
      <c r="B142" s="6" t="s">
        <v>488</v>
      </c>
      <c r="C142" s="0" t="s">
        <v>489</v>
      </c>
      <c r="E142" s="13" t="n">
        <v>1</v>
      </c>
      <c r="G142" s="12" t="s">
        <v>490</v>
      </c>
      <c r="H142" s="12" t="s">
        <v>491</v>
      </c>
      <c r="I142" s="12" t="s">
        <v>492</v>
      </c>
    </row>
    <row r="143" customFormat="false" ht="17.15" hidden="false" customHeight="false" outlineLevel="0" collapsed="false">
      <c r="A143" s="0" t="s">
        <v>493</v>
      </c>
      <c r="B143" s="6" t="s">
        <v>494</v>
      </c>
      <c r="C143" s="0" t="s">
        <v>489</v>
      </c>
      <c r="E143" s="13" t="n">
        <v>1</v>
      </c>
      <c r="G143" s="12" t="s">
        <v>490</v>
      </c>
      <c r="H143" s="6" t="s">
        <v>66</v>
      </c>
      <c r="I143" s="12" t="s">
        <v>495</v>
      </c>
    </row>
    <row r="144" customFormat="false" ht="17.15" hidden="false" customHeight="false" outlineLevel="0" collapsed="false">
      <c r="A144" s="0" t="s">
        <v>496</v>
      </c>
      <c r="B144" s="6" t="s">
        <v>497</v>
      </c>
      <c r="C144" s="0" t="s">
        <v>489</v>
      </c>
      <c r="D144" s="13" t="n">
        <v>0.7</v>
      </c>
      <c r="E144" s="13" t="n">
        <v>0.8</v>
      </c>
      <c r="F144" s="13" t="n">
        <v>0.9</v>
      </c>
      <c r="G144" s="12" t="s">
        <v>159</v>
      </c>
      <c r="H144" s="6" t="s">
        <v>66</v>
      </c>
      <c r="I144" s="12" t="s">
        <v>498</v>
      </c>
    </row>
    <row r="145" customFormat="false" ht="17.15" hidden="false" customHeight="false" outlineLevel="0" collapsed="false">
      <c r="A145" s="0" t="s">
        <v>499</v>
      </c>
      <c r="B145" s="6" t="s">
        <v>500</v>
      </c>
      <c r="C145" s="0" t="s">
        <v>489</v>
      </c>
      <c r="D145" s="13" t="n">
        <v>0.75</v>
      </c>
      <c r="E145" s="13" t="n">
        <v>0.85</v>
      </c>
      <c r="F145" s="13" t="n">
        <v>0.95</v>
      </c>
      <c r="G145" s="12" t="s">
        <v>159</v>
      </c>
      <c r="H145" s="6" t="s">
        <v>66</v>
      </c>
      <c r="I145" s="12" t="s">
        <v>501</v>
      </c>
    </row>
    <row r="146" customFormat="false" ht="17.15" hidden="false" customHeight="false" outlineLevel="0" collapsed="false">
      <c r="A146" s="0" t="s">
        <v>502</v>
      </c>
      <c r="B146" s="6" t="s">
        <v>503</v>
      </c>
      <c r="C146" s="0" t="s">
        <v>489</v>
      </c>
      <c r="D146" s="13" t="n">
        <v>0.5</v>
      </c>
      <c r="E146" s="13" t="n">
        <v>0.6</v>
      </c>
      <c r="F146" s="13" t="n">
        <v>0.7</v>
      </c>
      <c r="G146" s="12" t="s">
        <v>159</v>
      </c>
      <c r="H146" s="6" t="s">
        <v>66</v>
      </c>
      <c r="I146" s="12" t="s">
        <v>504</v>
      </c>
    </row>
    <row r="147" customFormat="false" ht="17.15" hidden="false" customHeight="false" outlineLevel="0" collapsed="false">
      <c r="A147" s="0" t="s">
        <v>505</v>
      </c>
      <c r="B147" s="6" t="s">
        <v>506</v>
      </c>
      <c r="C147" s="0" t="s">
        <v>489</v>
      </c>
      <c r="D147" s="13" t="n">
        <v>0.5</v>
      </c>
      <c r="E147" s="13" t="n">
        <v>0.6</v>
      </c>
      <c r="F147" s="13" t="n">
        <v>0.7</v>
      </c>
      <c r="G147" s="12" t="s">
        <v>159</v>
      </c>
      <c r="H147" s="6" t="s">
        <v>66</v>
      </c>
      <c r="I147" s="12" t="s">
        <v>507</v>
      </c>
    </row>
    <row r="148" customFormat="false" ht="17.15" hidden="false" customHeight="false" outlineLevel="0" collapsed="false">
      <c r="A148" s="10" t="s">
        <v>508</v>
      </c>
    </row>
    <row r="149" customFormat="false" ht="17.15" hidden="false" customHeight="false" outlineLevel="0" collapsed="false">
      <c r="A149" s="0" t="s">
        <v>509</v>
      </c>
      <c r="B149" s="0" t="s">
        <v>510</v>
      </c>
      <c r="C149" s="0" t="s">
        <v>511</v>
      </c>
      <c r="D149" s="13" t="n">
        <v>34</v>
      </c>
      <c r="E149" s="13" t="n">
        <v>35</v>
      </c>
      <c r="F149" s="13" t="n">
        <v>35</v>
      </c>
      <c r="G149" s="12" t="s">
        <v>512</v>
      </c>
      <c r="H149" s="12" t="s">
        <v>513</v>
      </c>
      <c r="I149" s="12" t="s">
        <v>514</v>
      </c>
    </row>
    <row r="150" customFormat="false" ht="17.15" hidden="false" customHeight="false" outlineLevel="0" collapsed="false">
      <c r="A150" s="0" t="s">
        <v>515</v>
      </c>
      <c r="B150" s="0" t="s">
        <v>516</v>
      </c>
      <c r="C150" s="0" t="s">
        <v>60</v>
      </c>
      <c r="D150" s="11" t="n">
        <v>0.6</v>
      </c>
      <c r="E150" s="11" t="n">
        <v>0.7</v>
      </c>
      <c r="F150" s="11" t="n">
        <v>0.8</v>
      </c>
      <c r="G150" s="12" t="s">
        <v>61</v>
      </c>
      <c r="H150" s="12" t="s">
        <v>517</v>
      </c>
      <c r="I150" s="12" t="s">
        <v>518</v>
      </c>
    </row>
    <row r="151" customFormat="false" ht="17.15" hidden="false" customHeight="false" outlineLevel="0" collapsed="false">
      <c r="A151" s="0" t="s">
        <v>519</v>
      </c>
      <c r="B151" s="6" t="s">
        <v>520</v>
      </c>
      <c r="C151" s="0" t="s">
        <v>489</v>
      </c>
      <c r="D151" s="13" t="n">
        <v>1</v>
      </c>
      <c r="E151" s="13" t="n">
        <v>1.15</v>
      </c>
      <c r="F151" s="13" t="n">
        <v>1.3</v>
      </c>
      <c r="G151" s="12" t="s">
        <v>159</v>
      </c>
      <c r="H151" s="6" t="s">
        <v>521</v>
      </c>
      <c r="I151" s="12" t="s">
        <v>522</v>
      </c>
    </row>
    <row r="152" customFormat="false" ht="17.15" hidden="false" customHeight="false" outlineLevel="0" collapsed="false">
      <c r="A152" s="0" t="s">
        <v>523</v>
      </c>
      <c r="B152" s="0" t="s">
        <v>524</v>
      </c>
      <c r="C152" s="0" t="s">
        <v>60</v>
      </c>
      <c r="D152" s="11" t="n">
        <v>0.5</v>
      </c>
      <c r="E152" s="11" t="n">
        <v>0.55</v>
      </c>
      <c r="F152" s="11" t="n">
        <v>0.63</v>
      </c>
      <c r="G152" s="12" t="s">
        <v>61</v>
      </c>
      <c r="H152" s="12" t="s">
        <v>525</v>
      </c>
      <c r="I152" s="12" t="s">
        <v>526</v>
      </c>
    </row>
    <row r="153" customFormat="false" ht="17.15" hidden="false" customHeight="false" outlineLevel="0" collapsed="false">
      <c r="A153" s="0" t="s">
        <v>527</v>
      </c>
      <c r="B153" s="0" t="s">
        <v>528</v>
      </c>
      <c r="C153" s="0" t="s">
        <v>60</v>
      </c>
      <c r="D153" s="11" t="n">
        <v>0.3</v>
      </c>
      <c r="E153" s="11" t="n">
        <v>0.45</v>
      </c>
      <c r="F153" s="11" t="n">
        <v>0.63</v>
      </c>
      <c r="G153" s="12" t="s">
        <v>159</v>
      </c>
      <c r="H153" s="6" t="s">
        <v>529</v>
      </c>
      <c r="I153" s="12" t="s">
        <v>530</v>
      </c>
    </row>
    <row r="154" customFormat="false" ht="17.15" hidden="false" customHeight="false" outlineLevel="0" collapsed="false">
      <c r="A154" s="0" t="s">
        <v>531</v>
      </c>
      <c r="B154" s="0" t="s">
        <v>532</v>
      </c>
      <c r="C154" s="0" t="s">
        <v>533</v>
      </c>
      <c r="D154" s="13" t="n">
        <v>12.5</v>
      </c>
      <c r="E154" s="13" t="n">
        <v>14.6</v>
      </c>
      <c r="F154" s="13" t="n">
        <v>16</v>
      </c>
      <c r="G154" s="12" t="s">
        <v>61</v>
      </c>
      <c r="H154" s="12" t="s">
        <v>534</v>
      </c>
      <c r="I154" s="12" t="s">
        <v>535</v>
      </c>
    </row>
    <row r="155" customFormat="false" ht="17.15" hidden="false" customHeight="false" outlineLevel="0" collapsed="false">
      <c r="A155" s="0" t="s">
        <v>536</v>
      </c>
      <c r="B155" s="0" t="s">
        <v>537</v>
      </c>
      <c r="C155" s="0" t="s">
        <v>60</v>
      </c>
      <c r="D155" s="11" t="n">
        <v>0.38</v>
      </c>
      <c r="E155" s="11" t="n">
        <v>0.8</v>
      </c>
      <c r="F155" s="11" t="n">
        <v>1.21</v>
      </c>
      <c r="G155" s="12" t="s">
        <v>61</v>
      </c>
      <c r="H155" s="12" t="s">
        <v>538</v>
      </c>
      <c r="I155" s="12" t="s">
        <v>539</v>
      </c>
    </row>
    <row r="156" customFormat="false" ht="17.15" hidden="false" customHeight="false" outlineLevel="0" collapsed="false">
      <c r="A156" s="0" t="s">
        <v>540</v>
      </c>
      <c r="B156" s="0" t="s">
        <v>541</v>
      </c>
      <c r="C156" s="0" t="s">
        <v>60</v>
      </c>
      <c r="D156" s="11" t="n">
        <v>0</v>
      </c>
      <c r="E156" s="11" t="n">
        <v>0.1</v>
      </c>
      <c r="F156" s="11" t="n">
        <v>0.25</v>
      </c>
      <c r="G156" s="12" t="s">
        <v>61</v>
      </c>
      <c r="H156" s="12" t="s">
        <v>542</v>
      </c>
      <c r="I156" s="12" t="s">
        <v>543</v>
      </c>
    </row>
    <row r="157" customFormat="false" ht="17.15" hidden="false" customHeight="false" outlineLevel="0" collapsed="false">
      <c r="A157" s="0" t="s">
        <v>544</v>
      </c>
      <c r="B157" s="0" t="s">
        <v>545</v>
      </c>
      <c r="C157" s="0" t="s">
        <v>60</v>
      </c>
      <c r="D157" s="11" t="n">
        <v>-0.4</v>
      </c>
      <c r="E157" s="11" t="n">
        <v>-0.25</v>
      </c>
      <c r="F157" s="11" t="n">
        <v>-0.1</v>
      </c>
      <c r="G157" s="12" t="s">
        <v>159</v>
      </c>
      <c r="H157" s="6" t="s">
        <v>546</v>
      </c>
      <c r="I157" s="12" t="s">
        <v>547</v>
      </c>
    </row>
    <row r="158" customFormat="false" ht="17.15" hidden="false" customHeight="false" outlineLevel="0" collapsed="false">
      <c r="A158" s="0" t="s">
        <v>548</v>
      </c>
      <c r="B158" s="0" t="s">
        <v>549</v>
      </c>
      <c r="C158" s="0" t="s">
        <v>60</v>
      </c>
      <c r="D158" s="11" t="n">
        <v>-0.55</v>
      </c>
      <c r="E158" s="11" t="n">
        <v>-0.4</v>
      </c>
      <c r="F158" s="11" t="n">
        <v>-0.25</v>
      </c>
      <c r="G158" s="12" t="s">
        <v>159</v>
      </c>
      <c r="H158" s="6" t="s">
        <v>550</v>
      </c>
      <c r="I158" s="12" t="s">
        <v>551</v>
      </c>
    </row>
    <row r="159" customFormat="false" ht="17.15" hidden="false" customHeight="false" outlineLevel="0" collapsed="false">
      <c r="A159" s="0" t="s">
        <v>552</v>
      </c>
      <c r="B159" s="0" t="s">
        <v>553</v>
      </c>
      <c r="C159" s="0" t="s">
        <v>60</v>
      </c>
      <c r="D159" s="11" t="n">
        <v>0.2</v>
      </c>
      <c r="E159" s="11" t="n">
        <v>0.3</v>
      </c>
      <c r="F159" s="11" t="n">
        <v>0.45</v>
      </c>
      <c r="G159" s="12" t="s">
        <v>159</v>
      </c>
      <c r="H159" s="12" t="s">
        <v>554</v>
      </c>
      <c r="I159" s="12" t="s">
        <v>555</v>
      </c>
    </row>
    <row r="160" customFormat="false" ht="17.15" hidden="false" customHeight="false" outlineLevel="0" collapsed="false">
      <c r="A160" s="0" t="s">
        <v>556</v>
      </c>
      <c r="B160" s="0" t="s">
        <v>557</v>
      </c>
      <c r="C160" s="0" t="s">
        <v>60</v>
      </c>
      <c r="D160" s="11" t="n">
        <v>0.25</v>
      </c>
      <c r="E160" s="11" t="n">
        <v>0.35</v>
      </c>
      <c r="F160" s="11" t="n">
        <v>0.5</v>
      </c>
      <c r="G160" s="12" t="s">
        <v>159</v>
      </c>
      <c r="H160" s="12" t="s">
        <v>558</v>
      </c>
      <c r="I160" s="12" t="s">
        <v>559</v>
      </c>
    </row>
    <row r="161" customFormat="false" ht="17.15" hidden="false" customHeight="false" outlineLevel="0" collapsed="false">
      <c r="A161" s="0" t="s">
        <v>560</v>
      </c>
      <c r="B161" s="0" t="s">
        <v>561</v>
      </c>
      <c r="C161" s="0" t="s">
        <v>60</v>
      </c>
      <c r="D161" s="11" t="n">
        <v>-0.15</v>
      </c>
      <c r="E161" s="11" t="n">
        <v>-0.05</v>
      </c>
      <c r="F161" s="11" t="n">
        <v>0.05</v>
      </c>
      <c r="G161" s="12" t="s">
        <v>159</v>
      </c>
      <c r="H161" s="12" t="s">
        <v>562</v>
      </c>
      <c r="I161" s="12" t="s">
        <v>563</v>
      </c>
    </row>
    <row r="162" customFormat="false" ht="17.15" hidden="false" customHeight="false" outlineLevel="0" collapsed="false">
      <c r="A162" s="0" t="s">
        <v>564</v>
      </c>
      <c r="B162" s="0" t="s">
        <v>565</v>
      </c>
      <c r="C162" s="0" t="s">
        <v>60</v>
      </c>
      <c r="D162" s="11" t="n">
        <v>-0.1</v>
      </c>
      <c r="E162" s="11" t="n">
        <v>0</v>
      </c>
      <c r="F162" s="11" t="n">
        <v>0.1</v>
      </c>
      <c r="G162" s="12" t="s">
        <v>159</v>
      </c>
      <c r="H162" s="12" t="s">
        <v>566</v>
      </c>
      <c r="I162" s="12" t="s">
        <v>567</v>
      </c>
    </row>
    <row r="163" customFormat="false" ht="17.15" hidden="false" customHeight="false" outlineLevel="0" collapsed="false">
      <c r="A163" s="0" t="s">
        <v>568</v>
      </c>
      <c r="B163" s="0" t="s">
        <v>569</v>
      </c>
      <c r="C163" s="0" t="s">
        <v>60</v>
      </c>
      <c r="D163" s="11" t="n">
        <v>-0.1</v>
      </c>
      <c r="E163" s="11" t="n">
        <v>0.05</v>
      </c>
      <c r="F163" s="11" t="n">
        <v>0.15</v>
      </c>
      <c r="G163" s="12" t="s">
        <v>159</v>
      </c>
      <c r="H163" s="6" t="s">
        <v>570</v>
      </c>
      <c r="I163" s="12" t="s">
        <v>571</v>
      </c>
    </row>
    <row r="164" customFormat="false" ht="17.15" hidden="false" customHeight="false" outlineLevel="0" collapsed="false">
      <c r="A164" s="10" t="s">
        <v>572</v>
      </c>
    </row>
    <row r="165" customFormat="false" ht="17.15" hidden="false" customHeight="false" outlineLevel="0" collapsed="false">
      <c r="A165" s="0" t="s">
        <v>573</v>
      </c>
      <c r="B165" s="0" t="s">
        <v>574</v>
      </c>
      <c r="C165" s="0" t="s">
        <v>511</v>
      </c>
      <c r="D165" s="13" t="n">
        <v>340</v>
      </c>
      <c r="E165" s="13" t="n">
        <v>374</v>
      </c>
      <c r="F165" s="13" t="n">
        <v>400</v>
      </c>
      <c r="G165" s="12" t="s">
        <v>575</v>
      </c>
      <c r="H165" s="12" t="s">
        <v>576</v>
      </c>
      <c r="I165" s="12" t="s">
        <v>577</v>
      </c>
    </row>
    <row r="166" customFormat="false" ht="17.15" hidden="false" customHeight="false" outlineLevel="0" collapsed="false">
      <c r="A166" s="0" t="s">
        <v>578</v>
      </c>
      <c r="B166" s="6" t="s">
        <v>579</v>
      </c>
      <c r="C166" s="0" t="s">
        <v>580</v>
      </c>
      <c r="D166" s="13" t="n">
        <v>38</v>
      </c>
      <c r="E166" s="13" t="n">
        <v>42.8</v>
      </c>
      <c r="F166" s="13" t="n">
        <v>48</v>
      </c>
      <c r="G166" s="12" t="s">
        <v>490</v>
      </c>
      <c r="H166" s="12" t="s">
        <v>581</v>
      </c>
      <c r="I166" s="12" t="s">
        <v>582</v>
      </c>
    </row>
    <row r="167" customFormat="false" ht="17.15" hidden="false" customHeight="false" outlineLevel="0" collapsed="false">
      <c r="A167" s="0" t="s">
        <v>583</v>
      </c>
      <c r="B167" s="6" t="s">
        <v>584</v>
      </c>
      <c r="C167" s="0" t="s">
        <v>580</v>
      </c>
      <c r="D167" s="13" t="n">
        <v>3.5</v>
      </c>
      <c r="E167" s="13" t="n">
        <v>4.46</v>
      </c>
      <c r="F167" s="13" t="n">
        <v>4.9</v>
      </c>
      <c r="G167" s="12" t="s">
        <v>490</v>
      </c>
      <c r="H167" s="12" t="s">
        <v>585</v>
      </c>
      <c r="I167" s="12" t="s">
        <v>586</v>
      </c>
    </row>
    <row r="168" customFormat="false" ht="17.15" hidden="false" customHeight="false" outlineLevel="0" collapsed="false">
      <c r="A168" s="0" t="s">
        <v>587</v>
      </c>
      <c r="B168" s="6" t="s">
        <v>588</v>
      </c>
      <c r="C168" s="0" t="s">
        <v>511</v>
      </c>
      <c r="E168" s="13" t="n">
        <v>54.6</v>
      </c>
      <c r="G168" s="12" t="s">
        <v>61</v>
      </c>
      <c r="H168" s="12" t="s">
        <v>589</v>
      </c>
      <c r="I168" s="12" t="s">
        <v>590</v>
      </c>
    </row>
    <row r="169" customFormat="false" ht="17.15" hidden="false" customHeight="false" outlineLevel="0" collapsed="false">
      <c r="A169" s="0" t="s">
        <v>591</v>
      </c>
      <c r="B169" s="6" t="s">
        <v>592</v>
      </c>
      <c r="C169" s="0" t="s">
        <v>511</v>
      </c>
      <c r="E169" s="13" t="n">
        <v>77.4</v>
      </c>
      <c r="G169" s="12" t="s">
        <v>61</v>
      </c>
      <c r="H169" s="12" t="s">
        <v>593</v>
      </c>
      <c r="I169" s="12" t="s">
        <v>594</v>
      </c>
    </row>
    <row r="170" customFormat="false" ht="17.15" hidden="false" customHeight="false" outlineLevel="0" collapsed="false">
      <c r="A170" s="0" t="s">
        <v>595</v>
      </c>
      <c r="B170" s="6" t="s">
        <v>596</v>
      </c>
      <c r="C170" s="0" t="s">
        <v>511</v>
      </c>
      <c r="E170" s="13" t="n">
        <v>152.8</v>
      </c>
      <c r="G170" s="12" t="s">
        <v>61</v>
      </c>
      <c r="H170" s="12" t="s">
        <v>597</v>
      </c>
      <c r="I170" s="12" t="s">
        <v>598</v>
      </c>
    </row>
    <row r="171" customFormat="false" ht="17.15" hidden="false" customHeight="false" outlineLevel="0" collapsed="false">
      <c r="A171" s="10" t="s">
        <v>599</v>
      </c>
    </row>
    <row r="172" customFormat="false" ht="17.15" hidden="false" customHeight="false" outlineLevel="0" collapsed="false">
      <c r="A172" s="0" t="s">
        <v>600</v>
      </c>
      <c r="B172" s="0" t="s">
        <v>601</v>
      </c>
      <c r="C172" s="0" t="s">
        <v>60</v>
      </c>
      <c r="D172" s="11" t="n">
        <v>-0.7</v>
      </c>
      <c r="E172" s="11" t="n">
        <v>-0.5</v>
      </c>
      <c r="F172" s="11" t="n">
        <v>-0.3</v>
      </c>
      <c r="G172" s="12" t="s">
        <v>159</v>
      </c>
      <c r="H172" s="12" t="s">
        <v>602</v>
      </c>
      <c r="I172" s="12" t="s">
        <v>603</v>
      </c>
    </row>
    <row r="173" customFormat="false" ht="17.15" hidden="false" customHeight="false" outlineLevel="0" collapsed="false">
      <c r="A173" s="0" t="s">
        <v>604</v>
      </c>
      <c r="B173" s="0" t="s">
        <v>605</v>
      </c>
      <c r="C173" s="0" t="s">
        <v>60</v>
      </c>
      <c r="D173" s="11" t="n">
        <v>0.05</v>
      </c>
      <c r="E173" s="11" t="n">
        <v>0.15</v>
      </c>
      <c r="F173" s="11" t="n">
        <v>0.25</v>
      </c>
      <c r="G173" s="12" t="s">
        <v>159</v>
      </c>
      <c r="H173" s="6" t="s">
        <v>66</v>
      </c>
      <c r="I173" s="12" t="s">
        <v>606</v>
      </c>
    </row>
    <row r="174" customFormat="false" ht="17.15" hidden="false" customHeight="false" outlineLevel="0" collapsed="false">
      <c r="A174" s="0" t="s">
        <v>607</v>
      </c>
      <c r="B174" s="0" t="s">
        <v>608</v>
      </c>
      <c r="C174" s="0" t="s">
        <v>60</v>
      </c>
      <c r="D174" s="11" t="n">
        <v>0.05</v>
      </c>
      <c r="E174" s="11" t="n">
        <v>0.15</v>
      </c>
      <c r="F174" s="11" t="n">
        <v>0.25</v>
      </c>
      <c r="G174" s="12" t="s">
        <v>159</v>
      </c>
      <c r="H174" s="6" t="s">
        <v>66</v>
      </c>
      <c r="I174" s="12" t="s">
        <v>609</v>
      </c>
    </row>
    <row r="175" customFormat="false" ht="17.15" hidden="false" customHeight="false" outlineLevel="0" collapsed="false">
      <c r="A175" s="0" t="s">
        <v>610</v>
      </c>
      <c r="B175" s="0" t="s">
        <v>611</v>
      </c>
      <c r="C175" s="0" t="s">
        <v>60</v>
      </c>
      <c r="D175" s="11" t="n">
        <v>0</v>
      </c>
      <c r="E175" s="11" t="n">
        <v>0</v>
      </c>
      <c r="F175" s="11" t="n">
        <v>0</v>
      </c>
      <c r="G175" s="12" t="s">
        <v>159</v>
      </c>
      <c r="H175" s="6" t="s">
        <v>66</v>
      </c>
      <c r="I175" s="12" t="s">
        <v>612</v>
      </c>
    </row>
    <row r="176" customFormat="false" ht="17.15" hidden="false" customHeight="false" outlineLevel="0" collapsed="false">
      <c r="A176" s="0" t="s">
        <v>613</v>
      </c>
      <c r="B176" s="0" t="s">
        <v>614</v>
      </c>
      <c r="C176" s="0" t="s">
        <v>60</v>
      </c>
      <c r="D176" s="11" t="n">
        <v>0.05</v>
      </c>
      <c r="E176" s="11" t="n">
        <v>0.15</v>
      </c>
      <c r="F176" s="11" t="n">
        <v>0.25</v>
      </c>
      <c r="G176" s="12" t="s">
        <v>159</v>
      </c>
      <c r="H176" s="6" t="s">
        <v>66</v>
      </c>
      <c r="I176" s="12" t="s">
        <v>615</v>
      </c>
    </row>
    <row r="177" customFormat="false" ht="17.15" hidden="false" customHeight="false" outlineLevel="0" collapsed="false">
      <c r="A177" s="0" t="s">
        <v>616</v>
      </c>
      <c r="B177" s="0" t="s">
        <v>617</v>
      </c>
      <c r="C177" s="0" t="s">
        <v>60</v>
      </c>
      <c r="D177" s="11" t="n">
        <v>0.05</v>
      </c>
      <c r="E177" s="11" t="n">
        <v>0.15</v>
      </c>
      <c r="F177" s="11" t="n">
        <v>0.25</v>
      </c>
      <c r="G177" s="12" t="s">
        <v>159</v>
      </c>
      <c r="H177" s="6" t="s">
        <v>66</v>
      </c>
      <c r="I177" s="12" t="s">
        <v>618</v>
      </c>
    </row>
    <row r="178" customFormat="false" ht="17.15" hidden="false" customHeight="false" outlineLevel="0" collapsed="false">
      <c r="A178" s="0" t="s">
        <v>619</v>
      </c>
      <c r="B178" s="0" t="s">
        <v>620</v>
      </c>
      <c r="C178" s="0" t="s">
        <v>60</v>
      </c>
      <c r="D178" s="11" t="n">
        <v>0.05</v>
      </c>
      <c r="E178" s="11" t="n">
        <v>0.15</v>
      </c>
      <c r="F178" s="11" t="n">
        <v>0.25</v>
      </c>
      <c r="G178" s="12" t="s">
        <v>159</v>
      </c>
      <c r="H178" s="6" t="s">
        <v>66</v>
      </c>
      <c r="I178" s="12" t="s">
        <v>621</v>
      </c>
    </row>
    <row r="179" customFormat="false" ht="17.15" hidden="false" customHeight="false" outlineLevel="0" collapsed="false">
      <c r="A179" s="0" t="s">
        <v>622</v>
      </c>
      <c r="B179" s="6" t="s">
        <v>623</v>
      </c>
      <c r="C179" s="0" t="s">
        <v>60</v>
      </c>
      <c r="D179" s="11" t="n">
        <v>0.05</v>
      </c>
      <c r="E179" s="11" t="n">
        <v>0.15</v>
      </c>
      <c r="F179" s="11" t="n">
        <v>0.25</v>
      </c>
      <c r="G179" s="12" t="s">
        <v>159</v>
      </c>
      <c r="H179" s="6" t="s">
        <v>66</v>
      </c>
      <c r="I179" s="12" t="s">
        <v>624</v>
      </c>
    </row>
    <row r="180" customFormat="false" ht="17.15" hidden="false" customHeight="false" outlineLevel="0" collapsed="false">
      <c r="A180" s="10" t="s">
        <v>625</v>
      </c>
    </row>
    <row r="181" customFormat="false" ht="17.15" hidden="false" customHeight="false" outlineLevel="0" collapsed="false">
      <c r="A181" s="0" t="s">
        <v>626</v>
      </c>
      <c r="B181" s="0" t="s">
        <v>627</v>
      </c>
      <c r="C181" s="0" t="s">
        <v>628</v>
      </c>
      <c r="D181" s="13" t="n">
        <v>20</v>
      </c>
      <c r="E181" s="13" t="n">
        <v>30</v>
      </c>
      <c r="F181" s="13" t="n">
        <v>45</v>
      </c>
      <c r="G181" s="12" t="s">
        <v>61</v>
      </c>
      <c r="H181" s="12" t="s">
        <v>629</v>
      </c>
      <c r="I181" s="12" t="s">
        <v>630</v>
      </c>
      <c r="J181" s="6" t="s">
        <v>631</v>
      </c>
    </row>
    <row r="182" customFormat="false" ht="17.15" hidden="false" customHeight="false" outlineLevel="0" collapsed="false">
      <c r="A182" s="0" t="s">
        <v>632</v>
      </c>
      <c r="B182" s="0" t="s">
        <v>633</v>
      </c>
      <c r="C182" s="0" t="s">
        <v>628</v>
      </c>
      <c r="D182" s="13" t="n">
        <v>8</v>
      </c>
      <c r="E182" s="13" t="n">
        <v>12</v>
      </c>
      <c r="F182" s="13" t="n">
        <v>18</v>
      </c>
      <c r="G182" s="12" t="s">
        <v>159</v>
      </c>
      <c r="H182" s="6" t="s">
        <v>634</v>
      </c>
      <c r="I182" s="12" t="s">
        <v>635</v>
      </c>
      <c r="J182" s="6" t="s">
        <v>636</v>
      </c>
    </row>
    <row r="183" customFormat="false" ht="17.15" hidden="false" customHeight="false" outlineLevel="0" collapsed="false">
      <c r="A183" s="0" t="s">
        <v>637</v>
      </c>
      <c r="B183" s="0" t="s">
        <v>638</v>
      </c>
      <c r="C183" s="0" t="s">
        <v>628</v>
      </c>
      <c r="D183" s="13" t="n">
        <v>5</v>
      </c>
      <c r="E183" s="13" t="n">
        <v>8</v>
      </c>
      <c r="F183" s="13" t="n">
        <v>12</v>
      </c>
      <c r="G183" s="12" t="s">
        <v>159</v>
      </c>
      <c r="H183" s="6" t="s">
        <v>639</v>
      </c>
      <c r="I183" s="12" t="s">
        <v>640</v>
      </c>
      <c r="J183" s="12" t="s">
        <v>641</v>
      </c>
    </row>
    <row r="184" customFormat="false" ht="17.15" hidden="false" customHeight="false" outlineLevel="0" collapsed="false">
      <c r="A184" s="0" t="s">
        <v>642</v>
      </c>
      <c r="B184" s="6" t="s">
        <v>643</v>
      </c>
      <c r="C184" s="0" t="s">
        <v>628</v>
      </c>
      <c r="D184" s="13" t="n">
        <v>5</v>
      </c>
      <c r="E184" s="13" t="n">
        <v>8</v>
      </c>
      <c r="F184" s="13" t="n">
        <v>12</v>
      </c>
      <c r="G184" s="12" t="s">
        <v>159</v>
      </c>
      <c r="H184" s="6" t="s">
        <v>644</v>
      </c>
      <c r="I184" s="12" t="s">
        <v>645</v>
      </c>
      <c r="J184" s="6" t="s">
        <v>66</v>
      </c>
    </row>
    <row r="185" customFormat="false" ht="17.15" hidden="false" customHeight="false" outlineLevel="0" collapsed="false">
      <c r="A185" s="0" t="s">
        <v>646</v>
      </c>
      <c r="B185" s="0" t="s">
        <v>647</v>
      </c>
      <c r="C185" s="0" t="s">
        <v>628</v>
      </c>
      <c r="D185" s="13" t="n">
        <v>6</v>
      </c>
      <c r="E185" s="13" t="n">
        <v>8</v>
      </c>
      <c r="F185" s="13" t="n">
        <v>11</v>
      </c>
      <c r="G185" s="12" t="s">
        <v>159</v>
      </c>
      <c r="H185" s="6" t="s">
        <v>648</v>
      </c>
      <c r="I185" s="12" t="s">
        <v>649</v>
      </c>
      <c r="J185" s="12" t="s">
        <v>650</v>
      </c>
    </row>
    <row r="186" customFormat="false" ht="17.15" hidden="false" customHeight="false" outlineLevel="0" collapsed="false">
      <c r="A186" s="0" t="s">
        <v>651</v>
      </c>
      <c r="B186" s="6" t="s">
        <v>652</v>
      </c>
      <c r="C186" s="0" t="s">
        <v>628</v>
      </c>
      <c r="D186" s="13" t="n">
        <v>4</v>
      </c>
      <c r="E186" s="13" t="n">
        <v>6</v>
      </c>
      <c r="F186" s="13" t="n">
        <v>9</v>
      </c>
      <c r="G186" s="12" t="s">
        <v>159</v>
      </c>
      <c r="H186" s="6" t="s">
        <v>653</v>
      </c>
      <c r="I186" s="12" t="s">
        <v>654</v>
      </c>
      <c r="J186" s="12" t="s">
        <v>655</v>
      </c>
    </row>
    <row r="187" customFormat="false" ht="17.15" hidden="false" customHeight="false" outlineLevel="0" collapsed="false">
      <c r="A187" s="0" t="s">
        <v>656</v>
      </c>
      <c r="B187" s="0" t="s">
        <v>657</v>
      </c>
      <c r="C187" s="0" t="s">
        <v>489</v>
      </c>
      <c r="D187" s="13" t="n">
        <v>0.3</v>
      </c>
      <c r="E187" s="13" t="n">
        <v>0.6</v>
      </c>
      <c r="F187" s="13" t="n">
        <v>1</v>
      </c>
      <c r="G187" s="12" t="s">
        <v>159</v>
      </c>
      <c r="H187" s="6" t="s">
        <v>658</v>
      </c>
      <c r="I187" s="12" t="s">
        <v>659</v>
      </c>
      <c r="J187" s="6" t="s">
        <v>660</v>
      </c>
    </row>
    <row r="188" customFormat="false" ht="17.15" hidden="false" customHeight="false" outlineLevel="0" collapsed="false">
      <c r="A188" s="10" t="s">
        <v>661</v>
      </c>
    </row>
    <row r="189" customFormat="false" ht="17.15" hidden="false" customHeight="false" outlineLevel="0" collapsed="false">
      <c r="A189" s="0" t="s">
        <v>662</v>
      </c>
      <c r="B189" s="0" t="s">
        <v>663</v>
      </c>
      <c r="C189" s="0" t="s">
        <v>60</v>
      </c>
      <c r="D189" s="11" t="n">
        <v>0.8</v>
      </c>
      <c r="E189" s="11" t="n">
        <v>0.9</v>
      </c>
      <c r="F189" s="11" t="n">
        <v>1</v>
      </c>
      <c r="G189" s="12" t="s">
        <v>159</v>
      </c>
      <c r="H189" s="12" t="s">
        <v>664</v>
      </c>
      <c r="I189" s="12" t="s">
        <v>665</v>
      </c>
      <c r="J189" s="6" t="s">
        <v>666</v>
      </c>
    </row>
    <row r="190" customFormat="false" ht="17.15" hidden="false" customHeight="false" outlineLevel="0" collapsed="false">
      <c r="A190" s="0" t="s">
        <v>667</v>
      </c>
      <c r="B190" s="0" t="s">
        <v>668</v>
      </c>
      <c r="C190" s="0" t="s">
        <v>60</v>
      </c>
      <c r="D190" s="11" t="n">
        <v>0.6</v>
      </c>
      <c r="E190" s="11" t="n">
        <v>0.8</v>
      </c>
      <c r="F190" s="11" t="n">
        <v>0.9</v>
      </c>
      <c r="G190" s="12" t="s">
        <v>159</v>
      </c>
      <c r="H190" s="6" t="s">
        <v>669</v>
      </c>
      <c r="I190" s="12" t="s">
        <v>670</v>
      </c>
      <c r="J190" s="12" t="s">
        <v>671</v>
      </c>
    </row>
    <row r="191" customFormat="false" ht="17.15" hidden="false" customHeight="false" outlineLevel="0" collapsed="false">
      <c r="A191" s="0" t="s">
        <v>672</v>
      </c>
      <c r="B191" s="0" t="s">
        <v>673</v>
      </c>
      <c r="C191" s="0" t="s">
        <v>60</v>
      </c>
      <c r="D191" s="11" t="n">
        <v>0.5</v>
      </c>
      <c r="E191" s="11" t="n">
        <v>0.75</v>
      </c>
      <c r="F191" s="11" t="n">
        <v>0.9</v>
      </c>
      <c r="G191" s="12" t="s">
        <v>159</v>
      </c>
      <c r="H191" s="6" t="s">
        <v>66</v>
      </c>
      <c r="I191" s="12" t="s">
        <v>674</v>
      </c>
      <c r="J191" s="12" t="s">
        <v>675</v>
      </c>
    </row>
    <row r="192" customFormat="false" ht="17.15" hidden="false" customHeight="false" outlineLevel="0" collapsed="false">
      <c r="A192" s="0" t="s">
        <v>676</v>
      </c>
      <c r="B192" s="0" t="s">
        <v>677</v>
      </c>
      <c r="C192" s="0" t="s">
        <v>60</v>
      </c>
      <c r="D192" s="11" t="n">
        <v>0.2</v>
      </c>
      <c r="E192" s="11" t="n">
        <v>0.35</v>
      </c>
      <c r="F192" s="11" t="n">
        <v>0.5</v>
      </c>
      <c r="G192" s="12" t="s">
        <v>159</v>
      </c>
      <c r="H192" s="6" t="s">
        <v>678</v>
      </c>
      <c r="I192" s="12" t="s">
        <v>679</v>
      </c>
      <c r="J192" s="12" t="s">
        <v>680</v>
      </c>
    </row>
    <row r="193" customFormat="false" ht="17.15" hidden="false" customHeight="false" outlineLevel="0" collapsed="false">
      <c r="A193" s="0" t="s">
        <v>681</v>
      </c>
      <c r="B193" s="0" t="s">
        <v>682</v>
      </c>
      <c r="C193" s="0" t="s">
        <v>60</v>
      </c>
      <c r="D193" s="11" t="n">
        <v>0.4</v>
      </c>
      <c r="E193" s="11" t="n">
        <v>0.55</v>
      </c>
      <c r="F193" s="11" t="n">
        <v>0.7</v>
      </c>
      <c r="G193" s="12" t="s">
        <v>159</v>
      </c>
      <c r="H193" s="12" t="s">
        <v>683</v>
      </c>
      <c r="I193" s="12" t="s">
        <v>684</v>
      </c>
      <c r="J193" s="12" t="s">
        <v>675</v>
      </c>
    </row>
    <row r="194" customFormat="false" ht="17.15" hidden="false" customHeight="false" outlineLevel="0" collapsed="false">
      <c r="A194" s="0" t="s">
        <v>685</v>
      </c>
      <c r="B194" s="0" t="s">
        <v>686</v>
      </c>
      <c r="C194" s="0" t="s">
        <v>60</v>
      </c>
      <c r="D194" s="11" t="n">
        <v>0.4</v>
      </c>
      <c r="E194" s="11" t="n">
        <v>0.55</v>
      </c>
      <c r="F194" s="11" t="n">
        <v>0.7</v>
      </c>
      <c r="G194" s="12" t="s">
        <v>159</v>
      </c>
      <c r="H194" s="12" t="s">
        <v>687</v>
      </c>
      <c r="I194" s="12" t="s">
        <v>688</v>
      </c>
      <c r="J194" s="12" t="s">
        <v>675</v>
      </c>
    </row>
    <row r="195" customFormat="false" ht="17.15" hidden="false" customHeight="false" outlineLevel="0" collapsed="false">
      <c r="A195" s="0" t="s">
        <v>689</v>
      </c>
      <c r="B195" s="0" t="s">
        <v>690</v>
      </c>
      <c r="C195" s="0" t="s">
        <v>60</v>
      </c>
      <c r="D195" s="11" t="n">
        <v>0.05</v>
      </c>
      <c r="E195" s="11" t="n">
        <v>0.1</v>
      </c>
      <c r="F195" s="11" t="n">
        <v>0.2</v>
      </c>
      <c r="G195" s="12" t="s">
        <v>159</v>
      </c>
      <c r="H195" s="12" t="s">
        <v>691</v>
      </c>
      <c r="I195" s="12" t="s">
        <v>692</v>
      </c>
      <c r="J195" s="6" t="s">
        <v>693</v>
      </c>
    </row>
    <row r="196" customFormat="false" ht="17.15" hidden="false" customHeight="false" outlineLevel="0" collapsed="false">
      <c r="A196" s="0" t="s">
        <v>694</v>
      </c>
      <c r="B196" s="0" t="s">
        <v>695</v>
      </c>
      <c r="C196" s="0" t="s">
        <v>60</v>
      </c>
      <c r="D196" s="11" t="n">
        <v>0.05</v>
      </c>
      <c r="E196" s="11" t="n">
        <v>0.1</v>
      </c>
      <c r="F196" s="11" t="n">
        <v>0.2</v>
      </c>
      <c r="G196" s="12" t="s">
        <v>159</v>
      </c>
      <c r="H196" s="6" t="s">
        <v>66</v>
      </c>
      <c r="I196" s="12" t="s">
        <v>696</v>
      </c>
      <c r="J196" s="12" t="s">
        <v>675</v>
      </c>
    </row>
    <row r="197" customFormat="false" ht="17.15" hidden="false" customHeight="false" outlineLevel="0" collapsed="false">
      <c r="A197" s="0" t="s">
        <v>697</v>
      </c>
      <c r="B197" s="0" t="s">
        <v>698</v>
      </c>
      <c r="C197" s="0" t="s">
        <v>60</v>
      </c>
      <c r="D197" s="11" t="n">
        <v>0</v>
      </c>
      <c r="E197" s="11" t="n">
        <v>0.08</v>
      </c>
      <c r="F197" s="11" t="n">
        <v>0.2</v>
      </c>
      <c r="G197" s="12" t="s">
        <v>159</v>
      </c>
      <c r="H197" s="6" t="s">
        <v>66</v>
      </c>
      <c r="I197" s="12" t="s">
        <v>699</v>
      </c>
      <c r="J197" s="12" t="s">
        <v>675</v>
      </c>
    </row>
    <row r="198" customFormat="false" ht="17.15" hidden="false" customHeight="false" outlineLevel="0" collapsed="false">
      <c r="A198" s="0" t="s">
        <v>700</v>
      </c>
      <c r="B198" s="0" t="s">
        <v>701</v>
      </c>
      <c r="C198" s="0" t="s">
        <v>60</v>
      </c>
      <c r="D198" s="11" t="n">
        <v>0.02</v>
      </c>
      <c r="E198" s="11" t="n">
        <v>0.05</v>
      </c>
      <c r="F198" s="11" t="n">
        <v>0.1</v>
      </c>
      <c r="G198" s="12" t="s">
        <v>159</v>
      </c>
      <c r="H198" s="12" t="s">
        <v>702</v>
      </c>
      <c r="I198" s="12" t="s">
        <v>703</v>
      </c>
      <c r="J198" s="6" t="s">
        <v>704</v>
      </c>
    </row>
    <row r="199" customFormat="false" ht="17.15" hidden="false" customHeight="false" outlineLevel="0" collapsed="false">
      <c r="A199" s="0" t="s">
        <v>705</v>
      </c>
      <c r="B199" s="0" t="s">
        <v>706</v>
      </c>
      <c r="C199" s="0" t="s">
        <v>60</v>
      </c>
      <c r="D199" s="11" t="n">
        <v>0.03</v>
      </c>
      <c r="E199" s="11" t="n">
        <v>0.06</v>
      </c>
      <c r="F199" s="11" t="n">
        <v>0.12</v>
      </c>
      <c r="G199" s="12" t="s">
        <v>159</v>
      </c>
      <c r="H199" s="6" t="s">
        <v>66</v>
      </c>
      <c r="I199" s="12" t="s">
        <v>707</v>
      </c>
      <c r="J199" s="12" t="s">
        <v>675</v>
      </c>
    </row>
    <row r="200" customFormat="false" ht="17.15" hidden="false" customHeight="false" outlineLevel="0" collapsed="false">
      <c r="A200" s="0" t="s">
        <v>708</v>
      </c>
      <c r="B200" s="0" t="s">
        <v>709</v>
      </c>
      <c r="C200" s="0" t="s">
        <v>60</v>
      </c>
      <c r="D200" s="11" t="n">
        <v>0.08</v>
      </c>
      <c r="E200" s="11" t="n">
        <v>0.15</v>
      </c>
      <c r="F200" s="11" t="n">
        <v>0.25</v>
      </c>
      <c r="G200" s="12" t="s">
        <v>159</v>
      </c>
      <c r="H200" s="6" t="s">
        <v>66</v>
      </c>
      <c r="I200" s="12" t="s">
        <v>710</v>
      </c>
      <c r="J200" s="12" t="s">
        <v>675</v>
      </c>
    </row>
    <row r="201" customFormat="false" ht="17.15" hidden="false" customHeight="false" outlineLevel="0" collapsed="false">
      <c r="A201" s="0" t="s">
        <v>711</v>
      </c>
      <c r="B201" s="0" t="s">
        <v>712</v>
      </c>
      <c r="C201" s="0" t="s">
        <v>60</v>
      </c>
      <c r="D201" s="11" t="n">
        <v>0</v>
      </c>
      <c r="E201" s="11" t="n">
        <v>0</v>
      </c>
      <c r="F201" s="11" t="n">
        <v>0.02</v>
      </c>
      <c r="G201" s="12" t="s">
        <v>159</v>
      </c>
      <c r="H201" s="12" t="s">
        <v>713</v>
      </c>
      <c r="I201" s="12" t="s">
        <v>714</v>
      </c>
      <c r="J201" s="12" t="s">
        <v>715</v>
      </c>
    </row>
    <row r="202" customFormat="false" ht="17.15" hidden="false" customHeight="false" outlineLevel="0" collapsed="false">
      <c r="A202" s="0" t="s">
        <v>716</v>
      </c>
      <c r="B202" s="0" t="s">
        <v>717</v>
      </c>
      <c r="C202" s="0" t="s">
        <v>60</v>
      </c>
      <c r="D202" s="11" t="n">
        <v>0</v>
      </c>
      <c r="E202" s="11" t="n">
        <v>0</v>
      </c>
      <c r="F202" s="11" t="n">
        <v>0.05</v>
      </c>
      <c r="G202" s="12" t="s">
        <v>159</v>
      </c>
      <c r="H202" s="6" t="s">
        <v>66</v>
      </c>
      <c r="I202" s="12" t="s">
        <v>718</v>
      </c>
      <c r="J202" s="12" t="s">
        <v>675</v>
      </c>
    </row>
    <row r="203" customFormat="false" ht="17.15" hidden="false" customHeight="false" outlineLevel="0" collapsed="false">
      <c r="A203" s="0" t="s">
        <v>719</v>
      </c>
      <c r="B203" s="0" t="s">
        <v>720</v>
      </c>
      <c r="C203" s="0" t="s">
        <v>60</v>
      </c>
      <c r="D203" s="11" t="n">
        <v>0</v>
      </c>
      <c r="E203" s="11" t="n">
        <v>0.05</v>
      </c>
      <c r="F203" s="11" t="n">
        <v>0.15</v>
      </c>
      <c r="G203" s="12" t="s">
        <v>159</v>
      </c>
      <c r="H203" s="6" t="s">
        <v>66</v>
      </c>
      <c r="I203" s="12" t="s">
        <v>721</v>
      </c>
      <c r="J203" s="12" t="s">
        <v>675</v>
      </c>
    </row>
    <row r="204" customFormat="false" ht="17.15" hidden="false" customHeight="false" outlineLevel="0" collapsed="false">
      <c r="A204" s="0" t="s">
        <v>722</v>
      </c>
      <c r="B204" s="6" t="s">
        <v>723</v>
      </c>
      <c r="C204" s="0" t="s">
        <v>60</v>
      </c>
      <c r="D204" s="11" t="n">
        <v>0.03</v>
      </c>
      <c r="E204" s="11" t="n">
        <v>0.05</v>
      </c>
      <c r="F204" s="11" t="n">
        <v>0.1</v>
      </c>
      <c r="G204" s="12" t="s">
        <v>159</v>
      </c>
      <c r="H204" s="6" t="s">
        <v>724</v>
      </c>
      <c r="I204" s="12" t="s">
        <v>725</v>
      </c>
      <c r="J204" s="6" t="s">
        <v>726</v>
      </c>
    </row>
    <row r="205" customFormat="false" ht="17.15" hidden="false" customHeight="false" outlineLevel="0" collapsed="false">
      <c r="A205" s="0" t="s">
        <v>727</v>
      </c>
      <c r="B205" s="6" t="s">
        <v>728</v>
      </c>
      <c r="C205" s="0" t="s">
        <v>60</v>
      </c>
      <c r="D205" s="11" t="n">
        <v>0.08</v>
      </c>
      <c r="E205" s="11" t="n">
        <v>0.15</v>
      </c>
      <c r="F205" s="11" t="n">
        <v>0.2</v>
      </c>
      <c r="G205" s="12" t="s">
        <v>159</v>
      </c>
      <c r="H205" s="6" t="s">
        <v>66</v>
      </c>
      <c r="I205" s="12" t="s">
        <v>729</v>
      </c>
      <c r="J205" s="12" t="s">
        <v>675</v>
      </c>
    </row>
    <row r="206" customFormat="false" ht="17.15" hidden="false" customHeight="false" outlineLevel="0" collapsed="false">
      <c r="A206" s="0" t="s">
        <v>730</v>
      </c>
      <c r="B206" s="6" t="s">
        <v>731</v>
      </c>
      <c r="C206" s="0" t="s">
        <v>60</v>
      </c>
      <c r="D206" s="11" t="n">
        <v>0.1</v>
      </c>
      <c r="E206" s="11" t="n">
        <v>0.18</v>
      </c>
      <c r="F206" s="11" t="n">
        <v>0.2</v>
      </c>
      <c r="G206" s="12" t="s">
        <v>159</v>
      </c>
      <c r="H206" s="6" t="s">
        <v>66</v>
      </c>
      <c r="I206" s="12" t="s">
        <v>732</v>
      </c>
      <c r="J206" s="12" t="s">
        <v>675</v>
      </c>
    </row>
    <row r="207" customFormat="false" ht="17.15" hidden="false" customHeight="false" outlineLevel="0" collapsed="false">
      <c r="A207" s="0" t="s">
        <v>733</v>
      </c>
      <c r="B207" s="6" t="s">
        <v>734</v>
      </c>
      <c r="C207" s="0" t="s">
        <v>60</v>
      </c>
      <c r="D207" s="11" t="n">
        <v>0</v>
      </c>
      <c r="E207" s="11" t="n">
        <v>0</v>
      </c>
      <c r="F207" s="11" t="n">
        <v>0.02</v>
      </c>
      <c r="G207" s="12" t="s">
        <v>159</v>
      </c>
      <c r="H207" s="6" t="s">
        <v>735</v>
      </c>
      <c r="I207" s="12" t="s">
        <v>736</v>
      </c>
      <c r="J207" s="6" t="s">
        <v>737</v>
      </c>
    </row>
    <row r="208" customFormat="false" ht="17.15" hidden="false" customHeight="false" outlineLevel="0" collapsed="false">
      <c r="A208" s="0" t="s">
        <v>738</v>
      </c>
      <c r="B208" s="6" t="s">
        <v>739</v>
      </c>
      <c r="C208" s="0" t="s">
        <v>60</v>
      </c>
      <c r="D208" s="11" t="n">
        <v>0</v>
      </c>
      <c r="E208" s="11" t="n">
        <v>0</v>
      </c>
      <c r="F208" s="11" t="n">
        <v>0.03</v>
      </c>
      <c r="G208" s="12" t="s">
        <v>159</v>
      </c>
      <c r="H208" s="6" t="s">
        <v>66</v>
      </c>
      <c r="I208" s="12" t="s">
        <v>740</v>
      </c>
      <c r="J208" s="12" t="s">
        <v>675</v>
      </c>
    </row>
    <row r="209" customFormat="false" ht="17.15" hidden="false" customHeight="false" outlineLevel="0" collapsed="false">
      <c r="A209" s="0" t="s">
        <v>741</v>
      </c>
      <c r="B209" s="6" t="s">
        <v>742</v>
      </c>
      <c r="C209" s="0" t="s">
        <v>60</v>
      </c>
      <c r="D209" s="11" t="n">
        <v>0</v>
      </c>
      <c r="E209" s="11" t="n">
        <v>0</v>
      </c>
      <c r="F209" s="11" t="n">
        <v>0.05</v>
      </c>
      <c r="G209" s="12" t="s">
        <v>159</v>
      </c>
      <c r="H209" s="6" t="s">
        <v>66</v>
      </c>
      <c r="I209" s="12" t="s">
        <v>743</v>
      </c>
      <c r="J209" s="12" t="s">
        <v>675</v>
      </c>
    </row>
    <row r="210" customFormat="false" ht="17.15" hidden="false" customHeight="false" outlineLevel="0" collapsed="false">
      <c r="A210" s="0" t="s">
        <v>744</v>
      </c>
      <c r="B210" s="6" t="s">
        <v>745</v>
      </c>
      <c r="C210" s="0" t="s">
        <v>60</v>
      </c>
      <c r="D210" s="11" t="n">
        <v>0.2</v>
      </c>
      <c r="E210" s="11" t="n">
        <v>0.3</v>
      </c>
      <c r="F210" s="11" t="n">
        <v>0.4</v>
      </c>
      <c r="G210" s="12" t="s">
        <v>159</v>
      </c>
      <c r="H210" s="6" t="s">
        <v>746</v>
      </c>
      <c r="I210" s="12" t="s">
        <v>747</v>
      </c>
      <c r="J210" s="12" t="s">
        <v>748</v>
      </c>
    </row>
    <row r="211" customFormat="false" ht="17.15" hidden="false" customHeight="false" outlineLevel="0" collapsed="false">
      <c r="A211" s="0" t="s">
        <v>749</v>
      </c>
      <c r="B211" s="6" t="s">
        <v>750</v>
      </c>
      <c r="C211" s="0" t="s">
        <v>60</v>
      </c>
      <c r="D211" s="11" t="n">
        <v>0.4</v>
      </c>
      <c r="E211" s="11" t="n">
        <v>0.55</v>
      </c>
      <c r="F211" s="11" t="n">
        <v>0.75</v>
      </c>
      <c r="G211" s="12" t="s">
        <v>159</v>
      </c>
      <c r="H211" s="6" t="s">
        <v>66</v>
      </c>
      <c r="I211" s="12" t="s">
        <v>751</v>
      </c>
      <c r="J211" s="12" t="s">
        <v>748</v>
      </c>
    </row>
    <row r="212" customFormat="false" ht="17.15" hidden="false" customHeight="false" outlineLevel="0" collapsed="false">
      <c r="A212" s="0" t="s">
        <v>752</v>
      </c>
      <c r="B212" s="6" t="s">
        <v>753</v>
      </c>
      <c r="C212" s="0" t="s">
        <v>60</v>
      </c>
      <c r="D212" s="11" t="n">
        <v>0.4</v>
      </c>
      <c r="E212" s="11" t="n">
        <v>0.5</v>
      </c>
      <c r="F212" s="11" t="n">
        <v>0.75</v>
      </c>
      <c r="G212" s="12" t="s">
        <v>159</v>
      </c>
      <c r="H212" s="6" t="s">
        <v>66</v>
      </c>
      <c r="I212" s="12" t="s">
        <v>754</v>
      </c>
      <c r="J212" s="12" t="s">
        <v>675</v>
      </c>
    </row>
    <row r="213" customFormat="false" ht="17.15" hidden="false" customHeight="false" outlineLevel="0" collapsed="false">
      <c r="A213" s="0" t="s">
        <v>755</v>
      </c>
      <c r="B213" s="6" t="s">
        <v>756</v>
      </c>
      <c r="C213" s="0" t="s">
        <v>60</v>
      </c>
      <c r="D213" s="11" t="n">
        <v>0.3</v>
      </c>
      <c r="E213" s="11" t="n">
        <v>0.4</v>
      </c>
      <c r="F213" s="11" t="n">
        <v>0.75</v>
      </c>
      <c r="G213" s="12" t="s">
        <v>159</v>
      </c>
      <c r="H213" s="6" t="s">
        <v>66</v>
      </c>
      <c r="I213" s="12" t="s">
        <v>757</v>
      </c>
      <c r="J213" s="12" t="s">
        <v>675</v>
      </c>
    </row>
    <row r="214" customFormat="false" ht="17.15" hidden="false" customHeight="false" outlineLevel="0" collapsed="false">
      <c r="A214" s="0" t="s">
        <v>758</v>
      </c>
      <c r="B214" s="6" t="s">
        <v>759</v>
      </c>
      <c r="C214" s="0" t="s">
        <v>60</v>
      </c>
      <c r="D214" s="11" t="n">
        <v>0.35</v>
      </c>
      <c r="E214" s="11" t="n">
        <v>0.55</v>
      </c>
      <c r="F214" s="11" t="n">
        <v>0.85</v>
      </c>
      <c r="G214" s="12" t="s">
        <v>159</v>
      </c>
      <c r="H214" s="6" t="s">
        <v>66</v>
      </c>
      <c r="I214" s="12" t="s">
        <v>760</v>
      </c>
      <c r="J214" s="12" t="s">
        <v>748</v>
      </c>
    </row>
    <row r="215" customFormat="false" ht="17.15" hidden="false" customHeight="false" outlineLevel="0" collapsed="false">
      <c r="A215" s="0" t="s">
        <v>761</v>
      </c>
      <c r="B215" s="6" t="s">
        <v>762</v>
      </c>
      <c r="C215" s="0" t="s">
        <v>60</v>
      </c>
      <c r="D215" s="11" t="n">
        <v>0.3</v>
      </c>
      <c r="E215" s="11" t="n">
        <v>0.45</v>
      </c>
      <c r="F215" s="11" t="n">
        <v>0.85</v>
      </c>
      <c r="G215" s="12" t="s">
        <v>159</v>
      </c>
      <c r="H215" s="6" t="s">
        <v>66</v>
      </c>
      <c r="I215" s="12" t="s">
        <v>763</v>
      </c>
      <c r="J215" s="12" t="s">
        <v>764</v>
      </c>
    </row>
    <row r="216" customFormat="false" ht="17.15" hidden="false" customHeight="false" outlineLevel="0" collapsed="false">
      <c r="A216" s="0" t="s">
        <v>765</v>
      </c>
      <c r="B216" s="6" t="s">
        <v>766</v>
      </c>
      <c r="C216" s="0" t="s">
        <v>60</v>
      </c>
      <c r="D216" s="11" t="n">
        <v>0.2</v>
      </c>
      <c r="E216" s="11" t="n">
        <v>0.35</v>
      </c>
      <c r="F216" s="11" t="n">
        <v>0.85</v>
      </c>
      <c r="G216" s="12" t="s">
        <v>159</v>
      </c>
      <c r="H216" s="6" t="s">
        <v>66</v>
      </c>
      <c r="I216" s="12" t="s">
        <v>767</v>
      </c>
      <c r="J216" s="12" t="s">
        <v>764</v>
      </c>
    </row>
    <row r="217" customFormat="false" ht="17.15" hidden="false" customHeight="false" outlineLevel="0" collapsed="false">
      <c r="A217" s="10" t="s">
        <v>768</v>
      </c>
    </row>
    <row r="218" customFormat="false" ht="17.15" hidden="false" customHeight="false" outlineLevel="0" collapsed="false">
      <c r="A218" s="0" t="s">
        <v>769</v>
      </c>
      <c r="B218" s="0" t="s">
        <v>770</v>
      </c>
      <c r="C218" s="0" t="s">
        <v>771</v>
      </c>
      <c r="D218" s="13" t="n">
        <v>1194</v>
      </c>
      <c r="E218" s="13" t="n">
        <v>1493</v>
      </c>
      <c r="F218" s="13" t="n">
        <v>1792</v>
      </c>
      <c r="G218" s="12" t="s">
        <v>490</v>
      </c>
      <c r="H218" s="6" t="s">
        <v>772</v>
      </c>
      <c r="I218" s="12" t="s">
        <v>773</v>
      </c>
    </row>
    <row r="219" customFormat="false" ht="17.15" hidden="false" customHeight="false" outlineLevel="0" collapsed="false">
      <c r="A219" s="0" t="s">
        <v>774</v>
      </c>
      <c r="B219" s="0" t="s">
        <v>775</v>
      </c>
      <c r="C219" s="0" t="s">
        <v>771</v>
      </c>
      <c r="D219" s="13" t="n">
        <v>1194</v>
      </c>
      <c r="E219" s="13" t="n">
        <v>1493</v>
      </c>
      <c r="F219" s="13" t="n">
        <v>1792</v>
      </c>
      <c r="G219" s="12" t="s">
        <v>490</v>
      </c>
      <c r="H219" s="6" t="s">
        <v>66</v>
      </c>
      <c r="I219" s="12" t="s">
        <v>776</v>
      </c>
    </row>
    <row r="220" customFormat="false" ht="17.15" hidden="false" customHeight="false" outlineLevel="0" collapsed="false">
      <c r="A220" s="0" t="s">
        <v>777</v>
      </c>
      <c r="B220" s="0" t="s">
        <v>778</v>
      </c>
      <c r="C220" s="0" t="s">
        <v>771</v>
      </c>
      <c r="D220" s="13" t="n">
        <v>2150</v>
      </c>
      <c r="E220" s="13" t="n">
        <v>2688</v>
      </c>
      <c r="F220" s="13" t="n">
        <v>3226</v>
      </c>
      <c r="G220" s="12" t="s">
        <v>490</v>
      </c>
      <c r="H220" s="6" t="s">
        <v>66</v>
      </c>
      <c r="I220" s="12" t="s">
        <v>779</v>
      </c>
    </row>
    <row r="221" customFormat="false" ht="17.15" hidden="false" customHeight="false" outlineLevel="0" collapsed="false">
      <c r="A221" s="0" t="s">
        <v>780</v>
      </c>
      <c r="B221" s="0" t="s">
        <v>781</v>
      </c>
      <c r="C221" s="0" t="s">
        <v>771</v>
      </c>
      <c r="D221" s="13" t="n">
        <v>1672</v>
      </c>
      <c r="E221" s="13" t="n">
        <v>2090</v>
      </c>
      <c r="F221" s="13" t="n">
        <v>2508</v>
      </c>
      <c r="G221" s="12" t="s">
        <v>490</v>
      </c>
      <c r="H221" s="6" t="s">
        <v>66</v>
      </c>
      <c r="I221" s="12" t="s">
        <v>782</v>
      </c>
    </row>
    <row r="222" customFormat="false" ht="17.15" hidden="false" customHeight="false" outlineLevel="0" collapsed="false">
      <c r="A222" s="0" t="s">
        <v>783</v>
      </c>
      <c r="B222" s="0" t="s">
        <v>784</v>
      </c>
      <c r="C222" s="0" t="s">
        <v>771</v>
      </c>
      <c r="D222" s="13" t="n">
        <v>956</v>
      </c>
      <c r="E222" s="13" t="n">
        <v>1195</v>
      </c>
      <c r="F222" s="13" t="n">
        <v>1434</v>
      </c>
      <c r="G222" s="12" t="s">
        <v>490</v>
      </c>
      <c r="H222" s="6" t="s">
        <v>66</v>
      </c>
      <c r="I222" s="12" t="s">
        <v>785</v>
      </c>
    </row>
    <row r="223" customFormat="false" ht="17.15" hidden="false" customHeight="false" outlineLevel="0" collapsed="false">
      <c r="A223" s="0" t="s">
        <v>786</v>
      </c>
      <c r="B223" s="0" t="s">
        <v>787</v>
      </c>
      <c r="C223" s="0" t="s">
        <v>771</v>
      </c>
      <c r="D223" s="13" t="n">
        <v>2099</v>
      </c>
      <c r="E223" s="13" t="n">
        <v>2624</v>
      </c>
      <c r="F223" s="13" t="n">
        <v>3149</v>
      </c>
      <c r="G223" s="12" t="s">
        <v>490</v>
      </c>
      <c r="H223" s="6" t="s">
        <v>66</v>
      </c>
      <c r="I223" s="12" t="s">
        <v>788</v>
      </c>
    </row>
    <row r="224" customFormat="false" ht="17.15" hidden="false" customHeight="false" outlineLevel="0" collapsed="false">
      <c r="A224" s="0" t="s">
        <v>789</v>
      </c>
      <c r="B224" s="0" t="s">
        <v>790</v>
      </c>
      <c r="C224" s="0" t="s">
        <v>771</v>
      </c>
      <c r="D224" s="13" t="n">
        <v>2334</v>
      </c>
      <c r="E224" s="13" t="n">
        <v>2917</v>
      </c>
      <c r="F224" s="13" t="n">
        <v>3500</v>
      </c>
      <c r="G224" s="12" t="s">
        <v>490</v>
      </c>
      <c r="H224" s="6" t="s">
        <v>791</v>
      </c>
      <c r="I224" s="12" t="s">
        <v>792</v>
      </c>
    </row>
    <row r="225" customFormat="false" ht="17.15" hidden="false" customHeight="false" outlineLevel="0" collapsed="false">
      <c r="A225" s="0" t="s">
        <v>793</v>
      </c>
      <c r="B225" s="0" t="s">
        <v>794</v>
      </c>
      <c r="C225" s="0" t="s">
        <v>771</v>
      </c>
      <c r="D225" s="13" t="n">
        <v>2334</v>
      </c>
      <c r="E225" s="13" t="n">
        <v>2917</v>
      </c>
      <c r="F225" s="13" t="n">
        <v>3500</v>
      </c>
      <c r="G225" s="12" t="s">
        <v>490</v>
      </c>
      <c r="H225" s="6" t="s">
        <v>66</v>
      </c>
      <c r="I225" s="12" t="s">
        <v>795</v>
      </c>
    </row>
    <row r="226" customFormat="false" ht="17.15" hidden="false" customHeight="false" outlineLevel="0" collapsed="false">
      <c r="A226" s="0" t="s">
        <v>796</v>
      </c>
      <c r="B226" s="0" t="s">
        <v>797</v>
      </c>
      <c r="C226" s="0" t="s">
        <v>771</v>
      </c>
      <c r="D226" s="13" t="n">
        <v>4201</v>
      </c>
      <c r="E226" s="13" t="n">
        <v>5251</v>
      </c>
      <c r="F226" s="13" t="n">
        <v>6301</v>
      </c>
      <c r="G226" s="12" t="s">
        <v>490</v>
      </c>
      <c r="H226" s="6" t="s">
        <v>66</v>
      </c>
      <c r="I226" s="12" t="s">
        <v>798</v>
      </c>
    </row>
    <row r="227" customFormat="false" ht="17.15" hidden="false" customHeight="false" outlineLevel="0" collapsed="false">
      <c r="A227" s="0" t="s">
        <v>799</v>
      </c>
      <c r="B227" s="0" t="s">
        <v>800</v>
      </c>
      <c r="C227" s="0" t="s">
        <v>771</v>
      </c>
      <c r="D227" s="13" t="n">
        <v>3267</v>
      </c>
      <c r="E227" s="13" t="n">
        <v>4084</v>
      </c>
      <c r="F227" s="13" t="n">
        <v>4901</v>
      </c>
      <c r="G227" s="12" t="s">
        <v>490</v>
      </c>
      <c r="H227" s="6" t="s">
        <v>66</v>
      </c>
      <c r="I227" s="12" t="s">
        <v>801</v>
      </c>
    </row>
    <row r="228" customFormat="false" ht="17.15" hidden="false" customHeight="false" outlineLevel="0" collapsed="false">
      <c r="A228" s="0" t="s">
        <v>802</v>
      </c>
      <c r="B228" s="0" t="s">
        <v>803</v>
      </c>
      <c r="C228" s="0" t="s">
        <v>771</v>
      </c>
      <c r="D228" s="13" t="n">
        <v>1867</v>
      </c>
      <c r="E228" s="13" t="n">
        <v>2334</v>
      </c>
      <c r="F228" s="13" t="n">
        <v>2801</v>
      </c>
      <c r="G228" s="12" t="s">
        <v>490</v>
      </c>
      <c r="H228" s="6" t="s">
        <v>66</v>
      </c>
      <c r="I228" s="12" t="s">
        <v>804</v>
      </c>
    </row>
    <row r="229" customFormat="false" ht="17.15" hidden="false" customHeight="false" outlineLevel="0" collapsed="false">
      <c r="A229" s="0" t="s">
        <v>805</v>
      </c>
      <c r="B229" s="0" t="s">
        <v>806</v>
      </c>
      <c r="C229" s="0" t="s">
        <v>771</v>
      </c>
      <c r="D229" s="13" t="n">
        <v>5600</v>
      </c>
      <c r="E229" s="13" t="n">
        <v>7000</v>
      </c>
      <c r="F229" s="13" t="n">
        <v>8400</v>
      </c>
      <c r="G229" s="12" t="s">
        <v>490</v>
      </c>
      <c r="H229" s="6" t="s">
        <v>66</v>
      </c>
      <c r="I229" s="12" t="s">
        <v>807</v>
      </c>
    </row>
    <row r="230" customFormat="false" ht="17.15" hidden="false" customHeight="false" outlineLevel="0" collapsed="false">
      <c r="A230" s="0" t="s">
        <v>808</v>
      </c>
      <c r="B230" s="0" t="s">
        <v>809</v>
      </c>
      <c r="C230" s="0" t="s">
        <v>771</v>
      </c>
      <c r="D230" s="13" t="n">
        <v>3500</v>
      </c>
      <c r="E230" s="13" t="n">
        <v>4375</v>
      </c>
      <c r="F230" s="13" t="n">
        <v>5250</v>
      </c>
      <c r="G230" s="12" t="s">
        <v>159</v>
      </c>
      <c r="H230" s="12" t="s">
        <v>810</v>
      </c>
      <c r="I230" s="12" t="s">
        <v>811</v>
      </c>
    </row>
    <row r="231" customFormat="false" ht="17.15" hidden="false" customHeight="false" outlineLevel="0" collapsed="false">
      <c r="A231" s="0" t="s">
        <v>812</v>
      </c>
      <c r="B231" s="0" t="s">
        <v>813</v>
      </c>
      <c r="C231" s="0" t="s">
        <v>771</v>
      </c>
      <c r="D231" s="13" t="n">
        <v>3500</v>
      </c>
      <c r="E231" s="13" t="n">
        <v>4375</v>
      </c>
      <c r="F231" s="13" t="n">
        <v>5250</v>
      </c>
      <c r="G231" s="12" t="s">
        <v>159</v>
      </c>
      <c r="H231" s="6" t="s">
        <v>66</v>
      </c>
      <c r="I231" s="12" t="s">
        <v>814</v>
      </c>
    </row>
    <row r="232" customFormat="false" ht="17.15" hidden="false" customHeight="false" outlineLevel="0" collapsed="false">
      <c r="A232" s="0" t="s">
        <v>815</v>
      </c>
      <c r="B232" s="0" t="s">
        <v>816</v>
      </c>
      <c r="C232" s="0" t="s">
        <v>771</v>
      </c>
      <c r="D232" s="13" t="n">
        <v>4201</v>
      </c>
      <c r="E232" s="13" t="n">
        <v>5251</v>
      </c>
      <c r="F232" s="13" t="n">
        <v>6301</v>
      </c>
      <c r="G232" s="12" t="s">
        <v>159</v>
      </c>
      <c r="H232" s="6" t="s">
        <v>66</v>
      </c>
      <c r="I232" s="12" t="s">
        <v>817</v>
      </c>
    </row>
    <row r="233" customFormat="false" ht="17.15" hidden="false" customHeight="false" outlineLevel="0" collapsed="false">
      <c r="A233" s="0" t="s">
        <v>818</v>
      </c>
      <c r="B233" s="0" t="s">
        <v>819</v>
      </c>
      <c r="C233" s="0" t="s">
        <v>771</v>
      </c>
      <c r="D233" s="13" t="n">
        <v>3267</v>
      </c>
      <c r="E233" s="13" t="n">
        <v>4084</v>
      </c>
      <c r="F233" s="13" t="n">
        <v>4901</v>
      </c>
      <c r="G233" s="12" t="s">
        <v>159</v>
      </c>
      <c r="H233" s="6" t="s">
        <v>66</v>
      </c>
      <c r="I233" s="12" t="s">
        <v>820</v>
      </c>
    </row>
    <row r="234" customFormat="false" ht="17.15" hidden="false" customHeight="false" outlineLevel="0" collapsed="false">
      <c r="A234" s="0" t="s">
        <v>821</v>
      </c>
      <c r="B234" s="0" t="s">
        <v>822</v>
      </c>
      <c r="C234" s="0" t="s">
        <v>771</v>
      </c>
      <c r="D234" s="13" t="n">
        <v>1867</v>
      </c>
      <c r="E234" s="13" t="n">
        <v>2334</v>
      </c>
      <c r="F234" s="13" t="n">
        <v>2801</v>
      </c>
      <c r="G234" s="12" t="s">
        <v>159</v>
      </c>
      <c r="H234" s="6" t="s">
        <v>66</v>
      </c>
      <c r="I234" s="12" t="s">
        <v>823</v>
      </c>
    </row>
    <row r="235" customFormat="false" ht="17.15" hidden="false" customHeight="false" outlineLevel="0" collapsed="false">
      <c r="A235" s="0" t="s">
        <v>824</v>
      </c>
      <c r="B235" s="0" t="s">
        <v>825</v>
      </c>
      <c r="C235" s="0" t="s">
        <v>771</v>
      </c>
      <c r="D235" s="13" t="n">
        <v>5600</v>
      </c>
      <c r="E235" s="13" t="n">
        <v>7000</v>
      </c>
      <c r="F235" s="13" t="n">
        <v>8400</v>
      </c>
      <c r="G235" s="12" t="s">
        <v>159</v>
      </c>
      <c r="H235" s="6" t="s">
        <v>66</v>
      </c>
      <c r="I235" s="12" t="s">
        <v>826</v>
      </c>
    </row>
    <row r="236" customFormat="false" ht="17.15" hidden="false" customHeight="false" outlineLevel="0" collapsed="false">
      <c r="A236" s="0" t="s">
        <v>827</v>
      </c>
      <c r="B236" s="0" t="s">
        <v>828</v>
      </c>
      <c r="C236" s="0" t="s">
        <v>771</v>
      </c>
      <c r="D236" s="13" t="n">
        <v>240</v>
      </c>
      <c r="E236" s="13" t="n">
        <v>300</v>
      </c>
      <c r="F236" s="13" t="n">
        <v>360</v>
      </c>
      <c r="G236" s="12" t="s">
        <v>159</v>
      </c>
      <c r="H236" s="12" t="s">
        <v>829</v>
      </c>
      <c r="I236" s="12" t="s">
        <v>830</v>
      </c>
    </row>
    <row r="237" customFormat="false" ht="17.15" hidden="false" customHeight="false" outlineLevel="0" collapsed="false">
      <c r="A237" s="0" t="s">
        <v>831</v>
      </c>
      <c r="B237" s="0" t="s">
        <v>832</v>
      </c>
      <c r="C237" s="0" t="s">
        <v>771</v>
      </c>
      <c r="D237" s="13" t="n">
        <v>80</v>
      </c>
      <c r="E237" s="13" t="n">
        <v>100</v>
      </c>
      <c r="F237" s="13" t="n">
        <v>120</v>
      </c>
      <c r="G237" s="12" t="s">
        <v>159</v>
      </c>
      <c r="H237" s="6" t="s">
        <v>66</v>
      </c>
      <c r="I237" s="12" t="s">
        <v>833</v>
      </c>
    </row>
    <row r="238" customFormat="false" ht="17.15" hidden="false" customHeight="false" outlineLevel="0" collapsed="false">
      <c r="A238" s="0" t="s">
        <v>834</v>
      </c>
      <c r="B238" s="0" t="s">
        <v>835</v>
      </c>
      <c r="C238" s="0" t="s">
        <v>771</v>
      </c>
      <c r="D238" s="13" t="n">
        <v>2016</v>
      </c>
      <c r="E238" s="13" t="n">
        <v>2520</v>
      </c>
      <c r="F238" s="13" t="n">
        <v>3024</v>
      </c>
      <c r="G238" s="12" t="s">
        <v>159</v>
      </c>
      <c r="H238" s="6" t="s">
        <v>66</v>
      </c>
      <c r="I238" s="12" t="s">
        <v>836</v>
      </c>
    </row>
    <row r="239" customFormat="false" ht="17.15" hidden="false" customHeight="false" outlineLevel="0" collapsed="false">
      <c r="A239" s="0" t="s">
        <v>837</v>
      </c>
      <c r="B239" s="0" t="s">
        <v>838</v>
      </c>
      <c r="C239" s="0" t="s">
        <v>771</v>
      </c>
      <c r="D239" s="13" t="n">
        <v>1568</v>
      </c>
      <c r="E239" s="13" t="n">
        <v>1960</v>
      </c>
      <c r="F239" s="13" t="n">
        <v>2352</v>
      </c>
      <c r="G239" s="12" t="s">
        <v>159</v>
      </c>
      <c r="H239" s="6" t="s">
        <v>66</v>
      </c>
      <c r="I239" s="12" t="s">
        <v>839</v>
      </c>
    </row>
    <row r="240" customFormat="false" ht="17.15" hidden="false" customHeight="false" outlineLevel="0" collapsed="false">
      <c r="A240" s="0" t="s">
        <v>840</v>
      </c>
      <c r="B240" s="0" t="s">
        <v>841</v>
      </c>
      <c r="C240" s="0" t="s">
        <v>771</v>
      </c>
      <c r="D240" s="13" t="n">
        <v>896</v>
      </c>
      <c r="E240" s="13" t="n">
        <v>1120</v>
      </c>
      <c r="F240" s="13" t="n">
        <v>1344</v>
      </c>
      <c r="G240" s="12" t="s">
        <v>159</v>
      </c>
      <c r="H240" s="6" t="s">
        <v>66</v>
      </c>
      <c r="I240" s="12" t="s">
        <v>842</v>
      </c>
    </row>
    <row r="241" customFormat="false" ht="17.15" hidden="false" customHeight="false" outlineLevel="0" collapsed="false">
      <c r="A241" s="0" t="s">
        <v>843</v>
      </c>
      <c r="B241" s="0" t="s">
        <v>844</v>
      </c>
      <c r="C241" s="0" t="s">
        <v>771</v>
      </c>
      <c r="D241" s="13" t="n">
        <v>1600</v>
      </c>
      <c r="E241" s="13" t="n">
        <v>2000</v>
      </c>
      <c r="F241" s="13" t="n">
        <v>2400</v>
      </c>
      <c r="G241" s="12" t="s">
        <v>159</v>
      </c>
      <c r="H241" s="6" t="s">
        <v>66</v>
      </c>
      <c r="I241" s="12" t="s">
        <v>845</v>
      </c>
    </row>
    <row r="242" customFormat="false" ht="17.15" hidden="false" customHeight="false" outlineLevel="0" collapsed="false">
      <c r="A242" s="0" t="s">
        <v>846</v>
      </c>
      <c r="B242" s="0" t="s">
        <v>847</v>
      </c>
      <c r="C242" s="0" t="s">
        <v>771</v>
      </c>
      <c r="D242" s="13" t="n">
        <v>240</v>
      </c>
      <c r="E242" s="13" t="n">
        <v>300</v>
      </c>
      <c r="F242" s="13" t="n">
        <v>360</v>
      </c>
      <c r="G242" s="12" t="s">
        <v>848</v>
      </c>
      <c r="H242" s="6" t="s">
        <v>849</v>
      </c>
      <c r="I242" s="12" t="s">
        <v>850</v>
      </c>
    </row>
    <row r="243" customFormat="false" ht="17.15" hidden="false" customHeight="false" outlineLevel="0" collapsed="false">
      <c r="A243" s="0" t="s">
        <v>851</v>
      </c>
      <c r="B243" s="0" t="s">
        <v>852</v>
      </c>
      <c r="C243" s="0" t="s">
        <v>771</v>
      </c>
      <c r="D243" s="13" t="n">
        <v>80</v>
      </c>
      <c r="E243" s="13" t="n">
        <v>100</v>
      </c>
      <c r="F243" s="13" t="n">
        <v>120</v>
      </c>
      <c r="G243" s="12" t="s">
        <v>848</v>
      </c>
      <c r="H243" s="6" t="s">
        <v>66</v>
      </c>
      <c r="I243" s="12" t="s">
        <v>853</v>
      </c>
    </row>
    <row r="244" customFormat="false" ht="17.15" hidden="false" customHeight="false" outlineLevel="0" collapsed="false">
      <c r="A244" s="0" t="s">
        <v>854</v>
      </c>
      <c r="B244" s="0" t="s">
        <v>855</v>
      </c>
      <c r="C244" s="0" t="s">
        <v>771</v>
      </c>
      <c r="D244" s="13" t="n">
        <v>2016</v>
      </c>
      <c r="E244" s="13" t="n">
        <v>2520</v>
      </c>
      <c r="F244" s="13" t="n">
        <v>3024</v>
      </c>
      <c r="G244" s="12" t="s">
        <v>848</v>
      </c>
      <c r="H244" s="6" t="s">
        <v>66</v>
      </c>
      <c r="I244" s="12" t="s">
        <v>856</v>
      </c>
    </row>
    <row r="245" customFormat="false" ht="17.15" hidden="false" customHeight="false" outlineLevel="0" collapsed="false">
      <c r="A245" s="0" t="s">
        <v>857</v>
      </c>
      <c r="B245" s="0" t="s">
        <v>858</v>
      </c>
      <c r="C245" s="0" t="s">
        <v>771</v>
      </c>
      <c r="D245" s="13" t="n">
        <v>1568</v>
      </c>
      <c r="E245" s="13" t="n">
        <v>1960</v>
      </c>
      <c r="F245" s="13" t="n">
        <v>2352</v>
      </c>
      <c r="G245" s="12" t="s">
        <v>848</v>
      </c>
      <c r="H245" s="6" t="s">
        <v>66</v>
      </c>
      <c r="I245" s="12" t="s">
        <v>859</v>
      </c>
    </row>
    <row r="246" customFormat="false" ht="17.15" hidden="false" customHeight="false" outlineLevel="0" collapsed="false">
      <c r="A246" s="0" t="s">
        <v>860</v>
      </c>
      <c r="B246" s="0" t="s">
        <v>861</v>
      </c>
      <c r="C246" s="0" t="s">
        <v>771</v>
      </c>
      <c r="D246" s="13" t="n">
        <v>896</v>
      </c>
      <c r="E246" s="13" t="n">
        <v>1120</v>
      </c>
      <c r="F246" s="13" t="n">
        <v>1344</v>
      </c>
      <c r="G246" s="12" t="s">
        <v>848</v>
      </c>
      <c r="H246" s="6" t="s">
        <v>66</v>
      </c>
      <c r="I246" s="12" t="s">
        <v>862</v>
      </c>
    </row>
    <row r="247" customFormat="false" ht="17.15" hidden="false" customHeight="false" outlineLevel="0" collapsed="false">
      <c r="A247" s="0" t="s">
        <v>863</v>
      </c>
      <c r="B247" s="0" t="s">
        <v>864</v>
      </c>
      <c r="C247" s="0" t="s">
        <v>771</v>
      </c>
      <c r="D247" s="13" t="n">
        <v>1600</v>
      </c>
      <c r="E247" s="13" t="n">
        <v>2000</v>
      </c>
      <c r="F247" s="13" t="n">
        <v>2400</v>
      </c>
      <c r="G247" s="12" t="s">
        <v>848</v>
      </c>
      <c r="H247" s="6" t="s">
        <v>66</v>
      </c>
      <c r="I247" s="12" t="s">
        <v>865</v>
      </c>
    </row>
    <row r="248" customFormat="false" ht="17.15" hidden="false" customHeight="false" outlineLevel="0" collapsed="false">
      <c r="A248" s="0" t="s">
        <v>866</v>
      </c>
      <c r="B248" s="0" t="s">
        <v>867</v>
      </c>
      <c r="C248" s="0" t="s">
        <v>771</v>
      </c>
      <c r="D248" s="13" t="n">
        <v>1867</v>
      </c>
      <c r="E248" s="13" t="n">
        <v>2334</v>
      </c>
      <c r="F248" s="13" t="n">
        <v>2801</v>
      </c>
      <c r="G248" s="12" t="s">
        <v>848</v>
      </c>
      <c r="H248" s="12" t="s">
        <v>868</v>
      </c>
      <c r="I248" s="12" t="s">
        <v>869</v>
      </c>
    </row>
    <row r="249" customFormat="false" ht="17.15" hidden="false" customHeight="false" outlineLevel="0" collapsed="false">
      <c r="A249" s="0" t="s">
        <v>870</v>
      </c>
      <c r="B249" s="0" t="s">
        <v>871</v>
      </c>
      <c r="C249" s="0" t="s">
        <v>771</v>
      </c>
      <c r="D249" s="13" t="n">
        <v>1867</v>
      </c>
      <c r="E249" s="13" t="n">
        <v>2334</v>
      </c>
      <c r="F249" s="13" t="n">
        <v>2801</v>
      </c>
      <c r="G249" s="12" t="s">
        <v>848</v>
      </c>
      <c r="H249" s="6" t="s">
        <v>66</v>
      </c>
      <c r="I249" s="12" t="s">
        <v>872</v>
      </c>
    </row>
    <row r="250" customFormat="false" ht="17.15" hidden="false" customHeight="false" outlineLevel="0" collapsed="false">
      <c r="A250" s="0" t="s">
        <v>873</v>
      </c>
      <c r="B250" s="0" t="s">
        <v>874</v>
      </c>
      <c r="C250" s="0" t="s">
        <v>771</v>
      </c>
      <c r="D250" s="13" t="n">
        <v>3361</v>
      </c>
      <c r="E250" s="13" t="n">
        <v>4201</v>
      </c>
      <c r="F250" s="13" t="n">
        <v>5041</v>
      </c>
      <c r="G250" s="12" t="s">
        <v>848</v>
      </c>
      <c r="H250" s="6" t="s">
        <v>66</v>
      </c>
      <c r="I250" s="12" t="s">
        <v>875</v>
      </c>
    </row>
    <row r="251" customFormat="false" ht="17.15" hidden="false" customHeight="false" outlineLevel="0" collapsed="false">
      <c r="A251" s="0" t="s">
        <v>876</v>
      </c>
      <c r="B251" s="0" t="s">
        <v>877</v>
      </c>
      <c r="C251" s="0" t="s">
        <v>771</v>
      </c>
      <c r="D251" s="13" t="n">
        <v>2614</v>
      </c>
      <c r="E251" s="13" t="n">
        <v>3267</v>
      </c>
      <c r="F251" s="13" t="n">
        <v>3920</v>
      </c>
      <c r="G251" s="12" t="s">
        <v>848</v>
      </c>
      <c r="H251" s="6" t="s">
        <v>66</v>
      </c>
      <c r="I251" s="12" t="s">
        <v>878</v>
      </c>
    </row>
    <row r="252" customFormat="false" ht="17.15" hidden="false" customHeight="false" outlineLevel="0" collapsed="false">
      <c r="A252" s="0" t="s">
        <v>879</v>
      </c>
      <c r="B252" s="0" t="s">
        <v>880</v>
      </c>
      <c r="C252" s="0" t="s">
        <v>771</v>
      </c>
      <c r="D252" s="13" t="n">
        <v>1494</v>
      </c>
      <c r="E252" s="13" t="n">
        <v>1867</v>
      </c>
      <c r="F252" s="13" t="n">
        <v>2240</v>
      </c>
      <c r="G252" s="12" t="s">
        <v>848</v>
      </c>
      <c r="H252" s="6" t="s">
        <v>66</v>
      </c>
      <c r="I252" s="12" t="s">
        <v>881</v>
      </c>
    </row>
    <row r="253" customFormat="false" ht="17.15" hidden="false" customHeight="false" outlineLevel="0" collapsed="false">
      <c r="A253" s="0" t="s">
        <v>882</v>
      </c>
      <c r="B253" s="0" t="s">
        <v>883</v>
      </c>
      <c r="C253" s="0" t="s">
        <v>771</v>
      </c>
      <c r="D253" s="13" t="n">
        <v>4480</v>
      </c>
      <c r="E253" s="13" t="n">
        <v>5600</v>
      </c>
      <c r="F253" s="13" t="n">
        <v>6720</v>
      </c>
      <c r="G253" s="12" t="s">
        <v>848</v>
      </c>
      <c r="H253" s="6" t="s">
        <v>66</v>
      </c>
      <c r="I253" s="12" t="s">
        <v>884</v>
      </c>
    </row>
    <row r="254" customFormat="false" ht="17.15" hidden="false" customHeight="false" outlineLevel="0" collapsed="false">
      <c r="A254" s="0" t="s">
        <v>885</v>
      </c>
      <c r="B254" s="0" t="s">
        <v>886</v>
      </c>
      <c r="C254" s="0" t="s">
        <v>771</v>
      </c>
      <c r="D254" s="13" t="n">
        <v>640</v>
      </c>
      <c r="E254" s="13" t="n">
        <v>800</v>
      </c>
      <c r="F254" s="13" t="n">
        <v>960</v>
      </c>
      <c r="G254" s="12" t="s">
        <v>159</v>
      </c>
      <c r="H254" s="12" t="s">
        <v>887</v>
      </c>
      <c r="I254" s="12" t="s">
        <v>888</v>
      </c>
    </row>
    <row r="255" customFormat="false" ht="17.15" hidden="false" customHeight="false" outlineLevel="0" collapsed="false">
      <c r="A255" s="0" t="s">
        <v>889</v>
      </c>
      <c r="B255" s="0" t="s">
        <v>890</v>
      </c>
      <c r="C255" s="0" t="s">
        <v>771</v>
      </c>
      <c r="D255" s="13" t="n">
        <v>960</v>
      </c>
      <c r="E255" s="13" t="n">
        <v>1200</v>
      </c>
      <c r="F255" s="13" t="n">
        <v>1440</v>
      </c>
      <c r="G255" s="12" t="s">
        <v>159</v>
      </c>
      <c r="H255" s="6" t="s">
        <v>66</v>
      </c>
      <c r="I255" s="12" t="s">
        <v>891</v>
      </c>
    </row>
    <row r="256" customFormat="false" ht="17.15" hidden="false" customHeight="false" outlineLevel="0" collapsed="false">
      <c r="A256" s="0" t="s">
        <v>892</v>
      </c>
      <c r="B256" s="0" t="s">
        <v>893</v>
      </c>
      <c r="C256" s="0" t="s">
        <v>771</v>
      </c>
      <c r="D256" s="13" t="n">
        <v>640</v>
      </c>
      <c r="E256" s="13" t="n">
        <v>800</v>
      </c>
      <c r="F256" s="13" t="n">
        <v>960</v>
      </c>
      <c r="G256" s="12" t="s">
        <v>159</v>
      </c>
      <c r="H256" s="6" t="s">
        <v>66</v>
      </c>
      <c r="I256" s="12" t="s">
        <v>894</v>
      </c>
    </row>
    <row r="257" customFormat="false" ht="17.15" hidden="false" customHeight="false" outlineLevel="0" collapsed="false">
      <c r="A257" s="0" t="s">
        <v>895</v>
      </c>
      <c r="B257" s="0" t="s">
        <v>896</v>
      </c>
      <c r="C257" s="0" t="s">
        <v>771</v>
      </c>
      <c r="D257" s="13" t="n">
        <v>1200</v>
      </c>
      <c r="E257" s="13" t="n">
        <v>1500</v>
      </c>
      <c r="F257" s="13" t="n">
        <v>1800</v>
      </c>
      <c r="G257" s="12" t="s">
        <v>159</v>
      </c>
      <c r="H257" s="6" t="s">
        <v>66</v>
      </c>
      <c r="I257" s="12" t="s">
        <v>897</v>
      </c>
    </row>
    <row r="258" customFormat="false" ht="17.15" hidden="false" customHeight="false" outlineLevel="0" collapsed="false">
      <c r="A258" s="0" t="s">
        <v>898</v>
      </c>
      <c r="B258" s="0" t="s">
        <v>899</v>
      </c>
      <c r="C258" s="0" t="s">
        <v>771</v>
      </c>
      <c r="D258" s="13" t="n">
        <v>240</v>
      </c>
      <c r="E258" s="13" t="n">
        <v>300</v>
      </c>
      <c r="F258" s="13" t="n">
        <v>360</v>
      </c>
      <c r="G258" s="12" t="s">
        <v>159</v>
      </c>
      <c r="H258" s="6" t="s">
        <v>66</v>
      </c>
      <c r="I258" s="12" t="s">
        <v>900</v>
      </c>
    </row>
    <row r="259" customFormat="false" ht="17.15" hidden="false" customHeight="false" outlineLevel="0" collapsed="false">
      <c r="A259" s="0" t="s">
        <v>901</v>
      </c>
      <c r="B259" s="0" t="s">
        <v>902</v>
      </c>
      <c r="C259" s="0" t="s">
        <v>771</v>
      </c>
      <c r="D259" s="13" t="n">
        <v>320</v>
      </c>
      <c r="E259" s="13" t="n">
        <v>400</v>
      </c>
      <c r="F259" s="13" t="n">
        <v>480</v>
      </c>
      <c r="G259" s="12" t="s">
        <v>159</v>
      </c>
      <c r="H259" s="6" t="s">
        <v>66</v>
      </c>
      <c r="I259" s="12" t="s">
        <v>903</v>
      </c>
    </row>
    <row r="260" customFormat="false" ht="17.15" hidden="false" customHeight="false" outlineLevel="0" collapsed="false">
      <c r="A260" s="0" t="s">
        <v>904</v>
      </c>
      <c r="B260" s="0" t="s">
        <v>905</v>
      </c>
      <c r="C260" s="0" t="s">
        <v>771</v>
      </c>
      <c r="D260" s="13" t="n">
        <v>480</v>
      </c>
      <c r="E260" s="13" t="n">
        <v>600</v>
      </c>
      <c r="F260" s="13" t="n">
        <v>720</v>
      </c>
      <c r="G260" s="12" t="s">
        <v>159</v>
      </c>
      <c r="H260" s="12" t="s">
        <v>906</v>
      </c>
      <c r="I260" s="12" t="s">
        <v>907</v>
      </c>
    </row>
    <row r="261" customFormat="false" ht="17.15" hidden="false" customHeight="false" outlineLevel="0" collapsed="false">
      <c r="A261" s="0" t="s">
        <v>908</v>
      </c>
      <c r="B261" s="0" t="s">
        <v>909</v>
      </c>
      <c r="C261" s="0" t="s">
        <v>771</v>
      </c>
      <c r="D261" s="13" t="n">
        <v>640</v>
      </c>
      <c r="E261" s="13" t="n">
        <v>800</v>
      </c>
      <c r="F261" s="13" t="n">
        <v>960</v>
      </c>
      <c r="G261" s="12" t="s">
        <v>159</v>
      </c>
      <c r="H261" s="6" t="s">
        <v>66</v>
      </c>
      <c r="I261" s="12" t="s">
        <v>910</v>
      </c>
    </row>
    <row r="262" customFormat="false" ht="17.15" hidden="false" customHeight="false" outlineLevel="0" collapsed="false">
      <c r="A262" s="0" t="s">
        <v>911</v>
      </c>
      <c r="B262" s="0" t="s">
        <v>912</v>
      </c>
      <c r="C262" s="0" t="s">
        <v>771</v>
      </c>
      <c r="D262" s="13" t="n">
        <v>640</v>
      </c>
      <c r="E262" s="13" t="n">
        <v>800</v>
      </c>
      <c r="F262" s="13" t="n">
        <v>960</v>
      </c>
      <c r="G262" s="12" t="s">
        <v>159</v>
      </c>
      <c r="H262" s="6" t="s">
        <v>66</v>
      </c>
      <c r="I262" s="12" t="s">
        <v>913</v>
      </c>
    </row>
    <row r="263" customFormat="false" ht="17.15" hidden="false" customHeight="false" outlineLevel="0" collapsed="false">
      <c r="A263" s="0" t="s">
        <v>914</v>
      </c>
      <c r="B263" s="0" t="s">
        <v>915</v>
      </c>
      <c r="C263" s="0" t="s">
        <v>771</v>
      </c>
      <c r="D263" s="13" t="n">
        <v>960</v>
      </c>
      <c r="E263" s="13" t="n">
        <v>1200</v>
      </c>
      <c r="F263" s="13" t="n">
        <v>1440</v>
      </c>
      <c r="G263" s="12" t="s">
        <v>159</v>
      </c>
      <c r="H263" s="6" t="s">
        <v>66</v>
      </c>
      <c r="I263" s="12" t="s">
        <v>916</v>
      </c>
    </row>
    <row r="264" customFormat="false" ht="17.15" hidden="false" customHeight="false" outlineLevel="0" collapsed="false">
      <c r="A264" s="0" t="s">
        <v>917</v>
      </c>
      <c r="B264" s="0" t="s">
        <v>918</v>
      </c>
      <c r="C264" s="0" t="s">
        <v>771</v>
      </c>
      <c r="D264" s="13" t="n">
        <v>240</v>
      </c>
      <c r="E264" s="13" t="n">
        <v>300</v>
      </c>
      <c r="F264" s="13" t="n">
        <v>360</v>
      </c>
      <c r="G264" s="12" t="s">
        <v>159</v>
      </c>
      <c r="H264" s="6" t="s">
        <v>66</v>
      </c>
      <c r="I264" s="12" t="s">
        <v>919</v>
      </c>
    </row>
    <row r="265" customFormat="false" ht="17.15" hidden="false" customHeight="false" outlineLevel="0" collapsed="false">
      <c r="A265" s="0" t="s">
        <v>920</v>
      </c>
      <c r="B265" s="0" t="s">
        <v>921</v>
      </c>
      <c r="C265" s="0" t="s">
        <v>771</v>
      </c>
      <c r="D265" s="13" t="n">
        <v>240</v>
      </c>
      <c r="E265" s="13" t="n">
        <v>300</v>
      </c>
      <c r="F265" s="13" t="n">
        <v>360</v>
      </c>
      <c r="G265" s="12" t="s">
        <v>159</v>
      </c>
      <c r="H265" s="6" t="s">
        <v>66</v>
      </c>
      <c r="I265" s="12" t="s">
        <v>922</v>
      </c>
    </row>
    <row r="266" customFormat="false" ht="17.15" hidden="false" customHeight="false" outlineLevel="0" collapsed="false">
      <c r="A266" s="0" t="s">
        <v>923</v>
      </c>
      <c r="B266" s="6" t="s">
        <v>924</v>
      </c>
      <c r="C266" s="0" t="s">
        <v>771</v>
      </c>
      <c r="D266" s="13" t="n">
        <v>480</v>
      </c>
      <c r="E266" s="13" t="n">
        <v>600</v>
      </c>
      <c r="F266" s="13" t="n">
        <v>720</v>
      </c>
      <c r="G266" s="12" t="s">
        <v>159</v>
      </c>
      <c r="H266" s="6" t="s">
        <v>925</v>
      </c>
      <c r="I266" s="12" t="s">
        <v>926</v>
      </c>
    </row>
    <row r="267" customFormat="false" ht="17.15" hidden="false" customHeight="false" outlineLevel="0" collapsed="false">
      <c r="A267" s="0" t="s">
        <v>927</v>
      </c>
      <c r="B267" s="6" t="s">
        <v>928</v>
      </c>
      <c r="C267" s="0" t="s">
        <v>771</v>
      </c>
      <c r="D267" s="13" t="n">
        <v>640</v>
      </c>
      <c r="E267" s="13" t="n">
        <v>800</v>
      </c>
      <c r="F267" s="13" t="n">
        <v>960</v>
      </c>
      <c r="G267" s="12" t="s">
        <v>159</v>
      </c>
      <c r="H267" s="6" t="s">
        <v>66</v>
      </c>
      <c r="I267" s="12" t="s">
        <v>929</v>
      </c>
    </row>
    <row r="268" customFormat="false" ht="17.15" hidden="false" customHeight="false" outlineLevel="0" collapsed="false">
      <c r="A268" s="0" t="s">
        <v>930</v>
      </c>
      <c r="B268" s="6" t="s">
        <v>931</v>
      </c>
      <c r="C268" s="0" t="s">
        <v>771</v>
      </c>
      <c r="D268" s="13" t="n">
        <v>640</v>
      </c>
      <c r="E268" s="13" t="n">
        <v>800</v>
      </c>
      <c r="F268" s="13" t="n">
        <v>960</v>
      </c>
      <c r="G268" s="12" t="s">
        <v>159</v>
      </c>
      <c r="H268" s="6" t="s">
        <v>66</v>
      </c>
      <c r="I268" s="12" t="s">
        <v>932</v>
      </c>
    </row>
    <row r="269" customFormat="false" ht="17.15" hidden="false" customHeight="false" outlineLevel="0" collapsed="false">
      <c r="A269" s="0" t="s">
        <v>933</v>
      </c>
      <c r="B269" s="6" t="s">
        <v>934</v>
      </c>
      <c r="C269" s="0" t="s">
        <v>771</v>
      </c>
      <c r="D269" s="13" t="n">
        <v>960</v>
      </c>
      <c r="E269" s="13" t="n">
        <v>1200</v>
      </c>
      <c r="F269" s="13" t="n">
        <v>1440</v>
      </c>
      <c r="G269" s="12" t="s">
        <v>159</v>
      </c>
      <c r="H269" s="6" t="s">
        <v>66</v>
      </c>
      <c r="I269" s="12" t="s">
        <v>935</v>
      </c>
    </row>
    <row r="270" customFormat="false" ht="17.15" hidden="false" customHeight="false" outlineLevel="0" collapsed="false">
      <c r="A270" s="0" t="s">
        <v>936</v>
      </c>
      <c r="B270" s="6" t="s">
        <v>937</v>
      </c>
      <c r="C270" s="0" t="s">
        <v>771</v>
      </c>
      <c r="D270" s="13" t="n">
        <v>240</v>
      </c>
      <c r="E270" s="13" t="n">
        <v>300</v>
      </c>
      <c r="F270" s="13" t="n">
        <v>360</v>
      </c>
      <c r="G270" s="12" t="s">
        <v>159</v>
      </c>
      <c r="H270" s="6" t="s">
        <v>66</v>
      </c>
      <c r="I270" s="12" t="s">
        <v>938</v>
      </c>
    </row>
    <row r="271" customFormat="false" ht="17.15" hidden="false" customHeight="false" outlineLevel="0" collapsed="false">
      <c r="A271" s="0" t="s">
        <v>939</v>
      </c>
      <c r="B271" s="6" t="s">
        <v>940</v>
      </c>
      <c r="C271" s="0" t="s">
        <v>771</v>
      </c>
      <c r="D271" s="13" t="n">
        <v>240</v>
      </c>
      <c r="E271" s="13" t="n">
        <v>300</v>
      </c>
      <c r="F271" s="13" t="n">
        <v>360</v>
      </c>
      <c r="G271" s="12" t="s">
        <v>159</v>
      </c>
      <c r="H271" s="6" t="s">
        <v>66</v>
      </c>
      <c r="I271" s="12" t="s">
        <v>941</v>
      </c>
    </row>
    <row r="272" customFormat="false" ht="17.15" hidden="false" customHeight="false" outlineLevel="0" collapsed="false">
      <c r="A272" s="10" t="s">
        <v>942</v>
      </c>
    </row>
    <row r="273" customFormat="false" ht="17.15" hidden="false" customHeight="false" outlineLevel="0" collapsed="false">
      <c r="A273" s="0" t="s">
        <v>943</v>
      </c>
      <c r="B273" s="0" t="s">
        <v>944</v>
      </c>
      <c r="C273" s="0" t="s">
        <v>945</v>
      </c>
      <c r="E273" s="13" t="n">
        <f aca="false">TK_CapexIT_GB300/TK_GPUsPerGW_GB300*1000000</f>
        <v>66.1944444444444</v>
      </c>
      <c r="G273" s="12" t="s">
        <v>490</v>
      </c>
      <c r="H273" s="12" t="s">
        <v>946</v>
      </c>
      <c r="I273" s="12" t="s">
        <v>947</v>
      </c>
    </row>
    <row r="274" customFormat="false" ht="17.15" hidden="false" customHeight="false" outlineLevel="0" collapsed="false">
      <c r="A274" s="0" t="s">
        <v>948</v>
      </c>
      <c r="B274" s="0" t="s">
        <v>949</v>
      </c>
      <c r="C274" s="0" t="s">
        <v>945</v>
      </c>
      <c r="E274" s="13" t="n">
        <f aca="false">TK_CapexIT_VR200/TK_GPUsPerGW_VR200*1000000</f>
        <v>128.833333333333</v>
      </c>
      <c r="G274" s="12" t="s">
        <v>490</v>
      </c>
      <c r="H274" s="12" t="s">
        <v>950</v>
      </c>
      <c r="I274" s="12" t="s">
        <v>951</v>
      </c>
    </row>
    <row r="275" customFormat="false" ht="17.15" hidden="false" customHeight="false" outlineLevel="0" collapsed="false">
      <c r="A275" s="0" t="s">
        <v>952</v>
      </c>
      <c r="B275" s="0" t="s">
        <v>953</v>
      </c>
      <c r="C275" s="0" t="s">
        <v>945</v>
      </c>
      <c r="E275" s="13" t="n">
        <f aca="false">TK_CapexIT_RU/TK_GPUsPerGW_RU*1000000</f>
        <v>257.166666666667</v>
      </c>
      <c r="G275" s="12" t="s">
        <v>490</v>
      </c>
      <c r="H275" s="12" t="s">
        <v>954</v>
      </c>
      <c r="I275" s="12" t="s">
        <v>955</v>
      </c>
    </row>
    <row r="276" customFormat="false" ht="17.15" hidden="false" customHeight="false" outlineLevel="0" collapsed="false">
      <c r="A276" s="0" t="s">
        <v>956</v>
      </c>
      <c r="B276" s="0" t="s">
        <v>957</v>
      </c>
      <c r="C276" s="0" t="s">
        <v>945</v>
      </c>
      <c r="E276" s="13" t="n">
        <f aca="false">TK_CapexIT_H100/TK_GPUsPerGW_H100*1000000</f>
        <v>38.3125</v>
      </c>
      <c r="G276" s="12" t="s">
        <v>490</v>
      </c>
      <c r="H276" s="12" t="s">
        <v>958</v>
      </c>
      <c r="I276" s="12" t="s">
        <v>959</v>
      </c>
    </row>
    <row r="277" customFormat="false" ht="17.15" hidden="false" customHeight="false" outlineLevel="0" collapsed="false">
      <c r="A277" s="0" t="s">
        <v>960</v>
      </c>
      <c r="B277" s="0" t="s">
        <v>961</v>
      </c>
      <c r="C277" s="0" t="s">
        <v>945</v>
      </c>
      <c r="D277" s="13" t="n">
        <v>30</v>
      </c>
      <c r="E277" s="13" t="n">
        <v>40</v>
      </c>
      <c r="F277" s="13" t="n">
        <v>50</v>
      </c>
      <c r="G277" s="12" t="s">
        <v>159</v>
      </c>
      <c r="H277" s="12" t="s">
        <v>962</v>
      </c>
      <c r="I277" s="12" t="s">
        <v>963</v>
      </c>
    </row>
    <row r="278" customFormat="false" ht="17.15" hidden="false" customHeight="false" outlineLevel="0" collapsed="false">
      <c r="A278" s="0" t="s">
        <v>964</v>
      </c>
      <c r="B278" s="0" t="s">
        <v>965</v>
      </c>
      <c r="C278" s="0" t="s">
        <v>945</v>
      </c>
      <c r="D278" s="13" t="n">
        <v>80</v>
      </c>
      <c r="E278" s="13" t="n">
        <v>100</v>
      </c>
      <c r="F278" s="13" t="n">
        <v>120</v>
      </c>
      <c r="G278" s="12" t="s">
        <v>159</v>
      </c>
      <c r="H278" s="12" t="s">
        <v>966</v>
      </c>
      <c r="I278" s="12" t="s">
        <v>967</v>
      </c>
    </row>
    <row r="279" customFormat="false" ht="17.15" hidden="false" customHeight="false" outlineLevel="0" collapsed="false">
      <c r="A279" s="0" t="s">
        <v>968</v>
      </c>
      <c r="B279" s="0" t="s">
        <v>969</v>
      </c>
      <c r="C279" s="0" t="s">
        <v>945</v>
      </c>
      <c r="D279" s="13" t="n">
        <v>15</v>
      </c>
      <c r="E279" s="13" t="n">
        <v>25</v>
      </c>
      <c r="F279" s="13" t="n">
        <v>35</v>
      </c>
      <c r="G279" s="12" t="s">
        <v>159</v>
      </c>
      <c r="H279" s="12" t="s">
        <v>970</v>
      </c>
      <c r="I279" s="12" t="s">
        <v>971</v>
      </c>
    </row>
    <row r="280" customFormat="false" ht="17.15" hidden="false" customHeight="false" outlineLevel="0" collapsed="false">
      <c r="A280" s="0" t="s">
        <v>972</v>
      </c>
      <c r="B280" s="0" t="s">
        <v>973</v>
      </c>
      <c r="C280" s="0" t="s">
        <v>945</v>
      </c>
      <c r="D280" s="13" t="n">
        <v>12</v>
      </c>
      <c r="E280" s="13" t="n">
        <v>20</v>
      </c>
      <c r="F280" s="13" t="n">
        <v>30</v>
      </c>
      <c r="G280" s="12" t="s">
        <v>159</v>
      </c>
      <c r="H280" s="6" t="s">
        <v>66</v>
      </c>
      <c r="I280" s="12" t="s">
        <v>974</v>
      </c>
    </row>
    <row r="281" customFormat="false" ht="17.15" hidden="false" customHeight="false" outlineLevel="0" collapsed="false">
      <c r="A281" s="0" t="s">
        <v>975</v>
      </c>
      <c r="B281" s="6" t="s">
        <v>976</v>
      </c>
      <c r="C281" s="0" t="s">
        <v>945</v>
      </c>
      <c r="D281" s="13" t="n">
        <v>12</v>
      </c>
      <c r="E281" s="13" t="n">
        <v>20</v>
      </c>
      <c r="F281" s="13" t="n">
        <v>30</v>
      </c>
      <c r="G281" s="12" t="s">
        <v>159</v>
      </c>
      <c r="H281" s="6" t="s">
        <v>66</v>
      </c>
      <c r="I281" s="12" t="s">
        <v>977</v>
      </c>
    </row>
    <row r="282" customFormat="false" ht="17.15" hidden="false" customHeight="false" outlineLevel="0" collapsed="false">
      <c r="A282" s="10" t="s">
        <v>978</v>
      </c>
    </row>
    <row r="283" customFormat="false" ht="17.15" hidden="false" customHeight="false" outlineLevel="0" collapsed="false">
      <c r="A283" s="0" t="s">
        <v>979</v>
      </c>
      <c r="B283" s="0" t="s">
        <v>980</v>
      </c>
      <c r="C283" s="0" t="s">
        <v>60</v>
      </c>
      <c r="D283" s="11" t="n">
        <v>0</v>
      </c>
      <c r="E283" s="11" t="n">
        <v>0</v>
      </c>
      <c r="F283" s="11" t="n">
        <v>0</v>
      </c>
      <c r="G283" s="12" t="s">
        <v>410</v>
      </c>
      <c r="H283" s="12" t="s">
        <v>981</v>
      </c>
      <c r="I283" s="12" t="s">
        <v>982</v>
      </c>
    </row>
    <row r="284" customFormat="false" ht="17.15" hidden="false" customHeight="false" outlineLevel="0" collapsed="false">
      <c r="A284" s="0" t="s">
        <v>983</v>
      </c>
      <c r="B284" s="0" t="s">
        <v>984</v>
      </c>
      <c r="C284" s="0" t="s">
        <v>60</v>
      </c>
      <c r="D284" s="11" t="n">
        <v>0</v>
      </c>
      <c r="E284" s="11" t="n">
        <v>0</v>
      </c>
      <c r="F284" s="11" t="n">
        <v>0</v>
      </c>
      <c r="G284" s="12" t="s">
        <v>410</v>
      </c>
      <c r="H284" s="6" t="s">
        <v>66</v>
      </c>
      <c r="I284" s="12" t="s">
        <v>985</v>
      </c>
    </row>
    <row r="285" customFormat="false" ht="17.15" hidden="false" customHeight="false" outlineLevel="0" collapsed="false">
      <c r="A285" s="0" t="s">
        <v>986</v>
      </c>
      <c r="B285" s="0" t="s">
        <v>987</v>
      </c>
      <c r="C285" s="0" t="s">
        <v>60</v>
      </c>
      <c r="D285" s="11" t="n">
        <v>0</v>
      </c>
      <c r="E285" s="11" t="n">
        <v>0</v>
      </c>
      <c r="F285" s="11" t="n">
        <v>0.05</v>
      </c>
      <c r="G285" s="12" t="s">
        <v>410</v>
      </c>
      <c r="H285" s="6" t="s">
        <v>66</v>
      </c>
      <c r="I285" s="12" t="s">
        <v>988</v>
      </c>
    </row>
    <row r="286" customFormat="false" ht="17.15" hidden="false" customHeight="false" outlineLevel="0" collapsed="false">
      <c r="A286" s="0" t="s">
        <v>989</v>
      </c>
      <c r="B286" s="0" t="s">
        <v>990</v>
      </c>
      <c r="C286" s="0" t="s">
        <v>60</v>
      </c>
      <c r="D286" s="11" t="n">
        <v>0.1</v>
      </c>
      <c r="E286" s="11" t="n">
        <v>0.2</v>
      </c>
      <c r="F286" s="11" t="n">
        <v>0.3</v>
      </c>
      <c r="G286" s="12" t="s">
        <v>410</v>
      </c>
      <c r="H286" s="6" t="s">
        <v>66</v>
      </c>
      <c r="I286" s="12" t="s">
        <v>991</v>
      </c>
    </row>
    <row r="287" customFormat="false" ht="17.15" hidden="false" customHeight="false" outlineLevel="0" collapsed="false">
      <c r="A287" s="0" t="s">
        <v>992</v>
      </c>
      <c r="B287" s="0" t="s">
        <v>993</v>
      </c>
      <c r="C287" s="0" t="s">
        <v>60</v>
      </c>
      <c r="D287" s="11" t="n">
        <v>0.4</v>
      </c>
      <c r="E287" s="11" t="n">
        <v>0.6</v>
      </c>
      <c r="F287" s="11" t="n">
        <v>0.8</v>
      </c>
      <c r="G287" s="12" t="s">
        <v>159</v>
      </c>
      <c r="H287" s="6" t="s">
        <v>994</v>
      </c>
      <c r="I287" s="12" t="s">
        <v>995</v>
      </c>
    </row>
    <row r="288" customFormat="false" ht="17.15" hidden="false" customHeight="false" outlineLevel="0" collapsed="false">
      <c r="A288" s="0" t="s">
        <v>996</v>
      </c>
      <c r="B288" s="6" t="s">
        <v>997</v>
      </c>
      <c r="C288" s="0" t="s">
        <v>60</v>
      </c>
      <c r="D288" s="11" t="n">
        <v>0.007</v>
      </c>
      <c r="E288" s="11" t="n">
        <v>0.01</v>
      </c>
      <c r="F288" s="11" t="n">
        <v>0.014</v>
      </c>
      <c r="G288" s="12" t="s">
        <v>998</v>
      </c>
      <c r="H288" s="6" t="s">
        <v>999</v>
      </c>
      <c r="I288" s="12" t="s">
        <v>1000</v>
      </c>
    </row>
    <row r="289" customFormat="false" ht="17.15" hidden="false" customHeight="false" outlineLevel="0" collapsed="false">
      <c r="A289" s="0" t="s">
        <v>1001</v>
      </c>
      <c r="B289" s="6" t="s">
        <v>1002</v>
      </c>
      <c r="C289" s="0" t="s">
        <v>60</v>
      </c>
      <c r="D289" s="11" t="n">
        <v>0.035</v>
      </c>
      <c r="E289" s="11" t="n">
        <v>0.05</v>
      </c>
      <c r="F289" s="11" t="n">
        <v>0.07</v>
      </c>
      <c r="G289" s="12" t="s">
        <v>998</v>
      </c>
      <c r="H289" s="6" t="s">
        <v>66</v>
      </c>
      <c r="I289" s="12" t="s">
        <v>1003</v>
      </c>
    </row>
    <row r="290" customFormat="false" ht="17.15" hidden="false" customHeight="false" outlineLevel="0" collapsed="false">
      <c r="A290" s="0" t="s">
        <v>1004</v>
      </c>
      <c r="B290" s="6" t="s">
        <v>1005</v>
      </c>
      <c r="C290" s="0" t="s">
        <v>60</v>
      </c>
      <c r="D290" s="11" t="n">
        <v>0.07</v>
      </c>
      <c r="E290" s="11" t="n">
        <v>0.1</v>
      </c>
      <c r="F290" s="11" t="n">
        <v>0.14</v>
      </c>
      <c r="G290" s="12" t="s">
        <v>998</v>
      </c>
      <c r="H290" s="6" t="s">
        <v>66</v>
      </c>
      <c r="I290" s="12" t="s">
        <v>1006</v>
      </c>
    </row>
    <row r="291" customFormat="false" ht="17.15" hidden="false" customHeight="false" outlineLevel="0" collapsed="false">
      <c r="A291" s="0" t="s">
        <v>1007</v>
      </c>
      <c r="B291" s="6" t="s">
        <v>1008</v>
      </c>
      <c r="C291" s="0" t="s">
        <v>60</v>
      </c>
      <c r="D291" s="11" t="n">
        <v>0.112</v>
      </c>
      <c r="E291" s="11" t="n">
        <v>0.16</v>
      </c>
      <c r="F291" s="11" t="n">
        <v>0.224</v>
      </c>
      <c r="G291" s="12" t="s">
        <v>998</v>
      </c>
      <c r="H291" s="6" t="s">
        <v>66</v>
      </c>
      <c r="I291" s="12" t="s">
        <v>1009</v>
      </c>
    </row>
    <row r="292" customFormat="false" ht="17.15" hidden="false" customHeight="false" outlineLevel="0" collapsed="false">
      <c r="A292" s="0" t="s">
        <v>1010</v>
      </c>
      <c r="B292" s="6" t="s">
        <v>1011</v>
      </c>
      <c r="C292" s="0" t="s">
        <v>60</v>
      </c>
      <c r="D292" s="11" t="n">
        <v>0.007</v>
      </c>
      <c r="E292" s="11" t="n">
        <v>0.01</v>
      </c>
      <c r="F292" s="11" t="n">
        <v>0.014</v>
      </c>
      <c r="G292" s="12" t="s">
        <v>998</v>
      </c>
      <c r="H292" s="6" t="s">
        <v>1012</v>
      </c>
      <c r="I292" s="12" t="s">
        <v>1013</v>
      </c>
    </row>
    <row r="293" customFormat="false" ht="17.15" hidden="false" customHeight="false" outlineLevel="0" collapsed="false">
      <c r="A293" s="0" t="s">
        <v>1014</v>
      </c>
      <c r="B293" s="6" t="s">
        <v>1015</v>
      </c>
      <c r="C293" s="0" t="s">
        <v>60</v>
      </c>
      <c r="D293" s="11" t="n">
        <v>0.021</v>
      </c>
      <c r="E293" s="11" t="n">
        <v>0.03</v>
      </c>
      <c r="F293" s="11" t="n">
        <v>0.042</v>
      </c>
      <c r="G293" s="12" t="s">
        <v>998</v>
      </c>
      <c r="H293" s="6" t="s">
        <v>66</v>
      </c>
      <c r="I293" s="12" t="s">
        <v>1016</v>
      </c>
    </row>
    <row r="294" customFormat="false" ht="17.15" hidden="false" customHeight="false" outlineLevel="0" collapsed="false">
      <c r="A294" s="0" t="s">
        <v>1017</v>
      </c>
      <c r="B294" s="6" t="s">
        <v>1018</v>
      </c>
      <c r="C294" s="0" t="s">
        <v>60</v>
      </c>
      <c r="D294" s="11" t="n">
        <v>0.035</v>
      </c>
      <c r="E294" s="11" t="n">
        <v>0.05</v>
      </c>
      <c r="F294" s="11" t="n">
        <v>0.07</v>
      </c>
      <c r="G294" s="12" t="s">
        <v>998</v>
      </c>
      <c r="H294" s="6" t="s">
        <v>66</v>
      </c>
      <c r="I294" s="12" t="s">
        <v>1019</v>
      </c>
    </row>
    <row r="295" customFormat="false" ht="17.15" hidden="false" customHeight="false" outlineLevel="0" collapsed="false">
      <c r="A295" s="0" t="s">
        <v>1020</v>
      </c>
      <c r="B295" s="6" t="s">
        <v>1021</v>
      </c>
      <c r="C295" s="0" t="s">
        <v>60</v>
      </c>
      <c r="D295" s="11" t="n">
        <v>0.056</v>
      </c>
      <c r="E295" s="11" t="n">
        <v>0.08</v>
      </c>
      <c r="F295" s="11" t="n">
        <v>0.112</v>
      </c>
      <c r="G295" s="12" t="s">
        <v>998</v>
      </c>
      <c r="H295" s="6" t="s">
        <v>66</v>
      </c>
      <c r="I295" s="12" t="s">
        <v>1022</v>
      </c>
    </row>
    <row r="296" customFormat="false" ht="17.15" hidden="false" customHeight="false" outlineLevel="0" collapsed="false">
      <c r="A296" s="0" t="s">
        <v>1023</v>
      </c>
      <c r="B296" s="6" t="s">
        <v>1024</v>
      </c>
      <c r="C296" s="0" t="s">
        <v>60</v>
      </c>
      <c r="D296" s="11" t="n">
        <v>0.007</v>
      </c>
      <c r="E296" s="11" t="n">
        <v>0.01</v>
      </c>
      <c r="F296" s="11" t="n">
        <v>0.014</v>
      </c>
      <c r="G296" s="12" t="s">
        <v>159</v>
      </c>
      <c r="H296" s="6" t="s">
        <v>1025</v>
      </c>
      <c r="I296" s="12" t="s">
        <v>1026</v>
      </c>
    </row>
    <row r="297" customFormat="false" ht="17.15" hidden="false" customHeight="false" outlineLevel="0" collapsed="false">
      <c r="A297" s="0" t="s">
        <v>1027</v>
      </c>
      <c r="B297" s="6" t="s">
        <v>1028</v>
      </c>
      <c r="C297" s="0" t="s">
        <v>60</v>
      </c>
      <c r="D297" s="11" t="n">
        <v>0.014</v>
      </c>
      <c r="E297" s="11" t="n">
        <v>0.02</v>
      </c>
      <c r="F297" s="11" t="n">
        <v>0.028</v>
      </c>
      <c r="G297" s="12" t="s">
        <v>159</v>
      </c>
      <c r="H297" s="6" t="s">
        <v>66</v>
      </c>
      <c r="I297" s="12" t="s">
        <v>1029</v>
      </c>
    </row>
    <row r="298" customFormat="false" ht="17.15" hidden="false" customHeight="false" outlineLevel="0" collapsed="false">
      <c r="A298" s="0" t="s">
        <v>1030</v>
      </c>
      <c r="B298" s="6" t="s">
        <v>1031</v>
      </c>
      <c r="C298" s="0" t="s">
        <v>60</v>
      </c>
      <c r="D298" s="11" t="n">
        <v>0.021</v>
      </c>
      <c r="E298" s="11" t="n">
        <v>0.03</v>
      </c>
      <c r="F298" s="11" t="n">
        <v>0.042</v>
      </c>
      <c r="G298" s="12" t="s">
        <v>159</v>
      </c>
      <c r="H298" s="6" t="s">
        <v>66</v>
      </c>
      <c r="I298" s="12" t="s">
        <v>1032</v>
      </c>
    </row>
    <row r="299" customFormat="false" ht="17.15" hidden="false" customHeight="false" outlineLevel="0" collapsed="false">
      <c r="A299" s="0" t="s">
        <v>1033</v>
      </c>
      <c r="B299" s="6" t="s">
        <v>1034</v>
      </c>
      <c r="C299" s="0" t="s">
        <v>60</v>
      </c>
      <c r="D299" s="11" t="n">
        <v>0.035</v>
      </c>
      <c r="E299" s="11" t="n">
        <v>0.05</v>
      </c>
      <c r="F299" s="11" t="n">
        <v>0.07</v>
      </c>
      <c r="G299" s="12" t="s">
        <v>159</v>
      </c>
      <c r="H299" s="6" t="s">
        <v>66</v>
      </c>
      <c r="I299" s="12" t="s">
        <v>1035</v>
      </c>
    </row>
    <row r="300" customFormat="false" ht="17.15" hidden="false" customHeight="false" outlineLevel="0" collapsed="false">
      <c r="A300" s="10" t="s">
        <v>1036</v>
      </c>
    </row>
    <row r="301" customFormat="false" ht="17.15" hidden="false" customHeight="false" outlineLevel="0" collapsed="false">
      <c r="A301" s="0" t="s">
        <v>1037</v>
      </c>
      <c r="B301" s="0" t="s">
        <v>1038</v>
      </c>
      <c r="C301" s="0" t="s">
        <v>60</v>
      </c>
      <c r="D301" s="11" t="n">
        <v>0.15</v>
      </c>
      <c r="E301" s="11" t="n">
        <v>0.22</v>
      </c>
      <c r="F301" s="11" t="n">
        <v>0.3</v>
      </c>
      <c r="G301" s="12" t="s">
        <v>61</v>
      </c>
      <c r="H301" s="12" t="s">
        <v>1039</v>
      </c>
      <c r="I301" s="12" t="s">
        <v>1040</v>
      </c>
      <c r="J301" s="12" t="s">
        <v>1041</v>
      </c>
    </row>
    <row r="302" customFormat="false" ht="17.15" hidden="false" customHeight="false" outlineLevel="0" collapsed="false">
      <c r="A302" s="10" t="s">
        <v>1042</v>
      </c>
    </row>
    <row r="303" customFormat="false" ht="17.15" hidden="false" customHeight="false" outlineLevel="0" collapsed="false">
      <c r="A303" s="0" t="s">
        <v>1043</v>
      </c>
      <c r="B303" s="0" t="s">
        <v>1044</v>
      </c>
      <c r="C303" s="0" t="s">
        <v>60</v>
      </c>
      <c r="D303" s="11" t="n">
        <v>0.1</v>
      </c>
      <c r="E303" s="11" t="n">
        <v>0.25</v>
      </c>
      <c r="F303" s="11" t="n">
        <v>0.35</v>
      </c>
      <c r="G303" s="12" t="s">
        <v>159</v>
      </c>
      <c r="H303" s="12" t="s">
        <v>1045</v>
      </c>
      <c r="I303" s="12" t="s">
        <v>1046</v>
      </c>
      <c r="J303" s="12" t="s">
        <v>1047</v>
      </c>
    </row>
    <row r="304" customFormat="false" ht="17.15" hidden="false" customHeight="false" outlineLevel="0" collapsed="false">
      <c r="A304" s="0" t="s">
        <v>1048</v>
      </c>
      <c r="B304" s="0" t="s">
        <v>1049</v>
      </c>
      <c r="C304" s="0" t="s">
        <v>60</v>
      </c>
      <c r="D304" s="11" t="n">
        <v>0.1</v>
      </c>
      <c r="E304" s="11" t="n">
        <v>0.25</v>
      </c>
      <c r="F304" s="11" t="n">
        <v>0.35</v>
      </c>
      <c r="G304" s="12" t="s">
        <v>159</v>
      </c>
      <c r="H304" s="12" t="s">
        <v>1050</v>
      </c>
      <c r="I304" s="12" t="s">
        <v>1051</v>
      </c>
      <c r="J304" s="6" t="s">
        <v>1052</v>
      </c>
    </row>
    <row r="305" customFormat="false" ht="17.15" hidden="false" customHeight="false" outlineLevel="0" collapsed="false">
      <c r="A305" s="0" t="s">
        <v>1053</v>
      </c>
      <c r="B305" s="0" t="s">
        <v>1054</v>
      </c>
      <c r="C305" s="0" t="s">
        <v>60</v>
      </c>
      <c r="D305" s="11" t="n">
        <v>0.1</v>
      </c>
      <c r="E305" s="11" t="n">
        <v>0.2</v>
      </c>
      <c r="F305" s="11" t="n">
        <v>0.3</v>
      </c>
      <c r="G305" s="12" t="s">
        <v>159</v>
      </c>
      <c r="H305" s="6" t="s">
        <v>66</v>
      </c>
      <c r="I305" s="12" t="s">
        <v>1055</v>
      </c>
      <c r="J305" s="12" t="s">
        <v>675</v>
      </c>
    </row>
    <row r="306" customFormat="false" ht="17.15" hidden="false" customHeight="false" outlineLevel="0" collapsed="false">
      <c r="A306" s="0" t="s">
        <v>1056</v>
      </c>
      <c r="B306" s="0" t="s">
        <v>1057</v>
      </c>
      <c r="C306" s="0" t="s">
        <v>60</v>
      </c>
      <c r="D306" s="11" t="n">
        <v>0</v>
      </c>
      <c r="E306" s="11" t="n">
        <v>0.1</v>
      </c>
      <c r="F306" s="11" t="n">
        <v>0.25</v>
      </c>
      <c r="G306" s="12" t="s">
        <v>159</v>
      </c>
      <c r="H306" s="12" t="s">
        <v>1058</v>
      </c>
      <c r="I306" s="12" t="s">
        <v>1059</v>
      </c>
      <c r="J306" s="12" t="s">
        <v>1060</v>
      </c>
    </row>
    <row r="307" customFormat="false" ht="17.15" hidden="false" customHeight="false" outlineLevel="0" collapsed="false">
      <c r="A307" s="0" t="s">
        <v>1061</v>
      </c>
      <c r="B307" s="0" t="s">
        <v>1062</v>
      </c>
      <c r="C307" s="0" t="s">
        <v>60</v>
      </c>
      <c r="D307" s="11" t="n">
        <v>0</v>
      </c>
      <c r="E307" s="11" t="n">
        <v>0.15</v>
      </c>
      <c r="F307" s="11" t="n">
        <v>0.3</v>
      </c>
      <c r="G307" s="12" t="s">
        <v>159</v>
      </c>
      <c r="H307" s="6" t="s">
        <v>66</v>
      </c>
      <c r="I307" s="12" t="s">
        <v>1063</v>
      </c>
      <c r="J307" s="12" t="s">
        <v>675</v>
      </c>
    </row>
    <row r="308" customFormat="false" ht="17.15" hidden="false" customHeight="false" outlineLevel="0" collapsed="false">
      <c r="A308" s="0" t="s">
        <v>1064</v>
      </c>
      <c r="B308" s="0" t="s">
        <v>1065</v>
      </c>
      <c r="C308" s="0" t="s">
        <v>60</v>
      </c>
      <c r="D308" s="11" t="n">
        <v>0</v>
      </c>
      <c r="E308" s="11" t="n">
        <v>0.2</v>
      </c>
      <c r="F308" s="11" t="n">
        <v>0.35</v>
      </c>
      <c r="G308" s="12" t="s">
        <v>159</v>
      </c>
      <c r="H308" s="6" t="s">
        <v>66</v>
      </c>
      <c r="I308" s="12" t="s">
        <v>1066</v>
      </c>
      <c r="J308" s="12" t="s">
        <v>675</v>
      </c>
    </row>
    <row r="309" customFormat="false" ht="17.15" hidden="false" customHeight="false" outlineLevel="0" collapsed="false">
      <c r="A309" s="0" t="s">
        <v>1067</v>
      </c>
      <c r="B309" s="6" t="s">
        <v>1068</v>
      </c>
      <c r="C309" s="0" t="s">
        <v>60</v>
      </c>
      <c r="D309" s="11" t="n">
        <v>0</v>
      </c>
      <c r="E309" s="11" t="n">
        <v>0.1</v>
      </c>
      <c r="F309" s="11" t="n">
        <v>0.3</v>
      </c>
      <c r="G309" s="12" t="s">
        <v>159</v>
      </c>
      <c r="H309" s="6" t="s">
        <v>1069</v>
      </c>
      <c r="I309" s="12" t="s">
        <v>1070</v>
      </c>
      <c r="J309" s="12" t="s">
        <v>1071</v>
      </c>
    </row>
    <row r="310" customFormat="false" ht="17.15" hidden="false" customHeight="false" outlineLevel="0" collapsed="false">
      <c r="A310" s="0" t="s">
        <v>1072</v>
      </c>
      <c r="B310" s="6" t="s">
        <v>1073</v>
      </c>
      <c r="C310" s="0" t="s">
        <v>60</v>
      </c>
      <c r="D310" s="11" t="n">
        <v>0</v>
      </c>
      <c r="E310" s="11" t="n">
        <v>0.15</v>
      </c>
      <c r="F310" s="11" t="n">
        <v>0.35</v>
      </c>
      <c r="G310" s="12" t="s">
        <v>159</v>
      </c>
      <c r="H310" s="6" t="s">
        <v>66</v>
      </c>
      <c r="I310" s="12" t="s">
        <v>1074</v>
      </c>
      <c r="J310" s="12" t="s">
        <v>675</v>
      </c>
    </row>
    <row r="311" customFormat="false" ht="17.15" hidden="false" customHeight="false" outlineLevel="0" collapsed="false">
      <c r="A311" s="0" t="s">
        <v>1075</v>
      </c>
      <c r="B311" s="6" t="s">
        <v>1076</v>
      </c>
      <c r="C311" s="0" t="s">
        <v>60</v>
      </c>
      <c r="D311" s="11" t="n">
        <v>0</v>
      </c>
      <c r="E311" s="11" t="n">
        <v>0.2</v>
      </c>
      <c r="F311" s="11" t="n">
        <v>0.4</v>
      </c>
      <c r="G311" s="12" t="s">
        <v>159</v>
      </c>
      <c r="H311" s="6" t="s">
        <v>66</v>
      </c>
      <c r="I311" s="12" t="s">
        <v>1077</v>
      </c>
      <c r="J311" s="12" t="s">
        <v>675</v>
      </c>
    </row>
    <row r="312" customFormat="false" ht="17.15" hidden="false" customHeight="false" outlineLevel="0" collapsed="false">
      <c r="A312" s="0" t="s">
        <v>1078</v>
      </c>
      <c r="B312" s="6" t="s">
        <v>1079</v>
      </c>
      <c r="C312" s="0" t="s">
        <v>60</v>
      </c>
      <c r="D312" s="11" t="n">
        <v>0</v>
      </c>
      <c r="E312" s="11" t="n">
        <v>0.05</v>
      </c>
      <c r="F312" s="11" t="n">
        <v>0.2</v>
      </c>
      <c r="G312" s="12" t="s">
        <v>159</v>
      </c>
      <c r="H312" s="12" t="s">
        <v>1080</v>
      </c>
      <c r="I312" s="12" t="s">
        <v>1081</v>
      </c>
      <c r="J312" s="6" t="s">
        <v>1082</v>
      </c>
    </row>
    <row r="313" customFormat="false" ht="17.15" hidden="false" customHeight="false" outlineLevel="0" collapsed="false">
      <c r="A313" s="0" t="s">
        <v>1083</v>
      </c>
      <c r="B313" s="6" t="s">
        <v>1084</v>
      </c>
      <c r="C313" s="0" t="s">
        <v>60</v>
      </c>
      <c r="D313" s="11" t="n">
        <v>0</v>
      </c>
      <c r="E313" s="11" t="n">
        <v>0.1</v>
      </c>
      <c r="F313" s="11" t="n">
        <v>0.25</v>
      </c>
      <c r="G313" s="12" t="s">
        <v>159</v>
      </c>
      <c r="H313" s="6" t="s">
        <v>66</v>
      </c>
      <c r="I313" s="12" t="s">
        <v>1085</v>
      </c>
      <c r="J313" s="12" t="s">
        <v>675</v>
      </c>
    </row>
    <row r="314" customFormat="false" ht="17.15" hidden="false" customHeight="false" outlineLevel="0" collapsed="false">
      <c r="A314" s="0" t="s">
        <v>1086</v>
      </c>
      <c r="B314" s="6" t="s">
        <v>1087</v>
      </c>
      <c r="C314" s="0" t="s">
        <v>60</v>
      </c>
      <c r="D314" s="11" t="n">
        <v>0</v>
      </c>
      <c r="E314" s="11" t="n">
        <v>0.15</v>
      </c>
      <c r="F314" s="11" t="n">
        <v>0.3</v>
      </c>
      <c r="G314" s="12" t="s">
        <v>159</v>
      </c>
      <c r="H314" s="6" t="s">
        <v>66</v>
      </c>
      <c r="I314" s="12" t="s">
        <v>1088</v>
      </c>
      <c r="J314" s="12" t="s">
        <v>675</v>
      </c>
    </row>
    <row r="315" customFormat="false" ht="17.15" hidden="false" customHeight="false" outlineLevel="0" collapsed="false">
      <c r="A315" s="0" t="s">
        <v>1089</v>
      </c>
      <c r="B315" s="0" t="s">
        <v>1090</v>
      </c>
      <c r="C315" s="0" t="s">
        <v>60</v>
      </c>
      <c r="D315" s="11" t="n">
        <v>0</v>
      </c>
      <c r="E315" s="11" t="n">
        <v>0.05</v>
      </c>
      <c r="F315" s="11" t="n">
        <v>0.15</v>
      </c>
      <c r="G315" s="12" t="s">
        <v>159</v>
      </c>
      <c r="H315" s="12" t="s">
        <v>1091</v>
      </c>
      <c r="I315" s="12" t="s">
        <v>1092</v>
      </c>
      <c r="J315" s="12" t="s">
        <v>1093</v>
      </c>
    </row>
    <row r="316" customFormat="false" ht="17.15" hidden="false" customHeight="false" outlineLevel="0" collapsed="false">
      <c r="A316" s="0" t="s">
        <v>1094</v>
      </c>
      <c r="B316" s="0" t="s">
        <v>1095</v>
      </c>
      <c r="C316" s="0" t="s">
        <v>60</v>
      </c>
      <c r="D316" s="11" t="n">
        <v>0.02</v>
      </c>
      <c r="E316" s="11" t="n">
        <v>0.1</v>
      </c>
      <c r="F316" s="11" t="n">
        <v>0.2</v>
      </c>
      <c r="G316" s="12" t="s">
        <v>159</v>
      </c>
      <c r="H316" s="6" t="s">
        <v>66</v>
      </c>
      <c r="I316" s="12" t="s">
        <v>1096</v>
      </c>
      <c r="J316" s="6" t="s">
        <v>1097</v>
      </c>
    </row>
    <row r="317" customFormat="false" ht="17.15" hidden="false" customHeight="false" outlineLevel="0" collapsed="false">
      <c r="A317" s="0" t="s">
        <v>1098</v>
      </c>
      <c r="B317" s="0" t="s">
        <v>1099</v>
      </c>
      <c r="C317" s="0" t="s">
        <v>60</v>
      </c>
      <c r="D317" s="11" t="n">
        <v>0.05</v>
      </c>
      <c r="E317" s="11" t="n">
        <v>0.15</v>
      </c>
      <c r="F317" s="11" t="n">
        <v>0.25</v>
      </c>
      <c r="G317" s="12" t="s">
        <v>159</v>
      </c>
      <c r="H317" s="6" t="s">
        <v>66</v>
      </c>
      <c r="I317" s="12" t="s">
        <v>1100</v>
      </c>
      <c r="J317" s="12" t="s">
        <v>675</v>
      </c>
    </row>
    <row r="318" customFormat="false" ht="17.15" hidden="false" customHeight="false" outlineLevel="0" collapsed="false">
      <c r="A318" s="10" t="s">
        <v>1101</v>
      </c>
    </row>
    <row r="319" customFormat="false" ht="17.15" hidden="false" customHeight="false" outlineLevel="0" collapsed="false">
      <c r="A319" s="0" t="s">
        <v>1102</v>
      </c>
      <c r="B319" s="0" t="s">
        <v>1103</v>
      </c>
      <c r="C319" s="0" t="s">
        <v>60</v>
      </c>
      <c r="D319" s="11" t="n">
        <v>0.7</v>
      </c>
      <c r="E319" s="11" t="n">
        <v>0.7</v>
      </c>
      <c r="F319" s="11" t="n">
        <v>0.8</v>
      </c>
      <c r="G319" s="12" t="s">
        <v>61</v>
      </c>
      <c r="H319" s="12" t="s">
        <v>1104</v>
      </c>
      <c r="I319" s="12" t="s">
        <v>1105</v>
      </c>
      <c r="J319" s="12" t="s">
        <v>1106</v>
      </c>
    </row>
    <row r="320" customFormat="false" ht="17.15" hidden="false" customHeight="false" outlineLevel="0" collapsed="false">
      <c r="A320" s="0" t="s">
        <v>1107</v>
      </c>
      <c r="B320" s="0" t="s">
        <v>1108</v>
      </c>
      <c r="C320" s="0" t="s">
        <v>489</v>
      </c>
      <c r="D320" s="13" t="n">
        <v>0.85</v>
      </c>
      <c r="E320" s="13" t="n">
        <v>0.95</v>
      </c>
      <c r="F320" s="13" t="n">
        <v>1</v>
      </c>
      <c r="G320" s="12" t="s">
        <v>159</v>
      </c>
      <c r="H320" s="6" t="s">
        <v>1109</v>
      </c>
      <c r="I320" s="12" t="s">
        <v>1110</v>
      </c>
      <c r="J320" s="6" t="s">
        <v>1111</v>
      </c>
    </row>
    <row r="321" customFormat="false" ht="17.15" hidden="false" customHeight="false" outlineLevel="0" collapsed="false">
      <c r="A321" s="0" t="s">
        <v>1112</v>
      </c>
      <c r="B321" s="0" t="s">
        <v>1113</v>
      </c>
      <c r="C321" s="0" t="s">
        <v>489</v>
      </c>
      <c r="D321" s="13" t="n">
        <v>0.75</v>
      </c>
      <c r="E321" s="13" t="n">
        <v>0.88</v>
      </c>
      <c r="F321" s="13" t="n">
        <v>1</v>
      </c>
      <c r="G321" s="12" t="s">
        <v>159</v>
      </c>
      <c r="H321" s="6" t="s">
        <v>1114</v>
      </c>
      <c r="I321" s="12" t="s">
        <v>1115</v>
      </c>
      <c r="J321" s="12" t="s">
        <v>675</v>
      </c>
    </row>
    <row r="322" customFormat="false" ht="17.15" hidden="false" customHeight="false" outlineLevel="0" collapsed="false">
      <c r="A322" s="0" t="s">
        <v>1116</v>
      </c>
      <c r="B322" s="0" t="s">
        <v>1117</v>
      </c>
      <c r="C322" s="0" t="s">
        <v>489</v>
      </c>
      <c r="D322" s="13" t="n">
        <v>0.7</v>
      </c>
      <c r="E322" s="13" t="n">
        <v>0.85</v>
      </c>
      <c r="F322" s="13" t="n">
        <v>1</v>
      </c>
      <c r="G322" s="12" t="s">
        <v>159</v>
      </c>
      <c r="H322" s="6" t="s">
        <v>66</v>
      </c>
      <c r="I322" s="12" t="s">
        <v>1118</v>
      </c>
      <c r="J322" s="12" t="s">
        <v>675</v>
      </c>
    </row>
    <row r="323" customFormat="false" ht="17.15" hidden="false" customHeight="false" outlineLevel="0" collapsed="false">
      <c r="A323" s="0" t="s">
        <v>1119</v>
      </c>
      <c r="B323" s="6" t="s">
        <v>1120</v>
      </c>
      <c r="C323" s="0" t="s">
        <v>489</v>
      </c>
      <c r="D323" s="13" t="n">
        <v>0.2</v>
      </c>
      <c r="E323" s="13" t="n">
        <v>0.4</v>
      </c>
      <c r="F323" s="13" t="n">
        <v>0.6</v>
      </c>
      <c r="G323" s="12" t="s">
        <v>159</v>
      </c>
      <c r="H323" s="6" t="s">
        <v>1121</v>
      </c>
      <c r="I323" s="12" t="s">
        <v>1122</v>
      </c>
      <c r="J323" s="12" t="s">
        <v>1123</v>
      </c>
    </row>
    <row r="324" customFormat="false" ht="17.15" hidden="false" customHeight="false" outlineLevel="0" collapsed="false">
      <c r="A324" s="0" t="s">
        <v>1124</v>
      </c>
      <c r="B324" s="6" t="s">
        <v>1125</v>
      </c>
      <c r="C324" s="0" t="s">
        <v>489</v>
      </c>
      <c r="D324" s="13" t="n">
        <v>0.6</v>
      </c>
      <c r="E324" s="13" t="n">
        <v>0.8</v>
      </c>
      <c r="F324" s="13" t="n">
        <v>1</v>
      </c>
      <c r="G324" s="12" t="s">
        <v>159</v>
      </c>
      <c r="H324" s="12" t="s">
        <v>1126</v>
      </c>
      <c r="I324" s="12" t="s">
        <v>1127</v>
      </c>
      <c r="J324" s="12" t="s">
        <v>1128</v>
      </c>
    </row>
    <row r="325" customFormat="false" ht="17.15" hidden="false" customHeight="false" outlineLevel="0" collapsed="false">
      <c r="A325" s="0" t="s">
        <v>1129</v>
      </c>
      <c r="B325" s="6" t="s">
        <v>1130</v>
      </c>
      <c r="C325" s="0" t="s">
        <v>60</v>
      </c>
      <c r="D325" s="11" t="n">
        <v>0.1</v>
      </c>
      <c r="E325" s="11" t="n">
        <v>0.18</v>
      </c>
      <c r="F325" s="11" t="n">
        <v>0.22</v>
      </c>
      <c r="G325" s="12" t="s">
        <v>848</v>
      </c>
      <c r="H325" s="12" t="s">
        <v>1131</v>
      </c>
      <c r="I325" s="12" t="s">
        <v>1132</v>
      </c>
      <c r="J325" s="12" t="s">
        <v>1133</v>
      </c>
    </row>
    <row r="326" customFormat="false" ht="17.15" hidden="false" customHeight="false" outlineLevel="0" collapsed="false">
      <c r="A326" s="0" t="s">
        <v>1134</v>
      </c>
      <c r="B326" s="6" t="s">
        <v>1135</v>
      </c>
      <c r="C326" s="0" t="s">
        <v>489</v>
      </c>
      <c r="D326" s="13" t="n">
        <v>0.95</v>
      </c>
      <c r="E326" s="13" t="n">
        <v>1</v>
      </c>
      <c r="F326" s="13" t="n">
        <v>1.05</v>
      </c>
      <c r="G326" s="12" t="s">
        <v>159</v>
      </c>
      <c r="H326" s="12" t="s">
        <v>1136</v>
      </c>
      <c r="I326" s="12" t="s">
        <v>1137</v>
      </c>
      <c r="J326" s="12" t="s">
        <v>1138</v>
      </c>
    </row>
    <row r="327" customFormat="false" ht="17.15" hidden="false" customHeight="false" outlineLevel="0" collapsed="false">
      <c r="A327" s="0" t="s">
        <v>1139</v>
      </c>
      <c r="B327" s="6" t="s">
        <v>1140</v>
      </c>
      <c r="C327" s="0" t="s">
        <v>489</v>
      </c>
      <c r="D327" s="13" t="n">
        <v>0.85</v>
      </c>
      <c r="E327" s="13" t="n">
        <v>0.95</v>
      </c>
      <c r="F327" s="13" t="n">
        <v>1.05</v>
      </c>
      <c r="G327" s="12" t="s">
        <v>159</v>
      </c>
      <c r="H327" s="12" t="s">
        <v>1141</v>
      </c>
      <c r="I327" s="12" t="s">
        <v>1142</v>
      </c>
      <c r="J327" s="6" t="s">
        <v>1143</v>
      </c>
    </row>
    <row r="328" customFormat="false" ht="17.15" hidden="false" customHeight="false" outlineLevel="0" collapsed="false">
      <c r="A328" s="0" t="s">
        <v>1144</v>
      </c>
      <c r="B328" s="6" t="s">
        <v>1145</v>
      </c>
      <c r="C328" s="0" t="s">
        <v>489</v>
      </c>
      <c r="D328" s="13" t="n">
        <v>0.75</v>
      </c>
      <c r="E328" s="13" t="n">
        <v>0.9</v>
      </c>
      <c r="F328" s="13" t="n">
        <v>1</v>
      </c>
      <c r="G328" s="12" t="s">
        <v>159</v>
      </c>
      <c r="H328" s="6" t="s">
        <v>1146</v>
      </c>
      <c r="I328" s="12" t="s">
        <v>1147</v>
      </c>
      <c r="J328" s="12" t="s">
        <v>675</v>
      </c>
    </row>
    <row r="329" customFormat="false" ht="17.15" hidden="false" customHeight="false" outlineLevel="0" collapsed="false">
      <c r="A329" s="0" t="s">
        <v>1148</v>
      </c>
      <c r="B329" s="6" t="s">
        <v>1149</v>
      </c>
      <c r="C329" s="0" t="s">
        <v>60</v>
      </c>
      <c r="D329" s="11" t="n">
        <v>0.2</v>
      </c>
      <c r="E329" s="11" t="n">
        <v>0.25</v>
      </c>
      <c r="F329" s="11" t="n">
        <v>0.3</v>
      </c>
      <c r="G329" s="12" t="s">
        <v>159</v>
      </c>
      <c r="H329" s="6" t="s">
        <v>1150</v>
      </c>
      <c r="I329" s="12" t="s">
        <v>1151</v>
      </c>
      <c r="J329" s="12" t="s">
        <v>1152</v>
      </c>
    </row>
    <row r="330" customFormat="false" ht="17.15" hidden="false" customHeight="false" outlineLevel="0" collapsed="false">
      <c r="A330" s="0" t="s">
        <v>1153</v>
      </c>
      <c r="B330" s="6" t="s">
        <v>1154</v>
      </c>
      <c r="C330" s="0" t="s">
        <v>60</v>
      </c>
      <c r="D330" s="11" t="n">
        <v>0.22</v>
      </c>
      <c r="E330" s="11" t="n">
        <v>0.27</v>
      </c>
      <c r="F330" s="11" t="n">
        <v>0.32</v>
      </c>
      <c r="G330" s="12" t="s">
        <v>159</v>
      </c>
      <c r="H330" s="12" t="s">
        <v>1155</v>
      </c>
      <c r="I330" s="12" t="s">
        <v>1156</v>
      </c>
      <c r="J330" s="6" t="s">
        <v>1157</v>
      </c>
    </row>
    <row r="331" customFormat="false" ht="17.15" hidden="false" customHeight="false" outlineLevel="0" collapsed="false">
      <c r="A331" s="0" t="s">
        <v>1158</v>
      </c>
      <c r="B331" s="6" t="s">
        <v>1159</v>
      </c>
      <c r="C331" s="0" t="s">
        <v>60</v>
      </c>
      <c r="D331" s="11" t="n">
        <v>0.22</v>
      </c>
      <c r="E331" s="11" t="n">
        <v>0.29</v>
      </c>
      <c r="F331" s="11" t="n">
        <v>0.35</v>
      </c>
      <c r="G331" s="12" t="s">
        <v>159</v>
      </c>
      <c r="H331" s="12" t="s">
        <v>1155</v>
      </c>
      <c r="I331" s="12" t="s">
        <v>1160</v>
      </c>
      <c r="J331" s="6" t="s">
        <v>1157</v>
      </c>
    </row>
    <row r="332" customFormat="false" ht="17.15" hidden="false" customHeight="false" outlineLevel="0" collapsed="false">
      <c r="A332" s="0" t="s">
        <v>1161</v>
      </c>
      <c r="B332" s="6" t="s">
        <v>1162</v>
      </c>
      <c r="C332" s="0" t="s">
        <v>60</v>
      </c>
      <c r="D332" s="11" t="n">
        <v>0.22</v>
      </c>
      <c r="E332" s="11" t="n">
        <v>0.3</v>
      </c>
      <c r="F332" s="11" t="n">
        <v>0.36</v>
      </c>
      <c r="G332" s="12" t="s">
        <v>159</v>
      </c>
      <c r="H332" s="12" t="s">
        <v>1155</v>
      </c>
      <c r="I332" s="12" t="s">
        <v>1163</v>
      </c>
      <c r="J332" s="6" t="s">
        <v>1157</v>
      </c>
    </row>
    <row r="333" customFormat="false" ht="17.15" hidden="false" customHeight="false" outlineLevel="0" collapsed="false">
      <c r="A333" s="0" t="s">
        <v>1164</v>
      </c>
      <c r="B333" s="6" t="s">
        <v>1165</v>
      </c>
      <c r="C333" s="0" t="s">
        <v>60</v>
      </c>
      <c r="D333" s="11" t="n">
        <v>0.22</v>
      </c>
      <c r="E333" s="11" t="n">
        <v>0.3</v>
      </c>
      <c r="F333" s="11" t="n">
        <v>0.4</v>
      </c>
      <c r="G333" s="12" t="s">
        <v>159</v>
      </c>
      <c r="H333" s="6" t="s">
        <v>1166</v>
      </c>
      <c r="I333" s="12" t="s">
        <v>1167</v>
      </c>
      <c r="J333" s="6" t="s">
        <v>1168</v>
      </c>
    </row>
    <row r="334" customFormat="false" ht="17.15" hidden="false" customHeight="false" outlineLevel="0" collapsed="false">
      <c r="A334" s="0" t="s">
        <v>1169</v>
      </c>
      <c r="B334" s="6" t="s">
        <v>1170</v>
      </c>
      <c r="C334" s="0" t="s">
        <v>60</v>
      </c>
      <c r="D334" s="11" t="n">
        <v>0.22</v>
      </c>
      <c r="E334" s="11" t="n">
        <v>0.31</v>
      </c>
      <c r="F334" s="11" t="n">
        <v>0.4</v>
      </c>
      <c r="G334" s="12" t="s">
        <v>159</v>
      </c>
      <c r="H334" s="6" t="s">
        <v>66</v>
      </c>
      <c r="I334" s="12" t="s">
        <v>1171</v>
      </c>
      <c r="J334" s="12" t="s">
        <v>675</v>
      </c>
    </row>
    <row r="335" customFormat="false" ht="17.15" hidden="false" customHeight="false" outlineLevel="0" collapsed="false">
      <c r="A335" s="0" t="s">
        <v>1172</v>
      </c>
      <c r="B335" s="6" t="s">
        <v>1173</v>
      </c>
      <c r="C335" s="0" t="s">
        <v>60</v>
      </c>
      <c r="D335" s="11" t="n">
        <v>0.22</v>
      </c>
      <c r="E335" s="11" t="n">
        <v>0.32</v>
      </c>
      <c r="F335" s="11" t="n">
        <v>0.4</v>
      </c>
      <c r="G335" s="12" t="s">
        <v>159</v>
      </c>
      <c r="H335" s="6" t="s">
        <v>66</v>
      </c>
      <c r="I335" s="12" t="s">
        <v>1174</v>
      </c>
      <c r="J335" s="12" t="s">
        <v>675</v>
      </c>
    </row>
    <row r="336" customFormat="false" ht="17.15" hidden="false" customHeight="false" outlineLevel="0" collapsed="false">
      <c r="A336" s="0" t="s">
        <v>1175</v>
      </c>
      <c r="B336" s="6" t="s">
        <v>1176</v>
      </c>
      <c r="C336" s="0" t="s">
        <v>60</v>
      </c>
      <c r="D336" s="11" t="n">
        <v>0.22</v>
      </c>
      <c r="E336" s="11" t="n">
        <v>0.33</v>
      </c>
      <c r="F336" s="11" t="n">
        <v>0.4</v>
      </c>
      <c r="G336" s="12" t="s">
        <v>159</v>
      </c>
      <c r="H336" s="6" t="s">
        <v>66</v>
      </c>
      <c r="I336" s="12" t="s">
        <v>1177</v>
      </c>
      <c r="J336" s="12" t="s">
        <v>675</v>
      </c>
    </row>
    <row r="337" customFormat="false" ht="17.15" hidden="false" customHeight="false" outlineLevel="0" collapsed="false">
      <c r="A337" s="0" t="s">
        <v>1178</v>
      </c>
      <c r="B337" s="6" t="s">
        <v>1179</v>
      </c>
      <c r="C337" s="0" t="s">
        <v>60</v>
      </c>
      <c r="D337" s="11" t="n">
        <v>0.01</v>
      </c>
      <c r="E337" s="11" t="n">
        <v>0.02</v>
      </c>
      <c r="F337" s="11" t="n">
        <v>0.03</v>
      </c>
      <c r="G337" s="12" t="s">
        <v>159</v>
      </c>
      <c r="H337" s="6" t="s">
        <v>1180</v>
      </c>
      <c r="I337" s="12" t="s">
        <v>1181</v>
      </c>
      <c r="J337" s="6" t="s">
        <v>1182</v>
      </c>
    </row>
    <row r="338" customFormat="false" ht="17.15" hidden="false" customHeight="false" outlineLevel="0" collapsed="false">
      <c r="A338" s="0" t="s">
        <v>1183</v>
      </c>
      <c r="B338" s="6" t="s">
        <v>1184</v>
      </c>
      <c r="C338" s="0" t="s">
        <v>60</v>
      </c>
      <c r="D338" s="11" t="n">
        <v>0.01</v>
      </c>
      <c r="E338" s="11" t="n">
        <v>0.03</v>
      </c>
      <c r="F338" s="11" t="n">
        <v>0.05</v>
      </c>
      <c r="G338" s="12" t="s">
        <v>159</v>
      </c>
      <c r="H338" s="12" t="s">
        <v>1185</v>
      </c>
      <c r="I338" s="12" t="s">
        <v>1186</v>
      </c>
      <c r="J338" s="12" t="s">
        <v>675</v>
      </c>
    </row>
    <row r="339" customFormat="false" ht="17.15" hidden="false" customHeight="false" outlineLevel="0" collapsed="false">
      <c r="A339" s="0" t="s">
        <v>1187</v>
      </c>
      <c r="B339" s="6" t="s">
        <v>1188</v>
      </c>
      <c r="C339" s="0" t="s">
        <v>60</v>
      </c>
      <c r="D339" s="11" t="n">
        <v>0.01</v>
      </c>
      <c r="E339" s="11" t="n">
        <v>0.04</v>
      </c>
      <c r="F339" s="11" t="n">
        <v>0.06</v>
      </c>
      <c r="G339" s="12" t="s">
        <v>159</v>
      </c>
      <c r="H339" s="12" t="s">
        <v>1185</v>
      </c>
      <c r="I339" s="12" t="s">
        <v>1189</v>
      </c>
      <c r="J339" s="12" t="s">
        <v>675</v>
      </c>
    </row>
    <row r="340" customFormat="false" ht="17.15" hidden="false" customHeight="false" outlineLevel="0" collapsed="false">
      <c r="A340" s="0" t="s">
        <v>1190</v>
      </c>
      <c r="B340" s="6" t="s">
        <v>1191</v>
      </c>
      <c r="C340" s="0" t="s">
        <v>60</v>
      </c>
      <c r="D340" s="11" t="n">
        <v>0.01</v>
      </c>
      <c r="E340" s="11" t="n">
        <v>0.04</v>
      </c>
      <c r="F340" s="11" t="n">
        <v>0.06</v>
      </c>
      <c r="G340" s="12" t="s">
        <v>159</v>
      </c>
      <c r="H340" s="12" t="s">
        <v>1185</v>
      </c>
      <c r="I340" s="12" t="s">
        <v>1192</v>
      </c>
      <c r="J340" s="12" t="s">
        <v>675</v>
      </c>
    </row>
    <row r="341" customFormat="false" ht="17.15" hidden="false" customHeight="false" outlineLevel="0" collapsed="false">
      <c r="A341" s="0" t="s">
        <v>1193</v>
      </c>
      <c r="B341" s="6" t="s">
        <v>1194</v>
      </c>
      <c r="C341" s="0" t="s">
        <v>60</v>
      </c>
      <c r="D341" s="11" t="n">
        <v>0.03</v>
      </c>
      <c r="E341" s="11" t="n">
        <v>0.05</v>
      </c>
      <c r="F341" s="11" t="n">
        <v>0.08</v>
      </c>
      <c r="G341" s="12" t="s">
        <v>159</v>
      </c>
      <c r="H341" s="12" t="s">
        <v>1195</v>
      </c>
      <c r="I341" s="12" t="s">
        <v>1196</v>
      </c>
      <c r="J341" s="6" t="s">
        <v>1197</v>
      </c>
    </row>
    <row r="342" customFormat="false" ht="17.15" hidden="false" customHeight="false" outlineLevel="0" collapsed="false">
      <c r="A342" s="0" t="s">
        <v>1198</v>
      </c>
      <c r="B342" s="6" t="s">
        <v>1199</v>
      </c>
      <c r="C342" s="0" t="s">
        <v>60</v>
      </c>
      <c r="D342" s="11" t="n">
        <v>0.03</v>
      </c>
      <c r="E342" s="11" t="n">
        <v>0.06</v>
      </c>
      <c r="F342" s="11" t="n">
        <v>0.09</v>
      </c>
      <c r="G342" s="12" t="s">
        <v>159</v>
      </c>
      <c r="H342" s="6" t="s">
        <v>66</v>
      </c>
      <c r="I342" s="12" t="s">
        <v>1200</v>
      </c>
      <c r="J342" s="12" t="s">
        <v>675</v>
      </c>
    </row>
    <row r="343" customFormat="false" ht="17.15" hidden="false" customHeight="false" outlineLevel="0" collapsed="false">
      <c r="A343" s="0" t="s">
        <v>1201</v>
      </c>
      <c r="B343" s="6" t="s">
        <v>1202</v>
      </c>
      <c r="C343" s="0" t="s">
        <v>60</v>
      </c>
      <c r="D343" s="11" t="n">
        <v>0.03</v>
      </c>
      <c r="E343" s="11" t="n">
        <v>0.07</v>
      </c>
      <c r="F343" s="11" t="n">
        <v>0.1</v>
      </c>
      <c r="G343" s="12" t="s">
        <v>159</v>
      </c>
      <c r="H343" s="6" t="s">
        <v>66</v>
      </c>
      <c r="I343" s="12" t="s">
        <v>1203</v>
      </c>
      <c r="J343" s="12" t="s">
        <v>675</v>
      </c>
    </row>
    <row r="344" customFormat="false" ht="17.15" hidden="false" customHeight="false" outlineLevel="0" collapsed="false">
      <c r="A344" s="0" t="s">
        <v>1204</v>
      </c>
      <c r="B344" s="6" t="s">
        <v>1205</v>
      </c>
      <c r="C344" s="0" t="s">
        <v>60</v>
      </c>
      <c r="D344" s="11" t="n">
        <v>0.03</v>
      </c>
      <c r="E344" s="11" t="n">
        <v>0.07</v>
      </c>
      <c r="F344" s="11" t="n">
        <v>0.1</v>
      </c>
      <c r="G344" s="12" t="s">
        <v>159</v>
      </c>
      <c r="H344" s="6" t="s">
        <v>66</v>
      </c>
      <c r="I344" s="12" t="s">
        <v>1206</v>
      </c>
      <c r="J344" s="12" t="s">
        <v>675</v>
      </c>
    </row>
    <row r="345" customFormat="false" ht="17.15" hidden="false" customHeight="false" outlineLevel="0" collapsed="false">
      <c r="A345" s="0" t="s">
        <v>1207</v>
      </c>
      <c r="B345" s="6" t="s">
        <v>1208</v>
      </c>
      <c r="C345" s="0" t="s">
        <v>60</v>
      </c>
      <c r="D345" s="11" t="n">
        <v>0.01</v>
      </c>
      <c r="E345" s="11" t="n">
        <v>0.02</v>
      </c>
      <c r="F345" s="11" t="n">
        <v>0.05</v>
      </c>
      <c r="G345" s="12" t="s">
        <v>159</v>
      </c>
      <c r="H345" s="12" t="s">
        <v>1209</v>
      </c>
      <c r="I345" s="12" t="s">
        <v>1210</v>
      </c>
      <c r="J345" s="12" t="s">
        <v>1211</v>
      </c>
    </row>
    <row r="346" customFormat="false" ht="17.15" hidden="false" customHeight="false" outlineLevel="0" collapsed="false">
      <c r="A346" s="0" t="s">
        <v>1212</v>
      </c>
      <c r="B346" s="6" t="s">
        <v>1213</v>
      </c>
      <c r="C346" s="0" t="s">
        <v>60</v>
      </c>
      <c r="D346" s="11" t="n">
        <v>0.01</v>
      </c>
      <c r="E346" s="11" t="n">
        <v>0.03</v>
      </c>
      <c r="F346" s="11" t="n">
        <v>0.1</v>
      </c>
      <c r="G346" s="12" t="s">
        <v>159</v>
      </c>
      <c r="H346" s="6" t="s">
        <v>1214</v>
      </c>
      <c r="I346" s="12" t="s">
        <v>1215</v>
      </c>
      <c r="J346" s="12" t="s">
        <v>675</v>
      </c>
    </row>
    <row r="347" customFormat="false" ht="17.15" hidden="false" customHeight="false" outlineLevel="0" collapsed="false">
      <c r="A347" s="0" t="s">
        <v>1216</v>
      </c>
      <c r="B347" s="6" t="s">
        <v>1217</v>
      </c>
      <c r="C347" s="0" t="s">
        <v>60</v>
      </c>
      <c r="D347" s="11" t="n">
        <v>0.02</v>
      </c>
      <c r="E347" s="11" t="n">
        <v>0.05</v>
      </c>
      <c r="F347" s="11" t="n">
        <v>0.15</v>
      </c>
      <c r="G347" s="12" t="s">
        <v>159</v>
      </c>
      <c r="H347" s="6" t="s">
        <v>1214</v>
      </c>
      <c r="I347" s="12" t="s">
        <v>1218</v>
      </c>
      <c r="J347" s="12" t="s">
        <v>675</v>
      </c>
    </row>
    <row r="348" customFormat="false" ht="17.15" hidden="false" customHeight="false" outlineLevel="0" collapsed="false">
      <c r="A348" s="0" t="s">
        <v>1219</v>
      </c>
      <c r="B348" s="6" t="s">
        <v>1220</v>
      </c>
      <c r="C348" s="0" t="s">
        <v>60</v>
      </c>
      <c r="D348" s="11" t="n">
        <v>0.02</v>
      </c>
      <c r="E348" s="11" t="n">
        <v>0.06</v>
      </c>
      <c r="F348" s="11" t="n">
        <v>0.15</v>
      </c>
      <c r="G348" s="12" t="s">
        <v>159</v>
      </c>
      <c r="H348" s="6" t="s">
        <v>1214</v>
      </c>
      <c r="I348" s="12" t="s">
        <v>1221</v>
      </c>
      <c r="J348" s="12" t="s">
        <v>675</v>
      </c>
    </row>
    <row r="349" customFormat="false" ht="17.15" hidden="false" customHeight="false" outlineLevel="0" collapsed="false">
      <c r="A349" s="0" t="s">
        <v>1222</v>
      </c>
      <c r="B349" s="6" t="s">
        <v>1223</v>
      </c>
      <c r="C349" s="0" t="s">
        <v>60</v>
      </c>
      <c r="D349" s="11" t="n">
        <v>0.02</v>
      </c>
      <c r="E349" s="11" t="n">
        <v>0.03</v>
      </c>
      <c r="F349" s="11" t="n">
        <v>0.05</v>
      </c>
      <c r="G349" s="12" t="s">
        <v>159</v>
      </c>
      <c r="H349" s="12" t="s">
        <v>1224</v>
      </c>
      <c r="I349" s="12" t="s">
        <v>1225</v>
      </c>
      <c r="J349" s="6" t="s">
        <v>1197</v>
      </c>
    </row>
    <row r="350" customFormat="false" ht="17.15" hidden="false" customHeight="false" outlineLevel="0" collapsed="false">
      <c r="A350" s="0" t="s">
        <v>1226</v>
      </c>
      <c r="B350" s="6" t="s">
        <v>1227</v>
      </c>
      <c r="C350" s="0" t="s">
        <v>60</v>
      </c>
      <c r="D350" s="11" t="n">
        <v>0.02</v>
      </c>
      <c r="E350" s="11" t="n">
        <v>0.05</v>
      </c>
      <c r="F350" s="11" t="n">
        <v>0.08</v>
      </c>
      <c r="G350" s="12" t="s">
        <v>159</v>
      </c>
      <c r="H350" s="6" t="s">
        <v>66</v>
      </c>
      <c r="I350" s="12" t="s">
        <v>1228</v>
      </c>
      <c r="J350" s="12" t="s">
        <v>675</v>
      </c>
    </row>
    <row r="351" customFormat="false" ht="17.15" hidden="false" customHeight="false" outlineLevel="0" collapsed="false">
      <c r="A351" s="0" t="s">
        <v>1229</v>
      </c>
      <c r="B351" s="6" t="s">
        <v>1230</v>
      </c>
      <c r="C351" s="0" t="s">
        <v>60</v>
      </c>
      <c r="D351" s="11" t="n">
        <v>0.03</v>
      </c>
      <c r="E351" s="11" t="n">
        <v>0.06</v>
      </c>
      <c r="F351" s="11" t="n">
        <v>0.1</v>
      </c>
      <c r="G351" s="12" t="s">
        <v>159</v>
      </c>
      <c r="H351" s="6" t="s">
        <v>66</v>
      </c>
      <c r="I351" s="12" t="s">
        <v>1231</v>
      </c>
      <c r="J351" s="12" t="s">
        <v>675</v>
      </c>
    </row>
    <row r="352" customFormat="false" ht="17.15" hidden="false" customHeight="false" outlineLevel="0" collapsed="false">
      <c r="A352" s="0" t="s">
        <v>1232</v>
      </c>
      <c r="B352" s="6" t="s">
        <v>1233</v>
      </c>
      <c r="C352" s="0" t="s">
        <v>60</v>
      </c>
      <c r="D352" s="11" t="n">
        <v>0.03</v>
      </c>
      <c r="E352" s="11" t="n">
        <v>0.06</v>
      </c>
      <c r="F352" s="11" t="n">
        <v>0.1</v>
      </c>
      <c r="G352" s="12" t="s">
        <v>159</v>
      </c>
      <c r="H352" s="6" t="s">
        <v>66</v>
      </c>
      <c r="I352" s="12" t="s">
        <v>1234</v>
      </c>
      <c r="J352" s="12" t="s">
        <v>675</v>
      </c>
    </row>
    <row r="353" customFormat="false" ht="17.15" hidden="false" customHeight="false" outlineLevel="0" collapsed="false">
      <c r="A353" s="0" t="s">
        <v>1235</v>
      </c>
      <c r="B353" s="0" t="s">
        <v>1236</v>
      </c>
      <c r="C353" s="0" t="s">
        <v>60</v>
      </c>
      <c r="D353" s="11" t="n">
        <v>0.08</v>
      </c>
      <c r="E353" s="11" t="n">
        <v>0.09</v>
      </c>
      <c r="F353" s="11" t="n">
        <v>0.1</v>
      </c>
      <c r="G353" s="12" t="s">
        <v>490</v>
      </c>
      <c r="H353" s="6" t="s">
        <v>1237</v>
      </c>
      <c r="I353" s="12" t="s">
        <v>1238</v>
      </c>
      <c r="J353" s="6" t="s">
        <v>1239</v>
      </c>
    </row>
    <row r="354" customFormat="false" ht="17.15" hidden="false" customHeight="false" outlineLevel="0" collapsed="false">
      <c r="A354" s="0" t="s">
        <v>1240</v>
      </c>
      <c r="B354" s="0" t="s">
        <v>1241</v>
      </c>
      <c r="C354" s="0" t="s">
        <v>60</v>
      </c>
      <c r="D354" s="11" t="n">
        <v>0.21</v>
      </c>
      <c r="E354" s="11" t="n">
        <v>0.24</v>
      </c>
      <c r="F354" s="11" t="n">
        <v>0.27</v>
      </c>
      <c r="G354" s="12" t="s">
        <v>490</v>
      </c>
      <c r="H354" s="6" t="s">
        <v>1242</v>
      </c>
      <c r="I354" s="12" t="s">
        <v>1243</v>
      </c>
      <c r="J354" s="6" t="s">
        <v>1244</v>
      </c>
    </row>
    <row r="355" customFormat="false" ht="17.15" hidden="false" customHeight="false" outlineLevel="0" collapsed="false">
      <c r="A355" s="0" t="s">
        <v>1245</v>
      </c>
      <c r="B355" s="0" t="s">
        <v>1246</v>
      </c>
      <c r="C355" s="0" t="s">
        <v>60</v>
      </c>
      <c r="D355" s="11" t="n">
        <v>0.29</v>
      </c>
      <c r="E355" s="11" t="n">
        <v>0.37</v>
      </c>
      <c r="F355" s="11" t="n">
        <v>0.42</v>
      </c>
      <c r="G355" s="12" t="s">
        <v>490</v>
      </c>
      <c r="H355" s="6" t="s">
        <v>1247</v>
      </c>
      <c r="I355" s="12" t="s">
        <v>1248</v>
      </c>
      <c r="J355" s="6" t="s">
        <v>1249</v>
      </c>
    </row>
    <row r="356" customFormat="false" ht="17.15" hidden="false" customHeight="false" outlineLevel="0" collapsed="false">
      <c r="A356" s="10" t="s">
        <v>1250</v>
      </c>
    </row>
    <row r="357" customFormat="false" ht="17.15" hidden="false" customHeight="false" outlineLevel="0" collapsed="false">
      <c r="A357" s="0" t="s">
        <v>1251</v>
      </c>
      <c r="B357" s="0" t="s">
        <v>1252</v>
      </c>
      <c r="C357" s="6" t="s">
        <v>1253</v>
      </c>
      <c r="D357" s="13" t="n">
        <v>11.2</v>
      </c>
      <c r="E357" s="13" t="n">
        <v>14</v>
      </c>
      <c r="F357" s="13" t="n">
        <v>16.8</v>
      </c>
      <c r="G357" s="12" t="s">
        <v>490</v>
      </c>
      <c r="H357" s="6" t="s">
        <v>1254</v>
      </c>
      <c r="I357" s="12" t="s">
        <v>1255</v>
      </c>
    </row>
    <row r="358" customFormat="false" ht="17.15" hidden="false" customHeight="false" outlineLevel="0" collapsed="false">
      <c r="A358" s="0" t="s">
        <v>1256</v>
      </c>
      <c r="B358" s="0" t="s">
        <v>1257</v>
      </c>
      <c r="C358" s="6" t="s">
        <v>1253</v>
      </c>
      <c r="D358" s="13" t="n">
        <v>6.4</v>
      </c>
      <c r="E358" s="13" t="n">
        <v>8</v>
      </c>
      <c r="F358" s="13" t="n">
        <v>9.6</v>
      </c>
      <c r="G358" s="12" t="s">
        <v>490</v>
      </c>
      <c r="H358" s="12" t="s">
        <v>1258</v>
      </c>
      <c r="I358" s="12" t="s">
        <v>1259</v>
      </c>
    </row>
    <row r="359" customFormat="false" ht="17.15" hidden="false" customHeight="false" outlineLevel="0" collapsed="false">
      <c r="A359" s="0" t="s">
        <v>1260</v>
      </c>
      <c r="B359" s="0" t="s">
        <v>1261</v>
      </c>
      <c r="C359" s="6" t="s">
        <v>1253</v>
      </c>
      <c r="D359" s="13" t="n">
        <v>3.2</v>
      </c>
      <c r="E359" s="13" t="n">
        <v>4</v>
      </c>
      <c r="F359" s="13" t="n">
        <v>4.8</v>
      </c>
      <c r="G359" s="12" t="s">
        <v>159</v>
      </c>
      <c r="H359" s="12" t="s">
        <v>1262</v>
      </c>
      <c r="I359" s="12" t="s">
        <v>1263</v>
      </c>
    </row>
    <row r="360" customFormat="false" ht="17.15" hidden="false" customHeight="false" outlineLevel="0" collapsed="false">
      <c r="A360" s="0" t="s">
        <v>1264</v>
      </c>
      <c r="B360" s="0" t="s">
        <v>1265</v>
      </c>
      <c r="C360" s="6" t="s">
        <v>1253</v>
      </c>
      <c r="D360" s="13" t="n">
        <v>23.2</v>
      </c>
      <c r="E360" s="13" t="n">
        <v>29</v>
      </c>
      <c r="F360" s="13" t="n">
        <v>34.8</v>
      </c>
      <c r="G360" s="12" t="s">
        <v>848</v>
      </c>
      <c r="H360" s="12" t="s">
        <v>1266</v>
      </c>
      <c r="I360" s="12" t="s">
        <v>1267</v>
      </c>
    </row>
    <row r="361" customFormat="false" ht="17.15" hidden="false" customHeight="false" outlineLevel="0" collapsed="false">
      <c r="A361" s="0" t="s">
        <v>1268</v>
      </c>
      <c r="B361" s="0" t="s">
        <v>1269</v>
      </c>
      <c r="C361" s="6" t="s">
        <v>1253</v>
      </c>
      <c r="D361" s="13" t="n">
        <v>6.8</v>
      </c>
      <c r="E361" s="13" t="n">
        <v>8.5</v>
      </c>
      <c r="F361" s="13" t="n">
        <v>10.2</v>
      </c>
      <c r="G361" s="12" t="s">
        <v>1270</v>
      </c>
      <c r="H361" s="12" t="s">
        <v>1271</v>
      </c>
      <c r="I361" s="12" t="s">
        <v>1272</v>
      </c>
    </row>
    <row r="362" customFormat="false" ht="17.15" hidden="false" customHeight="false" outlineLevel="0" collapsed="false">
      <c r="A362" s="0" t="s">
        <v>1273</v>
      </c>
      <c r="B362" s="0" t="s">
        <v>1274</v>
      </c>
      <c r="C362" s="6" t="s">
        <v>1253</v>
      </c>
      <c r="D362" s="13" t="n">
        <v>4.8</v>
      </c>
      <c r="E362" s="13" t="n">
        <v>6</v>
      </c>
      <c r="F362" s="13" t="n">
        <v>7.2</v>
      </c>
      <c r="G362" s="12" t="s">
        <v>159</v>
      </c>
      <c r="H362" s="12" t="s">
        <v>1275</v>
      </c>
      <c r="I362" s="12" t="s">
        <v>1276</v>
      </c>
    </row>
    <row r="363" customFormat="false" ht="17.15" hidden="false" customHeight="false" outlineLevel="0" collapsed="false">
      <c r="A363" s="0" t="s">
        <v>1277</v>
      </c>
      <c r="B363" s="0" t="s">
        <v>1278</v>
      </c>
      <c r="C363" s="6" t="s">
        <v>1253</v>
      </c>
      <c r="D363" s="13" t="n">
        <v>22.4</v>
      </c>
      <c r="E363" s="13" t="n">
        <v>28</v>
      </c>
      <c r="F363" s="13" t="n">
        <v>33.6</v>
      </c>
      <c r="G363" s="12" t="s">
        <v>468</v>
      </c>
      <c r="H363" s="12" t="s">
        <v>1279</v>
      </c>
      <c r="I363" s="12" t="s">
        <v>1280</v>
      </c>
    </row>
    <row r="364" customFormat="false" ht="17.15" hidden="false" customHeight="false" outlineLevel="0" collapsed="false">
      <c r="A364" s="0" t="s">
        <v>1281</v>
      </c>
      <c r="B364" s="0" t="s">
        <v>1282</v>
      </c>
      <c r="C364" s="6" t="s">
        <v>1253</v>
      </c>
      <c r="D364" s="13" t="n">
        <v>19.2</v>
      </c>
      <c r="E364" s="13" t="n">
        <v>24</v>
      </c>
      <c r="F364" s="13" t="n">
        <v>28.8</v>
      </c>
      <c r="G364" s="12" t="s">
        <v>159</v>
      </c>
      <c r="H364" s="12" t="s">
        <v>1283</v>
      </c>
      <c r="I364" s="12" t="s">
        <v>1284</v>
      </c>
    </row>
    <row r="365" customFormat="false" ht="17.15" hidden="false" customHeight="false" outlineLevel="0" collapsed="false">
      <c r="A365" s="0" t="s">
        <v>1285</v>
      </c>
      <c r="B365" s="0" t="s">
        <v>1286</v>
      </c>
      <c r="C365" s="6" t="s">
        <v>1253</v>
      </c>
      <c r="D365" s="13" t="n">
        <v>24</v>
      </c>
      <c r="E365" s="13" t="n">
        <v>30</v>
      </c>
      <c r="F365" s="13" t="n">
        <v>36</v>
      </c>
      <c r="G365" s="12" t="s">
        <v>468</v>
      </c>
      <c r="H365" s="12" t="s">
        <v>1287</v>
      </c>
      <c r="I365" s="12" t="s">
        <v>1288</v>
      </c>
    </row>
    <row r="366" customFormat="false" ht="17.15" hidden="false" customHeight="false" outlineLevel="0" collapsed="false">
      <c r="A366" s="0" t="s">
        <v>1289</v>
      </c>
      <c r="B366" s="0" t="s">
        <v>1290</v>
      </c>
      <c r="C366" s="6" t="s">
        <v>1253</v>
      </c>
      <c r="D366" s="13" t="n">
        <v>16</v>
      </c>
      <c r="E366" s="13" t="n">
        <v>20</v>
      </c>
      <c r="F366" s="13" t="n">
        <v>24</v>
      </c>
      <c r="G366" s="12" t="s">
        <v>159</v>
      </c>
      <c r="H366" s="6" t="s">
        <v>1291</v>
      </c>
      <c r="I366" s="12" t="s">
        <v>1292</v>
      </c>
    </row>
    <row r="367" customFormat="false" ht="17.15" hidden="false" customHeight="false" outlineLevel="0" collapsed="false">
      <c r="A367" s="0" t="s">
        <v>1293</v>
      </c>
      <c r="B367" s="6" t="s">
        <v>1294</v>
      </c>
      <c r="C367" s="6" t="s">
        <v>1295</v>
      </c>
      <c r="D367" s="13" t="n">
        <v>100</v>
      </c>
      <c r="E367" s="13" t="n">
        <v>150</v>
      </c>
      <c r="F367" s="13" t="n">
        <v>200</v>
      </c>
      <c r="G367" s="12" t="s">
        <v>159</v>
      </c>
      <c r="H367" s="12" t="s">
        <v>1296</v>
      </c>
      <c r="I367" s="12" t="s">
        <v>1297</v>
      </c>
      <c r="J367" s="6" t="s">
        <v>1298</v>
      </c>
    </row>
    <row r="368" customFormat="false" ht="17.15" hidden="false" customHeight="false" outlineLevel="0" collapsed="false">
      <c r="A368" s="0" t="s">
        <v>1299</v>
      </c>
      <c r="B368" s="6" t="s">
        <v>1300</v>
      </c>
      <c r="C368" s="0" t="s">
        <v>60</v>
      </c>
      <c r="D368" s="11" t="n">
        <v>0.15</v>
      </c>
      <c r="E368" s="11" t="n">
        <v>0.25</v>
      </c>
      <c r="F368" s="11" t="n">
        <v>0.35</v>
      </c>
      <c r="G368" s="12" t="s">
        <v>159</v>
      </c>
      <c r="H368" s="6" t="s">
        <v>1301</v>
      </c>
      <c r="I368" s="12" t="s">
        <v>1302</v>
      </c>
      <c r="J368" s="6" t="s">
        <v>1303</v>
      </c>
    </row>
    <row r="369" customFormat="false" ht="17.15" hidden="false" customHeight="false" outlineLevel="0" collapsed="false">
      <c r="A369" s="0" t="s">
        <v>1304</v>
      </c>
      <c r="B369" s="0" t="s">
        <v>1305</v>
      </c>
      <c r="C369" s="6" t="s">
        <v>1306</v>
      </c>
      <c r="E369" s="13" t="n">
        <v>77.5</v>
      </c>
      <c r="G369" s="12" t="s">
        <v>61</v>
      </c>
      <c r="H369" s="12" t="s">
        <v>1307</v>
      </c>
      <c r="I369" s="12" t="s">
        <v>1308</v>
      </c>
    </row>
    <row r="370" customFormat="false" ht="17.15" hidden="false" customHeight="false" outlineLevel="0" collapsed="false">
      <c r="A370" s="0" t="s">
        <v>1309</v>
      </c>
      <c r="B370" s="0" t="s">
        <v>1310</v>
      </c>
      <c r="C370" s="6" t="s">
        <v>1306</v>
      </c>
      <c r="E370" s="13" t="n">
        <v>130</v>
      </c>
      <c r="G370" s="12" t="s">
        <v>61</v>
      </c>
      <c r="H370" s="12" t="s">
        <v>1311</v>
      </c>
      <c r="I370" s="12" t="s">
        <v>1312</v>
      </c>
    </row>
    <row r="371" customFormat="false" ht="17.15" hidden="false" customHeight="false" outlineLevel="0" collapsed="false">
      <c r="A371" s="0" t="s">
        <v>1313</v>
      </c>
      <c r="B371" s="0" t="s">
        <v>1314</v>
      </c>
      <c r="C371" s="6" t="s">
        <v>1306</v>
      </c>
      <c r="E371" s="13" t="n">
        <v>200</v>
      </c>
      <c r="G371" s="12" t="s">
        <v>61</v>
      </c>
      <c r="H371" s="12" t="s">
        <v>1315</v>
      </c>
      <c r="I371" s="12" t="s">
        <v>1316</v>
      </c>
    </row>
    <row r="372" customFormat="false" ht="17.15" hidden="false" customHeight="false" outlineLevel="0" collapsed="false">
      <c r="A372" s="0" t="s">
        <v>1317</v>
      </c>
      <c r="B372" s="0" t="s">
        <v>1318</v>
      </c>
      <c r="C372" s="6" t="s">
        <v>1306</v>
      </c>
      <c r="E372" s="13" t="n">
        <v>260</v>
      </c>
      <c r="G372" s="12" t="s">
        <v>61</v>
      </c>
      <c r="H372" s="12" t="s">
        <v>1319</v>
      </c>
      <c r="I372" s="12" t="s">
        <v>1320</v>
      </c>
    </row>
    <row r="373" customFormat="false" ht="17.15" hidden="false" customHeight="false" outlineLevel="0" collapsed="false">
      <c r="A373" s="0" t="s">
        <v>1321</v>
      </c>
      <c r="B373" s="0" t="s">
        <v>1322</v>
      </c>
      <c r="C373" s="6" t="s">
        <v>1306</v>
      </c>
      <c r="D373" s="13" t="n">
        <v>280</v>
      </c>
      <c r="E373" s="13" t="n">
        <v>320</v>
      </c>
      <c r="F373" s="13" t="n">
        <v>380</v>
      </c>
      <c r="G373" s="12" t="s">
        <v>159</v>
      </c>
      <c r="H373" s="12" t="s">
        <v>1323</v>
      </c>
      <c r="I373" s="12" t="s">
        <v>1324</v>
      </c>
      <c r="J373" s="6" t="s">
        <v>1325</v>
      </c>
    </row>
    <row r="374" customFormat="false" ht="17.15" hidden="false" customHeight="false" outlineLevel="0" collapsed="false">
      <c r="A374" s="0" t="s">
        <v>1326</v>
      </c>
      <c r="B374" s="6" t="s">
        <v>1327</v>
      </c>
      <c r="C374" s="0" t="s">
        <v>60</v>
      </c>
      <c r="D374" s="11" t="n">
        <v>0.05</v>
      </c>
      <c r="E374" s="11" t="n">
        <v>0.1</v>
      </c>
      <c r="F374" s="11" t="n">
        <v>0.2</v>
      </c>
      <c r="G374" s="12" t="s">
        <v>159</v>
      </c>
      <c r="H374" s="6" t="s">
        <v>1328</v>
      </c>
      <c r="I374" s="12" t="s">
        <v>1329</v>
      </c>
    </row>
    <row r="375" customFormat="false" ht="17.15" hidden="false" customHeight="false" outlineLevel="0" collapsed="false">
      <c r="A375" s="0" t="s">
        <v>1330</v>
      </c>
      <c r="B375" s="0" t="s">
        <v>1331</v>
      </c>
      <c r="C375" s="6" t="s">
        <v>1295</v>
      </c>
      <c r="E375" s="13" t="n">
        <v>1394</v>
      </c>
      <c r="G375" s="12" t="s">
        <v>61</v>
      </c>
      <c r="H375" s="12" t="s">
        <v>1332</v>
      </c>
      <c r="I375" s="12" t="s">
        <v>1333</v>
      </c>
    </row>
    <row r="376" customFormat="false" ht="17.15" hidden="false" customHeight="false" outlineLevel="0" collapsed="false">
      <c r="A376" s="0" t="s">
        <v>1334</v>
      </c>
      <c r="B376" s="0" t="s">
        <v>1335</v>
      </c>
      <c r="C376" s="6" t="s">
        <v>1295</v>
      </c>
      <c r="E376" s="13" t="n">
        <v>2509</v>
      </c>
      <c r="G376" s="12" t="s">
        <v>61</v>
      </c>
      <c r="H376" s="12" t="s">
        <v>1336</v>
      </c>
      <c r="I376" s="12" t="s">
        <v>1337</v>
      </c>
    </row>
    <row r="377" customFormat="false" ht="17.15" hidden="false" customHeight="false" outlineLevel="0" collapsed="false">
      <c r="A377" s="10" t="s">
        <v>1338</v>
      </c>
    </row>
    <row r="378" customFormat="false" ht="17.15" hidden="false" customHeight="false" outlineLevel="0" collapsed="false">
      <c r="A378" s="0" t="s">
        <v>1339</v>
      </c>
      <c r="B378" s="6" t="s">
        <v>1340</v>
      </c>
      <c r="C378" s="0" t="s">
        <v>1341</v>
      </c>
      <c r="E378" s="13" t="n">
        <v>7.72</v>
      </c>
      <c r="G378" s="12" t="s">
        <v>61</v>
      </c>
      <c r="H378" s="6" t="s">
        <v>1342</v>
      </c>
      <c r="I378" s="12" t="s">
        <v>1343</v>
      </c>
      <c r="J378" s="12" t="s">
        <v>1344</v>
      </c>
    </row>
    <row r="379" customFormat="false" ht="17.15" hidden="false" customHeight="false" outlineLevel="0" collapsed="false">
      <c r="A379" s="0" t="s">
        <v>1345</v>
      </c>
      <c r="B379" s="6" t="s">
        <v>1346</v>
      </c>
      <c r="C379" s="0" t="s">
        <v>60</v>
      </c>
      <c r="D379" s="11" t="n">
        <v>0.25</v>
      </c>
      <c r="E379" s="11" t="n">
        <v>0.32</v>
      </c>
      <c r="F379" s="11" t="n">
        <v>0.4</v>
      </c>
      <c r="G379" s="12" t="s">
        <v>848</v>
      </c>
      <c r="H379" s="6" t="s">
        <v>1347</v>
      </c>
      <c r="I379" s="12" t="s">
        <v>1348</v>
      </c>
      <c r="J379" s="12" t="s">
        <v>1349</v>
      </c>
    </row>
    <row r="380" customFormat="false" ht="17.15" hidden="false" customHeight="false" outlineLevel="0" collapsed="false">
      <c r="A380" s="0" t="s">
        <v>1350</v>
      </c>
      <c r="B380" s="0" t="s">
        <v>1351</v>
      </c>
      <c r="C380" s="0" t="s">
        <v>60</v>
      </c>
      <c r="D380" s="11" t="n">
        <v>0.35</v>
      </c>
      <c r="E380" s="11" t="n">
        <v>0.45</v>
      </c>
      <c r="F380" s="11" t="n">
        <v>0.5</v>
      </c>
      <c r="G380" s="12" t="s">
        <v>61</v>
      </c>
      <c r="H380" s="12" t="s">
        <v>1352</v>
      </c>
      <c r="I380" s="12" t="s">
        <v>1353</v>
      </c>
      <c r="J380" s="6" t="s">
        <v>1354</v>
      </c>
    </row>
    <row r="381" customFormat="false" ht="17.15" hidden="false" customHeight="false" outlineLevel="0" collapsed="false">
      <c r="A381" s="0" t="s">
        <v>1355</v>
      </c>
      <c r="B381" s="6" t="s">
        <v>1356</v>
      </c>
      <c r="C381" s="0" t="s">
        <v>60</v>
      </c>
      <c r="D381" s="11" t="n">
        <v>0.5</v>
      </c>
      <c r="E381" s="11" t="n">
        <v>0.64</v>
      </c>
      <c r="F381" s="11" t="n">
        <v>0.8</v>
      </c>
      <c r="G381" s="12" t="s">
        <v>490</v>
      </c>
      <c r="H381" s="6" t="s">
        <v>1357</v>
      </c>
      <c r="I381" s="12" t="s">
        <v>1358</v>
      </c>
      <c r="J381" s="6" t="s">
        <v>1359</v>
      </c>
    </row>
    <row r="382" customFormat="false" ht="17.15" hidden="false" customHeight="false" outlineLevel="0" collapsed="false">
      <c r="A382" s="0" t="s">
        <v>1360</v>
      </c>
      <c r="B382" s="6" t="s">
        <v>1361</v>
      </c>
      <c r="C382" s="0" t="s">
        <v>489</v>
      </c>
      <c r="D382" s="13" t="n">
        <v>0.3</v>
      </c>
      <c r="E382" s="13" t="n">
        <v>0.5</v>
      </c>
      <c r="F382" s="13" t="n">
        <v>0.8</v>
      </c>
      <c r="G382" s="12" t="s">
        <v>848</v>
      </c>
      <c r="H382" s="6" t="s">
        <v>1362</v>
      </c>
      <c r="I382" s="12" t="s">
        <v>1363</v>
      </c>
      <c r="J382" s="6" t="s">
        <v>1364</v>
      </c>
    </row>
    <row r="383" customFormat="false" ht="17.15" hidden="false" customHeight="false" outlineLevel="0" collapsed="false">
      <c r="A383" s="0" t="s">
        <v>1365</v>
      </c>
      <c r="B383" s="6" t="s">
        <v>1366</v>
      </c>
      <c r="C383" s="0" t="s">
        <v>60</v>
      </c>
      <c r="D383" s="11" t="n">
        <v>-0.02</v>
      </c>
      <c r="E383" s="11" t="n">
        <v>0.03</v>
      </c>
      <c r="F383" s="11" t="n">
        <v>0.06</v>
      </c>
      <c r="G383" s="12" t="s">
        <v>159</v>
      </c>
      <c r="H383" s="6" t="s">
        <v>1367</v>
      </c>
      <c r="I383" s="12" t="s">
        <v>1368</v>
      </c>
      <c r="J383" s="6" t="s">
        <v>1369</v>
      </c>
    </row>
    <row r="384" customFormat="false" ht="17.15" hidden="false" customHeight="false" outlineLevel="0" collapsed="false">
      <c r="A384" s="0" t="s">
        <v>1370</v>
      </c>
      <c r="B384" s="0" t="s">
        <v>1371</v>
      </c>
      <c r="C384" s="0" t="s">
        <v>1341</v>
      </c>
      <c r="D384" s="13" t="n">
        <v>1.85</v>
      </c>
      <c r="E384" s="13" t="n">
        <v>2.1</v>
      </c>
      <c r="F384" s="13" t="n">
        <v>2.35</v>
      </c>
      <c r="G384" s="12" t="s">
        <v>159</v>
      </c>
      <c r="H384" s="12" t="s">
        <v>1372</v>
      </c>
      <c r="I384" s="12" t="s">
        <v>1373</v>
      </c>
      <c r="J384" s="6" t="s">
        <v>1374</v>
      </c>
    </row>
    <row r="385" customFormat="false" ht="17.15" hidden="false" customHeight="false" outlineLevel="0" collapsed="false">
      <c r="A385" s="0" t="s">
        <v>1375</v>
      </c>
      <c r="B385" s="6" t="s">
        <v>1376</v>
      </c>
      <c r="C385" s="0" t="s">
        <v>1341</v>
      </c>
      <c r="E385" s="13" t="n">
        <v>3.07</v>
      </c>
      <c r="G385" s="12" t="s">
        <v>490</v>
      </c>
      <c r="H385" s="6" t="s">
        <v>1377</v>
      </c>
      <c r="I385" s="12" t="s">
        <v>1378</v>
      </c>
      <c r="J385" s="6" t="s">
        <v>1379</v>
      </c>
    </row>
    <row r="386" customFormat="false" ht="17.15" hidden="false" customHeight="false" outlineLevel="0" collapsed="false">
      <c r="A386" s="0" t="s">
        <v>1380</v>
      </c>
      <c r="B386" s="6" t="s">
        <v>1381</v>
      </c>
      <c r="C386" s="0" t="s">
        <v>1341</v>
      </c>
      <c r="E386" s="13" t="n">
        <v>1.06</v>
      </c>
      <c r="G386" s="12" t="s">
        <v>490</v>
      </c>
      <c r="H386" s="6" t="s">
        <v>1382</v>
      </c>
      <c r="I386" s="12" t="s">
        <v>1383</v>
      </c>
      <c r="J386" s="6" t="s">
        <v>66</v>
      </c>
    </row>
    <row r="387" customFormat="false" ht="17.15" hidden="false" customHeight="false" outlineLevel="0" collapsed="false">
      <c r="A387" s="0" t="s">
        <v>1384</v>
      </c>
      <c r="B387" s="6" t="s">
        <v>1385</v>
      </c>
      <c r="C387" s="0" t="s">
        <v>1341</v>
      </c>
      <c r="E387" s="13" t="n">
        <v>0.7</v>
      </c>
      <c r="G387" s="12" t="s">
        <v>490</v>
      </c>
      <c r="H387" s="6" t="s">
        <v>1386</v>
      </c>
      <c r="I387" s="12" t="s">
        <v>1387</v>
      </c>
      <c r="J387" s="6" t="s">
        <v>66</v>
      </c>
    </row>
    <row r="388" customFormat="false" ht="17.15" hidden="false" customHeight="false" outlineLevel="0" collapsed="false">
      <c r="A388" s="0" t="s">
        <v>1388</v>
      </c>
      <c r="B388" s="0" t="s">
        <v>1389</v>
      </c>
      <c r="C388" s="0" t="s">
        <v>489</v>
      </c>
      <c r="D388" s="13" t="n">
        <v>1.1</v>
      </c>
      <c r="E388" s="13" t="n">
        <v>1.25</v>
      </c>
      <c r="F388" s="13" t="n">
        <v>1.4</v>
      </c>
      <c r="G388" s="12" t="s">
        <v>159</v>
      </c>
      <c r="H388" s="12" t="s">
        <v>1141</v>
      </c>
      <c r="I388" s="12" t="s">
        <v>1390</v>
      </c>
      <c r="J388" s="12" t="s">
        <v>1391</v>
      </c>
    </row>
    <row r="389" customFormat="false" ht="17.15" hidden="false" customHeight="false" outlineLevel="0" collapsed="false">
      <c r="A389" s="0" t="s">
        <v>1392</v>
      </c>
      <c r="B389" s="0" t="s">
        <v>1393</v>
      </c>
      <c r="C389" s="0" t="s">
        <v>489</v>
      </c>
      <c r="D389" s="13" t="n">
        <v>1.3</v>
      </c>
      <c r="E389" s="13" t="n">
        <v>1.55</v>
      </c>
      <c r="F389" s="13" t="n">
        <v>1.8</v>
      </c>
      <c r="G389" s="12" t="s">
        <v>159</v>
      </c>
      <c r="H389" s="6" t="s">
        <v>66</v>
      </c>
      <c r="I389" s="12" t="s">
        <v>1394</v>
      </c>
      <c r="J389" s="12" t="s">
        <v>675</v>
      </c>
    </row>
    <row r="390" customFormat="false" ht="17.15" hidden="false" customHeight="false" outlineLevel="0" collapsed="false">
      <c r="A390" s="0" t="s">
        <v>1395</v>
      </c>
      <c r="B390" s="0" t="s">
        <v>1396</v>
      </c>
      <c r="C390" s="0" t="s">
        <v>489</v>
      </c>
      <c r="D390" s="13" t="n">
        <v>1.5</v>
      </c>
      <c r="E390" s="13" t="n">
        <v>1.8</v>
      </c>
      <c r="F390" s="13" t="n">
        <v>2.1</v>
      </c>
      <c r="G390" s="12" t="s">
        <v>159</v>
      </c>
      <c r="H390" s="6" t="s">
        <v>66</v>
      </c>
      <c r="I390" s="12" t="s">
        <v>1397</v>
      </c>
      <c r="J390" s="12" t="s">
        <v>675</v>
      </c>
    </row>
    <row r="391" customFormat="false" ht="17.15" hidden="false" customHeight="false" outlineLevel="0" collapsed="false">
      <c r="A391" s="0" t="s">
        <v>1398</v>
      </c>
      <c r="B391" s="0" t="s">
        <v>1399</v>
      </c>
      <c r="C391" s="0" t="s">
        <v>489</v>
      </c>
      <c r="D391" s="13" t="n">
        <v>1.25</v>
      </c>
      <c r="E391" s="13" t="n">
        <v>1.35</v>
      </c>
      <c r="F391" s="13" t="n">
        <v>1.45</v>
      </c>
      <c r="G391" s="12" t="s">
        <v>159</v>
      </c>
      <c r="H391" s="6" t="s">
        <v>1400</v>
      </c>
      <c r="I391" s="12" t="s">
        <v>1401</v>
      </c>
      <c r="J391" s="6" t="s">
        <v>1402</v>
      </c>
    </row>
    <row r="392" customFormat="false" ht="17.15" hidden="false" customHeight="false" outlineLevel="0" collapsed="false">
      <c r="A392" s="0" t="s">
        <v>1403</v>
      </c>
      <c r="B392" s="0" t="s">
        <v>1404</v>
      </c>
      <c r="C392" s="0" t="s">
        <v>489</v>
      </c>
      <c r="D392" s="13" t="n">
        <v>1.5</v>
      </c>
      <c r="E392" s="13" t="n">
        <v>1.7</v>
      </c>
      <c r="F392" s="13" t="n">
        <v>1.9</v>
      </c>
      <c r="G392" s="12" t="s">
        <v>159</v>
      </c>
      <c r="H392" s="6" t="s">
        <v>66</v>
      </c>
      <c r="I392" s="12" t="s">
        <v>1405</v>
      </c>
      <c r="J392" s="6" t="s">
        <v>1406</v>
      </c>
    </row>
    <row r="393" customFormat="false" ht="17.15" hidden="false" customHeight="false" outlineLevel="0" collapsed="false">
      <c r="A393" s="0" t="s">
        <v>1407</v>
      </c>
      <c r="B393" s="0" t="s">
        <v>1408</v>
      </c>
      <c r="C393" s="0" t="s">
        <v>489</v>
      </c>
      <c r="D393" s="13" t="n">
        <v>1.7</v>
      </c>
      <c r="E393" s="13" t="n">
        <v>2</v>
      </c>
      <c r="F393" s="13" t="n">
        <v>2.3</v>
      </c>
      <c r="G393" s="12" t="s">
        <v>159</v>
      </c>
      <c r="H393" s="6" t="s">
        <v>66</v>
      </c>
      <c r="I393" s="12" t="s">
        <v>1409</v>
      </c>
      <c r="J393" s="6" t="s">
        <v>1406</v>
      </c>
    </row>
    <row r="394" customFormat="false" ht="17.15" hidden="false" customHeight="false" outlineLevel="0" collapsed="false">
      <c r="A394" s="0" t="s">
        <v>1410</v>
      </c>
      <c r="B394" s="0" t="s">
        <v>1399</v>
      </c>
      <c r="C394" s="0" t="s">
        <v>489</v>
      </c>
      <c r="D394" s="13" t="n">
        <v>1.1</v>
      </c>
      <c r="E394" s="13" t="n">
        <v>1.2</v>
      </c>
      <c r="F394" s="13" t="n">
        <v>1.3</v>
      </c>
      <c r="G394" s="12" t="s">
        <v>159</v>
      </c>
      <c r="H394" s="6" t="s">
        <v>1411</v>
      </c>
      <c r="I394" s="12" t="s">
        <v>1412</v>
      </c>
      <c r="J394" s="6" t="s">
        <v>1413</v>
      </c>
    </row>
    <row r="395" customFormat="false" ht="17.15" hidden="false" customHeight="false" outlineLevel="0" collapsed="false">
      <c r="A395" s="0" t="s">
        <v>1414</v>
      </c>
      <c r="B395" s="0" t="s">
        <v>1404</v>
      </c>
      <c r="C395" s="0" t="s">
        <v>489</v>
      </c>
      <c r="D395" s="13" t="n">
        <v>1.2</v>
      </c>
      <c r="E395" s="13" t="n">
        <v>1.35</v>
      </c>
      <c r="F395" s="13" t="n">
        <v>1.5</v>
      </c>
      <c r="G395" s="12" t="s">
        <v>159</v>
      </c>
      <c r="H395" s="6" t="s">
        <v>66</v>
      </c>
      <c r="I395" s="12" t="s">
        <v>1415</v>
      </c>
      <c r="J395" s="6" t="s">
        <v>1416</v>
      </c>
    </row>
    <row r="396" customFormat="false" ht="17.15" hidden="false" customHeight="false" outlineLevel="0" collapsed="false">
      <c r="A396" s="0" t="s">
        <v>1417</v>
      </c>
      <c r="B396" s="0" t="s">
        <v>1408</v>
      </c>
      <c r="C396" s="0" t="s">
        <v>489</v>
      </c>
      <c r="D396" s="13" t="n">
        <v>1.35</v>
      </c>
      <c r="E396" s="13" t="n">
        <v>1.6</v>
      </c>
      <c r="F396" s="13" t="n">
        <v>1.85</v>
      </c>
      <c r="G396" s="12" t="s">
        <v>159</v>
      </c>
      <c r="H396" s="6" t="s">
        <v>66</v>
      </c>
      <c r="I396" s="12" t="s">
        <v>1418</v>
      </c>
      <c r="J396" s="12" t="s">
        <v>675</v>
      </c>
    </row>
    <row r="397" customFormat="false" ht="17.15" hidden="false" customHeight="false" outlineLevel="0" collapsed="false">
      <c r="A397" s="0" t="s">
        <v>1419</v>
      </c>
      <c r="B397" s="0" t="s">
        <v>1399</v>
      </c>
      <c r="C397" s="0" t="s">
        <v>489</v>
      </c>
      <c r="D397" s="13" t="n">
        <v>1.1</v>
      </c>
      <c r="E397" s="13" t="n">
        <v>1.2</v>
      </c>
      <c r="F397" s="13" t="n">
        <v>1.25</v>
      </c>
      <c r="G397" s="12" t="s">
        <v>61</v>
      </c>
      <c r="H397" s="6" t="s">
        <v>1420</v>
      </c>
      <c r="I397" s="12" t="s">
        <v>1421</v>
      </c>
      <c r="J397" s="6" t="s">
        <v>1422</v>
      </c>
    </row>
    <row r="398" customFormat="false" ht="17.15" hidden="false" customHeight="false" outlineLevel="0" collapsed="false">
      <c r="A398" s="0" t="s">
        <v>1423</v>
      </c>
      <c r="B398" s="0" t="s">
        <v>1404</v>
      </c>
      <c r="C398" s="0" t="s">
        <v>489</v>
      </c>
      <c r="D398" s="13" t="n">
        <v>1.3</v>
      </c>
      <c r="E398" s="13" t="n">
        <v>1.5</v>
      </c>
      <c r="F398" s="13" t="n">
        <v>1.62</v>
      </c>
      <c r="G398" s="12" t="s">
        <v>159</v>
      </c>
      <c r="H398" s="6" t="s">
        <v>1424</v>
      </c>
      <c r="I398" s="12" t="s">
        <v>1425</v>
      </c>
      <c r="J398" s="12" t="s">
        <v>1426</v>
      </c>
    </row>
    <row r="399" customFormat="false" ht="17.15" hidden="false" customHeight="false" outlineLevel="0" collapsed="false">
      <c r="A399" s="0" t="s">
        <v>1427</v>
      </c>
      <c r="B399" s="0" t="s">
        <v>1408</v>
      </c>
      <c r="C399" s="0" t="s">
        <v>489</v>
      </c>
      <c r="D399" s="13" t="n">
        <v>1.55</v>
      </c>
      <c r="E399" s="13" t="n">
        <v>1.85</v>
      </c>
      <c r="F399" s="13" t="n">
        <v>2</v>
      </c>
      <c r="G399" s="12" t="s">
        <v>159</v>
      </c>
      <c r="H399" s="6" t="s">
        <v>1424</v>
      </c>
      <c r="I399" s="12" t="s">
        <v>1428</v>
      </c>
      <c r="J399" s="12" t="s">
        <v>675</v>
      </c>
    </row>
    <row r="400" customFormat="false" ht="17.15" hidden="false" customHeight="false" outlineLevel="0" collapsed="false">
      <c r="A400" s="0" t="s">
        <v>1429</v>
      </c>
      <c r="B400" s="6" t="s">
        <v>1430</v>
      </c>
      <c r="C400" s="0" t="s">
        <v>489</v>
      </c>
      <c r="D400" s="13" t="n">
        <v>1.05</v>
      </c>
      <c r="E400" s="13" t="n">
        <v>1.15</v>
      </c>
      <c r="F400" s="13" t="n">
        <v>1.3</v>
      </c>
      <c r="G400" s="12" t="s">
        <v>159</v>
      </c>
      <c r="H400" s="6" t="s">
        <v>1431</v>
      </c>
      <c r="I400" s="12" t="s">
        <v>1432</v>
      </c>
      <c r="J400" s="6" t="s">
        <v>1433</v>
      </c>
    </row>
    <row r="401" customFormat="false" ht="17.15" hidden="false" customHeight="false" outlineLevel="0" collapsed="false">
      <c r="A401" s="0" t="s">
        <v>1434</v>
      </c>
      <c r="B401" s="6" t="s">
        <v>1435</v>
      </c>
      <c r="C401" s="0" t="s">
        <v>489</v>
      </c>
      <c r="D401" s="13" t="n">
        <v>1.15</v>
      </c>
      <c r="E401" s="13" t="n">
        <v>1.3</v>
      </c>
      <c r="F401" s="13" t="n">
        <v>1.55</v>
      </c>
      <c r="G401" s="12" t="s">
        <v>159</v>
      </c>
      <c r="H401" s="6" t="s">
        <v>66</v>
      </c>
      <c r="I401" s="12" t="s">
        <v>1436</v>
      </c>
      <c r="J401" s="12" t="s">
        <v>675</v>
      </c>
    </row>
    <row r="402" customFormat="false" ht="17.15" hidden="false" customHeight="false" outlineLevel="0" collapsed="false">
      <c r="A402" s="0" t="s">
        <v>1437</v>
      </c>
      <c r="B402" s="6" t="s">
        <v>1438</v>
      </c>
      <c r="C402" s="0" t="s">
        <v>489</v>
      </c>
      <c r="D402" s="13" t="n">
        <v>1.25</v>
      </c>
      <c r="E402" s="13" t="n">
        <v>1.45</v>
      </c>
      <c r="F402" s="13" t="n">
        <v>1.75</v>
      </c>
      <c r="G402" s="12" t="s">
        <v>159</v>
      </c>
      <c r="H402" s="6" t="s">
        <v>66</v>
      </c>
      <c r="I402" s="12" t="s">
        <v>1439</v>
      </c>
      <c r="J402" s="12" t="s">
        <v>675</v>
      </c>
    </row>
    <row r="403" customFormat="false" ht="17.15" hidden="false" customHeight="false" outlineLevel="0" collapsed="false">
      <c r="A403" s="0" t="s">
        <v>1440</v>
      </c>
      <c r="B403" s="0" t="s">
        <v>1441</v>
      </c>
      <c r="C403" s="0" t="s">
        <v>489</v>
      </c>
      <c r="D403" s="13" t="n">
        <v>1.15</v>
      </c>
      <c r="E403" s="13" t="n">
        <v>1.3</v>
      </c>
      <c r="F403" s="13" t="n">
        <v>1.45</v>
      </c>
      <c r="G403" s="12" t="s">
        <v>159</v>
      </c>
      <c r="H403" s="12" t="s">
        <v>1442</v>
      </c>
      <c r="I403" s="12" t="s">
        <v>1443</v>
      </c>
      <c r="J403" s="6" t="s">
        <v>1444</v>
      </c>
    </row>
    <row r="404" customFormat="false" ht="17.15" hidden="false" customHeight="false" outlineLevel="0" collapsed="false">
      <c r="A404" s="0" t="s">
        <v>1445</v>
      </c>
      <c r="B404" s="0" t="s">
        <v>1446</v>
      </c>
      <c r="C404" s="0" t="s">
        <v>489</v>
      </c>
      <c r="D404" s="13" t="n">
        <v>1.3</v>
      </c>
      <c r="E404" s="13" t="n">
        <v>1.55</v>
      </c>
      <c r="F404" s="13" t="n">
        <v>1.85</v>
      </c>
      <c r="G404" s="12" t="s">
        <v>159</v>
      </c>
      <c r="H404" s="6" t="s">
        <v>66</v>
      </c>
      <c r="I404" s="12" t="s">
        <v>1447</v>
      </c>
      <c r="J404" s="12" t="s">
        <v>675</v>
      </c>
    </row>
    <row r="405" customFormat="false" ht="17.15" hidden="false" customHeight="false" outlineLevel="0" collapsed="false">
      <c r="A405" s="0" t="s">
        <v>1448</v>
      </c>
      <c r="B405" s="0" t="s">
        <v>1449</v>
      </c>
      <c r="C405" s="0" t="s">
        <v>489</v>
      </c>
      <c r="D405" s="13" t="n">
        <v>1.45</v>
      </c>
      <c r="E405" s="13" t="n">
        <v>1.8</v>
      </c>
      <c r="F405" s="13" t="n">
        <v>2.25</v>
      </c>
      <c r="G405" s="12" t="s">
        <v>159</v>
      </c>
      <c r="H405" s="6" t="s">
        <v>66</v>
      </c>
      <c r="I405" s="12" t="s">
        <v>1450</v>
      </c>
      <c r="J405" s="12" t="s">
        <v>675</v>
      </c>
    </row>
    <row r="406" customFormat="false" ht="17.15" hidden="false" customHeight="false" outlineLevel="0" collapsed="false">
      <c r="A406" s="10" t="s">
        <v>1451</v>
      </c>
    </row>
    <row r="407" customFormat="false" ht="17.15" hidden="false" customHeight="false" outlineLevel="0" collapsed="false">
      <c r="A407" s="0" t="s">
        <v>1452</v>
      </c>
      <c r="B407" s="6" t="s">
        <v>1453</v>
      </c>
      <c r="C407" s="0" t="s">
        <v>1454</v>
      </c>
      <c r="D407" s="13" t="n">
        <v>200</v>
      </c>
      <c r="E407" s="13" t="n">
        <v>280</v>
      </c>
      <c r="F407" s="13" t="n">
        <v>360</v>
      </c>
      <c r="G407" s="12" t="s">
        <v>159</v>
      </c>
      <c r="H407" s="6" t="s">
        <v>1455</v>
      </c>
      <c r="I407" s="12" t="s">
        <v>1456</v>
      </c>
      <c r="J407" s="6" t="s">
        <v>1457</v>
      </c>
    </row>
    <row r="408" customFormat="false" ht="17.15" hidden="false" customHeight="false" outlineLevel="0" collapsed="false">
      <c r="A408" s="0" t="s">
        <v>1458</v>
      </c>
      <c r="B408" s="6" t="s">
        <v>1459</v>
      </c>
      <c r="C408" s="0" t="s">
        <v>1454</v>
      </c>
      <c r="D408" s="13" t="n">
        <v>80</v>
      </c>
      <c r="E408" s="13" t="n">
        <v>120</v>
      </c>
      <c r="F408" s="13" t="n">
        <v>160</v>
      </c>
      <c r="G408" s="12" t="s">
        <v>159</v>
      </c>
      <c r="H408" s="6" t="s">
        <v>1460</v>
      </c>
      <c r="I408" s="12" t="s">
        <v>1461</v>
      </c>
      <c r="J408" s="6" t="s">
        <v>1462</v>
      </c>
    </row>
    <row r="409" customFormat="false" ht="17.15" hidden="false" customHeight="false" outlineLevel="0" collapsed="false">
      <c r="A409" s="0" t="s">
        <v>1463</v>
      </c>
      <c r="B409" s="6" t="s">
        <v>1464</v>
      </c>
      <c r="C409" s="0" t="s">
        <v>1454</v>
      </c>
      <c r="D409" s="13" t="n">
        <v>30</v>
      </c>
      <c r="E409" s="13" t="n">
        <v>50</v>
      </c>
      <c r="F409" s="13" t="n">
        <v>80</v>
      </c>
      <c r="G409" s="12" t="s">
        <v>159</v>
      </c>
      <c r="H409" s="6" t="s">
        <v>1465</v>
      </c>
      <c r="I409" s="12" t="s">
        <v>1466</v>
      </c>
      <c r="J409" s="12" t="s">
        <v>1467</v>
      </c>
    </row>
    <row r="410" customFormat="false" ht="17.15" hidden="false" customHeight="false" outlineLevel="0" collapsed="false">
      <c r="A410" s="0" t="s">
        <v>1468</v>
      </c>
      <c r="B410" s="6" t="s">
        <v>1469</v>
      </c>
      <c r="C410" s="0" t="s">
        <v>489</v>
      </c>
      <c r="D410" s="13" t="n">
        <v>1.25</v>
      </c>
      <c r="E410" s="13" t="n">
        <v>1.5</v>
      </c>
      <c r="F410" s="13" t="n">
        <v>1.75</v>
      </c>
      <c r="G410" s="12" t="s">
        <v>848</v>
      </c>
      <c r="H410" s="12" t="s">
        <v>1470</v>
      </c>
      <c r="I410" s="12" t="s">
        <v>1471</v>
      </c>
      <c r="J410" s="12" t="s">
        <v>1472</v>
      </c>
    </row>
    <row r="411" customFormat="false" ht="17.15" hidden="false" customHeight="false" outlineLevel="0" collapsed="false">
      <c r="A411" s="0" t="s">
        <v>1473</v>
      </c>
      <c r="B411" s="6" t="s">
        <v>1474</v>
      </c>
      <c r="C411" s="0" t="s">
        <v>489</v>
      </c>
      <c r="D411" s="13" t="n">
        <v>1.35</v>
      </c>
      <c r="E411" s="13" t="n">
        <v>1.65</v>
      </c>
      <c r="F411" s="13" t="n">
        <v>2</v>
      </c>
      <c r="G411" s="12" t="s">
        <v>848</v>
      </c>
      <c r="H411" s="6" t="s">
        <v>66</v>
      </c>
      <c r="I411" s="12" t="s">
        <v>1475</v>
      </c>
      <c r="J411" s="12" t="s">
        <v>675</v>
      </c>
    </row>
    <row r="412" customFormat="false" ht="17.15" hidden="false" customHeight="false" outlineLevel="0" collapsed="false">
      <c r="A412" s="0" t="s">
        <v>1476</v>
      </c>
      <c r="B412" s="6" t="s">
        <v>1477</v>
      </c>
      <c r="C412" s="0" t="s">
        <v>489</v>
      </c>
      <c r="D412" s="13" t="n">
        <v>1.4</v>
      </c>
      <c r="E412" s="13" t="n">
        <v>1.8</v>
      </c>
      <c r="F412" s="13" t="n">
        <v>2.2</v>
      </c>
      <c r="G412" s="12" t="s">
        <v>848</v>
      </c>
      <c r="H412" s="6" t="s">
        <v>66</v>
      </c>
      <c r="I412" s="12" t="s">
        <v>1478</v>
      </c>
      <c r="J412" s="12" t="s">
        <v>675</v>
      </c>
    </row>
    <row r="413" customFormat="false" ht="17.15" hidden="false" customHeight="false" outlineLevel="0" collapsed="false">
      <c r="A413" s="0" t="s">
        <v>1479</v>
      </c>
      <c r="B413" s="6" t="s">
        <v>1480</v>
      </c>
      <c r="C413" s="0" t="s">
        <v>489</v>
      </c>
      <c r="D413" s="13" t="n">
        <v>1.15</v>
      </c>
      <c r="E413" s="13" t="n">
        <v>1.35</v>
      </c>
      <c r="F413" s="13" t="n">
        <v>1.6</v>
      </c>
      <c r="G413" s="12" t="s">
        <v>159</v>
      </c>
      <c r="H413" s="6" t="s">
        <v>1481</v>
      </c>
      <c r="I413" s="12" t="s">
        <v>1482</v>
      </c>
      <c r="J413" s="6" t="s">
        <v>1483</v>
      </c>
    </row>
    <row r="414" customFormat="false" ht="17.15" hidden="false" customHeight="false" outlineLevel="0" collapsed="false">
      <c r="A414" s="0" t="s">
        <v>1484</v>
      </c>
      <c r="B414" s="6" t="s">
        <v>1485</v>
      </c>
      <c r="C414" s="0" t="s">
        <v>489</v>
      </c>
      <c r="D414" s="13" t="n">
        <v>1.25</v>
      </c>
      <c r="E414" s="13" t="n">
        <v>1.5</v>
      </c>
      <c r="F414" s="13" t="n">
        <v>1.85</v>
      </c>
      <c r="G414" s="12" t="s">
        <v>159</v>
      </c>
      <c r="H414" s="6" t="s">
        <v>66</v>
      </c>
      <c r="I414" s="12" t="s">
        <v>1486</v>
      </c>
      <c r="J414" s="12" t="s">
        <v>675</v>
      </c>
    </row>
    <row r="415" customFormat="false" ht="17.15" hidden="false" customHeight="false" outlineLevel="0" collapsed="false">
      <c r="A415" s="0" t="s">
        <v>1487</v>
      </c>
      <c r="B415" s="6" t="s">
        <v>1488</v>
      </c>
      <c r="C415" s="0" t="s">
        <v>489</v>
      </c>
      <c r="D415" s="13" t="n">
        <v>1.3</v>
      </c>
      <c r="E415" s="13" t="n">
        <v>1.65</v>
      </c>
      <c r="F415" s="13" t="n">
        <v>2.1</v>
      </c>
      <c r="G415" s="12" t="s">
        <v>159</v>
      </c>
      <c r="H415" s="6" t="s">
        <v>66</v>
      </c>
      <c r="I415" s="12" t="s">
        <v>1489</v>
      </c>
      <c r="J415" s="12" t="s">
        <v>675</v>
      </c>
    </row>
    <row r="416" customFormat="false" ht="17.15" hidden="false" customHeight="false" outlineLevel="0" collapsed="false">
      <c r="A416" s="0" t="s">
        <v>1490</v>
      </c>
      <c r="B416" s="6" t="s">
        <v>1491</v>
      </c>
      <c r="C416" s="0" t="s">
        <v>489</v>
      </c>
      <c r="D416" s="13" t="n">
        <v>1.4</v>
      </c>
      <c r="E416" s="13" t="n">
        <v>2</v>
      </c>
      <c r="F416" s="13" t="n">
        <v>2.6</v>
      </c>
      <c r="G416" s="12" t="s">
        <v>159</v>
      </c>
      <c r="H416" s="12" t="s">
        <v>1492</v>
      </c>
      <c r="I416" s="12" t="s">
        <v>1493</v>
      </c>
      <c r="J416" s="6" t="s">
        <v>1494</v>
      </c>
    </row>
    <row r="417" customFormat="false" ht="17.15" hidden="false" customHeight="false" outlineLevel="0" collapsed="false">
      <c r="A417" s="0" t="s">
        <v>1495</v>
      </c>
      <c r="B417" s="6" t="s">
        <v>1496</v>
      </c>
      <c r="C417" s="0" t="s">
        <v>489</v>
      </c>
      <c r="D417" s="13" t="n">
        <v>1.8</v>
      </c>
      <c r="E417" s="13" t="n">
        <v>3</v>
      </c>
      <c r="F417" s="13" t="n">
        <v>4</v>
      </c>
      <c r="G417" s="12" t="s">
        <v>159</v>
      </c>
      <c r="H417" s="6" t="s">
        <v>66</v>
      </c>
      <c r="I417" s="12" t="s">
        <v>1497</v>
      </c>
      <c r="J417" s="12" t="s">
        <v>675</v>
      </c>
    </row>
    <row r="418" customFormat="false" ht="17.15" hidden="false" customHeight="false" outlineLevel="0" collapsed="false">
      <c r="A418" s="0" t="s">
        <v>1498</v>
      </c>
      <c r="B418" s="6" t="s">
        <v>1499</v>
      </c>
      <c r="C418" s="0" t="s">
        <v>489</v>
      </c>
      <c r="D418" s="13" t="n">
        <v>2</v>
      </c>
      <c r="E418" s="13" t="n">
        <v>3.5</v>
      </c>
      <c r="F418" s="13" t="n">
        <v>5</v>
      </c>
      <c r="G418" s="12" t="s">
        <v>159</v>
      </c>
      <c r="H418" s="6" t="s">
        <v>66</v>
      </c>
      <c r="I418" s="12" t="s">
        <v>1500</v>
      </c>
      <c r="J418" s="12" t="s">
        <v>675</v>
      </c>
    </row>
    <row r="419" customFormat="false" ht="17.15" hidden="false" customHeight="false" outlineLevel="0" collapsed="false">
      <c r="A419" s="0" t="s">
        <v>1501</v>
      </c>
      <c r="B419" s="6" t="s">
        <v>1502</v>
      </c>
      <c r="C419" s="0" t="s">
        <v>1454</v>
      </c>
      <c r="D419" s="13" t="n">
        <v>130</v>
      </c>
      <c r="E419" s="13" t="n">
        <v>190</v>
      </c>
      <c r="F419" s="13" t="n">
        <v>250</v>
      </c>
      <c r="G419" s="12" t="s">
        <v>159</v>
      </c>
      <c r="H419" s="6" t="s">
        <v>1503</v>
      </c>
      <c r="I419" s="12" t="s">
        <v>1504</v>
      </c>
      <c r="J419" s="12" t="s">
        <v>1505</v>
      </c>
    </row>
    <row r="420" customFormat="false" ht="17.15" hidden="false" customHeight="false" outlineLevel="0" collapsed="false">
      <c r="A420" s="0" t="s">
        <v>1506</v>
      </c>
      <c r="B420" s="6" t="s">
        <v>1507</v>
      </c>
      <c r="C420" s="0" t="s">
        <v>1454</v>
      </c>
      <c r="D420" s="13" t="n">
        <v>60</v>
      </c>
      <c r="E420" s="13" t="n">
        <v>90</v>
      </c>
      <c r="F420" s="13" t="n">
        <v>120</v>
      </c>
      <c r="G420" s="12" t="s">
        <v>159</v>
      </c>
      <c r="H420" s="6" t="s">
        <v>1508</v>
      </c>
      <c r="I420" s="12" t="s">
        <v>1509</v>
      </c>
      <c r="J420" s="12" t="s">
        <v>1510</v>
      </c>
    </row>
    <row r="421" customFormat="false" ht="17.15" hidden="false" customHeight="false" outlineLevel="0" collapsed="false">
      <c r="A421" s="0" t="s">
        <v>1511</v>
      </c>
      <c r="B421" s="6" t="s">
        <v>1512</v>
      </c>
      <c r="C421" s="0" t="s">
        <v>1454</v>
      </c>
      <c r="D421" s="13" t="n">
        <v>40</v>
      </c>
      <c r="E421" s="13" t="n">
        <v>70</v>
      </c>
      <c r="F421" s="13" t="n">
        <v>100</v>
      </c>
      <c r="G421" s="12" t="s">
        <v>159</v>
      </c>
      <c r="H421" s="6" t="s">
        <v>1513</v>
      </c>
      <c r="I421" s="12" t="s">
        <v>1514</v>
      </c>
      <c r="J421" s="12" t="s">
        <v>1515</v>
      </c>
    </row>
    <row r="422" customFormat="false" ht="17.15" hidden="false" customHeight="false" outlineLevel="0" collapsed="false">
      <c r="A422" s="0" t="s">
        <v>1516</v>
      </c>
      <c r="B422" s="6" t="s">
        <v>1517</v>
      </c>
      <c r="C422" s="0" t="s">
        <v>489</v>
      </c>
      <c r="D422" s="13" t="n">
        <v>1.2</v>
      </c>
      <c r="E422" s="13" t="n">
        <v>1.45</v>
      </c>
      <c r="F422" s="13" t="n">
        <v>1.8</v>
      </c>
      <c r="G422" s="12" t="s">
        <v>848</v>
      </c>
      <c r="H422" s="6" t="s">
        <v>1518</v>
      </c>
      <c r="I422" s="12" t="s">
        <v>1519</v>
      </c>
      <c r="J422" s="12" t="s">
        <v>1520</v>
      </c>
    </row>
    <row r="423" customFormat="false" ht="17.15" hidden="false" customHeight="false" outlineLevel="0" collapsed="false">
      <c r="A423" s="0" t="s">
        <v>1521</v>
      </c>
      <c r="B423" s="6" t="s">
        <v>1522</v>
      </c>
      <c r="C423" s="0" t="s">
        <v>489</v>
      </c>
      <c r="D423" s="13" t="n">
        <v>1.3</v>
      </c>
      <c r="E423" s="13" t="n">
        <v>1.6</v>
      </c>
      <c r="F423" s="13" t="n">
        <v>2</v>
      </c>
      <c r="G423" s="12" t="s">
        <v>848</v>
      </c>
      <c r="H423" s="6" t="s">
        <v>66</v>
      </c>
      <c r="I423" s="12" t="s">
        <v>1523</v>
      </c>
      <c r="J423" s="12" t="s">
        <v>675</v>
      </c>
    </row>
    <row r="424" customFormat="false" ht="17.15" hidden="false" customHeight="false" outlineLevel="0" collapsed="false">
      <c r="A424" s="0" t="s">
        <v>1524</v>
      </c>
      <c r="B424" s="6" t="s">
        <v>1525</v>
      </c>
      <c r="C424" s="0" t="s">
        <v>489</v>
      </c>
      <c r="D424" s="13" t="n">
        <v>1.3</v>
      </c>
      <c r="E424" s="13" t="n">
        <v>1.7</v>
      </c>
      <c r="F424" s="13" t="n">
        <v>2.2</v>
      </c>
      <c r="G424" s="12" t="s">
        <v>848</v>
      </c>
      <c r="H424" s="6" t="s">
        <v>66</v>
      </c>
      <c r="I424" s="12" t="s">
        <v>1526</v>
      </c>
      <c r="J424" s="12" t="s">
        <v>675</v>
      </c>
    </row>
    <row r="425" customFormat="false" ht="17.15" hidden="false" customHeight="false" outlineLevel="0" collapsed="false">
      <c r="A425" s="0" t="s">
        <v>1527</v>
      </c>
      <c r="B425" s="6" t="s">
        <v>1528</v>
      </c>
      <c r="C425" s="0" t="s">
        <v>489</v>
      </c>
      <c r="D425" s="13" t="n">
        <v>1.15</v>
      </c>
      <c r="E425" s="13" t="n">
        <v>1.4</v>
      </c>
      <c r="F425" s="13" t="n">
        <v>1.7</v>
      </c>
      <c r="G425" s="12" t="s">
        <v>159</v>
      </c>
      <c r="H425" s="6" t="s">
        <v>1529</v>
      </c>
      <c r="I425" s="12" t="s">
        <v>1530</v>
      </c>
      <c r="J425" s="6" t="s">
        <v>1531</v>
      </c>
    </row>
    <row r="426" customFormat="false" ht="17.15" hidden="false" customHeight="false" outlineLevel="0" collapsed="false">
      <c r="A426" s="0" t="s">
        <v>1532</v>
      </c>
      <c r="B426" s="6" t="s">
        <v>1533</v>
      </c>
      <c r="C426" s="0" t="s">
        <v>489</v>
      </c>
      <c r="D426" s="13" t="n">
        <v>1.25</v>
      </c>
      <c r="E426" s="13" t="n">
        <v>1.6</v>
      </c>
      <c r="F426" s="13" t="n">
        <v>2</v>
      </c>
      <c r="G426" s="12" t="s">
        <v>159</v>
      </c>
      <c r="H426" s="6" t="s">
        <v>66</v>
      </c>
      <c r="I426" s="12" t="s">
        <v>1534</v>
      </c>
      <c r="J426" s="12" t="s">
        <v>675</v>
      </c>
    </row>
    <row r="427" customFormat="false" ht="17.15" hidden="false" customHeight="false" outlineLevel="0" collapsed="false">
      <c r="A427" s="0" t="s">
        <v>1535</v>
      </c>
      <c r="B427" s="6" t="s">
        <v>1536</v>
      </c>
      <c r="C427" s="0" t="s">
        <v>489</v>
      </c>
      <c r="D427" s="13" t="n">
        <v>1.3</v>
      </c>
      <c r="E427" s="13" t="n">
        <v>1.75</v>
      </c>
      <c r="F427" s="13" t="n">
        <v>2.2</v>
      </c>
      <c r="G427" s="12" t="s">
        <v>159</v>
      </c>
      <c r="H427" s="6" t="s">
        <v>66</v>
      </c>
      <c r="I427" s="12" t="s">
        <v>1537</v>
      </c>
      <c r="J427" s="12" t="s">
        <v>675</v>
      </c>
    </row>
    <row r="428" customFormat="false" ht="17.15" hidden="false" customHeight="false" outlineLevel="0" collapsed="false">
      <c r="A428" s="0" t="s">
        <v>1538</v>
      </c>
      <c r="B428" s="6" t="s">
        <v>1539</v>
      </c>
      <c r="C428" s="0" t="s">
        <v>489</v>
      </c>
      <c r="D428" s="13" t="n">
        <v>1.3</v>
      </c>
      <c r="E428" s="13" t="n">
        <v>1.8</v>
      </c>
      <c r="F428" s="13" t="n">
        <v>2.5</v>
      </c>
      <c r="G428" s="12" t="s">
        <v>159</v>
      </c>
      <c r="H428" s="12" t="s">
        <v>1540</v>
      </c>
      <c r="I428" s="12" t="s">
        <v>1541</v>
      </c>
      <c r="J428" s="12" t="s">
        <v>1542</v>
      </c>
    </row>
    <row r="429" customFormat="false" ht="17.15" hidden="false" customHeight="false" outlineLevel="0" collapsed="false">
      <c r="A429" s="0" t="s">
        <v>1543</v>
      </c>
      <c r="B429" s="6" t="s">
        <v>1544</v>
      </c>
      <c r="C429" s="0" t="s">
        <v>489</v>
      </c>
      <c r="D429" s="13" t="n">
        <v>1.5</v>
      </c>
      <c r="E429" s="13" t="n">
        <v>2.3</v>
      </c>
      <c r="F429" s="13" t="n">
        <v>3</v>
      </c>
      <c r="G429" s="12" t="s">
        <v>159</v>
      </c>
      <c r="H429" s="6" t="s">
        <v>66</v>
      </c>
      <c r="I429" s="12" t="s">
        <v>1545</v>
      </c>
      <c r="J429" s="12" t="s">
        <v>675</v>
      </c>
    </row>
    <row r="430" customFormat="false" ht="17.15" hidden="false" customHeight="false" outlineLevel="0" collapsed="false">
      <c r="A430" s="0" t="s">
        <v>1546</v>
      </c>
      <c r="B430" s="6" t="s">
        <v>1547</v>
      </c>
      <c r="C430" s="0" t="s">
        <v>489</v>
      </c>
      <c r="D430" s="13" t="n">
        <v>1.5</v>
      </c>
      <c r="E430" s="13" t="n">
        <v>2.6</v>
      </c>
      <c r="F430" s="13" t="n">
        <v>3.5</v>
      </c>
      <c r="G430" s="12" t="s">
        <v>159</v>
      </c>
      <c r="H430" s="6" t="s">
        <v>66</v>
      </c>
      <c r="I430" s="12" t="s">
        <v>1548</v>
      </c>
      <c r="J430" s="12" t="s">
        <v>675</v>
      </c>
    </row>
    <row r="431" customFormat="false" ht="17.15" hidden="false" customHeight="false" outlineLevel="0" collapsed="false">
      <c r="A431" s="10" t="s">
        <v>1549</v>
      </c>
    </row>
    <row r="432" customFormat="false" ht="17.15" hidden="false" customHeight="false" outlineLevel="0" collapsed="false">
      <c r="A432" s="0" t="s">
        <v>1550</v>
      </c>
      <c r="B432" s="0" t="s">
        <v>1551</v>
      </c>
      <c r="C432" s="0" t="s">
        <v>1552</v>
      </c>
      <c r="D432" s="13" t="n">
        <v>380</v>
      </c>
      <c r="E432" s="13" t="n">
        <v>450</v>
      </c>
      <c r="F432" s="13" t="n">
        <v>520</v>
      </c>
      <c r="G432" s="12" t="s">
        <v>490</v>
      </c>
      <c r="H432" s="12" t="s">
        <v>1553</v>
      </c>
      <c r="I432" s="12" t="s">
        <v>1554</v>
      </c>
      <c r="J432" s="12" t="s">
        <v>1555</v>
      </c>
    </row>
    <row r="433" customFormat="false" ht="17.15" hidden="false" customHeight="false" outlineLevel="0" collapsed="false">
      <c r="A433" s="0" t="s">
        <v>1556</v>
      </c>
      <c r="B433" s="0" t="s">
        <v>1557</v>
      </c>
      <c r="C433" s="0" t="s">
        <v>1552</v>
      </c>
      <c r="D433" s="13" t="n">
        <v>500</v>
      </c>
      <c r="E433" s="13" t="n">
        <v>600</v>
      </c>
      <c r="F433" s="13" t="n">
        <v>700</v>
      </c>
      <c r="G433" s="12" t="s">
        <v>490</v>
      </c>
      <c r="H433" s="12" t="s">
        <v>1558</v>
      </c>
      <c r="I433" s="12" t="s">
        <v>1559</v>
      </c>
      <c r="J433" s="6" t="s">
        <v>1560</v>
      </c>
    </row>
    <row r="434" customFormat="false" ht="17.15" hidden="false" customHeight="false" outlineLevel="0" collapsed="false">
      <c r="A434" s="0" t="s">
        <v>1561</v>
      </c>
      <c r="B434" s="0" t="s">
        <v>1562</v>
      </c>
      <c r="C434" s="0" t="s">
        <v>1552</v>
      </c>
      <c r="D434" s="13" t="n">
        <v>550</v>
      </c>
      <c r="E434" s="13" t="n">
        <v>680</v>
      </c>
      <c r="F434" s="13" t="n">
        <v>800</v>
      </c>
      <c r="G434" s="12" t="s">
        <v>159</v>
      </c>
      <c r="H434" s="6" t="s">
        <v>1563</v>
      </c>
      <c r="I434" s="12" t="s">
        <v>1564</v>
      </c>
      <c r="J434" s="12" t="s">
        <v>1565</v>
      </c>
    </row>
    <row r="435" customFormat="false" ht="17.15" hidden="false" customHeight="false" outlineLevel="0" collapsed="false">
      <c r="A435" s="0" t="s">
        <v>1566</v>
      </c>
      <c r="B435" s="0" t="s">
        <v>1567</v>
      </c>
      <c r="C435" s="0" t="s">
        <v>1552</v>
      </c>
      <c r="D435" s="13" t="n">
        <v>550</v>
      </c>
      <c r="E435" s="13" t="n">
        <v>720</v>
      </c>
      <c r="F435" s="13" t="n">
        <v>850</v>
      </c>
      <c r="G435" s="12" t="s">
        <v>159</v>
      </c>
      <c r="H435" s="6" t="s">
        <v>66</v>
      </c>
      <c r="I435" s="12" t="s">
        <v>1568</v>
      </c>
      <c r="J435" s="12" t="s">
        <v>675</v>
      </c>
    </row>
    <row r="436" customFormat="false" ht="17.15" hidden="false" customHeight="false" outlineLevel="0" collapsed="false">
      <c r="A436" s="0" t="s">
        <v>1569</v>
      </c>
      <c r="B436" s="6" t="s">
        <v>1570</v>
      </c>
      <c r="C436" s="0" t="s">
        <v>489</v>
      </c>
      <c r="D436" s="13" t="n">
        <v>0.85</v>
      </c>
      <c r="E436" s="13" t="n">
        <v>0.95</v>
      </c>
      <c r="F436" s="13" t="n">
        <v>1</v>
      </c>
      <c r="G436" s="12" t="s">
        <v>159</v>
      </c>
      <c r="H436" s="12" t="s">
        <v>1571</v>
      </c>
      <c r="I436" s="12" t="s">
        <v>1572</v>
      </c>
      <c r="J436" s="6" t="s">
        <v>1573</v>
      </c>
    </row>
    <row r="437" customFormat="false" ht="17.15" hidden="false" customHeight="false" outlineLevel="0" collapsed="false">
      <c r="A437" s="0" t="s">
        <v>1574</v>
      </c>
      <c r="B437" s="6" t="s">
        <v>1575</v>
      </c>
      <c r="C437" s="0" t="s">
        <v>489</v>
      </c>
      <c r="D437" s="13" t="n">
        <v>0.7</v>
      </c>
      <c r="E437" s="13" t="n">
        <v>0.9</v>
      </c>
      <c r="F437" s="13" t="n">
        <v>1</v>
      </c>
      <c r="G437" s="12" t="s">
        <v>159</v>
      </c>
      <c r="H437" s="6" t="s">
        <v>66</v>
      </c>
      <c r="I437" s="12" t="s">
        <v>1576</v>
      </c>
      <c r="J437" s="12" t="s">
        <v>675</v>
      </c>
    </row>
    <row r="438" customFormat="false" ht="17.15" hidden="false" customHeight="false" outlineLevel="0" collapsed="false">
      <c r="A438" s="0" t="s">
        <v>1577</v>
      </c>
      <c r="B438" s="6" t="s">
        <v>1578</v>
      </c>
      <c r="C438" s="0" t="s">
        <v>489</v>
      </c>
      <c r="D438" s="13" t="n">
        <v>0.65</v>
      </c>
      <c r="E438" s="13" t="n">
        <v>0.85</v>
      </c>
      <c r="F438" s="13" t="n">
        <v>1</v>
      </c>
      <c r="G438" s="12" t="s">
        <v>159</v>
      </c>
      <c r="H438" s="6" t="s">
        <v>66</v>
      </c>
      <c r="I438" s="12" t="s">
        <v>1579</v>
      </c>
      <c r="J438" s="12" t="s">
        <v>675</v>
      </c>
    </row>
    <row r="439" customFormat="false" ht="17.15" hidden="false" customHeight="false" outlineLevel="0" collapsed="false">
      <c r="A439" s="0" t="s">
        <v>1580</v>
      </c>
      <c r="B439" s="6" t="s">
        <v>1581</v>
      </c>
      <c r="C439" s="0" t="s">
        <v>489</v>
      </c>
      <c r="D439" s="13" t="n">
        <v>0.85</v>
      </c>
      <c r="E439" s="13" t="n">
        <v>1</v>
      </c>
      <c r="F439" s="13" t="n">
        <v>1.1</v>
      </c>
      <c r="G439" s="12" t="s">
        <v>159</v>
      </c>
      <c r="H439" s="6" t="s">
        <v>1582</v>
      </c>
      <c r="I439" s="12" t="s">
        <v>1583</v>
      </c>
      <c r="J439" s="6" t="s">
        <v>1584</v>
      </c>
    </row>
    <row r="440" customFormat="false" ht="17.15" hidden="false" customHeight="false" outlineLevel="0" collapsed="false">
      <c r="A440" s="0" t="s">
        <v>1585</v>
      </c>
      <c r="B440" s="6" t="s">
        <v>1586</v>
      </c>
      <c r="C440" s="0" t="s">
        <v>489</v>
      </c>
      <c r="D440" s="13" t="n">
        <v>0.8</v>
      </c>
      <c r="E440" s="13" t="n">
        <v>1</v>
      </c>
      <c r="F440" s="13" t="n">
        <v>1.2</v>
      </c>
      <c r="G440" s="12" t="s">
        <v>159</v>
      </c>
      <c r="H440" s="6" t="s">
        <v>66</v>
      </c>
      <c r="I440" s="12" t="s">
        <v>1587</v>
      </c>
      <c r="J440" s="12" t="s">
        <v>675</v>
      </c>
    </row>
    <row r="441" customFormat="false" ht="17.15" hidden="false" customHeight="false" outlineLevel="0" collapsed="false">
      <c r="A441" s="0" t="s">
        <v>1588</v>
      </c>
      <c r="B441" s="6" t="s">
        <v>1589</v>
      </c>
      <c r="C441" s="0" t="s">
        <v>489</v>
      </c>
      <c r="D441" s="13" t="n">
        <v>0.75</v>
      </c>
      <c r="E441" s="13" t="n">
        <v>1</v>
      </c>
      <c r="F441" s="13" t="n">
        <v>1.25</v>
      </c>
      <c r="G441" s="12" t="s">
        <v>159</v>
      </c>
      <c r="H441" s="6" t="s">
        <v>66</v>
      </c>
      <c r="I441" s="12" t="s">
        <v>1590</v>
      </c>
      <c r="J441" s="12" t="s">
        <v>675</v>
      </c>
    </row>
    <row r="442" customFormat="false" ht="17.15" hidden="false" customHeight="false" outlineLevel="0" collapsed="false">
      <c r="A442" s="0" t="s">
        <v>1591</v>
      </c>
      <c r="B442" s="6" t="s">
        <v>1592</v>
      </c>
      <c r="C442" s="0" t="s">
        <v>60</v>
      </c>
      <c r="E442" s="11" t="n">
        <v>0.583671939396773</v>
      </c>
      <c r="G442" s="12" t="s">
        <v>490</v>
      </c>
      <c r="H442" s="12" t="s">
        <v>1593</v>
      </c>
      <c r="I442" s="12" t="s">
        <v>1594</v>
      </c>
      <c r="J442" s="6" t="s">
        <v>1595</v>
      </c>
    </row>
    <row r="443" customFormat="false" ht="17.15" hidden="false" customHeight="false" outlineLevel="0" collapsed="false">
      <c r="A443" s="0" t="s">
        <v>1596</v>
      </c>
      <c r="B443" s="6" t="s">
        <v>1597</v>
      </c>
      <c r="C443" s="0" t="s">
        <v>60</v>
      </c>
      <c r="E443" s="11" t="n">
        <v>0.176143316327046</v>
      </c>
      <c r="G443" s="12" t="s">
        <v>490</v>
      </c>
      <c r="H443" s="12" t="s">
        <v>1598</v>
      </c>
      <c r="I443" s="12" t="s">
        <v>1599</v>
      </c>
      <c r="J443" s="6" t="s">
        <v>1600</v>
      </c>
    </row>
    <row r="444" customFormat="false" ht="17.15" hidden="false" customHeight="false" outlineLevel="0" collapsed="false">
      <c r="A444" s="0" t="s">
        <v>1601</v>
      </c>
      <c r="B444" s="6" t="s">
        <v>1602</v>
      </c>
      <c r="C444" s="0" t="s">
        <v>60</v>
      </c>
      <c r="E444" s="11" t="n">
        <v>0.7</v>
      </c>
      <c r="G444" s="12" t="s">
        <v>61</v>
      </c>
      <c r="H444" s="6" t="s">
        <v>1603</v>
      </c>
      <c r="I444" s="12" t="s">
        <v>1604</v>
      </c>
      <c r="J444" s="6" t="s">
        <v>1605</v>
      </c>
    </row>
    <row r="445" customFormat="false" ht="17.15" hidden="false" customHeight="false" outlineLevel="0" collapsed="false">
      <c r="A445" s="0" t="s">
        <v>1606</v>
      </c>
      <c r="B445" s="6" t="s">
        <v>1607</v>
      </c>
      <c r="C445" s="0" t="s">
        <v>60</v>
      </c>
      <c r="D445" s="11" t="n">
        <v>0.6</v>
      </c>
      <c r="E445" s="11" t="n">
        <v>0.625</v>
      </c>
      <c r="F445" s="11" t="n">
        <v>0.65</v>
      </c>
      <c r="G445" s="12" t="s">
        <v>61</v>
      </c>
      <c r="H445" s="12" t="s">
        <v>1608</v>
      </c>
      <c r="I445" s="12" t="s">
        <v>1609</v>
      </c>
      <c r="J445" s="6" t="s">
        <v>1610</v>
      </c>
    </row>
    <row r="446" customFormat="false" ht="17.15" hidden="false" customHeight="false" outlineLevel="0" collapsed="false">
      <c r="A446" s="0" t="s">
        <v>1611</v>
      </c>
      <c r="B446" s="0" t="s">
        <v>1612</v>
      </c>
      <c r="C446" s="0" t="s">
        <v>1341</v>
      </c>
      <c r="E446" s="13" t="n">
        <v>17.7</v>
      </c>
      <c r="G446" s="12" t="s">
        <v>61</v>
      </c>
      <c r="H446" s="12" t="s">
        <v>1613</v>
      </c>
      <c r="I446" s="12" t="s">
        <v>1614</v>
      </c>
      <c r="J446" s="6" t="s">
        <v>1615</v>
      </c>
    </row>
    <row r="447" customFormat="false" ht="17.15" hidden="false" customHeight="false" outlineLevel="0" collapsed="false">
      <c r="A447" s="0" t="s">
        <v>1616</v>
      </c>
      <c r="B447" s="0" t="s">
        <v>1617</v>
      </c>
      <c r="C447" s="0" t="s">
        <v>1341</v>
      </c>
      <c r="E447" s="13" t="n">
        <v>38.2</v>
      </c>
      <c r="G447" s="12" t="s">
        <v>61</v>
      </c>
      <c r="H447" s="6" t="s">
        <v>66</v>
      </c>
      <c r="I447" s="12" t="s">
        <v>1618</v>
      </c>
      <c r="J447" s="12" t="s">
        <v>675</v>
      </c>
    </row>
    <row r="448" customFormat="false" ht="17.15" hidden="false" customHeight="false" outlineLevel="0" collapsed="false">
      <c r="A448" s="10" t="s">
        <v>1619</v>
      </c>
    </row>
    <row r="449" customFormat="false" ht="17.15" hidden="false" customHeight="false" outlineLevel="0" collapsed="false">
      <c r="A449" s="0" t="s">
        <v>1620</v>
      </c>
      <c r="B449" s="0" t="s">
        <v>1621</v>
      </c>
      <c r="C449" s="0" t="s">
        <v>1622</v>
      </c>
      <c r="D449" s="13" t="n">
        <v>3.6</v>
      </c>
      <c r="E449" s="13" t="n">
        <v>4</v>
      </c>
      <c r="F449" s="13" t="n">
        <v>4.3</v>
      </c>
      <c r="G449" s="12" t="s">
        <v>61</v>
      </c>
      <c r="H449" s="12" t="s">
        <v>1623</v>
      </c>
      <c r="I449" s="12" t="s">
        <v>1624</v>
      </c>
      <c r="J449" s="12" t="s">
        <v>1625</v>
      </c>
    </row>
    <row r="450" customFormat="false" ht="17.15" hidden="false" customHeight="false" outlineLevel="0" collapsed="false">
      <c r="A450" s="0" t="s">
        <v>1626</v>
      </c>
      <c r="B450" s="0" t="s">
        <v>1627</v>
      </c>
      <c r="C450" s="0" t="s">
        <v>1622</v>
      </c>
      <c r="D450" s="13" t="n">
        <v>6.5</v>
      </c>
      <c r="E450" s="13" t="n">
        <v>6.75</v>
      </c>
      <c r="F450" s="13" t="n">
        <v>7</v>
      </c>
      <c r="G450" s="12" t="s">
        <v>61</v>
      </c>
      <c r="H450" s="12" t="s">
        <v>1628</v>
      </c>
      <c r="I450" s="12" t="s">
        <v>1629</v>
      </c>
      <c r="J450" s="12" t="s">
        <v>1630</v>
      </c>
    </row>
    <row r="451" customFormat="false" ht="17.15" hidden="false" customHeight="false" outlineLevel="0" collapsed="false">
      <c r="A451" s="0" t="s">
        <v>1631</v>
      </c>
      <c r="B451" s="0" t="s">
        <v>1632</v>
      </c>
      <c r="C451" s="0" t="s">
        <v>60</v>
      </c>
      <c r="D451" s="11" t="n">
        <v>0.45</v>
      </c>
      <c r="E451" s="11" t="n">
        <v>0.48</v>
      </c>
      <c r="F451" s="11" t="n">
        <v>0.52</v>
      </c>
      <c r="G451" s="12" t="s">
        <v>61</v>
      </c>
      <c r="H451" s="6" t="s">
        <v>1633</v>
      </c>
      <c r="I451" s="12" t="s">
        <v>1634</v>
      </c>
      <c r="J451" s="6" t="s">
        <v>1635</v>
      </c>
    </row>
    <row r="452" customFormat="false" ht="17.15" hidden="false" customHeight="false" outlineLevel="0" collapsed="false">
      <c r="A452" s="10" t="s">
        <v>1636</v>
      </c>
    </row>
    <row r="453" customFormat="false" ht="17.15" hidden="false" customHeight="false" outlineLevel="0" collapsed="false">
      <c r="A453" s="0" t="s">
        <v>1637</v>
      </c>
      <c r="B453" s="0" t="s">
        <v>1638</v>
      </c>
      <c r="C453" s="0" t="s">
        <v>628</v>
      </c>
      <c r="D453" s="13" t="n">
        <v>50</v>
      </c>
      <c r="E453" s="13" t="n">
        <v>50</v>
      </c>
      <c r="F453" s="13" t="n">
        <v>50</v>
      </c>
      <c r="G453" s="12" t="s">
        <v>61</v>
      </c>
      <c r="H453" s="12" t="s">
        <v>1639</v>
      </c>
      <c r="I453" s="12" t="s">
        <v>1640</v>
      </c>
      <c r="J453" s="6" t="s">
        <v>1641</v>
      </c>
    </row>
    <row r="454" customFormat="false" ht="17.15" hidden="false" customHeight="false" outlineLevel="0" collapsed="false">
      <c r="A454" s="0" t="s">
        <v>1642</v>
      </c>
      <c r="B454" s="0" t="s">
        <v>1643</v>
      </c>
      <c r="C454" s="0" t="s">
        <v>628</v>
      </c>
      <c r="D454" s="13" t="n">
        <v>56</v>
      </c>
      <c r="E454" s="13" t="n">
        <v>56</v>
      </c>
      <c r="F454" s="13" t="n">
        <v>56</v>
      </c>
      <c r="G454" s="12" t="s">
        <v>61</v>
      </c>
      <c r="H454" s="12" t="s">
        <v>1639</v>
      </c>
      <c r="I454" s="12" t="s">
        <v>1644</v>
      </c>
      <c r="J454" s="12" t="s">
        <v>1645</v>
      </c>
    </row>
    <row r="455" customFormat="false" ht="17.15" hidden="false" customHeight="false" outlineLevel="0" collapsed="false">
      <c r="A455" s="0" t="s">
        <v>1646</v>
      </c>
      <c r="B455" s="6" t="s">
        <v>1647</v>
      </c>
      <c r="C455" s="0" t="s">
        <v>628</v>
      </c>
      <c r="D455" s="13" t="n">
        <v>3</v>
      </c>
      <c r="E455" s="13" t="n">
        <v>6</v>
      </c>
      <c r="F455" s="13" t="n">
        <v>10</v>
      </c>
      <c r="G455" s="12" t="s">
        <v>159</v>
      </c>
      <c r="H455" s="6" t="s">
        <v>1648</v>
      </c>
      <c r="I455" s="12" t="s">
        <v>1649</v>
      </c>
      <c r="J455" s="6" t="s">
        <v>1650</v>
      </c>
    </row>
    <row r="456" customFormat="false" ht="17.15" hidden="false" customHeight="false" outlineLevel="0" collapsed="false">
      <c r="A456" s="0" t="s">
        <v>1651</v>
      </c>
      <c r="B456" s="6" t="s">
        <v>1652</v>
      </c>
      <c r="C456" s="0" t="s">
        <v>489</v>
      </c>
      <c r="D456" s="13" t="n">
        <v>1</v>
      </c>
      <c r="E456" s="13" t="n">
        <v>1.3</v>
      </c>
      <c r="F456" s="13" t="n">
        <v>1.6</v>
      </c>
      <c r="G456" s="12" t="s">
        <v>159</v>
      </c>
      <c r="H456" s="12" t="s">
        <v>1653</v>
      </c>
      <c r="I456" s="12" t="s">
        <v>1654</v>
      </c>
      <c r="J456" s="12" t="s">
        <v>1655</v>
      </c>
    </row>
    <row r="457" customFormat="false" ht="17.15" hidden="false" customHeight="false" outlineLevel="0" collapsed="false">
      <c r="A457" s="0" t="s">
        <v>1656</v>
      </c>
      <c r="B457" s="6" t="s">
        <v>1657</v>
      </c>
      <c r="C457" s="0" t="s">
        <v>489</v>
      </c>
      <c r="D457" s="13" t="n">
        <v>1</v>
      </c>
      <c r="E457" s="13" t="n">
        <v>1.4</v>
      </c>
      <c r="F457" s="13" t="n">
        <v>1.8</v>
      </c>
      <c r="G457" s="12" t="s">
        <v>159</v>
      </c>
      <c r="H457" s="6" t="s">
        <v>66</v>
      </c>
      <c r="I457" s="12" t="s">
        <v>1658</v>
      </c>
      <c r="J457" s="12" t="s">
        <v>675</v>
      </c>
    </row>
    <row r="458" customFormat="false" ht="17.15" hidden="false" customHeight="false" outlineLevel="0" collapsed="false">
      <c r="A458" s="0" t="s">
        <v>1659</v>
      </c>
      <c r="B458" s="6" t="s">
        <v>1660</v>
      </c>
      <c r="C458" s="0" t="s">
        <v>489</v>
      </c>
      <c r="D458" s="13" t="n">
        <v>1</v>
      </c>
      <c r="E458" s="13" t="n">
        <v>1.4</v>
      </c>
      <c r="F458" s="13" t="n">
        <v>1.8</v>
      </c>
      <c r="G458" s="12" t="s">
        <v>159</v>
      </c>
      <c r="H458" s="6" t="s">
        <v>66</v>
      </c>
      <c r="I458" s="12" t="s">
        <v>1661</v>
      </c>
      <c r="J458" s="12" t="s">
        <v>675</v>
      </c>
    </row>
    <row r="459" customFormat="false" ht="17.15" hidden="false" customHeight="false" outlineLevel="0" collapsed="false">
      <c r="A459" s="0" t="s">
        <v>1662</v>
      </c>
      <c r="B459" s="6" t="s">
        <v>1663</v>
      </c>
      <c r="C459" s="0" t="s">
        <v>60</v>
      </c>
      <c r="D459" s="11" t="n">
        <v>0.45</v>
      </c>
      <c r="E459" s="11" t="n">
        <v>0.55</v>
      </c>
      <c r="F459" s="11" t="n">
        <v>0.65</v>
      </c>
      <c r="G459" s="12" t="s">
        <v>159</v>
      </c>
      <c r="H459" s="12" t="s">
        <v>1664</v>
      </c>
      <c r="I459" s="12" t="s">
        <v>1665</v>
      </c>
      <c r="J459" s="6" t="s">
        <v>1666</v>
      </c>
    </row>
    <row r="460" customFormat="false" ht="17.15" hidden="false" customHeight="false" outlineLevel="0" collapsed="false">
      <c r="A460" s="0" t="s">
        <v>1667</v>
      </c>
      <c r="B460" s="6" t="s">
        <v>1668</v>
      </c>
      <c r="C460" s="0" t="s">
        <v>60</v>
      </c>
      <c r="D460" s="11" t="n">
        <v>0.6</v>
      </c>
      <c r="E460" s="11" t="n">
        <v>0.75</v>
      </c>
      <c r="F460" s="11" t="n">
        <v>0.85</v>
      </c>
      <c r="G460" s="12" t="s">
        <v>159</v>
      </c>
      <c r="H460" s="6" t="s">
        <v>66</v>
      </c>
      <c r="I460" s="12" t="s">
        <v>1669</v>
      </c>
      <c r="J460" s="12" t="s">
        <v>675</v>
      </c>
    </row>
    <row r="461" customFormat="false" ht="17.15" hidden="false" customHeight="false" outlineLevel="0" collapsed="false">
      <c r="A461" s="0" t="s">
        <v>1670</v>
      </c>
      <c r="B461" s="6" t="s">
        <v>1671</v>
      </c>
      <c r="C461" s="0" t="s">
        <v>60</v>
      </c>
      <c r="D461" s="11" t="n">
        <v>0.7</v>
      </c>
      <c r="E461" s="11" t="n">
        <v>0.85</v>
      </c>
      <c r="F461" s="11" t="n">
        <v>0.95</v>
      </c>
      <c r="G461" s="12" t="s">
        <v>159</v>
      </c>
      <c r="H461" s="6" t="s">
        <v>66</v>
      </c>
      <c r="I461" s="12" t="s">
        <v>1672</v>
      </c>
      <c r="J461" s="12" t="s">
        <v>675</v>
      </c>
    </row>
    <row r="462" customFormat="false" ht="17.15" hidden="false" customHeight="false" outlineLevel="0" collapsed="false">
      <c r="A462" s="0" t="s">
        <v>1673</v>
      </c>
      <c r="B462" s="6" t="s">
        <v>1674</v>
      </c>
      <c r="C462" s="0" t="s">
        <v>60</v>
      </c>
      <c r="D462" s="11" t="n">
        <v>0.75</v>
      </c>
      <c r="E462" s="11" t="n">
        <v>0.9</v>
      </c>
      <c r="F462" s="11" t="n">
        <v>0.95</v>
      </c>
      <c r="G462" s="12" t="s">
        <v>159</v>
      </c>
      <c r="H462" s="6" t="s">
        <v>66</v>
      </c>
      <c r="I462" s="12" t="s">
        <v>1675</v>
      </c>
      <c r="J462" s="12" t="s">
        <v>675</v>
      </c>
    </row>
    <row r="463" customFormat="false" ht="17.15" hidden="false" customHeight="false" outlineLevel="0" collapsed="false">
      <c r="A463" s="0" t="s">
        <v>1676</v>
      </c>
      <c r="B463" s="0" t="s">
        <v>1677</v>
      </c>
      <c r="C463" s="0" t="s">
        <v>60</v>
      </c>
      <c r="E463" s="11" t="n">
        <v>0.53</v>
      </c>
      <c r="G463" s="12" t="s">
        <v>61</v>
      </c>
      <c r="H463" s="12" t="s">
        <v>1678</v>
      </c>
      <c r="I463" s="12" t="s">
        <v>1679</v>
      </c>
      <c r="J463" s="12" t="s">
        <v>675</v>
      </c>
    </row>
    <row r="464" customFormat="false" ht="17.15" hidden="false" customHeight="false" outlineLevel="0" collapsed="false">
      <c r="A464" s="0" t="s">
        <v>1680</v>
      </c>
      <c r="B464" s="0" t="s">
        <v>1681</v>
      </c>
      <c r="C464" s="0" t="s">
        <v>60</v>
      </c>
      <c r="E464" s="11" t="n">
        <v>0.6</v>
      </c>
      <c r="G464" s="12" t="s">
        <v>61</v>
      </c>
      <c r="H464" s="12" t="s">
        <v>1678</v>
      </c>
      <c r="I464" s="12" t="s">
        <v>1682</v>
      </c>
      <c r="J464" s="6" t="s">
        <v>1683</v>
      </c>
    </row>
    <row r="465" customFormat="false" ht="17.15" hidden="false" customHeight="false" outlineLevel="0" collapsed="false">
      <c r="A465" s="0" t="s">
        <v>1684</v>
      </c>
      <c r="B465" s="6" t="s">
        <v>1685</v>
      </c>
      <c r="C465" s="0" t="s">
        <v>60</v>
      </c>
      <c r="E465" s="11" t="n">
        <v>0.498927641116677</v>
      </c>
      <c r="G465" s="12" t="s">
        <v>490</v>
      </c>
      <c r="H465" s="12" t="s">
        <v>1686</v>
      </c>
      <c r="I465" s="12" t="s">
        <v>1687</v>
      </c>
      <c r="J465" s="6" t="s">
        <v>1688</v>
      </c>
    </row>
    <row r="466" customFormat="false" ht="17.15" hidden="false" customHeight="false" outlineLevel="0" collapsed="false">
      <c r="A466" s="0" t="s">
        <v>1689</v>
      </c>
      <c r="B466" s="6" t="s">
        <v>1690</v>
      </c>
      <c r="C466" s="0" t="s">
        <v>489</v>
      </c>
      <c r="D466" s="13" t="n">
        <v>0.85</v>
      </c>
      <c r="E466" s="13" t="n">
        <v>0.95</v>
      </c>
      <c r="F466" s="13" t="n">
        <v>1.05</v>
      </c>
      <c r="G466" s="12" t="s">
        <v>159</v>
      </c>
      <c r="H466" s="6" t="s">
        <v>1691</v>
      </c>
      <c r="I466" s="12" t="s">
        <v>1692</v>
      </c>
      <c r="J466" s="6" t="s">
        <v>1693</v>
      </c>
    </row>
    <row r="467" customFormat="false" ht="17.15" hidden="false" customHeight="false" outlineLevel="0" collapsed="false">
      <c r="A467" s="0" t="s">
        <v>1694</v>
      </c>
      <c r="B467" s="6" t="s">
        <v>1695</v>
      </c>
      <c r="C467" s="0" t="s">
        <v>489</v>
      </c>
      <c r="D467" s="13" t="n">
        <v>0.75</v>
      </c>
      <c r="E467" s="13" t="n">
        <v>0.9</v>
      </c>
      <c r="F467" s="13" t="n">
        <v>1.05</v>
      </c>
      <c r="G467" s="12" t="s">
        <v>159</v>
      </c>
      <c r="H467" s="6" t="s">
        <v>66</v>
      </c>
      <c r="I467" s="12" t="s">
        <v>1696</v>
      </c>
      <c r="J467" s="12" t="s">
        <v>675</v>
      </c>
    </row>
    <row r="468" customFormat="false" ht="17.15" hidden="false" customHeight="false" outlineLevel="0" collapsed="false">
      <c r="A468" s="0" t="s">
        <v>1697</v>
      </c>
      <c r="B468" s="6" t="s">
        <v>1698</v>
      </c>
      <c r="C468" s="0" t="s">
        <v>489</v>
      </c>
      <c r="D468" s="13" t="n">
        <v>0.7</v>
      </c>
      <c r="E468" s="13" t="n">
        <v>0.85</v>
      </c>
      <c r="F468" s="13" t="n">
        <v>1.05</v>
      </c>
      <c r="G468" s="12" t="s">
        <v>159</v>
      </c>
      <c r="H468" s="6" t="s">
        <v>66</v>
      </c>
      <c r="I468" s="12" t="s">
        <v>1699</v>
      </c>
      <c r="J468" s="12" t="s">
        <v>675</v>
      </c>
    </row>
    <row r="469" customFormat="false" ht="17.15" hidden="false" customHeight="false" outlineLevel="0" collapsed="false">
      <c r="A469" s="0" t="s">
        <v>1700</v>
      </c>
      <c r="B469" s="6" t="s">
        <v>1701</v>
      </c>
      <c r="C469" s="0" t="s">
        <v>60</v>
      </c>
      <c r="E469" s="11" t="n">
        <v>0.15870077644017</v>
      </c>
      <c r="G469" s="12" t="s">
        <v>490</v>
      </c>
      <c r="H469" s="12" t="s">
        <v>1702</v>
      </c>
      <c r="I469" s="12" t="s">
        <v>1703</v>
      </c>
      <c r="J469" s="6" t="s">
        <v>1688</v>
      </c>
    </row>
    <row r="470" customFormat="false" ht="17.15" hidden="false" customHeight="false" outlineLevel="0" collapsed="false">
      <c r="A470" s="0" t="s">
        <v>1704</v>
      </c>
      <c r="B470" s="6" t="s">
        <v>1705</v>
      </c>
      <c r="C470" s="0" t="s">
        <v>60</v>
      </c>
      <c r="D470" s="11" t="n">
        <v>0.003</v>
      </c>
      <c r="E470" s="11" t="n">
        <v>0.008</v>
      </c>
      <c r="F470" s="11" t="n">
        <v>0.015</v>
      </c>
      <c r="G470" s="12" t="s">
        <v>159</v>
      </c>
      <c r="H470" s="6" t="s">
        <v>1706</v>
      </c>
      <c r="I470" s="12" t="s">
        <v>1707</v>
      </c>
      <c r="J470" s="6" t="s">
        <v>1708</v>
      </c>
    </row>
    <row r="471" customFormat="false" ht="17.15" hidden="false" customHeight="false" outlineLevel="0" collapsed="false">
      <c r="A471" s="0" t="s">
        <v>1709</v>
      </c>
      <c r="B471" s="6" t="s">
        <v>1710</v>
      </c>
      <c r="C471" s="0" t="s">
        <v>60</v>
      </c>
      <c r="D471" s="11" t="n">
        <v>0.006</v>
      </c>
      <c r="E471" s="11" t="n">
        <v>0.015</v>
      </c>
      <c r="F471" s="11" t="n">
        <v>0.03</v>
      </c>
      <c r="G471" s="12" t="s">
        <v>159</v>
      </c>
      <c r="H471" s="6" t="s">
        <v>66</v>
      </c>
      <c r="I471" s="12" t="s">
        <v>1711</v>
      </c>
      <c r="J471" s="12" t="s">
        <v>675</v>
      </c>
    </row>
    <row r="472" customFormat="false" ht="17.15" hidden="false" customHeight="false" outlineLevel="0" collapsed="false">
      <c r="A472" s="0" t="s">
        <v>1712</v>
      </c>
      <c r="B472" s="6" t="s">
        <v>1713</v>
      </c>
      <c r="C472" s="0" t="s">
        <v>60</v>
      </c>
      <c r="D472" s="11" t="n">
        <v>0.01</v>
      </c>
      <c r="E472" s="11" t="n">
        <v>0.025</v>
      </c>
      <c r="F472" s="11" t="n">
        <v>0.045</v>
      </c>
      <c r="G472" s="12" t="s">
        <v>159</v>
      </c>
      <c r="H472" s="6" t="s">
        <v>66</v>
      </c>
      <c r="I472" s="12" t="s">
        <v>1714</v>
      </c>
      <c r="J472" s="12" t="s">
        <v>675</v>
      </c>
    </row>
    <row r="473" customFormat="false" ht="17.15" hidden="false" customHeight="false" outlineLevel="0" collapsed="false">
      <c r="A473" s="10" t="s">
        <v>1715</v>
      </c>
    </row>
    <row r="474" customFormat="false" ht="17.15" hidden="false" customHeight="false" outlineLevel="0" collapsed="false">
      <c r="A474" s="0" t="s">
        <v>1716</v>
      </c>
      <c r="B474" s="6" t="s">
        <v>1717</v>
      </c>
      <c r="C474" s="0" t="s">
        <v>1718</v>
      </c>
      <c r="D474" s="13" t="n">
        <v>0.1</v>
      </c>
      <c r="E474" s="13" t="n">
        <v>0.18</v>
      </c>
      <c r="F474" s="13" t="n">
        <v>0.6</v>
      </c>
      <c r="G474" s="12" t="s">
        <v>159</v>
      </c>
      <c r="H474" s="6" t="s">
        <v>1719</v>
      </c>
      <c r="I474" s="12" t="s">
        <v>1720</v>
      </c>
      <c r="J474" s="6" t="s">
        <v>1721</v>
      </c>
    </row>
    <row r="475" customFormat="false" ht="17.15" hidden="false" customHeight="false" outlineLevel="0" collapsed="false">
      <c r="A475" s="0" t="s">
        <v>1722</v>
      </c>
      <c r="B475" s="6" t="s">
        <v>1723</v>
      </c>
      <c r="C475" s="0" t="s">
        <v>1718</v>
      </c>
      <c r="D475" s="13" t="n">
        <v>0</v>
      </c>
      <c r="E475" s="13" t="n">
        <v>0.18</v>
      </c>
      <c r="F475" s="13" t="n">
        <v>0.6</v>
      </c>
      <c r="G475" s="12" t="s">
        <v>159</v>
      </c>
      <c r="H475" s="6" t="s">
        <v>1724</v>
      </c>
      <c r="I475" s="12" t="s">
        <v>1725</v>
      </c>
      <c r="J475" s="6" t="s">
        <v>1726</v>
      </c>
    </row>
    <row r="476" customFormat="false" ht="17.15" hidden="false" customHeight="false" outlineLevel="0" collapsed="false">
      <c r="A476" s="0" t="s">
        <v>1727</v>
      </c>
      <c r="B476" s="6" t="s">
        <v>1728</v>
      </c>
      <c r="C476" s="0" t="s">
        <v>1718</v>
      </c>
      <c r="D476" s="13" t="n">
        <v>0</v>
      </c>
      <c r="E476" s="13" t="n">
        <v>0.08</v>
      </c>
      <c r="F476" s="13" t="n">
        <v>0.2</v>
      </c>
      <c r="G476" s="12" t="s">
        <v>159</v>
      </c>
      <c r="H476" s="6" t="s">
        <v>1729</v>
      </c>
      <c r="I476" s="12" t="s">
        <v>1730</v>
      </c>
      <c r="J476" s="6" t="s">
        <v>1731</v>
      </c>
    </row>
    <row r="477" customFormat="false" ht="17.15" hidden="false" customHeight="false" outlineLevel="0" collapsed="false">
      <c r="A477" s="0" t="s">
        <v>1732</v>
      </c>
      <c r="B477" s="6" t="s">
        <v>1733</v>
      </c>
      <c r="C477" s="0" t="s">
        <v>60</v>
      </c>
      <c r="D477" s="11" t="n">
        <v>0.58</v>
      </c>
      <c r="E477" s="11" t="n">
        <v>0.64</v>
      </c>
      <c r="F477" s="11" t="n">
        <v>0.7</v>
      </c>
      <c r="G477" s="12" t="s">
        <v>848</v>
      </c>
      <c r="H477" s="12" t="s">
        <v>1734</v>
      </c>
      <c r="I477" s="12" t="s">
        <v>1735</v>
      </c>
      <c r="J477" s="12" t="s">
        <v>1736</v>
      </c>
    </row>
    <row r="478" customFormat="false" ht="17.15" hidden="false" customHeight="false" outlineLevel="0" collapsed="false">
      <c r="A478" s="0" t="s">
        <v>1737</v>
      </c>
      <c r="B478" s="6" t="s">
        <v>1738</v>
      </c>
      <c r="C478" s="0" t="s">
        <v>511</v>
      </c>
      <c r="D478" s="13" t="n">
        <v>6.9</v>
      </c>
      <c r="E478" s="13" t="n">
        <v>6.9</v>
      </c>
      <c r="F478" s="13" t="n">
        <v>12</v>
      </c>
      <c r="G478" s="12" t="s">
        <v>61</v>
      </c>
      <c r="H478" s="12" t="s">
        <v>1739</v>
      </c>
      <c r="I478" s="12" t="s">
        <v>1740</v>
      </c>
      <c r="J478" s="6" t="s">
        <v>1741</v>
      </c>
    </row>
    <row r="479" customFormat="false" ht="17.15" hidden="false" customHeight="false" outlineLevel="0" collapsed="false">
      <c r="A479" s="0" t="s">
        <v>1742</v>
      </c>
      <c r="B479" s="6" t="s">
        <v>1743</v>
      </c>
      <c r="C479" s="0" t="s">
        <v>511</v>
      </c>
      <c r="E479" s="13" t="n">
        <v>21.1</v>
      </c>
      <c r="G479" s="12" t="s">
        <v>61</v>
      </c>
      <c r="H479" s="12" t="s">
        <v>1744</v>
      </c>
      <c r="I479" s="12" t="s">
        <v>1745</v>
      </c>
      <c r="J479" s="12" t="s">
        <v>1746</v>
      </c>
    </row>
    <row r="480" customFormat="false" ht="17.15" hidden="false" customHeight="false" outlineLevel="0" collapsed="false">
      <c r="A480" s="0" t="s">
        <v>1747</v>
      </c>
      <c r="B480" s="6" t="s">
        <v>1748</v>
      </c>
      <c r="C480" s="0" t="s">
        <v>60</v>
      </c>
      <c r="E480" s="11" t="n">
        <v>0.2</v>
      </c>
      <c r="G480" s="12" t="s">
        <v>61</v>
      </c>
      <c r="H480" s="6" t="s">
        <v>1749</v>
      </c>
      <c r="I480" s="12" t="s">
        <v>1750</v>
      </c>
      <c r="J480" s="6" t="s">
        <v>1751</v>
      </c>
    </row>
    <row r="481" customFormat="false" ht="17.15" hidden="false" customHeight="false" outlineLevel="0" collapsed="false">
      <c r="A481" s="0" t="s">
        <v>1752</v>
      </c>
      <c r="B481" s="6" t="s">
        <v>1753</v>
      </c>
      <c r="C481" s="0" t="s">
        <v>1754</v>
      </c>
      <c r="E481" s="13" t="n">
        <v>283.7</v>
      </c>
      <c r="G481" s="12" t="s">
        <v>61</v>
      </c>
      <c r="H481" s="12" t="s">
        <v>1755</v>
      </c>
      <c r="I481" s="12" t="s">
        <v>1756</v>
      </c>
      <c r="J481" s="6" t="s">
        <v>1757</v>
      </c>
    </row>
    <row r="482" customFormat="false" ht="17.15" hidden="false" customHeight="false" outlineLevel="0" collapsed="false">
      <c r="A482" s="0" t="s">
        <v>1758</v>
      </c>
      <c r="B482" s="6" t="s">
        <v>1759</v>
      </c>
      <c r="C482" s="0" t="s">
        <v>1760</v>
      </c>
      <c r="D482" s="13" t="n">
        <v>140</v>
      </c>
      <c r="E482" s="13" t="n">
        <v>150</v>
      </c>
      <c r="F482" s="13" t="n">
        <v>155</v>
      </c>
      <c r="G482" s="12" t="s">
        <v>159</v>
      </c>
      <c r="H482" s="6" t="s">
        <v>1761</v>
      </c>
      <c r="I482" s="12" t="s">
        <v>1762</v>
      </c>
      <c r="J482" s="12" t="s">
        <v>675</v>
      </c>
    </row>
    <row r="483" customFormat="false" ht="17.15" hidden="false" customHeight="false" outlineLevel="0" collapsed="false">
      <c r="A483" s="0" t="s">
        <v>1763</v>
      </c>
      <c r="B483" s="6" t="s">
        <v>1764</v>
      </c>
      <c r="C483" s="0" t="s">
        <v>1765</v>
      </c>
      <c r="E483" s="13" t="n">
        <v>13.4</v>
      </c>
      <c r="G483" s="12" t="s">
        <v>512</v>
      </c>
      <c r="H483" s="6" t="s">
        <v>1766</v>
      </c>
      <c r="I483" s="12" t="s">
        <v>1767</v>
      </c>
      <c r="J483" s="6" t="s">
        <v>1768</v>
      </c>
    </row>
    <row r="484" customFormat="false" ht="17.15" hidden="false" customHeight="false" outlineLevel="0" collapsed="false">
      <c r="A484" s="0" t="s">
        <v>1769</v>
      </c>
      <c r="B484" s="6" t="s">
        <v>1770</v>
      </c>
      <c r="C484" s="0" t="s">
        <v>1771</v>
      </c>
      <c r="D484" s="13" t="n">
        <v>29.5</v>
      </c>
      <c r="E484" s="13" t="n">
        <v>31</v>
      </c>
      <c r="F484" s="13" t="n">
        <v>32.5</v>
      </c>
      <c r="G484" s="12" t="s">
        <v>159</v>
      </c>
      <c r="H484" s="6" t="s">
        <v>1772</v>
      </c>
      <c r="I484" s="12" t="s">
        <v>1773</v>
      </c>
      <c r="J484" s="12" t="s">
        <v>675</v>
      </c>
    </row>
    <row r="485" customFormat="false" ht="17.15" hidden="false" customHeight="false" outlineLevel="0" collapsed="false">
      <c r="A485" s="0" t="s">
        <v>1774</v>
      </c>
      <c r="B485" s="6" t="s">
        <v>1775</v>
      </c>
      <c r="C485" s="0" t="s">
        <v>1765</v>
      </c>
      <c r="G485" s="6" t="s">
        <v>1776</v>
      </c>
      <c r="H485" s="6" t="s">
        <v>1777</v>
      </c>
      <c r="I485" s="0" t="s">
        <v>1778</v>
      </c>
      <c r="J485" s="6" t="s">
        <v>1779</v>
      </c>
    </row>
    <row r="486" customFormat="false" ht="17.15" hidden="false" customHeight="false" outlineLevel="0" collapsed="false">
      <c r="A486" s="0" t="s">
        <v>1780</v>
      </c>
      <c r="B486" s="0" t="s">
        <v>1781</v>
      </c>
      <c r="C486" s="0" t="s">
        <v>511</v>
      </c>
      <c r="G486" s="6" t="s">
        <v>1776</v>
      </c>
      <c r="H486" s="0" t="s">
        <v>1782</v>
      </c>
      <c r="I486" s="0" t="s">
        <v>1783</v>
      </c>
      <c r="J486" s="0" t="s">
        <v>1784</v>
      </c>
    </row>
    <row r="487" customFormat="false" ht="17.15" hidden="false" customHeight="false" outlineLevel="0" collapsed="false">
      <c r="A487" s="0" t="s">
        <v>1785</v>
      </c>
      <c r="B487" s="0" t="s">
        <v>1786</v>
      </c>
      <c r="C487" s="0" t="s">
        <v>511</v>
      </c>
      <c r="E487" s="13" t="n">
        <v>38.8</v>
      </c>
      <c r="G487" s="12" t="s">
        <v>61</v>
      </c>
      <c r="H487" s="12" t="s">
        <v>1787</v>
      </c>
      <c r="I487" s="12" t="s">
        <v>1788</v>
      </c>
      <c r="J487" s="6" t="s">
        <v>1789</v>
      </c>
    </row>
    <row r="488" customFormat="false" ht="17.15" hidden="false" customHeight="false" outlineLevel="0" collapsed="false">
      <c r="A488" s="0" t="s">
        <v>1790</v>
      </c>
      <c r="B488" s="0" t="s">
        <v>1791</v>
      </c>
      <c r="C488" s="0" t="s">
        <v>60</v>
      </c>
      <c r="E488" s="11" t="n">
        <v>0.39</v>
      </c>
      <c r="G488" s="12" t="s">
        <v>61</v>
      </c>
      <c r="H488" s="12" t="s">
        <v>1787</v>
      </c>
      <c r="I488" s="12" t="s">
        <v>1792</v>
      </c>
      <c r="J488" s="6" t="s">
        <v>1789</v>
      </c>
    </row>
    <row r="489" customFormat="false" ht="17.15" hidden="false" customHeight="false" outlineLevel="0" collapsed="false">
      <c r="A489" s="0" t="s">
        <v>1793</v>
      </c>
      <c r="B489" s="0" t="s">
        <v>1794</v>
      </c>
      <c r="C489" s="0" t="s">
        <v>60</v>
      </c>
      <c r="E489" s="11" t="n">
        <v>0.274</v>
      </c>
      <c r="G489" s="12" t="s">
        <v>61</v>
      </c>
      <c r="H489" s="12" t="s">
        <v>1795</v>
      </c>
      <c r="I489" s="12" t="s">
        <v>1796</v>
      </c>
      <c r="J489" s="6" t="s">
        <v>1789</v>
      </c>
    </row>
    <row r="490" customFormat="false" ht="17.15" hidden="false" customHeight="false" outlineLevel="0" collapsed="false">
      <c r="A490" s="0" t="s">
        <v>1797</v>
      </c>
      <c r="B490" s="0" t="s">
        <v>1798</v>
      </c>
      <c r="C490" s="0" t="s">
        <v>60</v>
      </c>
      <c r="E490" s="11" t="n">
        <v>0.15</v>
      </c>
      <c r="G490" s="12" t="s">
        <v>61</v>
      </c>
      <c r="H490" s="12" t="s">
        <v>1787</v>
      </c>
      <c r="I490" s="12" t="s">
        <v>1799</v>
      </c>
      <c r="J490" s="6" t="s">
        <v>1800</v>
      </c>
    </row>
    <row r="491" customFormat="false" ht="17.15" hidden="false" customHeight="false" outlineLevel="0" collapsed="false">
      <c r="A491" s="0" t="s">
        <v>1801</v>
      </c>
      <c r="B491" s="0" t="s">
        <v>1802</v>
      </c>
      <c r="C491" s="0" t="s">
        <v>511</v>
      </c>
      <c r="E491" s="13" t="n">
        <v>13.9</v>
      </c>
      <c r="G491" s="12" t="s">
        <v>61</v>
      </c>
      <c r="H491" s="12" t="s">
        <v>1787</v>
      </c>
      <c r="I491" s="12" t="s">
        <v>1803</v>
      </c>
      <c r="J491" s="6" t="s">
        <v>1789</v>
      </c>
    </row>
    <row r="492" customFormat="false" ht="17.15" hidden="false" customHeight="false" outlineLevel="0" collapsed="false">
      <c r="A492" s="0" t="s">
        <v>1804</v>
      </c>
      <c r="B492" s="0" t="s">
        <v>1805</v>
      </c>
      <c r="C492" s="0" t="s">
        <v>60</v>
      </c>
      <c r="E492" s="11" t="n">
        <v>0.307</v>
      </c>
      <c r="G492" s="12" t="s">
        <v>61</v>
      </c>
      <c r="H492" s="12" t="s">
        <v>1787</v>
      </c>
      <c r="I492" s="12" t="s">
        <v>1806</v>
      </c>
      <c r="J492" s="6" t="s">
        <v>1789</v>
      </c>
    </row>
    <row r="493" customFormat="false" ht="17.15" hidden="false" customHeight="false" outlineLevel="0" collapsed="false">
      <c r="A493" s="0" t="s">
        <v>1807</v>
      </c>
      <c r="B493" s="0" t="s">
        <v>1808</v>
      </c>
      <c r="C493" s="0" t="s">
        <v>60</v>
      </c>
      <c r="E493" s="11" t="n">
        <v>0.311</v>
      </c>
      <c r="G493" s="12" t="s">
        <v>61</v>
      </c>
      <c r="H493" s="12" t="s">
        <v>1795</v>
      </c>
      <c r="I493" s="12" t="s">
        <v>1809</v>
      </c>
      <c r="J493" s="6" t="s">
        <v>1789</v>
      </c>
    </row>
    <row r="494" customFormat="false" ht="17.15" hidden="false" customHeight="false" outlineLevel="0" collapsed="false">
      <c r="A494" s="0" t="s">
        <v>1810</v>
      </c>
      <c r="B494" s="0" t="s">
        <v>1811</v>
      </c>
      <c r="C494" s="0" t="s">
        <v>60</v>
      </c>
      <c r="E494" s="11" t="n">
        <v>0.145</v>
      </c>
      <c r="G494" s="12" t="s">
        <v>61</v>
      </c>
      <c r="H494" s="12" t="s">
        <v>1787</v>
      </c>
      <c r="I494" s="12" t="s">
        <v>1812</v>
      </c>
      <c r="J494" s="6" t="s">
        <v>1800</v>
      </c>
    </row>
    <row r="495" customFormat="false" ht="17.15" hidden="false" customHeight="false" outlineLevel="0" collapsed="false">
      <c r="A495" s="0" t="s">
        <v>1813</v>
      </c>
      <c r="B495" s="0" t="s">
        <v>1814</v>
      </c>
      <c r="C495" s="0" t="s">
        <v>511</v>
      </c>
      <c r="E495" s="13" t="n">
        <v>78</v>
      </c>
      <c r="G495" s="12" t="s">
        <v>61</v>
      </c>
      <c r="H495" s="12" t="s">
        <v>1787</v>
      </c>
      <c r="I495" s="12" t="s">
        <v>1815</v>
      </c>
      <c r="J495" s="6" t="s">
        <v>1789</v>
      </c>
    </row>
    <row r="496" customFormat="false" ht="17.15" hidden="false" customHeight="false" outlineLevel="0" collapsed="false">
      <c r="A496" s="0" t="s">
        <v>1816</v>
      </c>
      <c r="B496" s="0" t="s">
        <v>1817</v>
      </c>
      <c r="C496" s="0" t="s">
        <v>60</v>
      </c>
      <c r="E496" s="11" t="n">
        <v>0.189</v>
      </c>
      <c r="G496" s="12" t="s">
        <v>61</v>
      </c>
      <c r="H496" s="12" t="s">
        <v>1787</v>
      </c>
      <c r="I496" s="12" t="s">
        <v>1818</v>
      </c>
      <c r="J496" s="6" t="s">
        <v>1789</v>
      </c>
    </row>
    <row r="497" customFormat="false" ht="17.15" hidden="false" customHeight="false" outlineLevel="0" collapsed="false">
      <c r="A497" s="0" t="s">
        <v>1819</v>
      </c>
      <c r="B497" s="0" t="s">
        <v>1820</v>
      </c>
      <c r="C497" s="0" t="s">
        <v>60</v>
      </c>
      <c r="E497" s="11" t="n">
        <v>0.181</v>
      </c>
      <c r="G497" s="12" t="s">
        <v>61</v>
      </c>
      <c r="H497" s="12" t="s">
        <v>1795</v>
      </c>
      <c r="I497" s="12" t="s">
        <v>1821</v>
      </c>
      <c r="J497" s="6" t="s">
        <v>1789</v>
      </c>
    </row>
    <row r="498" customFormat="false" ht="17.15" hidden="false" customHeight="false" outlineLevel="0" collapsed="false">
      <c r="A498" s="0" t="s">
        <v>1822</v>
      </c>
      <c r="B498" s="0" t="s">
        <v>1823</v>
      </c>
      <c r="C498" s="0" t="s">
        <v>60</v>
      </c>
      <c r="E498" s="11" t="n">
        <v>0.136</v>
      </c>
      <c r="G498" s="12" t="s">
        <v>61</v>
      </c>
      <c r="H498" s="12" t="s">
        <v>1787</v>
      </c>
      <c r="I498" s="12" t="s">
        <v>1824</v>
      </c>
      <c r="J498" s="6" t="s">
        <v>1800</v>
      </c>
    </row>
    <row r="499" customFormat="false" ht="17.15" hidden="false" customHeight="false" outlineLevel="0" collapsed="false">
      <c r="A499" s="0" t="s">
        <v>1825</v>
      </c>
      <c r="B499" s="0" t="s">
        <v>1826</v>
      </c>
      <c r="C499" s="0" t="s">
        <v>511</v>
      </c>
      <c r="E499" s="13" t="n">
        <v>143.9</v>
      </c>
      <c r="G499" s="12" t="s">
        <v>61</v>
      </c>
      <c r="H499" s="12" t="s">
        <v>1787</v>
      </c>
      <c r="I499" s="12" t="s">
        <v>1827</v>
      </c>
      <c r="J499" s="6" t="s">
        <v>1789</v>
      </c>
    </row>
    <row r="500" customFormat="false" ht="17.15" hidden="false" customHeight="false" outlineLevel="0" collapsed="false">
      <c r="A500" s="0" t="s">
        <v>1828</v>
      </c>
      <c r="B500" s="0" t="s">
        <v>1829</v>
      </c>
      <c r="C500" s="0" t="s">
        <v>60</v>
      </c>
      <c r="E500" s="11" t="n">
        <v>0.231</v>
      </c>
      <c r="G500" s="12" t="s">
        <v>61</v>
      </c>
      <c r="H500" s="12" t="s">
        <v>1787</v>
      </c>
      <c r="I500" s="12" t="s">
        <v>1830</v>
      </c>
      <c r="J500" s="6" t="s">
        <v>1789</v>
      </c>
    </row>
    <row r="501" customFormat="false" ht="17.15" hidden="false" customHeight="false" outlineLevel="0" collapsed="false">
      <c r="A501" s="0" t="s">
        <v>1831</v>
      </c>
      <c r="B501" s="0" t="s">
        <v>1832</v>
      </c>
      <c r="C501" s="0" t="s">
        <v>60</v>
      </c>
      <c r="E501" s="11" t="n">
        <v>0.218</v>
      </c>
      <c r="G501" s="12" t="s">
        <v>61</v>
      </c>
      <c r="H501" s="12" t="s">
        <v>1795</v>
      </c>
      <c r="I501" s="12" t="s">
        <v>1833</v>
      </c>
      <c r="J501" s="6" t="s">
        <v>1789</v>
      </c>
    </row>
    <row r="502" customFormat="false" ht="17.15" hidden="false" customHeight="false" outlineLevel="0" collapsed="false">
      <c r="A502" s="0" t="s">
        <v>1834</v>
      </c>
      <c r="B502" s="0" t="s">
        <v>1835</v>
      </c>
      <c r="C502" s="0" t="s">
        <v>60</v>
      </c>
      <c r="E502" s="11" t="n">
        <v>0.141</v>
      </c>
      <c r="G502" s="12" t="s">
        <v>61</v>
      </c>
      <c r="H502" s="12" t="s">
        <v>1787</v>
      </c>
      <c r="I502" s="12" t="s">
        <v>1836</v>
      </c>
      <c r="J502" s="6" t="s">
        <v>1800</v>
      </c>
    </row>
    <row r="503" customFormat="false" ht="17.15" hidden="false" customHeight="false" outlineLevel="0" collapsed="false">
      <c r="A503" s="0" t="s">
        <v>1837</v>
      </c>
      <c r="B503" s="0" t="s">
        <v>1838</v>
      </c>
      <c r="C503" s="0" t="s">
        <v>511</v>
      </c>
      <c r="E503" s="13" t="n">
        <v>15.3</v>
      </c>
      <c r="G503" s="12" t="s">
        <v>61</v>
      </c>
      <c r="H503" s="12" t="s">
        <v>1787</v>
      </c>
      <c r="I503" s="12" t="s">
        <v>1839</v>
      </c>
      <c r="J503" s="6" t="s">
        <v>1789</v>
      </c>
    </row>
    <row r="504" customFormat="false" ht="17.15" hidden="false" customHeight="false" outlineLevel="0" collapsed="false">
      <c r="A504" s="0" t="s">
        <v>1840</v>
      </c>
      <c r="B504" s="0" t="s">
        <v>1841</v>
      </c>
      <c r="C504" s="0" t="s">
        <v>60</v>
      </c>
      <c r="E504" s="11" t="n">
        <v>0.31</v>
      </c>
      <c r="G504" s="12" t="s">
        <v>61</v>
      </c>
      <c r="H504" s="12" t="s">
        <v>1787</v>
      </c>
      <c r="I504" s="12" t="s">
        <v>1842</v>
      </c>
      <c r="J504" s="6" t="s">
        <v>1789</v>
      </c>
    </row>
    <row r="505" customFormat="false" ht="17.15" hidden="false" customHeight="false" outlineLevel="0" collapsed="false">
      <c r="A505" s="0" t="s">
        <v>1843</v>
      </c>
      <c r="B505" s="0" t="s">
        <v>1844</v>
      </c>
      <c r="C505" s="0" t="s">
        <v>511</v>
      </c>
      <c r="E505" s="13" t="n">
        <v>20.8</v>
      </c>
      <c r="G505" s="12" t="s">
        <v>61</v>
      </c>
      <c r="H505" s="12" t="s">
        <v>1787</v>
      </c>
      <c r="I505" s="12" t="s">
        <v>1845</v>
      </c>
      <c r="J505" s="6" t="s">
        <v>1846</v>
      </c>
    </row>
    <row r="506" customFormat="false" ht="17.15" hidden="false" customHeight="false" outlineLevel="0" collapsed="false">
      <c r="A506" s="0" t="s">
        <v>1847</v>
      </c>
      <c r="B506" s="0" t="s">
        <v>1848</v>
      </c>
      <c r="C506" s="0" t="s">
        <v>511</v>
      </c>
      <c r="E506" s="13" t="n">
        <v>6.7</v>
      </c>
      <c r="G506" s="12" t="s">
        <v>61</v>
      </c>
      <c r="H506" s="12" t="s">
        <v>1787</v>
      </c>
      <c r="I506" s="12" t="s">
        <v>1849</v>
      </c>
      <c r="J506" s="6" t="s">
        <v>1789</v>
      </c>
    </row>
    <row r="507" customFormat="false" ht="17.15" hidden="false" customHeight="false" outlineLevel="0" collapsed="false">
      <c r="A507" s="0" t="s">
        <v>1850</v>
      </c>
      <c r="B507" s="0" t="s">
        <v>1851</v>
      </c>
      <c r="C507" s="0" t="s">
        <v>60</v>
      </c>
      <c r="E507" s="11" t="n">
        <v>0.096</v>
      </c>
      <c r="G507" s="12" t="s">
        <v>61</v>
      </c>
      <c r="H507" s="12" t="s">
        <v>1787</v>
      </c>
      <c r="I507" s="12" t="s">
        <v>1852</v>
      </c>
      <c r="J507" s="6" t="s">
        <v>1789</v>
      </c>
    </row>
    <row r="508" customFormat="false" ht="17.15" hidden="false" customHeight="false" outlineLevel="0" collapsed="false">
      <c r="A508" s="0" t="s">
        <v>1853</v>
      </c>
      <c r="B508" s="0" t="s">
        <v>1854</v>
      </c>
      <c r="C508" s="0" t="s">
        <v>511</v>
      </c>
      <c r="E508" s="13" t="n">
        <v>8.6</v>
      </c>
      <c r="G508" s="12" t="s">
        <v>61</v>
      </c>
      <c r="H508" s="12" t="s">
        <v>1787</v>
      </c>
      <c r="I508" s="12" t="s">
        <v>1855</v>
      </c>
      <c r="J508" s="6" t="s">
        <v>1856</v>
      </c>
    </row>
    <row r="509" customFormat="false" ht="17.15" hidden="false" customHeight="false" outlineLevel="0" collapsed="false">
      <c r="A509" s="0" t="s">
        <v>1857</v>
      </c>
      <c r="B509" s="0" t="s">
        <v>1858</v>
      </c>
      <c r="C509" s="0" t="s">
        <v>511</v>
      </c>
      <c r="E509" s="13" t="n">
        <v>165.9</v>
      </c>
      <c r="G509" s="12" t="s">
        <v>61</v>
      </c>
      <c r="H509" s="12" t="s">
        <v>1787</v>
      </c>
      <c r="I509" s="12" t="s">
        <v>1859</v>
      </c>
      <c r="J509" s="6" t="s">
        <v>1789</v>
      </c>
    </row>
    <row r="510" customFormat="false" ht="17.15" hidden="false" customHeight="false" outlineLevel="0" collapsed="false">
      <c r="A510" s="0" t="s">
        <v>1860</v>
      </c>
      <c r="B510" s="0" t="s">
        <v>1861</v>
      </c>
      <c r="C510" s="0" t="s">
        <v>60</v>
      </c>
      <c r="E510" s="11" t="n">
        <v>0.232</v>
      </c>
      <c r="G510" s="12" t="s">
        <v>61</v>
      </c>
      <c r="H510" s="12" t="s">
        <v>1787</v>
      </c>
      <c r="I510" s="12" t="s">
        <v>1862</v>
      </c>
      <c r="J510" s="6" t="s">
        <v>1789</v>
      </c>
    </row>
    <row r="511" customFormat="false" ht="17.15" hidden="false" customHeight="false" outlineLevel="0" collapsed="false">
      <c r="A511" s="0" t="s">
        <v>1863</v>
      </c>
      <c r="B511" s="0" t="s">
        <v>1864</v>
      </c>
      <c r="C511" s="0" t="s">
        <v>511</v>
      </c>
      <c r="E511" s="13" t="n">
        <v>229.5</v>
      </c>
      <c r="G511" s="12" t="s">
        <v>61</v>
      </c>
      <c r="H511" s="12" t="s">
        <v>1787</v>
      </c>
      <c r="I511" s="12" t="s">
        <v>1865</v>
      </c>
      <c r="J511" s="6" t="s">
        <v>1789</v>
      </c>
    </row>
    <row r="512" customFormat="false" ht="17.15" hidden="false" customHeight="false" outlineLevel="0" collapsed="false">
      <c r="A512" s="0" t="s">
        <v>1866</v>
      </c>
      <c r="B512" s="0" t="s">
        <v>1867</v>
      </c>
      <c r="C512" s="0" t="s">
        <v>60</v>
      </c>
      <c r="D512" s="11" t="n">
        <v>0</v>
      </c>
      <c r="E512" s="11" t="n">
        <v>0.08</v>
      </c>
      <c r="F512" s="11" t="n">
        <v>0.12</v>
      </c>
      <c r="G512" s="12" t="s">
        <v>159</v>
      </c>
      <c r="H512" s="6" t="s">
        <v>1868</v>
      </c>
      <c r="I512" s="12" t="s">
        <v>1869</v>
      </c>
      <c r="J512" s="6" t="s">
        <v>1870</v>
      </c>
    </row>
    <row r="513" customFormat="false" ht="17.15" hidden="false" customHeight="false" outlineLevel="0" collapsed="false">
      <c r="A513" s="0" t="s">
        <v>1871</v>
      </c>
      <c r="B513" s="6" t="s">
        <v>1872</v>
      </c>
      <c r="C513" s="0" t="s">
        <v>489</v>
      </c>
      <c r="D513" s="13" t="n">
        <v>0.95</v>
      </c>
      <c r="E513" s="13" t="n">
        <v>1</v>
      </c>
      <c r="F513" s="13" t="n">
        <v>1.05</v>
      </c>
      <c r="G513" s="12" t="s">
        <v>159</v>
      </c>
      <c r="H513" s="6" t="s">
        <v>1873</v>
      </c>
      <c r="I513" s="12" t="s">
        <v>1874</v>
      </c>
      <c r="J513" s="6" t="s">
        <v>1875</v>
      </c>
    </row>
    <row r="514" customFormat="false" ht="17.15" hidden="false" customHeight="false" outlineLevel="0" collapsed="false">
      <c r="A514" s="0" t="s">
        <v>1876</v>
      </c>
      <c r="B514" s="6" t="s">
        <v>1877</v>
      </c>
      <c r="C514" s="0" t="s">
        <v>489</v>
      </c>
      <c r="D514" s="13" t="n">
        <v>0.75</v>
      </c>
      <c r="E514" s="13" t="n">
        <v>0.8</v>
      </c>
      <c r="F514" s="13" t="n">
        <v>0.85</v>
      </c>
      <c r="G514" s="12" t="s">
        <v>159</v>
      </c>
      <c r="H514" s="6" t="s">
        <v>1878</v>
      </c>
      <c r="I514" s="12" t="s">
        <v>1879</v>
      </c>
      <c r="J514" s="6" t="s">
        <v>1880</v>
      </c>
    </row>
    <row r="515" customFormat="false" ht="17.15" hidden="false" customHeight="false" outlineLevel="0" collapsed="false">
      <c r="A515" s="0" t="s">
        <v>1881</v>
      </c>
      <c r="B515" s="6" t="s">
        <v>1882</v>
      </c>
      <c r="C515" s="0" t="s">
        <v>489</v>
      </c>
      <c r="D515" s="13" t="n">
        <v>0.9</v>
      </c>
      <c r="E515" s="13" t="n">
        <v>0.95</v>
      </c>
      <c r="F515" s="13" t="n">
        <v>1.05</v>
      </c>
      <c r="G515" s="12" t="s">
        <v>159</v>
      </c>
      <c r="H515" s="6" t="s">
        <v>1883</v>
      </c>
      <c r="I515" s="12" t="s">
        <v>1884</v>
      </c>
      <c r="J515" s="6" t="s">
        <v>1885</v>
      </c>
    </row>
    <row r="516" customFormat="false" ht="17.15" hidden="false" customHeight="false" outlineLevel="0" collapsed="false">
      <c r="A516" s="0" t="s">
        <v>1886</v>
      </c>
      <c r="B516" s="6" t="s">
        <v>1887</v>
      </c>
      <c r="C516" s="0" t="s">
        <v>489</v>
      </c>
      <c r="D516" s="13" t="n">
        <v>0.9</v>
      </c>
      <c r="E516" s="13" t="n">
        <v>1</v>
      </c>
      <c r="F516" s="13" t="n">
        <v>1.1</v>
      </c>
      <c r="G516" s="12" t="s">
        <v>159</v>
      </c>
      <c r="H516" s="6" t="s">
        <v>1888</v>
      </c>
      <c r="I516" s="12" t="s">
        <v>1889</v>
      </c>
      <c r="J516" s="6" t="s">
        <v>1885</v>
      </c>
    </row>
    <row r="517" customFormat="false" ht="17.15" hidden="false" customHeight="false" outlineLevel="0" collapsed="false">
      <c r="A517" s="0" t="s">
        <v>1890</v>
      </c>
      <c r="B517" s="6" t="s">
        <v>1891</v>
      </c>
      <c r="C517" s="0" t="s">
        <v>60</v>
      </c>
      <c r="D517" s="11" t="n">
        <v>0.15</v>
      </c>
      <c r="E517" s="11" t="n">
        <v>0.25</v>
      </c>
      <c r="F517" s="11" t="n">
        <v>0.4</v>
      </c>
      <c r="G517" s="12" t="s">
        <v>159</v>
      </c>
      <c r="H517" s="6" t="s">
        <v>1892</v>
      </c>
      <c r="I517" s="12" t="s">
        <v>1893</v>
      </c>
      <c r="J517" s="6" t="s">
        <v>1894</v>
      </c>
    </row>
    <row r="518" customFormat="false" ht="17.15" hidden="false" customHeight="false" outlineLevel="0" collapsed="false">
      <c r="A518" s="0" t="s">
        <v>1895</v>
      </c>
      <c r="B518" s="6" t="s">
        <v>1896</v>
      </c>
      <c r="C518" s="0" t="s">
        <v>60</v>
      </c>
      <c r="D518" s="11" t="n">
        <v>0.35</v>
      </c>
      <c r="E518" s="11" t="n">
        <v>0.5</v>
      </c>
      <c r="F518" s="11" t="n">
        <v>0.65</v>
      </c>
      <c r="G518" s="12" t="s">
        <v>159</v>
      </c>
      <c r="H518" s="6" t="s">
        <v>1897</v>
      </c>
      <c r="I518" s="12" t="s">
        <v>1898</v>
      </c>
      <c r="J518" s="6" t="s">
        <v>1899</v>
      </c>
    </row>
    <row r="519" customFormat="false" ht="17.15" hidden="false" customHeight="false" outlineLevel="0" collapsed="false">
      <c r="A519" s="0" t="s">
        <v>1900</v>
      </c>
      <c r="B519" s="0" t="s">
        <v>1901</v>
      </c>
      <c r="C519" s="0" t="s">
        <v>511</v>
      </c>
      <c r="E519" s="13" t="n">
        <v>150</v>
      </c>
      <c r="G519" s="12" t="s">
        <v>61</v>
      </c>
      <c r="H519" s="12" t="s">
        <v>1902</v>
      </c>
      <c r="I519" s="12" t="s">
        <v>1903</v>
      </c>
      <c r="J519" s="12" t="s">
        <v>1904</v>
      </c>
    </row>
    <row r="520" customFormat="false" ht="17.15" hidden="false" customHeight="false" outlineLevel="0" collapsed="false">
      <c r="A520" s="0" t="s">
        <v>1905</v>
      </c>
      <c r="B520" s="0" t="s">
        <v>1906</v>
      </c>
      <c r="C520" s="0" t="s">
        <v>511</v>
      </c>
      <c r="E520" s="13" t="n">
        <v>200</v>
      </c>
      <c r="G520" s="12" t="s">
        <v>61</v>
      </c>
      <c r="H520" s="6" t="s">
        <v>1907</v>
      </c>
      <c r="I520" s="12" t="s">
        <v>1908</v>
      </c>
      <c r="J520" s="6" t="s">
        <v>1909</v>
      </c>
    </row>
    <row r="521" customFormat="false" ht="17.15" hidden="false" customHeight="false" outlineLevel="0" collapsed="false">
      <c r="A521" s="0" t="s">
        <v>1910</v>
      </c>
      <c r="B521" s="0" t="s">
        <v>1911</v>
      </c>
      <c r="C521" s="0" t="s">
        <v>511</v>
      </c>
      <c r="E521" s="13" t="n">
        <v>150</v>
      </c>
      <c r="G521" s="12" t="s">
        <v>61</v>
      </c>
      <c r="H521" s="12" t="s">
        <v>1912</v>
      </c>
      <c r="I521" s="12" t="s">
        <v>1913</v>
      </c>
      <c r="J521" s="6" t="s">
        <v>1914</v>
      </c>
    </row>
    <row r="522" customFormat="false" ht="17.15" hidden="false" customHeight="false" outlineLevel="0" collapsed="false">
      <c r="A522" s="0" t="s">
        <v>1915</v>
      </c>
      <c r="B522" s="0" t="s">
        <v>1916</v>
      </c>
      <c r="C522" s="0" t="s">
        <v>511</v>
      </c>
      <c r="E522" s="13" t="n">
        <v>190</v>
      </c>
      <c r="G522" s="12" t="s">
        <v>61</v>
      </c>
      <c r="H522" s="12" t="s">
        <v>1917</v>
      </c>
      <c r="I522" s="12" t="s">
        <v>1918</v>
      </c>
      <c r="J522" s="6" t="s">
        <v>1919</v>
      </c>
    </row>
    <row r="523" customFormat="false" ht="17.15" hidden="false" customHeight="false" outlineLevel="0" collapsed="false">
      <c r="A523" s="0" t="s">
        <v>1920</v>
      </c>
      <c r="B523" s="0" t="s">
        <v>1921</v>
      </c>
      <c r="C523" s="0" t="s">
        <v>511</v>
      </c>
      <c r="E523" s="13" t="n">
        <v>202</v>
      </c>
      <c r="G523" s="12" t="s">
        <v>61</v>
      </c>
      <c r="H523" s="6" t="s">
        <v>1922</v>
      </c>
      <c r="I523" s="12" t="s">
        <v>1923</v>
      </c>
      <c r="J523" s="6" t="s">
        <v>1924</v>
      </c>
    </row>
    <row r="524" customFormat="false" ht="17.15" hidden="false" customHeight="false" outlineLevel="0" collapsed="false">
      <c r="A524" s="0" t="s">
        <v>1925</v>
      </c>
      <c r="B524" s="0" t="s">
        <v>1926</v>
      </c>
      <c r="C524" s="0" t="s">
        <v>511</v>
      </c>
      <c r="E524" s="13" t="n">
        <v>227</v>
      </c>
      <c r="G524" s="12" t="s">
        <v>61</v>
      </c>
      <c r="H524" s="6" t="s">
        <v>1927</v>
      </c>
      <c r="I524" s="12" t="s">
        <v>1928</v>
      </c>
      <c r="J524" s="6" t="s">
        <v>66</v>
      </c>
    </row>
    <row r="525" customFormat="false" ht="17.15" hidden="false" customHeight="false" outlineLevel="0" collapsed="false">
      <c r="A525" s="0" t="s">
        <v>1929</v>
      </c>
      <c r="B525" s="0" t="s">
        <v>1930</v>
      </c>
      <c r="C525" s="0" t="s">
        <v>511</v>
      </c>
      <c r="E525" s="13" t="n">
        <v>150</v>
      </c>
      <c r="G525" s="12" t="s">
        <v>61</v>
      </c>
      <c r="H525" s="12" t="s">
        <v>1931</v>
      </c>
      <c r="I525" s="12" t="s">
        <v>1932</v>
      </c>
      <c r="J525" s="12" t="s">
        <v>1933</v>
      </c>
    </row>
    <row r="526" customFormat="false" ht="15" hidden="false" customHeight="false" outlineLevel="0" collapsed="false">
      <c r="A526" s="0" t="s">
        <v>1934</v>
      </c>
      <c r="B526" s="0" t="s">
        <v>1935</v>
      </c>
      <c r="C526" s="0" t="s">
        <v>511</v>
      </c>
      <c r="E526" s="13" t="n">
        <v>218</v>
      </c>
      <c r="G526" s="12" t="s">
        <v>61</v>
      </c>
      <c r="H526" s="12" t="s">
        <v>1931</v>
      </c>
      <c r="I526" s="12" t="s">
        <v>1936</v>
      </c>
      <c r="J526" s="6" t="s">
        <v>66</v>
      </c>
    </row>
    <row r="527" customFormat="false" ht="15" hidden="false" customHeight="false" outlineLevel="0" collapsed="false">
      <c r="A527" s="0" t="s">
        <v>1937</v>
      </c>
      <c r="B527" s="0" t="s">
        <v>1938</v>
      </c>
      <c r="C527" s="0" t="s">
        <v>511</v>
      </c>
      <c r="E527" s="13" t="n">
        <v>281</v>
      </c>
      <c r="G527" s="12" t="s">
        <v>61</v>
      </c>
      <c r="H527" s="12" t="s">
        <v>1931</v>
      </c>
      <c r="I527" s="12" t="s">
        <v>1939</v>
      </c>
      <c r="J527" s="6" t="s">
        <v>66</v>
      </c>
    </row>
    <row r="528" customFormat="false" ht="17.15" hidden="false" customHeight="false" outlineLevel="0" collapsed="false">
      <c r="A528" s="0" t="s">
        <v>1940</v>
      </c>
      <c r="B528" s="6" t="s">
        <v>1941</v>
      </c>
      <c r="C528" s="0" t="s">
        <v>60</v>
      </c>
      <c r="E528" s="11" t="n">
        <v>0.15</v>
      </c>
      <c r="G528" s="12" t="s">
        <v>512</v>
      </c>
      <c r="H528" s="6" t="s">
        <v>1942</v>
      </c>
      <c r="I528" s="12" t="s">
        <v>1943</v>
      </c>
      <c r="J528" s="12" t="s">
        <v>675</v>
      </c>
    </row>
    <row r="529" customFormat="false" ht="17.15" hidden="false" customHeight="false" outlineLevel="0" collapsed="false">
      <c r="A529" s="10" t="s">
        <v>1944</v>
      </c>
    </row>
    <row r="530" customFormat="false" ht="17.15" hidden="false" customHeight="false" outlineLevel="0" collapsed="false">
      <c r="A530" s="0" t="s">
        <v>1945</v>
      </c>
      <c r="B530" s="0" t="s">
        <v>1946</v>
      </c>
      <c r="C530" s="0" t="s">
        <v>1341</v>
      </c>
      <c r="E530" s="13" t="n">
        <v>6.9</v>
      </c>
      <c r="G530" s="12" t="s">
        <v>61</v>
      </c>
      <c r="H530" s="12" t="s">
        <v>1947</v>
      </c>
      <c r="I530" s="12" t="s">
        <v>1948</v>
      </c>
      <c r="J530" s="6" t="s">
        <v>1751</v>
      </c>
    </row>
    <row r="531" customFormat="false" ht="17.15" hidden="false" customHeight="false" outlineLevel="0" collapsed="false">
      <c r="A531" s="0" t="s">
        <v>1949</v>
      </c>
      <c r="B531" s="6" t="s">
        <v>1950</v>
      </c>
      <c r="C531" s="0" t="s">
        <v>1341</v>
      </c>
      <c r="E531" s="13" t="n">
        <v>2.1</v>
      </c>
      <c r="G531" s="12" t="s">
        <v>61</v>
      </c>
      <c r="H531" s="6" t="s">
        <v>1951</v>
      </c>
      <c r="I531" s="12" t="s">
        <v>1952</v>
      </c>
      <c r="J531" s="6" t="s">
        <v>1751</v>
      </c>
    </row>
    <row r="532" customFormat="false" ht="17.15" hidden="false" customHeight="false" outlineLevel="0" collapsed="false">
      <c r="A532" s="0" t="s">
        <v>1953</v>
      </c>
      <c r="B532" s="0" t="s">
        <v>1954</v>
      </c>
      <c r="C532" s="0" t="s">
        <v>1341</v>
      </c>
      <c r="D532" s="13" t="n">
        <v>10.5</v>
      </c>
      <c r="E532" s="13" t="n">
        <v>11</v>
      </c>
      <c r="F532" s="13" t="n">
        <v>11.5</v>
      </c>
      <c r="G532" s="12" t="s">
        <v>61</v>
      </c>
      <c r="H532" s="12" t="s">
        <v>1955</v>
      </c>
      <c r="I532" s="12" t="s">
        <v>1956</v>
      </c>
      <c r="J532" s="6" t="s">
        <v>1957</v>
      </c>
    </row>
    <row r="533" customFormat="false" ht="17.15" hidden="false" customHeight="false" outlineLevel="0" collapsed="false">
      <c r="A533" s="0" t="s">
        <v>1958</v>
      </c>
      <c r="B533" s="6" t="s">
        <v>1959</v>
      </c>
      <c r="C533" s="0" t="s">
        <v>1341</v>
      </c>
      <c r="D533" s="13" t="n">
        <v>2.5</v>
      </c>
      <c r="E533" s="13" t="n">
        <v>2.75</v>
      </c>
      <c r="F533" s="13" t="n">
        <v>3</v>
      </c>
      <c r="G533" s="12" t="s">
        <v>61</v>
      </c>
      <c r="H533" s="12" t="s">
        <v>1960</v>
      </c>
      <c r="I533" s="12" t="s">
        <v>1961</v>
      </c>
      <c r="J533" s="6" t="s">
        <v>1962</v>
      </c>
    </row>
    <row r="534" customFormat="false" ht="17.15" hidden="false" customHeight="false" outlineLevel="0" collapsed="false">
      <c r="A534" s="0" t="s">
        <v>1963</v>
      </c>
      <c r="B534" s="6" t="s">
        <v>1964</v>
      </c>
      <c r="C534" s="0" t="s">
        <v>1341</v>
      </c>
      <c r="D534" s="13" t="n">
        <v>3.7</v>
      </c>
      <c r="E534" s="13" t="n">
        <v>4.3</v>
      </c>
      <c r="F534" s="13" t="n">
        <v>4.9</v>
      </c>
      <c r="G534" s="12" t="s">
        <v>848</v>
      </c>
      <c r="H534" s="12" t="s">
        <v>1965</v>
      </c>
      <c r="I534" s="12" t="s">
        <v>1966</v>
      </c>
      <c r="J534" s="6" t="s">
        <v>1967</v>
      </c>
    </row>
    <row r="535" customFormat="false" ht="17.15" hidden="false" customHeight="false" outlineLevel="0" collapsed="false">
      <c r="A535" s="0" t="s">
        <v>1968</v>
      </c>
      <c r="B535" s="6" t="s">
        <v>1969</v>
      </c>
      <c r="C535" s="0" t="s">
        <v>60</v>
      </c>
      <c r="D535" s="11" t="n">
        <v>0</v>
      </c>
      <c r="E535" s="11" t="n">
        <v>0.04</v>
      </c>
      <c r="F535" s="11" t="n">
        <v>0.08</v>
      </c>
      <c r="G535" s="12" t="s">
        <v>159</v>
      </c>
      <c r="H535" s="6" t="s">
        <v>1970</v>
      </c>
      <c r="I535" s="12" t="s">
        <v>1971</v>
      </c>
      <c r="J535" s="12" t="s">
        <v>675</v>
      </c>
    </row>
    <row r="536" customFormat="false" ht="17.15" hidden="false" customHeight="false" outlineLevel="0" collapsed="false">
      <c r="A536" s="0" t="s">
        <v>1972</v>
      </c>
      <c r="B536" s="6" t="s">
        <v>1973</v>
      </c>
      <c r="C536" s="0" t="s">
        <v>1718</v>
      </c>
      <c r="D536" s="13" t="n">
        <v>0.05</v>
      </c>
      <c r="E536" s="13" t="n">
        <v>0</v>
      </c>
      <c r="F536" s="13" t="n">
        <v>0.1</v>
      </c>
      <c r="G536" s="12" t="s">
        <v>159</v>
      </c>
      <c r="H536" s="6" t="s">
        <v>1974</v>
      </c>
      <c r="I536" s="12" t="s">
        <v>1975</v>
      </c>
      <c r="J536" s="6" t="s">
        <v>1976</v>
      </c>
    </row>
    <row r="537" customFormat="false" ht="17.15" hidden="false" customHeight="false" outlineLevel="0" collapsed="false">
      <c r="A537" s="0" t="s">
        <v>1977</v>
      </c>
      <c r="B537" s="6" t="s">
        <v>1978</v>
      </c>
      <c r="C537" s="0" t="s">
        <v>489</v>
      </c>
      <c r="D537" s="13" t="n">
        <v>0.9</v>
      </c>
      <c r="E537" s="13" t="n">
        <v>1</v>
      </c>
      <c r="F537" s="13" t="n">
        <v>1.1</v>
      </c>
      <c r="G537" s="12" t="s">
        <v>159</v>
      </c>
      <c r="H537" s="6" t="s">
        <v>1979</v>
      </c>
      <c r="I537" s="12" t="s">
        <v>1980</v>
      </c>
      <c r="J537" s="6" t="s">
        <v>1981</v>
      </c>
    </row>
    <row r="538" customFormat="false" ht="17.15" hidden="false" customHeight="false" outlineLevel="0" collapsed="false">
      <c r="A538" s="0" t="s">
        <v>1982</v>
      </c>
      <c r="B538" s="6" t="s">
        <v>1983</v>
      </c>
      <c r="C538" s="0" t="s">
        <v>489</v>
      </c>
      <c r="D538" s="13" t="n">
        <v>1.1</v>
      </c>
      <c r="E538" s="13" t="n">
        <v>1.3</v>
      </c>
      <c r="F538" s="13" t="n">
        <v>1.6</v>
      </c>
      <c r="G538" s="12" t="s">
        <v>159</v>
      </c>
      <c r="H538" s="6" t="s">
        <v>1984</v>
      </c>
      <c r="I538" s="12" t="s">
        <v>1985</v>
      </c>
      <c r="J538" s="6" t="s">
        <v>1981</v>
      </c>
    </row>
    <row r="539" customFormat="false" ht="17.15" hidden="false" customHeight="false" outlineLevel="0" collapsed="false">
      <c r="A539" s="0" t="s">
        <v>1986</v>
      </c>
      <c r="B539" s="6" t="s">
        <v>1987</v>
      </c>
      <c r="C539" s="0" t="s">
        <v>489</v>
      </c>
      <c r="D539" s="13" t="n">
        <v>1.3</v>
      </c>
      <c r="E539" s="13" t="n">
        <v>1.7</v>
      </c>
      <c r="F539" s="13" t="n">
        <v>2.2</v>
      </c>
      <c r="G539" s="12" t="s">
        <v>159</v>
      </c>
      <c r="H539" s="6" t="s">
        <v>1988</v>
      </c>
      <c r="I539" s="12" t="s">
        <v>1989</v>
      </c>
      <c r="J539" s="6" t="s">
        <v>1981</v>
      </c>
    </row>
    <row r="540" customFormat="false" ht="17.15" hidden="false" customHeight="false" outlineLevel="0" collapsed="false">
      <c r="A540" s="0" t="s">
        <v>1990</v>
      </c>
      <c r="B540" s="6" t="s">
        <v>1991</v>
      </c>
      <c r="C540" s="0" t="s">
        <v>489</v>
      </c>
      <c r="D540" s="13" t="n">
        <v>0.5</v>
      </c>
      <c r="E540" s="13" t="n">
        <v>0.6</v>
      </c>
      <c r="F540" s="13" t="n">
        <v>0.8</v>
      </c>
      <c r="G540" s="12" t="s">
        <v>159</v>
      </c>
      <c r="H540" s="6" t="s">
        <v>1992</v>
      </c>
      <c r="I540" s="12" t="s">
        <v>1993</v>
      </c>
      <c r="J540" s="6" t="s">
        <v>1981</v>
      </c>
    </row>
    <row r="541" customFormat="false" ht="17.15" hidden="false" customHeight="false" outlineLevel="0" collapsed="false">
      <c r="A541" s="0" t="s">
        <v>1994</v>
      </c>
      <c r="B541" s="6" t="s">
        <v>1995</v>
      </c>
      <c r="C541" s="0" t="s">
        <v>489</v>
      </c>
      <c r="D541" s="13" t="n">
        <v>0.9</v>
      </c>
      <c r="E541" s="13" t="n">
        <v>1.1</v>
      </c>
      <c r="F541" s="13" t="n">
        <v>1.4</v>
      </c>
      <c r="G541" s="12" t="s">
        <v>159</v>
      </c>
      <c r="H541" s="6" t="s">
        <v>1996</v>
      </c>
      <c r="I541" s="12" t="s">
        <v>1997</v>
      </c>
      <c r="J541" s="6" t="s">
        <v>1981</v>
      </c>
    </row>
    <row r="542" customFormat="false" ht="17.15" hidden="false" customHeight="false" outlineLevel="0" collapsed="false">
      <c r="A542" s="0" t="s">
        <v>1998</v>
      </c>
      <c r="B542" s="6" t="s">
        <v>1999</v>
      </c>
      <c r="C542" s="0" t="s">
        <v>489</v>
      </c>
      <c r="D542" s="13" t="n">
        <v>0.8</v>
      </c>
      <c r="E542" s="13" t="n">
        <v>1</v>
      </c>
      <c r="F542" s="13" t="n">
        <v>1.3</v>
      </c>
      <c r="G542" s="12" t="s">
        <v>159</v>
      </c>
      <c r="H542" s="6" t="s">
        <v>2000</v>
      </c>
      <c r="I542" s="12" t="s">
        <v>2001</v>
      </c>
      <c r="J542" s="6" t="s">
        <v>1981</v>
      </c>
    </row>
    <row r="543" customFormat="false" ht="17.15" hidden="false" customHeight="false" outlineLevel="0" collapsed="false">
      <c r="A543" s="0" t="s">
        <v>2002</v>
      </c>
      <c r="B543" s="6" t="s">
        <v>2003</v>
      </c>
      <c r="C543" s="0" t="s">
        <v>489</v>
      </c>
      <c r="D543" s="13" t="n">
        <v>0.6</v>
      </c>
      <c r="E543" s="13" t="n">
        <v>0.8</v>
      </c>
      <c r="F543" s="13" t="n">
        <v>1.1</v>
      </c>
      <c r="G543" s="12" t="s">
        <v>159</v>
      </c>
      <c r="H543" s="6" t="s">
        <v>2004</v>
      </c>
      <c r="I543" s="12" t="s">
        <v>2005</v>
      </c>
      <c r="J543" s="6" t="s">
        <v>1981</v>
      </c>
    </row>
    <row r="544" customFormat="false" ht="17.15" hidden="false" customHeight="false" outlineLevel="0" collapsed="false">
      <c r="A544" s="0" t="s">
        <v>2006</v>
      </c>
      <c r="B544" s="6" t="s">
        <v>2007</v>
      </c>
      <c r="C544" s="0" t="s">
        <v>489</v>
      </c>
      <c r="D544" s="13" t="n">
        <v>0.5</v>
      </c>
      <c r="E544" s="13" t="n">
        <v>0.7</v>
      </c>
      <c r="F544" s="13" t="n">
        <v>1</v>
      </c>
      <c r="G544" s="12" t="s">
        <v>159</v>
      </c>
      <c r="H544" s="6" t="s">
        <v>2008</v>
      </c>
      <c r="I544" s="12" t="s">
        <v>2009</v>
      </c>
      <c r="J544" s="6" t="s">
        <v>1981</v>
      </c>
    </row>
    <row r="545" customFormat="false" ht="17.15" hidden="false" customHeight="false" outlineLevel="0" collapsed="false">
      <c r="A545" s="0" t="s">
        <v>2010</v>
      </c>
      <c r="B545" s="6" t="s">
        <v>2011</v>
      </c>
      <c r="C545" s="0" t="s">
        <v>60</v>
      </c>
      <c r="D545" s="11" t="n">
        <v>0.3</v>
      </c>
      <c r="E545" s="11" t="n">
        <v>0.5</v>
      </c>
      <c r="F545" s="11" t="n">
        <v>0.7</v>
      </c>
      <c r="G545" s="12" t="s">
        <v>159</v>
      </c>
      <c r="H545" s="6" t="s">
        <v>2012</v>
      </c>
      <c r="I545" s="12" t="s">
        <v>2013</v>
      </c>
      <c r="J545" s="6" t="s">
        <v>1751</v>
      </c>
    </row>
    <row r="546" customFormat="false" ht="17.15" hidden="false" customHeight="false" outlineLevel="0" collapsed="false">
      <c r="A546" s="0" t="s">
        <v>2014</v>
      </c>
      <c r="B546" s="6" t="s">
        <v>2015</v>
      </c>
      <c r="C546" s="0" t="s">
        <v>60</v>
      </c>
      <c r="E546" s="11" t="n">
        <v>0.07</v>
      </c>
      <c r="G546" s="12" t="s">
        <v>61</v>
      </c>
      <c r="H546" s="6" t="s">
        <v>2016</v>
      </c>
      <c r="I546" s="12" t="s">
        <v>2017</v>
      </c>
      <c r="J546" s="12" t="s">
        <v>2018</v>
      </c>
    </row>
    <row r="547" customFormat="false" ht="17.15" hidden="false" customHeight="false" outlineLevel="0" collapsed="false">
      <c r="A547" s="0" t="s">
        <v>2019</v>
      </c>
      <c r="B547" s="6" t="s">
        <v>2020</v>
      </c>
      <c r="C547" s="0" t="s">
        <v>60</v>
      </c>
      <c r="E547" s="11" t="n">
        <v>0.09</v>
      </c>
      <c r="G547" s="12" t="s">
        <v>61</v>
      </c>
      <c r="H547" s="6" t="s">
        <v>66</v>
      </c>
      <c r="I547" s="12" t="s">
        <v>2021</v>
      </c>
      <c r="J547" s="12" t="s">
        <v>675</v>
      </c>
    </row>
    <row r="548" customFormat="false" ht="17.15" hidden="false" customHeight="false" outlineLevel="0" collapsed="false">
      <c r="A548" s="10" t="s">
        <v>2022</v>
      </c>
    </row>
    <row r="549" customFormat="false" ht="17.15" hidden="false" customHeight="false" outlineLevel="0" collapsed="false">
      <c r="A549" s="0" t="s">
        <v>2023</v>
      </c>
      <c r="B549" s="0" t="s">
        <v>2024</v>
      </c>
      <c r="C549" s="0" t="s">
        <v>2025</v>
      </c>
      <c r="D549" s="13" t="n">
        <v>22</v>
      </c>
      <c r="E549" s="13" t="n">
        <v>24</v>
      </c>
      <c r="F549" s="13" t="n">
        <v>24</v>
      </c>
      <c r="G549" s="12" t="s">
        <v>159</v>
      </c>
      <c r="H549" s="12" t="s">
        <v>2026</v>
      </c>
      <c r="I549" s="12" t="s">
        <v>2027</v>
      </c>
      <c r="J549" s="6" t="s">
        <v>2028</v>
      </c>
    </row>
    <row r="550" customFormat="false" ht="17.15" hidden="false" customHeight="false" outlineLevel="0" collapsed="false">
      <c r="A550" s="0" t="s">
        <v>2029</v>
      </c>
      <c r="B550" s="0" t="s">
        <v>2030</v>
      </c>
      <c r="C550" s="0" t="s">
        <v>2025</v>
      </c>
      <c r="D550" s="13" t="n">
        <v>24</v>
      </c>
      <c r="E550" s="13" t="n">
        <v>24</v>
      </c>
      <c r="F550" s="13" t="n">
        <v>26</v>
      </c>
      <c r="G550" s="12" t="s">
        <v>159</v>
      </c>
      <c r="H550" s="12" t="s">
        <v>2026</v>
      </c>
      <c r="I550" s="12" t="s">
        <v>2031</v>
      </c>
      <c r="J550" s="6" t="s">
        <v>66</v>
      </c>
    </row>
    <row r="551" customFormat="false" ht="17.15" hidden="false" customHeight="false" outlineLevel="0" collapsed="false">
      <c r="A551" s="0" t="s">
        <v>2032</v>
      </c>
      <c r="B551" s="0" t="s">
        <v>2033</v>
      </c>
      <c r="C551" s="0" t="s">
        <v>2025</v>
      </c>
      <c r="D551" s="13" t="n">
        <v>24</v>
      </c>
      <c r="E551" s="13" t="n">
        <v>26</v>
      </c>
      <c r="F551" s="13" t="n">
        <v>28</v>
      </c>
      <c r="G551" s="12" t="s">
        <v>159</v>
      </c>
      <c r="H551" s="12" t="s">
        <v>2026</v>
      </c>
      <c r="I551" s="12" t="s">
        <v>2034</v>
      </c>
      <c r="J551" s="6" t="s">
        <v>66</v>
      </c>
    </row>
    <row r="552" customFormat="false" ht="17.15" hidden="false" customHeight="false" outlineLevel="0" collapsed="false">
      <c r="A552" s="0" t="s">
        <v>2035</v>
      </c>
      <c r="B552" s="0" t="s">
        <v>2036</v>
      </c>
      <c r="C552" s="0" t="s">
        <v>2025</v>
      </c>
      <c r="D552" s="13" t="n">
        <v>24</v>
      </c>
      <c r="E552" s="13" t="n">
        <v>28</v>
      </c>
      <c r="F552" s="13" t="n">
        <v>32</v>
      </c>
      <c r="G552" s="12" t="s">
        <v>159</v>
      </c>
      <c r="H552" s="12" t="s">
        <v>2026</v>
      </c>
      <c r="I552" s="12" t="s">
        <v>2037</v>
      </c>
      <c r="J552" s="6" t="s">
        <v>66</v>
      </c>
    </row>
    <row r="553" customFormat="false" ht="17.15" hidden="false" customHeight="false" outlineLevel="0" collapsed="false">
      <c r="A553" s="0" t="s">
        <v>2038</v>
      </c>
      <c r="B553" s="0" t="s">
        <v>2039</v>
      </c>
      <c r="C553" s="0" t="s">
        <v>2025</v>
      </c>
      <c r="D553" s="13" t="n">
        <v>26</v>
      </c>
      <c r="E553" s="13" t="n">
        <v>30</v>
      </c>
      <c r="F553" s="13" t="n">
        <v>32</v>
      </c>
      <c r="G553" s="12" t="s">
        <v>159</v>
      </c>
      <c r="H553" s="12" t="s">
        <v>2026</v>
      </c>
      <c r="I553" s="12" t="s">
        <v>2040</v>
      </c>
      <c r="J553" s="6" t="s">
        <v>66</v>
      </c>
    </row>
    <row r="554" customFormat="false" ht="17.15" hidden="false" customHeight="false" outlineLevel="0" collapsed="false">
      <c r="A554" s="0" t="s">
        <v>2041</v>
      </c>
      <c r="B554" s="0" t="s">
        <v>2042</v>
      </c>
      <c r="C554" s="0" t="s">
        <v>2025</v>
      </c>
      <c r="D554" s="13" t="n">
        <v>28</v>
      </c>
      <c r="E554" s="13" t="n">
        <v>32</v>
      </c>
      <c r="F554" s="13" t="n">
        <v>32</v>
      </c>
      <c r="G554" s="12" t="s">
        <v>159</v>
      </c>
      <c r="H554" s="12" t="s">
        <v>2026</v>
      </c>
      <c r="I554" s="12" t="s">
        <v>2043</v>
      </c>
      <c r="J554" s="6" t="s">
        <v>66</v>
      </c>
    </row>
    <row r="555" customFormat="false" ht="17.15" hidden="false" customHeight="false" outlineLevel="0" collapsed="false">
      <c r="A555" s="0" t="s">
        <v>2044</v>
      </c>
      <c r="B555" s="0" t="s">
        <v>2045</v>
      </c>
      <c r="C555" s="6" t="s">
        <v>2046</v>
      </c>
      <c r="D555" s="13" t="n">
        <v>8</v>
      </c>
      <c r="E555" s="13" t="n">
        <v>10</v>
      </c>
      <c r="F555" s="13" t="n">
        <v>12</v>
      </c>
      <c r="G555" s="12" t="s">
        <v>159</v>
      </c>
      <c r="H555" s="12" t="s">
        <v>2047</v>
      </c>
      <c r="I555" s="12" t="s">
        <v>2048</v>
      </c>
      <c r="J555" s="6" t="s">
        <v>2049</v>
      </c>
    </row>
    <row r="556" customFormat="false" ht="17.15" hidden="false" customHeight="false" outlineLevel="0" collapsed="false">
      <c r="A556" s="0" t="s">
        <v>2050</v>
      </c>
      <c r="B556" s="0" t="s">
        <v>2051</v>
      </c>
      <c r="C556" s="6" t="s">
        <v>2046</v>
      </c>
      <c r="D556" s="13" t="n">
        <v>10</v>
      </c>
      <c r="E556" s="13" t="n">
        <v>12</v>
      </c>
      <c r="F556" s="13" t="n">
        <v>12</v>
      </c>
      <c r="G556" s="12" t="s">
        <v>159</v>
      </c>
      <c r="H556" s="12" t="s">
        <v>2047</v>
      </c>
      <c r="I556" s="12" t="s">
        <v>2052</v>
      </c>
      <c r="J556" s="6" t="s">
        <v>66</v>
      </c>
    </row>
    <row r="557" customFormat="false" ht="17.15" hidden="false" customHeight="false" outlineLevel="0" collapsed="false">
      <c r="A557" s="0" t="s">
        <v>2053</v>
      </c>
      <c r="B557" s="0" t="s">
        <v>2054</v>
      </c>
      <c r="C557" s="6" t="s">
        <v>2046</v>
      </c>
      <c r="D557" s="13" t="n">
        <v>12</v>
      </c>
      <c r="E557" s="13" t="n">
        <v>12.5</v>
      </c>
      <c r="F557" s="13" t="n">
        <v>14</v>
      </c>
      <c r="G557" s="12" t="s">
        <v>159</v>
      </c>
      <c r="H557" s="12" t="s">
        <v>2047</v>
      </c>
      <c r="I557" s="12" t="s">
        <v>2055</v>
      </c>
      <c r="J557" s="6" t="s">
        <v>66</v>
      </c>
    </row>
    <row r="558" customFormat="false" ht="17.15" hidden="false" customHeight="false" outlineLevel="0" collapsed="false">
      <c r="A558" s="0" t="s">
        <v>2056</v>
      </c>
      <c r="B558" s="0" t="s">
        <v>2057</v>
      </c>
      <c r="C558" s="6" t="s">
        <v>2046</v>
      </c>
      <c r="D558" s="13" t="n">
        <v>12</v>
      </c>
      <c r="E558" s="13" t="n">
        <v>14</v>
      </c>
      <c r="F558" s="13" t="n">
        <v>16</v>
      </c>
      <c r="G558" s="12" t="s">
        <v>159</v>
      </c>
      <c r="H558" s="12" t="s">
        <v>2047</v>
      </c>
      <c r="I558" s="12" t="s">
        <v>2058</v>
      </c>
      <c r="J558" s="6" t="s">
        <v>66</v>
      </c>
    </row>
    <row r="559" customFormat="false" ht="17.15" hidden="false" customHeight="false" outlineLevel="0" collapsed="false">
      <c r="A559" s="0" t="s">
        <v>2059</v>
      </c>
      <c r="B559" s="0" t="s">
        <v>2060</v>
      </c>
      <c r="C559" s="6" t="s">
        <v>2046</v>
      </c>
      <c r="D559" s="13" t="n">
        <v>12</v>
      </c>
      <c r="E559" s="13" t="n">
        <v>15</v>
      </c>
      <c r="F559" s="13" t="n">
        <v>16</v>
      </c>
      <c r="G559" s="12" t="s">
        <v>159</v>
      </c>
      <c r="H559" s="12" t="s">
        <v>2047</v>
      </c>
      <c r="I559" s="12" t="s">
        <v>2061</v>
      </c>
      <c r="J559" s="6" t="s">
        <v>66</v>
      </c>
    </row>
    <row r="560" customFormat="false" ht="17.15" hidden="false" customHeight="false" outlineLevel="0" collapsed="false">
      <c r="A560" s="0" t="s">
        <v>2062</v>
      </c>
      <c r="B560" s="0" t="s">
        <v>2063</v>
      </c>
      <c r="C560" s="6" t="s">
        <v>2046</v>
      </c>
      <c r="D560" s="13" t="n">
        <v>14</v>
      </c>
      <c r="E560" s="13" t="n">
        <v>16</v>
      </c>
      <c r="F560" s="13" t="n">
        <v>16</v>
      </c>
      <c r="G560" s="12" t="s">
        <v>159</v>
      </c>
      <c r="H560" s="12" t="s">
        <v>2047</v>
      </c>
      <c r="I560" s="12" t="s">
        <v>2064</v>
      </c>
      <c r="J560" s="6" t="s">
        <v>66</v>
      </c>
    </row>
    <row r="561" customFormat="false" ht="17.15" hidden="false" customHeight="false" outlineLevel="0" collapsed="false">
      <c r="A561" s="0" t="s">
        <v>2065</v>
      </c>
      <c r="B561" s="6" t="s">
        <v>2066</v>
      </c>
      <c r="C561" s="0" t="s">
        <v>60</v>
      </c>
      <c r="D561" s="11" t="n">
        <v>0</v>
      </c>
      <c r="E561" s="11" t="n">
        <v>0</v>
      </c>
      <c r="F561" s="11" t="n">
        <v>0</v>
      </c>
      <c r="G561" s="12" t="s">
        <v>159</v>
      </c>
      <c r="H561" s="12" t="s">
        <v>2067</v>
      </c>
      <c r="I561" s="12" t="s">
        <v>2068</v>
      </c>
      <c r="J561" s="6" t="s">
        <v>2069</v>
      </c>
    </row>
    <row r="562" customFormat="false" ht="17.15" hidden="false" customHeight="false" outlineLevel="0" collapsed="false">
      <c r="A562" s="0" t="s">
        <v>2070</v>
      </c>
      <c r="B562" s="6" t="s">
        <v>2071</v>
      </c>
      <c r="C562" s="0" t="s">
        <v>60</v>
      </c>
      <c r="D562" s="11" t="n">
        <v>0</v>
      </c>
      <c r="E562" s="11" t="n">
        <v>0</v>
      </c>
      <c r="F562" s="11" t="n">
        <v>0</v>
      </c>
      <c r="G562" s="12" t="s">
        <v>159</v>
      </c>
      <c r="H562" s="6" t="s">
        <v>66</v>
      </c>
      <c r="I562" s="12" t="s">
        <v>2072</v>
      </c>
    </row>
    <row r="563" customFormat="false" ht="17.15" hidden="false" customHeight="false" outlineLevel="0" collapsed="false">
      <c r="A563" s="0" t="s">
        <v>2073</v>
      </c>
      <c r="B563" s="6" t="s">
        <v>2074</v>
      </c>
      <c r="C563" s="0" t="s">
        <v>60</v>
      </c>
      <c r="D563" s="11" t="n">
        <v>0</v>
      </c>
      <c r="E563" s="11" t="n">
        <v>0</v>
      </c>
      <c r="F563" s="11" t="n">
        <v>0.05</v>
      </c>
      <c r="G563" s="12" t="s">
        <v>159</v>
      </c>
      <c r="H563" s="6" t="s">
        <v>66</v>
      </c>
      <c r="I563" s="12" t="s">
        <v>2075</v>
      </c>
    </row>
    <row r="564" customFormat="false" ht="17.15" hidden="false" customHeight="false" outlineLevel="0" collapsed="false">
      <c r="A564" s="0" t="s">
        <v>2076</v>
      </c>
      <c r="B564" s="6" t="s">
        <v>2077</v>
      </c>
      <c r="C564" s="0" t="s">
        <v>60</v>
      </c>
      <c r="D564" s="11" t="n">
        <v>0</v>
      </c>
      <c r="E564" s="11" t="n">
        <v>0.05</v>
      </c>
      <c r="F564" s="11" t="n">
        <v>0.15</v>
      </c>
      <c r="G564" s="12" t="s">
        <v>159</v>
      </c>
      <c r="H564" s="6" t="s">
        <v>66</v>
      </c>
      <c r="I564" s="12" t="s">
        <v>2078</v>
      </c>
    </row>
    <row r="565" customFormat="false" ht="17.15" hidden="false" customHeight="false" outlineLevel="0" collapsed="false">
      <c r="A565" s="0" t="s">
        <v>2079</v>
      </c>
      <c r="B565" s="6" t="s">
        <v>2080</v>
      </c>
      <c r="C565" s="0" t="s">
        <v>60</v>
      </c>
      <c r="D565" s="11" t="n">
        <v>0.05</v>
      </c>
      <c r="E565" s="11" t="n">
        <v>0.15</v>
      </c>
      <c r="F565" s="11" t="n">
        <v>0.3</v>
      </c>
      <c r="G565" s="12" t="s">
        <v>159</v>
      </c>
      <c r="H565" s="6" t="s">
        <v>66</v>
      </c>
      <c r="I565" s="12" t="s">
        <v>2081</v>
      </c>
    </row>
    <row r="566" customFormat="false" ht="17.15" hidden="false" customHeight="false" outlineLevel="0" collapsed="false">
      <c r="A566" s="0" t="s">
        <v>2082</v>
      </c>
      <c r="B566" s="6" t="s">
        <v>2083</v>
      </c>
      <c r="C566" s="0" t="s">
        <v>60</v>
      </c>
      <c r="D566" s="11" t="n">
        <v>0.1</v>
      </c>
      <c r="E566" s="11" t="n">
        <v>0.25</v>
      </c>
      <c r="F566" s="11" t="n">
        <v>0.4</v>
      </c>
      <c r="G566" s="12" t="s">
        <v>159</v>
      </c>
      <c r="H566" s="6" t="s">
        <v>66</v>
      </c>
      <c r="I566" s="12" t="s">
        <v>2084</v>
      </c>
    </row>
    <row r="567" customFormat="false" ht="17.15" hidden="false" customHeight="false" outlineLevel="0" collapsed="false">
      <c r="A567" s="10" t="s">
        <v>2085</v>
      </c>
    </row>
    <row r="568" customFormat="false" ht="17.15" hidden="false" customHeight="false" outlineLevel="0" collapsed="false">
      <c r="A568" s="0" t="s">
        <v>2086</v>
      </c>
      <c r="B568" s="0" t="s">
        <v>2087</v>
      </c>
      <c r="C568" s="0" t="s">
        <v>60</v>
      </c>
      <c r="D568" s="11" t="n">
        <v>-0.2</v>
      </c>
      <c r="E568" s="11" t="n">
        <v>-0.12</v>
      </c>
      <c r="F568" s="11" t="n">
        <v>-0.05</v>
      </c>
      <c r="G568" s="12" t="s">
        <v>848</v>
      </c>
      <c r="H568" s="6" t="s">
        <v>2088</v>
      </c>
      <c r="I568" s="12" t="s">
        <v>2089</v>
      </c>
      <c r="J568" s="12" t="s">
        <v>2090</v>
      </c>
    </row>
    <row r="569" customFormat="false" ht="17.15" hidden="false" customHeight="false" outlineLevel="0" collapsed="false">
      <c r="A569" s="0" t="s">
        <v>2091</v>
      </c>
      <c r="B569" s="6" t="s">
        <v>2092</v>
      </c>
      <c r="C569" s="0" t="s">
        <v>2093</v>
      </c>
      <c r="D569" s="13" t="n">
        <v>24</v>
      </c>
      <c r="E569" s="13" t="n">
        <v>30</v>
      </c>
      <c r="F569" s="13" t="n">
        <v>36</v>
      </c>
      <c r="G569" s="12" t="s">
        <v>159</v>
      </c>
      <c r="H569" s="12" t="s">
        <v>2094</v>
      </c>
      <c r="I569" s="12" t="s">
        <v>2095</v>
      </c>
      <c r="J569" s="6" t="s">
        <v>2096</v>
      </c>
    </row>
    <row r="570" customFormat="false" ht="17.15" hidden="false" customHeight="false" outlineLevel="0" collapsed="false">
      <c r="A570" s="0" t="s">
        <v>2097</v>
      </c>
      <c r="B570" s="6" t="s">
        <v>2098</v>
      </c>
      <c r="C570" s="0" t="s">
        <v>2093</v>
      </c>
      <c r="D570" s="13" t="n">
        <v>27</v>
      </c>
      <c r="E570" s="13" t="n">
        <v>34</v>
      </c>
      <c r="F570" s="13" t="n">
        <v>41</v>
      </c>
      <c r="G570" s="12" t="s">
        <v>159</v>
      </c>
      <c r="H570" s="6" t="s">
        <v>2099</v>
      </c>
      <c r="I570" s="12" t="s">
        <v>2100</v>
      </c>
      <c r="J570" s="6" t="s">
        <v>2096</v>
      </c>
    </row>
    <row r="571" customFormat="false" ht="17.15" hidden="false" customHeight="false" outlineLevel="0" collapsed="false">
      <c r="A571" s="0" t="s">
        <v>2101</v>
      </c>
      <c r="B571" s="6" t="s">
        <v>2102</v>
      </c>
      <c r="C571" s="0" t="s">
        <v>2093</v>
      </c>
      <c r="D571" s="13" t="n">
        <v>32</v>
      </c>
      <c r="E571" s="13" t="n">
        <v>40</v>
      </c>
      <c r="F571" s="13" t="n">
        <v>48</v>
      </c>
      <c r="G571" s="12" t="s">
        <v>159</v>
      </c>
      <c r="H571" s="6" t="s">
        <v>2099</v>
      </c>
      <c r="I571" s="12" t="s">
        <v>2103</v>
      </c>
      <c r="J571" s="6" t="s">
        <v>2096</v>
      </c>
    </row>
    <row r="572" customFormat="false" ht="17.15" hidden="false" customHeight="false" outlineLevel="0" collapsed="false">
      <c r="A572" s="0" t="s">
        <v>2104</v>
      </c>
      <c r="B572" s="6" t="s">
        <v>2105</v>
      </c>
      <c r="C572" s="0" t="s">
        <v>2093</v>
      </c>
      <c r="D572" s="13" t="n">
        <v>37</v>
      </c>
      <c r="E572" s="13" t="n">
        <v>46</v>
      </c>
      <c r="F572" s="13" t="n">
        <v>55</v>
      </c>
      <c r="G572" s="12" t="s">
        <v>159</v>
      </c>
      <c r="H572" s="6" t="s">
        <v>2099</v>
      </c>
      <c r="I572" s="12" t="s">
        <v>2106</v>
      </c>
      <c r="J572" s="6" t="s">
        <v>2096</v>
      </c>
    </row>
    <row r="573" customFormat="false" ht="17.15" hidden="false" customHeight="false" outlineLevel="0" collapsed="false">
      <c r="A573" s="0" t="s">
        <v>2107</v>
      </c>
      <c r="B573" s="6" t="s">
        <v>2108</v>
      </c>
      <c r="C573" s="0" t="s">
        <v>2093</v>
      </c>
      <c r="D573" s="13" t="n">
        <v>42</v>
      </c>
      <c r="E573" s="13" t="n">
        <v>52</v>
      </c>
      <c r="F573" s="13" t="n">
        <v>62</v>
      </c>
      <c r="G573" s="12" t="s">
        <v>159</v>
      </c>
      <c r="H573" s="6" t="s">
        <v>2099</v>
      </c>
      <c r="I573" s="12" t="s">
        <v>2109</v>
      </c>
      <c r="J573" s="6" t="s">
        <v>2096</v>
      </c>
    </row>
    <row r="574" customFormat="false" ht="17.15" hidden="false" customHeight="false" outlineLevel="0" collapsed="false">
      <c r="A574" s="0" t="s">
        <v>2110</v>
      </c>
      <c r="B574" s="0" t="s">
        <v>2111</v>
      </c>
      <c r="C574" s="0" t="s">
        <v>2112</v>
      </c>
      <c r="D574" s="13" t="n">
        <v>850</v>
      </c>
      <c r="E574" s="13" t="n">
        <v>1000</v>
      </c>
      <c r="F574" s="13" t="n">
        <v>1150</v>
      </c>
      <c r="G574" s="12" t="s">
        <v>159</v>
      </c>
      <c r="H574" s="6" t="s">
        <v>2113</v>
      </c>
      <c r="I574" s="12" t="s">
        <v>2114</v>
      </c>
      <c r="J574" s="6" t="s">
        <v>2115</v>
      </c>
    </row>
    <row r="575" customFormat="false" ht="17.15" hidden="false" customHeight="false" outlineLevel="0" collapsed="false">
      <c r="A575" s="0" t="s">
        <v>2116</v>
      </c>
      <c r="B575" s="0" t="s">
        <v>2117</v>
      </c>
      <c r="C575" s="0" t="s">
        <v>60</v>
      </c>
      <c r="D575" s="11" t="n">
        <v>0.08</v>
      </c>
      <c r="E575" s="11" t="n">
        <v>0.12</v>
      </c>
      <c r="F575" s="11" t="n">
        <v>0.16</v>
      </c>
      <c r="G575" s="12" t="s">
        <v>159</v>
      </c>
      <c r="H575" s="12" t="s">
        <v>2118</v>
      </c>
      <c r="I575" s="12" t="s">
        <v>2119</v>
      </c>
      <c r="J575" s="6" t="s">
        <v>2120</v>
      </c>
    </row>
    <row r="576" customFormat="false" ht="17.15" hidden="false" customHeight="false" outlineLevel="0" collapsed="false">
      <c r="A576" s="0" t="s">
        <v>2121</v>
      </c>
      <c r="B576" s="0" t="s">
        <v>2122</v>
      </c>
      <c r="C576" s="0" t="s">
        <v>60</v>
      </c>
      <c r="D576" s="11" t="n">
        <v>0.26</v>
      </c>
      <c r="E576" s="11" t="n">
        <v>0.3</v>
      </c>
      <c r="F576" s="11" t="n">
        <v>0.34</v>
      </c>
      <c r="G576" s="12" t="s">
        <v>61</v>
      </c>
      <c r="H576" s="12" t="s">
        <v>2123</v>
      </c>
      <c r="I576" s="12" t="s">
        <v>2124</v>
      </c>
      <c r="J576" s="6" t="s">
        <v>2125</v>
      </c>
    </row>
    <row r="577" customFormat="false" ht="17.15" hidden="false" customHeight="false" outlineLevel="0" collapsed="false">
      <c r="A577" s="0" t="s">
        <v>2126</v>
      </c>
      <c r="B577" s="0" t="s">
        <v>2127</v>
      </c>
      <c r="C577" s="0" t="s">
        <v>60</v>
      </c>
      <c r="D577" s="11" t="n">
        <v>0.45</v>
      </c>
      <c r="E577" s="11" t="n">
        <v>0.55</v>
      </c>
      <c r="F577" s="11" t="n">
        <v>0.65</v>
      </c>
      <c r="G577" s="12" t="s">
        <v>159</v>
      </c>
      <c r="H577" s="6" t="s">
        <v>2128</v>
      </c>
      <c r="I577" s="12" t="s">
        <v>2129</v>
      </c>
      <c r="J577" s="12" t="s">
        <v>2130</v>
      </c>
    </row>
    <row r="578" customFormat="false" ht="17.15" hidden="false" customHeight="false" outlineLevel="0" collapsed="false">
      <c r="A578" s="0" t="s">
        <v>2131</v>
      </c>
      <c r="B578" s="0" t="s">
        <v>2132</v>
      </c>
      <c r="C578" s="0" t="s">
        <v>60</v>
      </c>
      <c r="D578" s="11" t="n">
        <v>0.28</v>
      </c>
      <c r="E578" s="11" t="n">
        <v>0.32</v>
      </c>
      <c r="F578" s="11" t="n">
        <v>0.36</v>
      </c>
      <c r="G578" s="12" t="s">
        <v>159</v>
      </c>
      <c r="H578" s="12" t="s">
        <v>2133</v>
      </c>
      <c r="I578" s="12" t="s">
        <v>2134</v>
      </c>
    </row>
    <row r="579" customFormat="false" ht="17.15" hidden="false" customHeight="false" outlineLevel="0" collapsed="false">
      <c r="A579" s="0" t="s">
        <v>2135</v>
      </c>
      <c r="B579" s="0" t="s">
        <v>2136</v>
      </c>
      <c r="C579" s="0" t="s">
        <v>60</v>
      </c>
      <c r="D579" s="11" t="n">
        <v>0.2</v>
      </c>
      <c r="E579" s="11" t="n">
        <v>0.23</v>
      </c>
      <c r="F579" s="11" t="n">
        <v>0.26</v>
      </c>
      <c r="G579" s="12" t="s">
        <v>159</v>
      </c>
      <c r="H579" s="6" t="s">
        <v>66</v>
      </c>
      <c r="I579" s="12" t="s">
        <v>2137</v>
      </c>
      <c r="J579" s="6" t="s">
        <v>2138</v>
      </c>
    </row>
    <row r="580" customFormat="false" ht="17.15" hidden="false" customHeight="false" outlineLevel="0" collapsed="false">
      <c r="A580" s="0" t="s">
        <v>2139</v>
      </c>
      <c r="B580" s="6" t="s">
        <v>2140</v>
      </c>
      <c r="C580" s="0" t="s">
        <v>60</v>
      </c>
      <c r="D580" s="11" t="n">
        <v>0.05</v>
      </c>
      <c r="E580" s="11" t="n">
        <v>0.1</v>
      </c>
      <c r="F580" s="11" t="n">
        <v>0.15</v>
      </c>
      <c r="G580" s="12" t="s">
        <v>159</v>
      </c>
      <c r="H580" s="12" t="s">
        <v>2141</v>
      </c>
      <c r="I580" s="12" t="s">
        <v>2142</v>
      </c>
      <c r="J580" s="6" t="s">
        <v>2143</v>
      </c>
    </row>
    <row r="581" customFormat="false" ht="17.15" hidden="false" customHeight="false" outlineLevel="0" collapsed="false">
      <c r="A581" s="0" t="s">
        <v>2144</v>
      </c>
      <c r="B581" s="6" t="s">
        <v>2145</v>
      </c>
      <c r="C581" s="0" t="s">
        <v>60</v>
      </c>
      <c r="D581" s="11" t="n">
        <v>-0.1</v>
      </c>
      <c r="E581" s="11" t="n">
        <v>-0.05</v>
      </c>
      <c r="F581" s="11" t="n">
        <v>0</v>
      </c>
      <c r="G581" s="12" t="s">
        <v>159</v>
      </c>
      <c r="H581" s="12" t="s">
        <v>2146</v>
      </c>
      <c r="I581" s="12" t="s">
        <v>2147</v>
      </c>
      <c r="J581" s="6" t="s">
        <v>2148</v>
      </c>
    </row>
    <row r="582" customFormat="false" ht="17.15" hidden="false" customHeight="false" outlineLevel="0" collapsed="false">
      <c r="A582" s="0" t="s">
        <v>2149</v>
      </c>
      <c r="B582" s="6" t="s">
        <v>2150</v>
      </c>
      <c r="C582" s="0" t="s">
        <v>60</v>
      </c>
      <c r="D582" s="11" t="n">
        <v>0</v>
      </c>
      <c r="E582" s="11" t="n">
        <v>0.03</v>
      </c>
      <c r="F582" s="11" t="n">
        <v>0.06</v>
      </c>
      <c r="G582" s="12" t="s">
        <v>159</v>
      </c>
      <c r="H582" s="6" t="s">
        <v>66</v>
      </c>
      <c r="I582" s="12" t="s">
        <v>2151</v>
      </c>
      <c r="J582" s="6" t="s">
        <v>2148</v>
      </c>
    </row>
    <row r="583" customFormat="false" ht="17.15" hidden="false" customHeight="false" outlineLevel="0" collapsed="false">
      <c r="A583" s="0" t="s">
        <v>2152</v>
      </c>
      <c r="B583" s="6" t="s">
        <v>2153</v>
      </c>
      <c r="C583" s="0" t="s">
        <v>60</v>
      </c>
      <c r="D583" s="11" t="n">
        <v>0.05</v>
      </c>
      <c r="E583" s="11" t="n">
        <v>0.08</v>
      </c>
      <c r="F583" s="11" t="n">
        <v>0.11</v>
      </c>
      <c r="G583" s="12" t="s">
        <v>159</v>
      </c>
      <c r="H583" s="6" t="s">
        <v>66</v>
      </c>
      <c r="I583" s="12" t="s">
        <v>2154</v>
      </c>
      <c r="J583" s="6" t="s">
        <v>2148</v>
      </c>
    </row>
    <row r="584" customFormat="false" ht="17.15" hidden="false" customHeight="false" outlineLevel="0" collapsed="false">
      <c r="A584" s="0" t="s">
        <v>2155</v>
      </c>
      <c r="B584" s="0" t="s">
        <v>2156</v>
      </c>
      <c r="C584" s="0" t="s">
        <v>60</v>
      </c>
      <c r="D584" s="11" t="n">
        <v>-0.1</v>
      </c>
      <c r="E584" s="11" t="n">
        <v>-0.05</v>
      </c>
      <c r="F584" s="11" t="n">
        <v>0</v>
      </c>
      <c r="G584" s="12" t="s">
        <v>159</v>
      </c>
      <c r="H584" s="6" t="s">
        <v>66</v>
      </c>
      <c r="I584" s="12" t="s">
        <v>2157</v>
      </c>
      <c r="J584" s="6" t="s">
        <v>2148</v>
      </c>
    </row>
    <row r="585" customFormat="false" ht="17.15" hidden="false" customHeight="false" outlineLevel="0" collapsed="false">
      <c r="A585" s="0" t="s">
        <v>2158</v>
      </c>
      <c r="B585" s="0" t="s">
        <v>2159</v>
      </c>
      <c r="C585" s="0" t="s">
        <v>60</v>
      </c>
      <c r="D585" s="11" t="n">
        <v>-0.03</v>
      </c>
      <c r="E585" s="11" t="n">
        <v>0</v>
      </c>
      <c r="F585" s="11" t="n">
        <v>0.03</v>
      </c>
      <c r="G585" s="12" t="s">
        <v>159</v>
      </c>
      <c r="H585" s="6" t="s">
        <v>66</v>
      </c>
      <c r="I585" s="12" t="s">
        <v>2160</v>
      </c>
      <c r="J585" s="6" t="s">
        <v>2148</v>
      </c>
    </row>
    <row r="586" customFormat="false" ht="17.15" hidden="false" customHeight="false" outlineLevel="0" collapsed="false">
      <c r="A586" s="0" t="s">
        <v>2161</v>
      </c>
      <c r="B586" s="0" t="s">
        <v>2162</v>
      </c>
      <c r="C586" s="0" t="s">
        <v>60</v>
      </c>
      <c r="D586" s="11" t="n">
        <v>0.03</v>
      </c>
      <c r="E586" s="11" t="n">
        <v>0.06</v>
      </c>
      <c r="F586" s="11" t="n">
        <v>0.09</v>
      </c>
      <c r="G586" s="12" t="s">
        <v>159</v>
      </c>
      <c r="H586" s="6" t="s">
        <v>66</v>
      </c>
      <c r="I586" s="12" t="s">
        <v>2163</v>
      </c>
      <c r="J586" s="6" t="s">
        <v>2148</v>
      </c>
    </row>
    <row r="587" customFormat="false" ht="17.15" hidden="false" customHeight="false" outlineLevel="0" collapsed="false">
      <c r="A587" s="0" t="s">
        <v>2164</v>
      </c>
      <c r="B587" s="6" t="s">
        <v>2165</v>
      </c>
      <c r="C587" s="0" t="s">
        <v>60</v>
      </c>
      <c r="D587" s="11" t="n">
        <v>-0.15</v>
      </c>
      <c r="E587" s="11" t="n">
        <v>-0.1</v>
      </c>
      <c r="F587" s="11" t="n">
        <v>-0.05</v>
      </c>
      <c r="G587" s="12" t="s">
        <v>159</v>
      </c>
      <c r="H587" s="6" t="s">
        <v>2166</v>
      </c>
      <c r="I587" s="12" t="s">
        <v>2167</v>
      </c>
      <c r="J587" s="6" t="s">
        <v>2148</v>
      </c>
    </row>
    <row r="588" customFormat="false" ht="17.15" hidden="false" customHeight="false" outlineLevel="0" collapsed="false">
      <c r="A588" s="0" t="s">
        <v>2168</v>
      </c>
      <c r="B588" s="6" t="s">
        <v>2169</v>
      </c>
      <c r="C588" s="0" t="s">
        <v>60</v>
      </c>
      <c r="D588" s="11" t="n">
        <v>-0.03</v>
      </c>
      <c r="E588" s="11" t="n">
        <v>0</v>
      </c>
      <c r="F588" s="11" t="n">
        <v>0.03</v>
      </c>
      <c r="G588" s="12" t="s">
        <v>159</v>
      </c>
      <c r="H588" s="6" t="s">
        <v>66</v>
      </c>
      <c r="I588" s="12" t="s">
        <v>2170</v>
      </c>
      <c r="J588" s="6" t="s">
        <v>2148</v>
      </c>
    </row>
    <row r="589" customFormat="false" ht="17.15" hidden="false" customHeight="false" outlineLevel="0" collapsed="false">
      <c r="A589" s="0" t="s">
        <v>2171</v>
      </c>
      <c r="B589" s="6" t="s">
        <v>2172</v>
      </c>
      <c r="C589" s="0" t="s">
        <v>60</v>
      </c>
      <c r="D589" s="11" t="n">
        <v>0.02</v>
      </c>
      <c r="E589" s="11" t="n">
        <v>0.05</v>
      </c>
      <c r="F589" s="11" t="n">
        <v>0.08</v>
      </c>
      <c r="G589" s="12" t="s">
        <v>159</v>
      </c>
      <c r="H589" s="6" t="s">
        <v>66</v>
      </c>
      <c r="I589" s="12" t="s">
        <v>2173</v>
      </c>
      <c r="J589" s="6" t="s">
        <v>2148</v>
      </c>
    </row>
    <row r="590" customFormat="false" ht="17.15" hidden="false" customHeight="false" outlineLevel="0" collapsed="false">
      <c r="A590" s="0" t="s">
        <v>2174</v>
      </c>
      <c r="B590" s="6" t="s">
        <v>2175</v>
      </c>
      <c r="C590" s="0" t="s">
        <v>60</v>
      </c>
      <c r="D590" s="11" t="n">
        <v>0.18</v>
      </c>
      <c r="E590" s="11" t="n">
        <v>0.21</v>
      </c>
      <c r="F590" s="11" t="n">
        <v>0.24</v>
      </c>
      <c r="G590" s="12" t="s">
        <v>61</v>
      </c>
      <c r="H590" s="6" t="s">
        <v>2176</v>
      </c>
      <c r="I590" s="12" t="s">
        <v>2177</v>
      </c>
      <c r="J590" s="6" t="s">
        <v>2178</v>
      </c>
    </row>
    <row r="591" customFormat="false" ht="17.15" hidden="false" customHeight="false" outlineLevel="0" collapsed="false">
      <c r="A591" s="0" t="s">
        <v>2179</v>
      </c>
      <c r="B591" s="6" t="s">
        <v>2180</v>
      </c>
      <c r="C591" s="0" t="s">
        <v>60</v>
      </c>
      <c r="D591" s="11" t="n">
        <v>0.2</v>
      </c>
      <c r="E591" s="11" t="n">
        <v>0.25</v>
      </c>
      <c r="F591" s="11" t="n">
        <v>0.28</v>
      </c>
      <c r="G591" s="12" t="s">
        <v>61</v>
      </c>
      <c r="H591" s="6" t="s">
        <v>66</v>
      </c>
      <c r="I591" s="12" t="s">
        <v>2181</v>
      </c>
      <c r="J591" s="6" t="s">
        <v>66</v>
      </c>
    </row>
    <row r="592" customFormat="false" ht="17.15" hidden="false" customHeight="false" outlineLevel="0" collapsed="false">
      <c r="A592" s="0" t="s">
        <v>2182</v>
      </c>
      <c r="B592" s="6" t="s">
        <v>2183</v>
      </c>
      <c r="C592" s="0" t="s">
        <v>60</v>
      </c>
      <c r="D592" s="11" t="n">
        <v>0.2</v>
      </c>
      <c r="E592" s="11" t="n">
        <v>0.25</v>
      </c>
      <c r="F592" s="11" t="n">
        <v>0.28</v>
      </c>
      <c r="G592" s="12" t="s">
        <v>61</v>
      </c>
      <c r="H592" s="6" t="s">
        <v>66</v>
      </c>
      <c r="I592" s="12" t="s">
        <v>2184</v>
      </c>
      <c r="J592" s="6" t="s">
        <v>66</v>
      </c>
    </row>
    <row r="593" customFormat="false" ht="17.15" hidden="false" customHeight="false" outlineLevel="0" collapsed="false">
      <c r="A593" s="0" t="s">
        <v>2185</v>
      </c>
      <c r="B593" s="6" t="s">
        <v>2186</v>
      </c>
      <c r="C593" s="0" t="s">
        <v>60</v>
      </c>
      <c r="D593" s="11" t="n">
        <v>0.15</v>
      </c>
      <c r="E593" s="11" t="n">
        <v>0.22</v>
      </c>
      <c r="F593" s="11" t="n">
        <v>0.28</v>
      </c>
      <c r="G593" s="12" t="s">
        <v>159</v>
      </c>
      <c r="H593" s="6" t="s">
        <v>2187</v>
      </c>
      <c r="I593" s="12" t="s">
        <v>2188</v>
      </c>
      <c r="J593" s="6" t="s">
        <v>66</v>
      </c>
    </row>
    <row r="594" customFormat="false" ht="17.15" hidden="false" customHeight="false" outlineLevel="0" collapsed="false">
      <c r="A594" s="0" t="s">
        <v>2189</v>
      </c>
      <c r="B594" s="6" t="s">
        <v>2190</v>
      </c>
      <c r="C594" s="0" t="s">
        <v>60</v>
      </c>
      <c r="D594" s="11" t="n">
        <v>0.12</v>
      </c>
      <c r="E594" s="11" t="n">
        <v>0.2</v>
      </c>
      <c r="F594" s="11" t="n">
        <v>0.26</v>
      </c>
      <c r="G594" s="12" t="s">
        <v>159</v>
      </c>
      <c r="H594" s="6" t="s">
        <v>66</v>
      </c>
      <c r="I594" s="12" t="s">
        <v>2191</v>
      </c>
      <c r="J594" s="6" t="s">
        <v>66</v>
      </c>
    </row>
    <row r="595" customFormat="false" ht="17.15" hidden="false" customHeight="false" outlineLevel="0" collapsed="false">
      <c r="A595" s="0" t="s">
        <v>2192</v>
      </c>
      <c r="B595" s="6" t="s">
        <v>2193</v>
      </c>
      <c r="C595" s="0" t="s">
        <v>511</v>
      </c>
      <c r="E595" s="13" t="n">
        <v>4.2</v>
      </c>
      <c r="G595" s="12" t="s">
        <v>490</v>
      </c>
      <c r="H595" s="12" t="s">
        <v>2194</v>
      </c>
      <c r="I595" s="12" t="s">
        <v>2195</v>
      </c>
    </row>
    <row r="596" customFormat="false" ht="17.15" hidden="false" customHeight="false" outlineLevel="0" collapsed="false">
      <c r="A596" s="0" t="s">
        <v>2196</v>
      </c>
      <c r="B596" s="6" t="s">
        <v>2197</v>
      </c>
      <c r="C596" s="0" t="s">
        <v>511</v>
      </c>
      <c r="E596" s="13" t="n">
        <v>5.2</v>
      </c>
      <c r="G596" s="12" t="s">
        <v>61</v>
      </c>
      <c r="H596" s="12" t="s">
        <v>2198</v>
      </c>
      <c r="I596" s="12" t="s">
        <v>2199</v>
      </c>
    </row>
    <row r="597" customFormat="false" ht="17.15" hidden="false" customHeight="false" outlineLevel="0" collapsed="false">
      <c r="A597" s="0" t="s">
        <v>2200</v>
      </c>
      <c r="B597" s="6" t="s">
        <v>2201</v>
      </c>
      <c r="C597" s="0" t="s">
        <v>511</v>
      </c>
      <c r="E597" s="13" t="n">
        <v>6</v>
      </c>
      <c r="G597" s="12" t="s">
        <v>61</v>
      </c>
      <c r="H597" s="12" t="s">
        <v>2202</v>
      </c>
      <c r="I597" s="12" t="s">
        <v>2203</v>
      </c>
    </row>
    <row r="598" customFormat="false" ht="17.15" hidden="false" customHeight="false" outlineLevel="0" collapsed="false">
      <c r="A598" s="0" t="s">
        <v>2204</v>
      </c>
      <c r="B598" s="6" t="s">
        <v>2205</v>
      </c>
      <c r="C598" s="0" t="s">
        <v>511</v>
      </c>
      <c r="E598" s="13" t="n">
        <v>6.6</v>
      </c>
      <c r="G598" s="12" t="s">
        <v>61</v>
      </c>
      <c r="H598" s="12" t="s">
        <v>2206</v>
      </c>
      <c r="I598" s="12" t="s">
        <v>2207</v>
      </c>
    </row>
    <row r="599" customFormat="false" ht="17.15" hidden="false" customHeight="false" outlineLevel="0" collapsed="false">
      <c r="A599" s="0" t="s">
        <v>2208</v>
      </c>
      <c r="B599" s="6" t="s">
        <v>2209</v>
      </c>
      <c r="C599" s="0" t="s">
        <v>511</v>
      </c>
      <c r="E599" s="13" t="n">
        <v>13.51</v>
      </c>
      <c r="G599" s="12" t="s">
        <v>490</v>
      </c>
      <c r="H599" s="12" t="s">
        <v>2210</v>
      </c>
      <c r="I599" s="12" t="s">
        <v>2211</v>
      </c>
    </row>
    <row r="600" customFormat="false" ht="17.15" hidden="false" customHeight="false" outlineLevel="0" collapsed="false">
      <c r="A600" s="0" t="s">
        <v>2212</v>
      </c>
      <c r="B600" s="6" t="s">
        <v>2213</v>
      </c>
      <c r="C600" s="0" t="s">
        <v>511</v>
      </c>
      <c r="E600" s="13" t="n">
        <v>23.06</v>
      </c>
      <c r="G600" s="12" t="s">
        <v>61</v>
      </c>
      <c r="H600" s="12" t="s">
        <v>2214</v>
      </c>
      <c r="I600" s="12" t="s">
        <v>2215</v>
      </c>
    </row>
    <row r="601" customFormat="false" ht="17.15" hidden="false" customHeight="false" outlineLevel="0" collapsed="false">
      <c r="A601" s="0" t="s">
        <v>2216</v>
      </c>
      <c r="B601" s="0" t="s">
        <v>2217</v>
      </c>
      <c r="C601" s="0" t="s">
        <v>511</v>
      </c>
      <c r="E601" s="13" t="n">
        <v>2.19</v>
      </c>
      <c r="G601" s="12" t="s">
        <v>490</v>
      </c>
      <c r="H601" s="12" t="s">
        <v>2194</v>
      </c>
      <c r="I601" s="12" t="s">
        <v>2218</v>
      </c>
    </row>
    <row r="602" customFormat="false" ht="17.15" hidden="false" customHeight="false" outlineLevel="0" collapsed="false">
      <c r="A602" s="0" t="s">
        <v>2219</v>
      </c>
      <c r="B602" s="0" t="s">
        <v>2220</v>
      </c>
      <c r="C602" s="0" t="s">
        <v>511</v>
      </c>
      <c r="E602" s="13" t="n">
        <v>3.34</v>
      </c>
      <c r="G602" s="12" t="s">
        <v>61</v>
      </c>
      <c r="H602" s="12" t="s">
        <v>2198</v>
      </c>
      <c r="I602" s="12" t="s">
        <v>2221</v>
      </c>
    </row>
    <row r="603" customFormat="false" ht="17.15" hidden="false" customHeight="false" outlineLevel="0" collapsed="false">
      <c r="A603" s="0" t="s">
        <v>2222</v>
      </c>
      <c r="B603" s="0" t="s">
        <v>2223</v>
      </c>
      <c r="C603" s="0" t="s">
        <v>511</v>
      </c>
      <c r="E603" s="13" t="n">
        <v>3.53</v>
      </c>
      <c r="G603" s="12" t="s">
        <v>61</v>
      </c>
      <c r="H603" s="12" t="s">
        <v>2202</v>
      </c>
      <c r="I603" s="12" t="s">
        <v>2224</v>
      </c>
    </row>
    <row r="604" customFormat="false" ht="17.15" hidden="false" customHeight="false" outlineLevel="0" collapsed="false">
      <c r="A604" s="0" t="s">
        <v>2225</v>
      </c>
      <c r="B604" s="0" t="s">
        <v>2226</v>
      </c>
      <c r="C604" s="0" t="s">
        <v>511</v>
      </c>
      <c r="E604" s="13" t="n">
        <v>5.21</v>
      </c>
      <c r="G604" s="12" t="s">
        <v>61</v>
      </c>
      <c r="H604" s="12" t="s">
        <v>2206</v>
      </c>
      <c r="I604" s="12" t="s">
        <v>2227</v>
      </c>
    </row>
    <row r="605" customFormat="false" ht="17.15" hidden="false" customHeight="false" outlineLevel="0" collapsed="false">
      <c r="A605" s="0" t="s">
        <v>2228</v>
      </c>
      <c r="B605" s="0" t="s">
        <v>2229</v>
      </c>
      <c r="C605" s="0" t="s">
        <v>511</v>
      </c>
      <c r="E605" s="13" t="n">
        <v>7.53</v>
      </c>
      <c r="G605" s="12" t="s">
        <v>490</v>
      </c>
      <c r="H605" s="12" t="s">
        <v>2210</v>
      </c>
      <c r="I605" s="12" t="s">
        <v>2230</v>
      </c>
    </row>
    <row r="606" customFormat="false" ht="17.15" hidden="false" customHeight="false" outlineLevel="0" collapsed="false">
      <c r="A606" s="0" t="s">
        <v>2231</v>
      </c>
      <c r="B606" s="0" t="s">
        <v>2232</v>
      </c>
      <c r="C606" s="0" t="s">
        <v>511</v>
      </c>
      <c r="E606" s="13" t="n">
        <v>14.27</v>
      </c>
      <c r="G606" s="12" t="s">
        <v>61</v>
      </c>
      <c r="H606" s="12" t="s">
        <v>2214</v>
      </c>
      <c r="I606" s="12" t="s">
        <v>2233</v>
      </c>
    </row>
    <row r="607" customFormat="false" ht="17.15" hidden="false" customHeight="false" outlineLevel="0" collapsed="false">
      <c r="A607" s="0" t="s">
        <v>2234</v>
      </c>
      <c r="B607" s="6" t="s">
        <v>2235</v>
      </c>
      <c r="C607" s="0" t="s">
        <v>511</v>
      </c>
      <c r="E607" s="13" t="n">
        <v>2.03</v>
      </c>
      <c r="G607" s="12" t="s">
        <v>490</v>
      </c>
      <c r="H607" s="12" t="s">
        <v>2194</v>
      </c>
      <c r="I607" s="12" t="s">
        <v>2236</v>
      </c>
    </row>
    <row r="608" customFormat="false" ht="17.15" hidden="false" customHeight="false" outlineLevel="0" collapsed="false">
      <c r="A608" s="0" t="s">
        <v>2237</v>
      </c>
      <c r="B608" s="6" t="s">
        <v>2238</v>
      </c>
      <c r="C608" s="0" t="s">
        <v>511</v>
      </c>
      <c r="E608" s="13" t="n">
        <v>2.1</v>
      </c>
      <c r="G608" s="12" t="s">
        <v>61</v>
      </c>
      <c r="H608" s="12" t="s">
        <v>2198</v>
      </c>
      <c r="I608" s="12" t="s">
        <v>2239</v>
      </c>
    </row>
    <row r="609" customFormat="false" ht="17.15" hidden="false" customHeight="false" outlineLevel="0" collapsed="false">
      <c r="A609" s="0" t="s">
        <v>2240</v>
      </c>
      <c r="B609" s="6" t="s">
        <v>2241</v>
      </c>
      <c r="C609" s="0" t="s">
        <v>511</v>
      </c>
      <c r="E609" s="13" t="n">
        <v>2.42</v>
      </c>
      <c r="G609" s="12" t="s">
        <v>61</v>
      </c>
      <c r="H609" s="12" t="s">
        <v>2202</v>
      </c>
      <c r="I609" s="12" t="s">
        <v>2242</v>
      </c>
    </row>
    <row r="610" customFormat="false" ht="17.15" hidden="false" customHeight="false" outlineLevel="0" collapsed="false">
      <c r="A610" s="0" t="s">
        <v>2243</v>
      </c>
      <c r="B610" s="6" t="s">
        <v>2244</v>
      </c>
      <c r="C610" s="0" t="s">
        <v>511</v>
      </c>
      <c r="E610" s="13" t="n">
        <v>3.03</v>
      </c>
      <c r="G610" s="12" t="s">
        <v>61</v>
      </c>
      <c r="H610" s="12" t="s">
        <v>2206</v>
      </c>
      <c r="I610" s="12" t="s">
        <v>2245</v>
      </c>
    </row>
    <row r="611" customFormat="false" ht="17.15" hidden="false" customHeight="false" outlineLevel="0" collapsed="false">
      <c r="A611" s="0" t="s">
        <v>2246</v>
      </c>
      <c r="B611" s="6" t="s">
        <v>2247</v>
      </c>
      <c r="C611" s="0" t="s">
        <v>511</v>
      </c>
      <c r="E611" s="13" t="n">
        <v>5.95</v>
      </c>
      <c r="G611" s="12" t="s">
        <v>490</v>
      </c>
      <c r="H611" s="12" t="s">
        <v>2210</v>
      </c>
      <c r="I611" s="12" t="s">
        <v>2248</v>
      </c>
    </row>
    <row r="612" customFormat="false" ht="17.15" hidden="false" customHeight="false" outlineLevel="0" collapsed="false">
      <c r="A612" s="0" t="s">
        <v>2249</v>
      </c>
      <c r="B612" s="6" t="s">
        <v>2250</v>
      </c>
      <c r="C612" s="0" t="s">
        <v>511</v>
      </c>
      <c r="E612" s="13" t="n">
        <v>11.85</v>
      </c>
      <c r="G612" s="12" t="s">
        <v>61</v>
      </c>
      <c r="H612" s="12" t="s">
        <v>2214</v>
      </c>
      <c r="I612" s="12" t="s">
        <v>2251</v>
      </c>
    </row>
    <row r="613" customFormat="false" ht="17.15" hidden="false" customHeight="false" outlineLevel="0" collapsed="false">
      <c r="A613" s="0" t="s">
        <v>2252</v>
      </c>
      <c r="B613" s="0" t="s">
        <v>2253</v>
      </c>
      <c r="C613" s="0" t="s">
        <v>511</v>
      </c>
      <c r="E613" s="13" t="n">
        <v>1.92</v>
      </c>
      <c r="G613" s="12" t="s">
        <v>490</v>
      </c>
      <c r="H613" s="12" t="s">
        <v>2194</v>
      </c>
      <c r="I613" s="12" t="s">
        <v>2254</v>
      </c>
    </row>
    <row r="614" customFormat="false" ht="17.15" hidden="false" customHeight="false" outlineLevel="0" collapsed="false">
      <c r="A614" s="0" t="s">
        <v>2255</v>
      </c>
      <c r="B614" s="0" t="s">
        <v>2256</v>
      </c>
      <c r="C614" s="0" t="s">
        <v>511</v>
      </c>
      <c r="E614" s="13" t="n">
        <v>2.14</v>
      </c>
      <c r="G614" s="12" t="s">
        <v>61</v>
      </c>
      <c r="H614" s="12" t="s">
        <v>2198</v>
      </c>
      <c r="I614" s="12" t="s">
        <v>2257</v>
      </c>
    </row>
    <row r="615" customFormat="false" ht="17.15" hidden="false" customHeight="false" outlineLevel="0" collapsed="false">
      <c r="A615" s="0" t="s">
        <v>2258</v>
      </c>
      <c r="B615" s="0" t="s">
        <v>2259</v>
      </c>
      <c r="C615" s="0" t="s">
        <v>511</v>
      </c>
      <c r="E615" s="13" t="n">
        <v>2.84</v>
      </c>
      <c r="G615" s="12" t="s">
        <v>61</v>
      </c>
      <c r="H615" s="12" t="s">
        <v>2202</v>
      </c>
      <c r="I615" s="12" t="s">
        <v>2260</v>
      </c>
    </row>
    <row r="616" customFormat="false" ht="17.15" hidden="false" customHeight="false" outlineLevel="0" collapsed="false">
      <c r="A616" s="0" t="s">
        <v>2261</v>
      </c>
      <c r="B616" s="0" t="s">
        <v>2262</v>
      </c>
      <c r="C616" s="0" t="s">
        <v>511</v>
      </c>
      <c r="E616" s="13" t="n">
        <v>3.31</v>
      </c>
      <c r="G616" s="12" t="s">
        <v>61</v>
      </c>
      <c r="H616" s="12" t="s">
        <v>2206</v>
      </c>
      <c r="I616" s="12" t="s">
        <v>2263</v>
      </c>
    </row>
    <row r="617" customFormat="false" ht="17.15" hidden="false" customHeight="false" outlineLevel="0" collapsed="false">
      <c r="A617" s="0" t="s">
        <v>2264</v>
      </c>
      <c r="B617" s="0" t="s">
        <v>2265</v>
      </c>
      <c r="C617" s="0" t="s">
        <v>511</v>
      </c>
      <c r="E617" s="13" t="n">
        <v>5.96</v>
      </c>
      <c r="G617" s="12" t="s">
        <v>490</v>
      </c>
      <c r="H617" s="12" t="s">
        <v>2210</v>
      </c>
      <c r="I617" s="12" t="s">
        <v>2266</v>
      </c>
    </row>
    <row r="618" customFormat="false" ht="17.15" hidden="false" customHeight="false" outlineLevel="0" collapsed="false">
      <c r="A618" s="0" t="s">
        <v>2267</v>
      </c>
      <c r="B618" s="0" t="s">
        <v>2268</v>
      </c>
      <c r="C618" s="0" t="s">
        <v>511</v>
      </c>
      <c r="E618" s="13" t="n">
        <v>10.72</v>
      </c>
      <c r="G618" s="12" t="s">
        <v>61</v>
      </c>
      <c r="H618" s="12" t="s">
        <v>2214</v>
      </c>
      <c r="I618" s="12" t="s">
        <v>2269</v>
      </c>
    </row>
    <row r="619" customFormat="false" ht="17.15" hidden="false" customHeight="false" outlineLevel="0" collapsed="false">
      <c r="A619" s="0" t="s">
        <v>2270</v>
      </c>
      <c r="B619" s="0" t="s">
        <v>2271</v>
      </c>
      <c r="C619" s="0" t="s">
        <v>511</v>
      </c>
      <c r="E619" s="13" t="n">
        <v>1.69</v>
      </c>
      <c r="G619" s="12" t="s">
        <v>490</v>
      </c>
      <c r="H619" s="12" t="s">
        <v>2194</v>
      </c>
      <c r="I619" s="12" t="s">
        <v>2272</v>
      </c>
    </row>
    <row r="620" customFormat="false" ht="17.15" hidden="false" customHeight="false" outlineLevel="0" collapsed="false">
      <c r="A620" s="0" t="s">
        <v>2273</v>
      </c>
      <c r="B620" s="0" t="s">
        <v>2274</v>
      </c>
      <c r="C620" s="0" t="s">
        <v>511</v>
      </c>
      <c r="E620" s="13" t="n">
        <v>1.9</v>
      </c>
      <c r="G620" s="12" t="s">
        <v>61</v>
      </c>
      <c r="H620" s="12" t="s">
        <v>2198</v>
      </c>
      <c r="I620" s="12" t="s">
        <v>2275</v>
      </c>
    </row>
    <row r="621" customFormat="false" ht="17.15" hidden="false" customHeight="false" outlineLevel="0" collapsed="false">
      <c r="A621" s="0" t="s">
        <v>2276</v>
      </c>
      <c r="B621" s="0" t="s">
        <v>2277</v>
      </c>
      <c r="C621" s="0" t="s">
        <v>511</v>
      </c>
      <c r="E621" s="13" t="n">
        <v>2.31</v>
      </c>
      <c r="G621" s="12" t="s">
        <v>61</v>
      </c>
      <c r="H621" s="12" t="s">
        <v>2202</v>
      </c>
      <c r="I621" s="12" t="s">
        <v>2278</v>
      </c>
    </row>
    <row r="622" customFormat="false" ht="17.15" hidden="false" customHeight="false" outlineLevel="0" collapsed="false">
      <c r="A622" s="0" t="s">
        <v>2279</v>
      </c>
      <c r="B622" s="0" t="s">
        <v>2280</v>
      </c>
      <c r="C622" s="0" t="s">
        <v>511</v>
      </c>
      <c r="E622" s="13" t="n">
        <v>3.03</v>
      </c>
      <c r="G622" s="12" t="s">
        <v>61</v>
      </c>
      <c r="H622" s="12" t="s">
        <v>2206</v>
      </c>
      <c r="I622" s="12" t="s">
        <v>2281</v>
      </c>
    </row>
    <row r="623" customFormat="false" ht="17.15" hidden="false" customHeight="false" outlineLevel="0" collapsed="false">
      <c r="A623" s="0" t="s">
        <v>2282</v>
      </c>
      <c r="B623" s="0" t="s">
        <v>2283</v>
      </c>
      <c r="C623" s="0" t="s">
        <v>511</v>
      </c>
      <c r="E623" s="13" t="n">
        <v>5.95</v>
      </c>
      <c r="G623" s="12" t="s">
        <v>490</v>
      </c>
      <c r="H623" s="12" t="s">
        <v>2210</v>
      </c>
      <c r="I623" s="12" t="s">
        <v>2284</v>
      </c>
    </row>
    <row r="624" customFormat="false" ht="17.15" hidden="false" customHeight="false" outlineLevel="0" collapsed="false">
      <c r="A624" s="0" t="s">
        <v>2285</v>
      </c>
      <c r="B624" s="0" t="s">
        <v>2286</v>
      </c>
      <c r="C624" s="0" t="s">
        <v>511</v>
      </c>
      <c r="E624" s="13" t="n">
        <v>8.97</v>
      </c>
      <c r="G624" s="12" t="s">
        <v>61</v>
      </c>
      <c r="H624" s="12" t="s">
        <v>2214</v>
      </c>
      <c r="I624" s="12" t="s">
        <v>2287</v>
      </c>
      <c r="J624" s="12" t="s">
        <v>2288</v>
      </c>
    </row>
    <row r="625" customFormat="false" ht="17.15" hidden="false" customHeight="false" outlineLevel="0" collapsed="false">
      <c r="A625" s="0" t="s">
        <v>2289</v>
      </c>
      <c r="B625" s="0" t="s">
        <v>2290</v>
      </c>
      <c r="C625" s="0" t="s">
        <v>511</v>
      </c>
      <c r="E625" s="13" t="n">
        <v>67.4</v>
      </c>
      <c r="G625" s="12" t="s">
        <v>61</v>
      </c>
      <c r="H625" s="12" t="s">
        <v>2291</v>
      </c>
      <c r="I625" s="12" t="s">
        <v>2292</v>
      </c>
      <c r="J625" s="6" t="s">
        <v>2293</v>
      </c>
    </row>
    <row r="626" customFormat="false" ht="17.15" hidden="false" customHeight="false" outlineLevel="0" collapsed="false">
      <c r="A626" s="0" t="s">
        <v>2294</v>
      </c>
      <c r="B626" s="6" t="s">
        <v>2295</v>
      </c>
      <c r="C626" s="0" t="s">
        <v>2296</v>
      </c>
      <c r="D626" s="13" t="n">
        <v>-1</v>
      </c>
      <c r="E626" s="13" t="n">
        <v>-0.5</v>
      </c>
      <c r="F626" s="13" t="n">
        <v>0</v>
      </c>
      <c r="G626" s="12" t="s">
        <v>159</v>
      </c>
      <c r="H626" s="6" t="s">
        <v>2297</v>
      </c>
      <c r="I626" s="12" t="s">
        <v>2298</v>
      </c>
    </row>
    <row r="627" customFormat="false" ht="17.15" hidden="false" customHeight="false" outlineLevel="0" collapsed="false">
      <c r="A627" s="0" t="s">
        <v>2299</v>
      </c>
      <c r="B627" s="0" t="s">
        <v>2300</v>
      </c>
      <c r="C627" s="0" t="s">
        <v>2296</v>
      </c>
      <c r="D627" s="13" t="n">
        <v>-0.5</v>
      </c>
      <c r="E627" s="13" t="n">
        <v>0</v>
      </c>
      <c r="F627" s="13" t="n">
        <v>0.5</v>
      </c>
      <c r="G627" s="12" t="s">
        <v>159</v>
      </c>
      <c r="H627" s="12" t="s">
        <v>2301</v>
      </c>
      <c r="I627" s="12" t="s">
        <v>2302</v>
      </c>
    </row>
    <row r="628" customFormat="false" ht="17.15" hidden="false" customHeight="false" outlineLevel="0" collapsed="false">
      <c r="A628" s="0" t="s">
        <v>2303</v>
      </c>
      <c r="B628" s="6" t="s">
        <v>2304</v>
      </c>
      <c r="C628" s="0" t="s">
        <v>2296</v>
      </c>
      <c r="D628" s="13" t="n">
        <v>-0.3</v>
      </c>
      <c r="E628" s="13" t="n">
        <v>0.2</v>
      </c>
      <c r="F628" s="13" t="n">
        <v>0.6</v>
      </c>
      <c r="G628" s="12" t="s">
        <v>159</v>
      </c>
      <c r="H628" s="6" t="s">
        <v>2305</v>
      </c>
      <c r="I628" s="12" t="s">
        <v>2306</v>
      </c>
    </row>
    <row r="629" customFormat="false" ht="17.15" hidden="false" customHeight="false" outlineLevel="0" collapsed="false">
      <c r="A629" s="10" t="s">
        <v>2307</v>
      </c>
    </row>
    <row r="630" customFormat="false" ht="17.15" hidden="false" customHeight="false" outlineLevel="0" collapsed="false">
      <c r="A630" s="0" t="s">
        <v>2308</v>
      </c>
      <c r="B630" s="0" t="s">
        <v>2309</v>
      </c>
      <c r="C630" s="0" t="s">
        <v>60</v>
      </c>
      <c r="D630" s="11" t="n">
        <v>0.55</v>
      </c>
      <c r="E630" s="11" t="n">
        <v>0.58</v>
      </c>
      <c r="F630" s="11" t="n">
        <v>0.62</v>
      </c>
      <c r="G630" s="12" t="s">
        <v>61</v>
      </c>
      <c r="H630" s="12" t="s">
        <v>2310</v>
      </c>
      <c r="I630" s="12" t="s">
        <v>2311</v>
      </c>
      <c r="J630" s="6" t="s">
        <v>2312</v>
      </c>
    </row>
    <row r="631" customFormat="false" ht="17.15" hidden="false" customHeight="false" outlineLevel="0" collapsed="false">
      <c r="A631" s="0" t="s">
        <v>2313</v>
      </c>
      <c r="B631" s="0" t="s">
        <v>2314</v>
      </c>
      <c r="C631" s="0" t="s">
        <v>60</v>
      </c>
      <c r="D631" s="11" t="n">
        <v>0.48</v>
      </c>
      <c r="E631" s="11" t="n">
        <v>0.52</v>
      </c>
      <c r="F631" s="11" t="n">
        <v>0.56</v>
      </c>
      <c r="G631" s="12" t="s">
        <v>61</v>
      </c>
      <c r="H631" s="12" t="s">
        <v>2315</v>
      </c>
      <c r="I631" s="12" t="s">
        <v>2316</v>
      </c>
      <c r="J631" s="6" t="s">
        <v>2317</v>
      </c>
    </row>
    <row r="632" customFormat="false" ht="17.15" hidden="false" customHeight="false" outlineLevel="0" collapsed="false">
      <c r="A632" s="0" t="s">
        <v>2318</v>
      </c>
      <c r="B632" s="0" t="s">
        <v>2319</v>
      </c>
      <c r="C632" s="0" t="s">
        <v>60</v>
      </c>
      <c r="D632" s="11" t="n">
        <v>0.38</v>
      </c>
      <c r="E632" s="11" t="n">
        <v>0.42</v>
      </c>
      <c r="F632" s="11" t="n">
        <v>0.48</v>
      </c>
      <c r="G632" s="12" t="s">
        <v>61</v>
      </c>
      <c r="H632" s="12" t="s">
        <v>2320</v>
      </c>
      <c r="I632" s="12" t="s">
        <v>2321</v>
      </c>
      <c r="J632" s="6" t="s">
        <v>2322</v>
      </c>
    </row>
    <row r="633" customFormat="false" ht="17.15" hidden="false" customHeight="false" outlineLevel="0" collapsed="false">
      <c r="A633" s="0" t="s">
        <v>2323</v>
      </c>
      <c r="B633" s="0" t="s">
        <v>2324</v>
      </c>
      <c r="C633" s="0" t="s">
        <v>60</v>
      </c>
      <c r="D633" s="11" t="n">
        <v>0.35</v>
      </c>
      <c r="E633" s="11" t="n">
        <v>0.4</v>
      </c>
      <c r="F633" s="11" t="n">
        <v>0.45</v>
      </c>
      <c r="G633" s="12" t="s">
        <v>159</v>
      </c>
      <c r="H633" s="12" t="s">
        <v>2325</v>
      </c>
      <c r="I633" s="12" t="s">
        <v>2326</v>
      </c>
      <c r="J633" s="6" t="s">
        <v>2327</v>
      </c>
    </row>
    <row r="634" customFormat="false" ht="17.15" hidden="false" customHeight="false" outlineLevel="0" collapsed="false">
      <c r="A634" s="0" t="s">
        <v>2328</v>
      </c>
      <c r="B634" s="0" t="s">
        <v>2329</v>
      </c>
      <c r="C634" s="0" t="s">
        <v>60</v>
      </c>
      <c r="D634" s="11" t="n">
        <v>0.35</v>
      </c>
      <c r="E634" s="11" t="n">
        <v>0.4</v>
      </c>
      <c r="F634" s="11" t="n">
        <v>0.45</v>
      </c>
      <c r="G634" s="12" t="s">
        <v>159</v>
      </c>
      <c r="H634" s="12" t="s">
        <v>2325</v>
      </c>
      <c r="I634" s="12" t="s">
        <v>2330</v>
      </c>
      <c r="J634" s="6" t="s">
        <v>2331</v>
      </c>
    </row>
    <row r="635" customFormat="false" ht="17.15" hidden="false" customHeight="false" outlineLevel="0" collapsed="false">
      <c r="A635" s="0" t="s">
        <v>2332</v>
      </c>
      <c r="B635" s="0" t="s">
        <v>2333</v>
      </c>
      <c r="C635" s="0" t="s">
        <v>60</v>
      </c>
      <c r="D635" s="11" t="n">
        <v>0.15</v>
      </c>
      <c r="E635" s="11" t="n">
        <v>0.17</v>
      </c>
      <c r="F635" s="11" t="n">
        <v>0.22</v>
      </c>
      <c r="G635" s="12" t="s">
        <v>61</v>
      </c>
      <c r="H635" s="12" t="s">
        <v>2334</v>
      </c>
      <c r="I635" s="12" t="s">
        <v>2335</v>
      </c>
      <c r="J635" s="6" t="s">
        <v>2336</v>
      </c>
    </row>
    <row r="636" customFormat="false" ht="17.15" hidden="false" customHeight="false" outlineLevel="0" collapsed="false">
      <c r="A636" s="0" t="s">
        <v>2337</v>
      </c>
      <c r="B636" s="0" t="s">
        <v>2338</v>
      </c>
      <c r="C636" s="0" t="s">
        <v>60</v>
      </c>
      <c r="D636" s="11" t="n">
        <v>0.25</v>
      </c>
      <c r="E636" s="11" t="n">
        <v>0.29</v>
      </c>
      <c r="F636" s="11" t="n">
        <v>0.33</v>
      </c>
      <c r="G636" s="12" t="s">
        <v>61</v>
      </c>
      <c r="H636" s="12" t="s">
        <v>2339</v>
      </c>
      <c r="I636" s="12" t="s">
        <v>2340</v>
      </c>
      <c r="J636" s="6" t="s">
        <v>2341</v>
      </c>
    </row>
    <row r="637" customFormat="false" ht="17.15" hidden="false" customHeight="false" outlineLevel="0" collapsed="false">
      <c r="A637" s="0" t="s">
        <v>2342</v>
      </c>
      <c r="B637" s="0" t="s">
        <v>2343</v>
      </c>
      <c r="C637" s="0" t="s">
        <v>60</v>
      </c>
      <c r="D637" s="11" t="n">
        <v>0.33</v>
      </c>
      <c r="E637" s="11" t="n">
        <v>0.38</v>
      </c>
      <c r="F637" s="11" t="n">
        <v>0.41</v>
      </c>
      <c r="G637" s="12" t="s">
        <v>61</v>
      </c>
      <c r="H637" s="12" t="s">
        <v>2344</v>
      </c>
      <c r="I637" s="12" t="s">
        <v>2345</v>
      </c>
      <c r="J637" s="6" t="s">
        <v>2346</v>
      </c>
    </row>
    <row r="638" customFormat="false" ht="17.15" hidden="false" customHeight="false" outlineLevel="0" collapsed="false">
      <c r="A638" s="0" t="s">
        <v>2347</v>
      </c>
      <c r="B638" s="0" t="s">
        <v>2348</v>
      </c>
      <c r="C638" s="0" t="s">
        <v>60</v>
      </c>
      <c r="D638" s="11" t="n">
        <v>0.35</v>
      </c>
      <c r="E638" s="11" t="n">
        <v>0.4</v>
      </c>
      <c r="F638" s="11" t="n">
        <v>0.45</v>
      </c>
      <c r="G638" s="12" t="s">
        <v>159</v>
      </c>
      <c r="H638" s="6" t="s">
        <v>2349</v>
      </c>
      <c r="I638" s="12" t="s">
        <v>2350</v>
      </c>
      <c r="J638" s="6" t="s">
        <v>2351</v>
      </c>
    </row>
    <row r="639" customFormat="false" ht="17.15" hidden="false" customHeight="false" outlineLevel="0" collapsed="false">
      <c r="A639" s="0" t="s">
        <v>2352</v>
      </c>
      <c r="B639" s="0" t="s">
        <v>2353</v>
      </c>
      <c r="C639" s="0" t="s">
        <v>60</v>
      </c>
      <c r="D639" s="11" t="n">
        <v>0.35</v>
      </c>
      <c r="E639" s="11" t="n">
        <v>0.4</v>
      </c>
      <c r="F639" s="11" t="n">
        <v>0.45</v>
      </c>
      <c r="G639" s="12" t="s">
        <v>159</v>
      </c>
      <c r="H639" s="6" t="s">
        <v>2354</v>
      </c>
      <c r="I639" s="12" t="s">
        <v>2355</v>
      </c>
      <c r="J639" s="6" t="s">
        <v>2356</v>
      </c>
    </row>
    <row r="640" customFormat="false" ht="17.15" hidden="false" customHeight="false" outlineLevel="0" collapsed="false">
      <c r="A640" s="0" t="s">
        <v>2357</v>
      </c>
      <c r="B640" s="0" t="s">
        <v>2358</v>
      </c>
      <c r="C640" s="0" t="s">
        <v>60</v>
      </c>
      <c r="D640" s="11" t="n">
        <v>0.18</v>
      </c>
      <c r="E640" s="11" t="n">
        <v>0.21</v>
      </c>
      <c r="F640" s="11" t="n">
        <v>0.22</v>
      </c>
      <c r="G640" s="12" t="s">
        <v>61</v>
      </c>
      <c r="H640" s="12" t="s">
        <v>2359</v>
      </c>
      <c r="I640" s="12" t="s">
        <v>2360</v>
      </c>
      <c r="J640" s="6" t="s">
        <v>2361</v>
      </c>
    </row>
    <row r="641" customFormat="false" ht="17.15" hidden="false" customHeight="false" outlineLevel="0" collapsed="false">
      <c r="A641" s="0" t="s">
        <v>2362</v>
      </c>
      <c r="B641" s="0" t="s">
        <v>2363</v>
      </c>
      <c r="C641" s="0" t="s">
        <v>60</v>
      </c>
      <c r="D641" s="11" t="n">
        <v>0.17</v>
      </c>
      <c r="E641" s="11" t="n">
        <v>0.19</v>
      </c>
      <c r="F641" s="11" t="n">
        <v>0.21</v>
      </c>
      <c r="G641" s="12" t="s">
        <v>61</v>
      </c>
      <c r="H641" s="12" t="s">
        <v>2364</v>
      </c>
      <c r="I641" s="12" t="s">
        <v>2365</v>
      </c>
      <c r="J641" s="6" t="s">
        <v>2366</v>
      </c>
    </row>
    <row r="642" customFormat="false" ht="17.15" hidden="false" customHeight="false" outlineLevel="0" collapsed="false">
      <c r="A642" s="0" t="s">
        <v>2367</v>
      </c>
      <c r="B642" s="0" t="s">
        <v>2368</v>
      </c>
      <c r="C642" s="0" t="s">
        <v>60</v>
      </c>
      <c r="D642" s="11" t="n">
        <v>0.17</v>
      </c>
      <c r="E642" s="11" t="n">
        <v>0.2</v>
      </c>
      <c r="F642" s="11" t="n">
        <v>0.23</v>
      </c>
      <c r="G642" s="12" t="s">
        <v>61</v>
      </c>
      <c r="H642" s="12" t="s">
        <v>2369</v>
      </c>
      <c r="I642" s="12" t="s">
        <v>2370</v>
      </c>
      <c r="J642" s="6" t="s">
        <v>2371</v>
      </c>
    </row>
    <row r="643" customFormat="false" ht="17.15" hidden="false" customHeight="false" outlineLevel="0" collapsed="false">
      <c r="A643" s="0" t="s">
        <v>2372</v>
      </c>
      <c r="B643" s="0" t="s">
        <v>2373</v>
      </c>
      <c r="C643" s="0" t="s">
        <v>60</v>
      </c>
      <c r="D643" s="11" t="n">
        <v>0.17</v>
      </c>
      <c r="E643" s="11" t="n">
        <v>0.2</v>
      </c>
      <c r="F643" s="11" t="n">
        <v>0.23</v>
      </c>
      <c r="G643" s="12" t="s">
        <v>159</v>
      </c>
      <c r="H643" s="6" t="s">
        <v>2374</v>
      </c>
      <c r="I643" s="12" t="s">
        <v>2375</v>
      </c>
      <c r="J643" s="6" t="s">
        <v>2376</v>
      </c>
    </row>
    <row r="644" customFormat="false" ht="17.15" hidden="false" customHeight="false" outlineLevel="0" collapsed="false">
      <c r="A644" s="0" t="s">
        <v>2377</v>
      </c>
      <c r="B644" s="0" t="s">
        <v>2378</v>
      </c>
      <c r="C644" s="0" t="s">
        <v>60</v>
      </c>
      <c r="D644" s="11" t="n">
        <v>0.17</v>
      </c>
      <c r="E644" s="11" t="n">
        <v>0.2</v>
      </c>
      <c r="F644" s="11" t="n">
        <v>0.23</v>
      </c>
      <c r="G644" s="12" t="s">
        <v>159</v>
      </c>
      <c r="H644" s="6" t="s">
        <v>2374</v>
      </c>
      <c r="I644" s="12" t="s">
        <v>2379</v>
      </c>
      <c r="J644" s="6" t="s">
        <v>2380</v>
      </c>
    </row>
    <row r="646" customFormat="false" ht="17.15" hidden="false" customHeight="false" outlineLevel="0" collapsed="false">
      <c r="A646" s="10" t="s">
        <v>2381</v>
      </c>
    </row>
    <row r="647" customFormat="false" ht="15" hidden="false" customHeight="false" outlineLevel="0" collapsed="false">
      <c r="A647" s="4" t="s">
        <v>2382</v>
      </c>
      <c r="B647" s="4" t="s">
        <v>2383</v>
      </c>
      <c r="C647" s="4"/>
      <c r="D647" s="4"/>
      <c r="E647" s="4"/>
      <c r="F647" s="4"/>
      <c r="G647" s="4" t="s">
        <v>53</v>
      </c>
      <c r="H647" s="4" t="s">
        <v>54</v>
      </c>
    </row>
    <row r="648" customFormat="false" ht="17.15" hidden="false" customHeight="false" outlineLevel="0" collapsed="false">
      <c r="A648" s="0" t="s">
        <v>2384</v>
      </c>
      <c r="B648" s="0" t="s">
        <v>2385</v>
      </c>
      <c r="G648" s="0" t="s">
        <v>61</v>
      </c>
      <c r="H648" s="6" t="s">
        <v>332</v>
      </c>
    </row>
    <row r="649" customFormat="false" ht="17.15" hidden="false" customHeight="false" outlineLevel="0" collapsed="false">
      <c r="A649" s="0" t="s">
        <v>2386</v>
      </c>
      <c r="B649" s="0" t="s">
        <v>2387</v>
      </c>
      <c r="G649" s="0" t="s">
        <v>61</v>
      </c>
      <c r="H649" s="0" t="s">
        <v>352</v>
      </c>
    </row>
    <row r="650" customFormat="false" ht="17.15" hidden="false" customHeight="false" outlineLevel="0" collapsed="false">
      <c r="A650" s="0" t="s">
        <v>2388</v>
      </c>
      <c r="B650" s="0" t="s">
        <v>2389</v>
      </c>
      <c r="G650" s="0" t="s">
        <v>159</v>
      </c>
      <c r="H650" s="6" t="s">
        <v>2390</v>
      </c>
    </row>
    <row r="651" customFormat="false" ht="17.15" hidden="false" customHeight="false" outlineLevel="0" collapsed="false">
      <c r="A651" s="0" t="s">
        <v>2391</v>
      </c>
      <c r="B651" s="0" t="s">
        <v>2392</v>
      </c>
      <c r="G651" s="0" t="s">
        <v>61</v>
      </c>
      <c r="H651" s="0" t="s">
        <v>391</v>
      </c>
    </row>
    <row r="652" customFormat="false" ht="17.15" hidden="false" customHeight="false" outlineLevel="0" collapsed="false">
      <c r="A652" s="0" t="s">
        <v>2393</v>
      </c>
      <c r="B652" s="0" t="s">
        <v>2394</v>
      </c>
      <c r="G652" s="0" t="s">
        <v>410</v>
      </c>
      <c r="H652" s="0" t="s">
        <v>2395</v>
      </c>
    </row>
    <row r="653" customFormat="false" ht="17.15" hidden="false" customHeight="false" outlineLevel="0" collapsed="false">
      <c r="A653" s="0" t="s">
        <v>2396</v>
      </c>
      <c r="B653" s="0" t="s">
        <v>2397</v>
      </c>
      <c r="G653" s="0" t="s">
        <v>61</v>
      </c>
      <c r="H653" s="0" t="s">
        <v>430</v>
      </c>
    </row>
    <row r="654" customFormat="false" ht="17.15" hidden="false" customHeight="false" outlineLevel="0" collapsed="false">
      <c r="A654" s="0" t="s">
        <v>2398</v>
      </c>
      <c r="B654" s="0" t="s">
        <v>2399</v>
      </c>
      <c r="G654" s="0" t="s">
        <v>159</v>
      </c>
      <c r="H654" s="6" t="s">
        <v>2400</v>
      </c>
    </row>
    <row r="655" customFormat="false" ht="17.15" hidden="false" customHeight="false" outlineLevel="0" collapsed="false">
      <c r="A655" s="0" t="s">
        <v>2401</v>
      </c>
      <c r="B655" s="6" t="s">
        <v>2402</v>
      </c>
      <c r="G655" s="0" t="s">
        <v>468</v>
      </c>
      <c r="H655" s="0" t="s">
        <v>2403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2404</v>
      </c>
    </row>
    <row r="3" customFormat="false" ht="17.15" hidden="false" customHeight="false" outlineLevel="0" collapsed="false">
      <c r="A3" s="4" t="s">
        <v>2405</v>
      </c>
      <c r="B3" s="4" t="s">
        <v>47</v>
      </c>
      <c r="C3" s="5" t="s">
        <v>2406</v>
      </c>
      <c r="D3" s="5" t="s">
        <v>2407</v>
      </c>
      <c r="E3" s="5" t="s">
        <v>2408</v>
      </c>
      <c r="F3" s="5" t="s">
        <v>2409</v>
      </c>
      <c r="G3" s="5" t="s">
        <v>2410</v>
      </c>
    </row>
    <row r="4" customFormat="false" ht="17.15" hidden="false" customHeight="false" outlineLevel="0" collapsed="false">
      <c r="A4" s="0" t="s">
        <v>2385</v>
      </c>
      <c r="B4" s="0" t="s">
        <v>2411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2387</v>
      </c>
      <c r="B5" s="0" t="s">
        <v>2412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2389</v>
      </c>
      <c r="B6" s="0" t="s">
        <v>2413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2392</v>
      </c>
      <c r="B7" s="0" t="s">
        <v>2414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2394</v>
      </c>
      <c r="B8" s="0" t="s">
        <v>2415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2397</v>
      </c>
      <c r="B9" s="0" t="s">
        <v>2416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2399</v>
      </c>
      <c r="B10" s="0" t="s">
        <v>2417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2402</v>
      </c>
      <c r="B11" s="0" t="s">
        <v>2418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2419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2420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2421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2422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2423</v>
      </c>
    </row>
    <row r="3" customFormat="false" ht="17.15" hidden="false" customHeight="false" outlineLevel="0" collapsed="false">
      <c r="A3" s="4" t="s">
        <v>2405</v>
      </c>
      <c r="B3" s="4" t="s">
        <v>2424</v>
      </c>
      <c r="C3" s="4" t="s">
        <v>2425</v>
      </c>
      <c r="D3" s="5" t="s">
        <v>2406</v>
      </c>
      <c r="E3" s="5" t="s">
        <v>2407</v>
      </c>
      <c r="F3" s="5" t="s">
        <v>2408</v>
      </c>
      <c r="G3" s="4" t="s">
        <v>43</v>
      </c>
    </row>
    <row r="4" customFormat="false" ht="17.15" hidden="false" customHeight="false" outlineLevel="0" collapsed="false">
      <c r="A4" s="0" t="s">
        <v>2397</v>
      </c>
      <c r="B4" s="0" t="s">
        <v>2426</v>
      </c>
      <c r="C4" s="0" t="s">
        <v>2427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2397</v>
      </c>
      <c r="B5" s="0" t="s">
        <v>2428</v>
      </c>
      <c r="C5" s="0" t="s">
        <v>2429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2397</v>
      </c>
      <c r="B6" s="6" t="s">
        <v>2430</v>
      </c>
      <c r="C6" s="0" t="s">
        <v>2431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2397</v>
      </c>
      <c r="B7" s="9" t="s">
        <v>2432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2397</v>
      </c>
      <c r="B8" s="6" t="s">
        <v>2433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2434</v>
      </c>
      <c r="B10" s="0" t="s">
        <v>2426</v>
      </c>
      <c r="C10" s="0" t="s">
        <v>2435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2434</v>
      </c>
      <c r="B11" s="0" t="s">
        <v>2428</v>
      </c>
      <c r="C11" s="0" t="s">
        <v>2436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2434</v>
      </c>
      <c r="B12" s="6" t="s">
        <v>2430</v>
      </c>
      <c r="C12" s="0" t="s">
        <v>2437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2434</v>
      </c>
      <c r="B13" s="9" t="s">
        <v>2432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2434</v>
      </c>
      <c r="B14" s="6" t="s">
        <v>2433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2438</v>
      </c>
      <c r="B16" s="0" t="s">
        <v>2428</v>
      </c>
      <c r="C16" s="0" t="s">
        <v>2439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2438</v>
      </c>
      <c r="B17" s="6" t="s">
        <v>2440</v>
      </c>
      <c r="C17" s="0" t="s">
        <v>2441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2438</v>
      </c>
      <c r="B18" s="9" t="s">
        <v>2432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2438</v>
      </c>
      <c r="B19" s="6" t="s">
        <v>2433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2442</v>
      </c>
      <c r="B21" s="0" t="s">
        <v>2428</v>
      </c>
      <c r="C21" s="0" t="s">
        <v>2439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2442</v>
      </c>
      <c r="B22" s="6" t="s">
        <v>2440</v>
      </c>
      <c r="C22" s="0" t="s">
        <v>2443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2442</v>
      </c>
      <c r="B23" s="9" t="s">
        <v>2432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2442</v>
      </c>
      <c r="B24" s="6" t="s">
        <v>2433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2444</v>
      </c>
      <c r="B26" s="0" t="s">
        <v>2428</v>
      </c>
      <c r="C26" s="0" t="s">
        <v>2439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2444</v>
      </c>
      <c r="B27" s="6" t="s">
        <v>2440</v>
      </c>
      <c r="C27" s="0" t="s">
        <v>2445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2444</v>
      </c>
      <c r="B28" s="9" t="s">
        <v>2432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2444</v>
      </c>
      <c r="B29" s="6" t="s">
        <v>2433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2446</v>
      </c>
    </row>
    <row r="32" customFormat="false" ht="17.15" hidden="false" customHeight="false" outlineLevel="0" collapsed="false">
      <c r="A32" s="0" t="s">
        <v>2447</v>
      </c>
      <c r="B32" s="0" t="s">
        <v>2448</v>
      </c>
      <c r="C32" s="0" t="s">
        <v>2449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2447</v>
      </c>
      <c r="B33" s="0" t="s">
        <v>2450</v>
      </c>
      <c r="C33" s="0" t="s">
        <v>2451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2447</v>
      </c>
      <c r="B34" s="6" t="s">
        <v>2452</v>
      </c>
      <c r="C34" s="0" t="s">
        <v>2453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2447</v>
      </c>
      <c r="B35" s="6" t="s">
        <v>2454</v>
      </c>
      <c r="C35" s="0" t="s">
        <v>2455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2447</v>
      </c>
      <c r="B36" s="9" t="s">
        <v>2456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2447</v>
      </c>
      <c r="B37" s="6" t="s">
        <v>2457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2447</v>
      </c>
      <c r="B38" s="0" t="s">
        <v>2458</v>
      </c>
      <c r="C38" s="0" t="s">
        <v>2459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2460</v>
      </c>
    </row>
    <row r="41" customFormat="false" ht="17.15" hidden="false" customHeight="false" outlineLevel="0" collapsed="false">
      <c r="A41" s="0" t="s">
        <v>2461</v>
      </c>
      <c r="B41" s="0" t="s">
        <v>2462</v>
      </c>
      <c r="C41" s="0" t="s">
        <v>2463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2461</v>
      </c>
      <c r="B42" s="6" t="s">
        <v>2464</v>
      </c>
      <c r="C42" s="0" t="s">
        <v>2465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2461</v>
      </c>
      <c r="B43" s="6" t="s">
        <v>2466</v>
      </c>
      <c r="C43" s="0" t="s">
        <v>2467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2461</v>
      </c>
      <c r="B44" s="6" t="s">
        <v>2468</v>
      </c>
      <c r="C44" s="0" t="s">
        <v>2469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2461</v>
      </c>
      <c r="B45" s="9" t="s">
        <v>2432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2461</v>
      </c>
      <c r="B46" s="6" t="s">
        <v>2470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2471</v>
      </c>
      <c r="B48" s="0" t="s">
        <v>2462</v>
      </c>
      <c r="C48" s="0" t="s">
        <v>2472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2471</v>
      </c>
      <c r="B49" s="6" t="s">
        <v>2464</v>
      </c>
      <c r="C49" s="0" t="s">
        <v>2473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2471</v>
      </c>
      <c r="B50" s="6" t="s">
        <v>2466</v>
      </c>
      <c r="C50" s="0" t="s">
        <v>2474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2471</v>
      </c>
      <c r="B51" s="6" t="s">
        <v>2468</v>
      </c>
      <c r="C51" s="0" t="s">
        <v>2475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2471</v>
      </c>
      <c r="B52" s="9" t="s">
        <v>2432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2471</v>
      </c>
      <c r="B53" s="6" t="s">
        <v>2470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2476</v>
      </c>
    </row>
    <row r="56" customFormat="false" ht="17.15" hidden="false" customHeight="false" outlineLevel="0" collapsed="false">
      <c r="A56" s="0" t="s">
        <v>2477</v>
      </c>
      <c r="B56" s="6" t="s">
        <v>2478</v>
      </c>
      <c r="C56" s="0" t="s">
        <v>2479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2477</v>
      </c>
      <c r="B57" s="6" t="s">
        <v>2480</v>
      </c>
      <c r="C57" s="0" t="s">
        <v>2481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2477</v>
      </c>
      <c r="B58" s="9" t="s">
        <v>2432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2477</v>
      </c>
      <c r="B59" s="6" t="s">
        <v>2482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2483</v>
      </c>
      <c r="B61" s="6" t="s">
        <v>2478</v>
      </c>
      <c r="C61" s="0" t="s">
        <v>2479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2483</v>
      </c>
      <c r="B62" s="6" t="s">
        <v>2480</v>
      </c>
      <c r="C62" s="0" t="s">
        <v>2484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2483</v>
      </c>
      <c r="B63" s="9" t="s">
        <v>2432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2483</v>
      </c>
      <c r="B64" s="6" t="s">
        <v>2482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2485</v>
      </c>
      <c r="B66" s="6" t="s">
        <v>2478</v>
      </c>
      <c r="C66" s="0" t="s">
        <v>2479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2485</v>
      </c>
      <c r="B67" s="6" t="s">
        <v>2480</v>
      </c>
      <c r="C67" s="0" t="s">
        <v>2486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2485</v>
      </c>
      <c r="B68" s="9" t="s">
        <v>2432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2485</v>
      </c>
      <c r="B69" s="6" t="s">
        <v>2482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2487</v>
      </c>
    </row>
    <row r="72" customFormat="false" ht="17.15" hidden="false" customHeight="false" outlineLevel="0" collapsed="false">
      <c r="A72" s="0" t="s">
        <v>2488</v>
      </c>
      <c r="B72" s="6" t="s">
        <v>2489</v>
      </c>
      <c r="C72" s="0" t="s">
        <v>2490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2488</v>
      </c>
      <c r="B73" s="6" t="s">
        <v>2491</v>
      </c>
      <c r="C73" s="0" t="s">
        <v>2492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2488</v>
      </c>
      <c r="B74" s="6" t="s">
        <v>2493</v>
      </c>
      <c r="C74" s="0" t="s">
        <v>2494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2488</v>
      </c>
      <c r="B75" s="9" t="s">
        <v>2432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2488</v>
      </c>
      <c r="B76" s="6" t="s">
        <v>2495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2496</v>
      </c>
      <c r="B78" s="6" t="s">
        <v>2489</v>
      </c>
      <c r="C78" s="0" t="s">
        <v>2490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2496</v>
      </c>
      <c r="B79" s="6" t="s">
        <v>2491</v>
      </c>
      <c r="C79" s="0" t="s">
        <v>2497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2496</v>
      </c>
      <c r="B80" s="6" t="s">
        <v>2493</v>
      </c>
      <c r="C80" s="0" t="s">
        <v>2498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2496</v>
      </c>
      <c r="B81" s="9" t="s">
        <v>2432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2496</v>
      </c>
      <c r="B82" s="6" t="s">
        <v>2495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2499</v>
      </c>
      <c r="B84" s="6" t="s">
        <v>2489</v>
      </c>
      <c r="C84" s="0" t="s">
        <v>2490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2499</v>
      </c>
      <c r="B85" s="6" t="s">
        <v>2491</v>
      </c>
      <c r="C85" s="0" t="s">
        <v>2500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2499</v>
      </c>
      <c r="B86" s="6" t="s">
        <v>2493</v>
      </c>
      <c r="C86" s="0" t="s">
        <v>2501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2499</v>
      </c>
      <c r="B87" s="9" t="s">
        <v>2432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2499</v>
      </c>
      <c r="B88" s="6" t="s">
        <v>2495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2502</v>
      </c>
    </row>
    <row r="92" customFormat="false" ht="17.15" hidden="false" customHeight="false" outlineLevel="0" collapsed="false">
      <c r="A92" s="6" t="s">
        <v>2503</v>
      </c>
      <c r="B92" s="0" t="s">
        <v>2504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2505</v>
      </c>
    </row>
    <row r="95" customFormat="false" ht="17.15" hidden="false" customHeight="false" outlineLevel="0" collapsed="false">
      <c r="A95" s="0" t="s">
        <v>2506</v>
      </c>
      <c r="B95" s="0" t="s">
        <v>2507</v>
      </c>
      <c r="C95" s="0" t="s">
        <v>2508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2506</v>
      </c>
      <c r="B96" s="6" t="s">
        <v>2509</v>
      </c>
      <c r="C96" s="0" t="s">
        <v>2510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2506</v>
      </c>
      <c r="B97" s="6" t="s">
        <v>2511</v>
      </c>
      <c r="C97" s="0" t="s">
        <v>2512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2506</v>
      </c>
      <c r="B98" s="9" t="s">
        <v>2432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2506</v>
      </c>
      <c r="B99" s="6" t="s">
        <v>2513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2514</v>
      </c>
    </row>
    <row r="3" customFormat="false" ht="15" hidden="false" customHeight="false" outlineLevel="0" collapsed="false">
      <c r="A3" s="4" t="s">
        <v>48</v>
      </c>
      <c r="B3" s="4" t="s">
        <v>23</v>
      </c>
      <c r="C3" s="5" t="s">
        <v>2406</v>
      </c>
      <c r="D3" s="5" t="s">
        <v>2407</v>
      </c>
      <c r="E3" s="5" t="s">
        <v>2408</v>
      </c>
      <c r="F3" s="5" t="s">
        <v>2409</v>
      </c>
    </row>
    <row r="4" customFormat="false" ht="17.15" hidden="false" customHeight="false" outlineLevel="0" collapsed="false">
      <c r="A4" s="10" t="s">
        <v>2515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2516</v>
      </c>
      <c r="B5" s="0" t="s">
        <v>30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2516</v>
      </c>
      <c r="B6" s="0" t="s">
        <v>35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2516</v>
      </c>
      <c r="B7" s="0" t="s">
        <v>39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2517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2518</v>
      </c>
      <c r="B9" s="12" t="s">
        <v>30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2518</v>
      </c>
      <c r="B10" s="12" t="s">
        <v>35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2518</v>
      </c>
      <c r="B11" s="12" t="s">
        <v>39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2519</v>
      </c>
    </row>
    <row r="3" customFormat="false" ht="15" hidden="false" customHeight="false" outlineLevel="0" collapsed="false">
      <c r="A3" s="4" t="s">
        <v>48</v>
      </c>
      <c r="B3" s="4" t="s">
        <v>23</v>
      </c>
      <c r="C3" s="5" t="s">
        <v>2406</v>
      </c>
      <c r="D3" s="5" t="s">
        <v>2407</v>
      </c>
      <c r="E3" s="5" t="s">
        <v>2408</v>
      </c>
      <c r="F3" s="5" t="s">
        <v>2409</v>
      </c>
      <c r="G3" s="4" t="s">
        <v>43</v>
      </c>
    </row>
    <row r="4" customFormat="false" ht="17.15" hidden="false" customHeight="false" outlineLevel="0" collapsed="false">
      <c r="A4" s="10" t="s">
        <v>2520</v>
      </c>
    </row>
    <row r="5" customFormat="false" ht="17.15" hidden="false" customHeight="false" outlineLevel="0" collapsed="false">
      <c r="A5" s="0" t="s">
        <v>2521</v>
      </c>
      <c r="C5" s="14" t="n">
        <f aca="false">abfm_25*(1+abfm_g26)</f>
        <v>10.1904</v>
      </c>
      <c r="G5" s="12" t="s">
        <v>2522</v>
      </c>
    </row>
    <row r="6" customFormat="false" ht="17.15" hidden="false" customHeight="false" outlineLevel="0" collapsed="false">
      <c r="A6" s="0" t="s">
        <v>2523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2524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2525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2526</v>
      </c>
      <c r="B9" s="0" t="s">
        <v>30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2526</v>
      </c>
      <c r="B10" s="0" t="s">
        <v>35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2526</v>
      </c>
      <c r="B11" s="0" t="s">
        <v>39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2527</v>
      </c>
      <c r="B12" s="0" t="s">
        <v>30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2527</v>
      </c>
      <c r="B13" s="0" t="s">
        <v>35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2527</v>
      </c>
      <c r="B14" s="0" t="s">
        <v>39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2528</v>
      </c>
      <c r="B15" s="0" t="s">
        <v>30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2528</v>
      </c>
      <c r="B16" s="0" t="s">
        <v>35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2528</v>
      </c>
      <c r="B17" s="0" t="s">
        <v>39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2529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2530</v>
      </c>
      <c r="B19" s="12" t="s">
        <v>30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2530</v>
      </c>
      <c r="B20" s="12" t="s">
        <v>35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2530</v>
      </c>
      <c r="B21" s="12" t="s">
        <v>39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2531</v>
      </c>
    </row>
    <row r="24" customFormat="false" ht="17.15" hidden="false" customHeight="false" outlineLevel="0" collapsed="false">
      <c r="A24" s="0" t="s">
        <v>2532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2533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2534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2535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2536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2537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2538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2539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2540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2541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2542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2543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2544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2545</v>
      </c>
    </row>
    <row r="38" customFormat="false" ht="17.15" hidden="false" customHeight="false" outlineLevel="0" collapsed="false">
      <c r="A38" s="10" t="s">
        <v>2546</v>
      </c>
    </row>
    <row r="39" customFormat="false" ht="17.15" hidden="false" customHeight="false" outlineLevel="0" collapsed="false">
      <c r="A39" s="10" t="s">
        <v>2547</v>
      </c>
      <c r="B39" s="12" t="s">
        <v>30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2547</v>
      </c>
      <c r="B40" s="12" t="s">
        <v>35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2547</v>
      </c>
      <c r="B41" s="12" t="s">
        <v>39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2548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2549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2550</v>
      </c>
    </row>
    <row r="3" customFormat="false" ht="15" hidden="false" customHeight="false" outlineLevel="0" collapsed="false">
      <c r="A3" s="4" t="s">
        <v>48</v>
      </c>
      <c r="B3" s="4" t="s">
        <v>23</v>
      </c>
      <c r="C3" s="5" t="s">
        <v>2406</v>
      </c>
      <c r="D3" s="5" t="s">
        <v>2407</v>
      </c>
      <c r="E3" s="5" t="s">
        <v>2408</v>
      </c>
      <c r="F3" s="5" t="s">
        <v>2409</v>
      </c>
      <c r="G3" s="4" t="s">
        <v>43</v>
      </c>
    </row>
    <row r="4" customFormat="false" ht="17.15" hidden="false" customHeight="false" outlineLevel="0" collapsed="false">
      <c r="A4" s="9" t="s">
        <v>2551</v>
      </c>
    </row>
    <row r="5" customFormat="false" ht="17.15" hidden="false" customHeight="false" outlineLevel="0" collapsed="false">
      <c r="A5" s="6" t="s">
        <v>2552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2553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2554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2555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2556</v>
      </c>
      <c r="B9" s="0" t="s">
        <v>30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2556</v>
      </c>
      <c r="B10" s="0" t="s">
        <v>35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2556</v>
      </c>
      <c r="B11" s="0" t="s">
        <v>39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2557</v>
      </c>
    </row>
    <row r="14" customFormat="false" ht="17.15" hidden="false" customHeight="false" outlineLevel="0" collapsed="false">
      <c r="A14" s="6" t="s">
        <v>2558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2559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2560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2561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2562</v>
      </c>
      <c r="B18" s="0" t="s">
        <v>30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2562</v>
      </c>
      <c r="B19" s="0" t="s">
        <v>35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2562</v>
      </c>
      <c r="B20" s="0" t="s">
        <v>39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2563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2564</v>
      </c>
    </row>
    <row r="3" customFormat="false" ht="15" hidden="false" customHeight="false" outlineLevel="0" collapsed="false">
      <c r="A3" s="4" t="s">
        <v>48</v>
      </c>
      <c r="B3" s="4" t="s">
        <v>23</v>
      </c>
      <c r="C3" s="5" t="s">
        <v>2406</v>
      </c>
      <c r="D3" s="5" t="s">
        <v>2407</v>
      </c>
      <c r="E3" s="5" t="s">
        <v>2408</v>
      </c>
      <c r="F3" s="5" t="s">
        <v>2409</v>
      </c>
      <c r="G3" s="4" t="s">
        <v>43</v>
      </c>
    </row>
    <row r="4" customFormat="false" ht="17.15" hidden="false" customHeight="false" outlineLevel="0" collapsed="false">
      <c r="A4" s="10" t="s">
        <v>2565</v>
      </c>
    </row>
    <row r="5" customFormat="false" ht="17.15" hidden="false" customHeight="false" outlineLevel="0" collapsed="false">
      <c r="A5" s="6" t="s">
        <v>2566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2567</v>
      </c>
    </row>
    <row r="6" customFormat="false" ht="17.15" hidden="false" customHeight="false" outlineLevel="0" collapsed="false">
      <c r="A6" s="10" t="s">
        <v>2568</v>
      </c>
      <c r="B6" s="12" t="s">
        <v>30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2568</v>
      </c>
      <c r="B7" s="12" t="s">
        <v>35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2568</v>
      </c>
      <c r="B8" s="12" t="s">
        <v>39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2569</v>
      </c>
    </row>
    <row r="11" customFormat="false" ht="17.15" hidden="false" customHeight="false" outlineLevel="0" collapsed="false">
      <c r="A11" s="6" t="s">
        <v>2570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2571</v>
      </c>
    </row>
    <row r="12" customFormat="false" ht="17.15" hidden="false" customHeight="false" outlineLevel="0" collapsed="false">
      <c r="A12" s="6" t="s">
        <v>2572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2573</v>
      </c>
    </row>
    <row r="13" customFormat="false" ht="17.15" hidden="false" customHeight="false" outlineLevel="0" collapsed="false">
      <c r="A13" s="0" t="s">
        <v>2574</v>
      </c>
      <c r="C13" s="24" t="n">
        <f aca="false">Units!C4+Units!C7+Units!C8</f>
        <v>6.65</v>
      </c>
      <c r="D13" s="24" t="n">
        <f aca="false">Units!D4+Units!D7</f>
        <v>2.4</v>
      </c>
      <c r="E13" s="24" t="n">
        <f aca="false">Units!E4+Units!E7</f>
        <v>0.5</v>
      </c>
      <c r="F13" s="24" t="n">
        <f aca="false">Units!F4+Units!F7</f>
        <v>0.25</v>
      </c>
      <c r="G13" s="6" t="s">
        <v>2575</v>
      </c>
    </row>
    <row r="14" customFormat="false" ht="17.15" hidden="false" customHeight="false" outlineLevel="0" collapsed="false">
      <c r="A14" s="0" t="s">
        <v>2576</v>
      </c>
      <c r="C14" s="24" t="n">
        <f aca="false">Units!C5+Units!C6</f>
        <v>1.7</v>
      </c>
      <c r="D14" s="24" t="n">
        <f aca="false">Units!D5+Units!D6+Units!D8</f>
        <v>8.8</v>
      </c>
      <c r="E14" s="24" t="n">
        <f aca="false">Units!E5+Units!E6+Units!E8</f>
        <v>11</v>
      </c>
      <c r="F14" s="24" t="n">
        <f aca="false">Units!F5+Units!F6+Units!F8</f>
        <v>12.65</v>
      </c>
    </row>
    <row r="15" customFormat="false" ht="17.15" hidden="false" customHeight="false" outlineLevel="0" collapsed="false">
      <c r="A15" s="9" t="s">
        <v>2577</v>
      </c>
      <c r="B15" s="12" t="s">
        <v>30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2577</v>
      </c>
      <c r="B16" s="12" t="s">
        <v>35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2577</v>
      </c>
      <c r="B17" s="12" t="s">
        <v>39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2578</v>
      </c>
    </row>
    <row r="20" customFormat="false" ht="17.15" hidden="false" customHeight="false" outlineLevel="0" collapsed="false">
      <c r="A20" s="0" t="s">
        <v>2579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2580</v>
      </c>
    </row>
    <row r="21" customFormat="false" ht="17.15" hidden="false" customHeight="false" outlineLevel="0" collapsed="false">
      <c r="A21" s="10" t="s">
        <v>2581</v>
      </c>
      <c r="B21" s="12" t="s">
        <v>30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2581</v>
      </c>
      <c r="B22" s="12" t="s">
        <v>35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2581</v>
      </c>
      <c r="B23" s="12" t="s">
        <v>39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2582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2583</v>
      </c>
      <c r="C25" s="14" t="n">
        <f aca="false">C21/C24</f>
        <v>0.594903509543998</v>
      </c>
      <c r="D25" s="14" t="n">
        <f aca="false">D21/D24</f>
        <v>0.65413768313189</v>
      </c>
      <c r="G25" s="12" t="s">
        <v>2584</v>
      </c>
    </row>
    <row r="27" customFormat="false" ht="17.15" hidden="false" customHeight="false" outlineLevel="0" collapsed="false">
      <c r="A27" s="10" t="s">
        <v>2585</v>
      </c>
    </row>
    <row r="28" customFormat="false" ht="17.15" hidden="false" customHeight="false" outlineLevel="0" collapsed="false">
      <c r="A28" s="6" t="s">
        <v>2586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2587</v>
      </c>
    </row>
    <row r="29" customFormat="false" ht="17.15" hidden="false" customHeight="false" outlineLevel="0" collapsed="false">
      <c r="A29" s="6" t="s">
        <v>2588</v>
      </c>
      <c r="B29" s="0" t="s">
        <v>30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2588</v>
      </c>
      <c r="B30" s="0" t="s">
        <v>35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2588</v>
      </c>
      <c r="B31" s="0" t="s">
        <v>39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2589</v>
      </c>
      <c r="B32" s="12" t="s">
        <v>30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2589</v>
      </c>
      <c r="B33" s="12" t="s">
        <v>35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2589</v>
      </c>
      <c r="B34" s="12" t="s">
        <v>39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2590</v>
      </c>
      <c r="C35" s="17" t="n">
        <f aca="false">lc_tf_26</f>
        <v>0.53</v>
      </c>
      <c r="D35" s="17" t="n">
        <f aca="false">lc_tf_27</f>
        <v>0.6</v>
      </c>
      <c r="G35" s="6" t="s">
        <v>2591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2592</v>
      </c>
    </row>
    <row r="3" customFormat="false" ht="15" hidden="false" customHeight="false" outlineLevel="0" collapsed="false">
      <c r="A3" s="4" t="s">
        <v>48</v>
      </c>
      <c r="B3" s="4" t="s">
        <v>23</v>
      </c>
      <c r="C3" s="5" t="s">
        <v>2593</v>
      </c>
      <c r="D3" s="5" t="s">
        <v>2406</v>
      </c>
      <c r="E3" s="5" t="s">
        <v>2407</v>
      </c>
      <c r="F3" s="5" t="s">
        <v>2408</v>
      </c>
      <c r="G3" s="5" t="s">
        <v>2409</v>
      </c>
      <c r="H3" s="4" t="s">
        <v>43</v>
      </c>
    </row>
    <row r="4" customFormat="false" ht="17.15" hidden="false" customHeight="false" outlineLevel="0" collapsed="false">
      <c r="A4" s="10" t="s">
        <v>2594</v>
      </c>
    </row>
    <row r="5" customFormat="false" ht="17.15" hidden="false" customHeight="false" outlineLevel="0" collapsed="false">
      <c r="A5" s="0" t="s">
        <v>2595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2596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2597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2598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2599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2600</v>
      </c>
    </row>
    <row r="10" customFormat="false" ht="17.15" hidden="false" customHeight="false" outlineLevel="0" collapsed="false">
      <c r="A10" s="0" t="s">
        <v>2601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2600</v>
      </c>
    </row>
    <row r="11" customFormat="false" ht="17.15" hidden="false" customHeight="false" outlineLevel="0" collapsed="false">
      <c r="A11" s="10" t="s">
        <v>2602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2603</v>
      </c>
    </row>
    <row r="14" customFormat="false" ht="15" hidden="false" customHeight="false" outlineLevel="0" collapsed="false">
      <c r="A14" s="6" t="s">
        <v>2604</v>
      </c>
      <c r="B14" s="0" t="s">
        <v>30</v>
      </c>
      <c r="D14" s="24" t="n">
        <f aca="false">(Units!C4*ts_tt_bw+Units!C5*ts_tt_rb+Units!C6*ts_tt_ru+Units!C7*ts_tt_hp+Units!C8*ts_tt_amd+Units!C9*ts_tt_tpu+Units!C10*ts_tt_trn+Units!C11*ts_tt_oth)</f>
        <v>14.885</v>
      </c>
      <c r="E14" s="24" t="n">
        <f aca="false">(Units!D4*ts_tt_bw+Units!D5*ts_tt_rb+Units!D6*ts_tt_ru+Units!D7*ts_tt_hp+Units!D8*ts_tt_amd+Units!D9*ts_tt_tpu+Units!D10*ts_tt_trn+Units!D11*ts_tt_oth)</f>
        <v>24.31</v>
      </c>
      <c r="F14" s="24" t="n">
        <f aca="false">(Units!E4*ts_tt_bw+Units!E5*ts_tt_rb+Units!E6*ts_tt_ru+Units!E7*ts_tt_hp+Units!E8*ts_tt_amd+Units!E9*ts_tt_tpu+Units!E10*ts_tt_trn+Units!E11*ts_tt_oth)*um28_A</f>
        <v>28.1</v>
      </c>
      <c r="G14" s="24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2604</v>
      </c>
      <c r="B15" s="0" t="s">
        <v>35</v>
      </c>
      <c r="D15" s="24" t="n">
        <f aca="false">(Units!C4*ts_tt_bw+Units!C5*ts_tt_rb+Units!C6*ts_tt_ru+Units!C7*ts_tt_hp+Units!C8*ts_tt_amd+Units!C9*ts_tt_tpu+Units!C10*ts_tt_trn+Units!C11*ts_tt_oth)</f>
        <v>14.885</v>
      </c>
      <c r="E15" s="24" t="n">
        <f aca="false">(Units!D4*ts_tt_bw+Units!D5*ts_tt_rb+Units!D6*ts_tt_ru+Units!D7*ts_tt_hp+Units!D8*ts_tt_amd+Units!D9*ts_tt_tpu+Units!D10*ts_tt_trn+Units!D11*ts_tt_oth)</f>
        <v>24.31</v>
      </c>
      <c r="F15" s="24" t="n">
        <f aca="false">(Units!E4*ts_tt_bw+Units!E5*ts_tt_rb+Units!E6*ts_tt_ru+Units!E7*ts_tt_hp+Units!E8*ts_tt_amd+Units!E9*ts_tt_tpu+Units!E10*ts_tt_trn+Units!E11*ts_tt_oth)*um28_B</f>
        <v>22.48</v>
      </c>
      <c r="G15" s="24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2604</v>
      </c>
      <c r="B16" s="0" t="s">
        <v>39</v>
      </c>
      <c r="D16" s="24" t="n">
        <f aca="false">(Units!C4*ts_tt_bw+Units!C5*ts_tt_rb+Units!C6*ts_tt_ru+Units!C7*ts_tt_hp+Units!C8*ts_tt_amd+Units!C9*ts_tt_tpu+Units!C10*ts_tt_trn+Units!C11*ts_tt_oth)</f>
        <v>14.885</v>
      </c>
      <c r="E16" s="24" t="n">
        <f aca="false">(Units!D4*ts_tt_bw+Units!D5*ts_tt_rb+Units!D6*ts_tt_ru+Units!D7*ts_tt_hp+Units!D8*ts_tt_amd+Units!D9*ts_tt_tpu+Units!D10*ts_tt_trn+Units!D11*ts_tt_oth)</f>
        <v>24.31</v>
      </c>
      <c r="F16" s="24" t="n">
        <f aca="false">(Units!E4*ts_tt_bw+Units!E5*ts_tt_rb+Units!E6*ts_tt_ru+Units!E7*ts_tt_hp+Units!E8*ts_tt_amd+Units!E9*ts_tt_tpu+Units!E10*ts_tt_trn+Units!E11*ts_tt_oth)*um28_C</f>
        <v>16.86</v>
      </c>
      <c r="G16" s="24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2605</v>
      </c>
      <c r="D17" s="33" t="n">
        <f aca="false">(ts_mk_soc26-ts_nonai26)/D14</f>
        <v>0.450117568021498</v>
      </c>
      <c r="H17" s="6" t="s">
        <v>2606</v>
      </c>
    </row>
    <row r="18" customFormat="false" ht="17.15" hidden="false" customHeight="false" outlineLevel="0" collapsed="false">
      <c r="A18" s="6" t="s">
        <v>2607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2608</v>
      </c>
      <c r="B19" s="12" t="s">
        <v>30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2608</v>
      </c>
      <c r="B20" s="12" t="s">
        <v>35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2608</v>
      </c>
      <c r="B21" s="12" t="s">
        <v>39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2609</v>
      </c>
    </row>
    <row r="24" customFormat="false" ht="17.15" hidden="false" customHeight="false" outlineLevel="0" collapsed="false">
      <c r="A24" s="0" t="s">
        <v>2610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2611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2612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2613</v>
      </c>
    </row>
    <row r="29" customFormat="false" ht="17.15" hidden="false" customHeight="false" outlineLevel="0" collapsed="false">
      <c r="A29" s="6" t="s">
        <v>2614</v>
      </c>
      <c r="B29" s="0" t="s">
        <v>30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2614</v>
      </c>
      <c r="B30" s="0" t="s">
        <v>35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2614</v>
      </c>
      <c r="B31" s="0" t="s">
        <v>39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2615</v>
      </c>
      <c r="C32" s="22" t="n">
        <f aca="false">hbm_stk_25</f>
        <v>10</v>
      </c>
      <c r="D32" s="22" t="n">
        <f aca="false">hbm_stk_26</f>
        <v>12</v>
      </c>
      <c r="E32" s="22" t="n">
        <f aca="false">hbm_stk_27</f>
        <v>12.5</v>
      </c>
      <c r="F32" s="22" t="n">
        <f aca="false">hbm_stk_28</f>
        <v>14</v>
      </c>
      <c r="G32" s="22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2616</v>
      </c>
    </row>
    <row r="3" customFormat="false" ht="15" hidden="false" customHeight="false" outlineLevel="0" collapsed="false">
      <c r="A3" s="4" t="s">
        <v>2617</v>
      </c>
      <c r="B3" s="4" t="s">
        <v>23</v>
      </c>
      <c r="C3" s="5" t="s">
        <v>2618</v>
      </c>
      <c r="D3" s="5" t="s">
        <v>2619</v>
      </c>
      <c r="E3" s="5" t="s">
        <v>2620</v>
      </c>
      <c r="F3" s="5" t="s">
        <v>2621</v>
      </c>
      <c r="G3" s="5" t="s">
        <v>2622</v>
      </c>
      <c r="H3" s="5" t="s">
        <v>2623</v>
      </c>
      <c r="I3" s="5" t="s">
        <v>2624</v>
      </c>
      <c r="J3" s="5" t="s">
        <v>2625</v>
      </c>
      <c r="K3" s="5" t="s">
        <v>2626</v>
      </c>
      <c r="L3" s="5" t="s">
        <v>2627</v>
      </c>
      <c r="M3" s="5" t="s">
        <v>2628</v>
      </c>
      <c r="N3" s="5" t="s">
        <v>2629</v>
      </c>
      <c r="O3" s="5" t="s">
        <v>2630</v>
      </c>
      <c r="P3" s="5" t="s">
        <v>2631</v>
      </c>
      <c r="Q3" s="5" t="s">
        <v>2632</v>
      </c>
      <c r="R3" s="5" t="s">
        <v>2633</v>
      </c>
      <c r="S3" s="5" t="s">
        <v>2634</v>
      </c>
      <c r="T3" s="5" t="s">
        <v>2635</v>
      </c>
      <c r="U3" s="5" t="s">
        <v>2636</v>
      </c>
      <c r="V3" s="5" t="s">
        <v>2637</v>
      </c>
    </row>
    <row r="4" customFormat="false" ht="17.15" hidden="false" customHeight="false" outlineLevel="0" collapsed="false">
      <c r="A4" s="6" t="s">
        <v>2638</v>
      </c>
      <c r="B4" s="0" t="s">
        <v>30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2638</v>
      </c>
      <c r="B5" s="0" t="s">
        <v>35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2638</v>
      </c>
      <c r="B6" s="0" t="s">
        <v>39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2639</v>
      </c>
      <c r="B8" s="0" t="s">
        <v>30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2639</v>
      </c>
      <c r="B9" s="0" t="s">
        <v>35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2639</v>
      </c>
      <c r="B10" s="0" t="s">
        <v>39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2640</v>
      </c>
    </row>
    <row r="13" customFormat="false" ht="15" hidden="false" customHeight="false" outlineLevel="0" collapsed="false">
      <c r="A13" s="4" t="s">
        <v>2617</v>
      </c>
      <c r="B13" s="4" t="s">
        <v>23</v>
      </c>
      <c r="C13" s="5" t="s">
        <v>2593</v>
      </c>
      <c r="D13" s="5" t="s">
        <v>2406</v>
      </c>
      <c r="E13" s="5" t="s">
        <v>2407</v>
      </c>
      <c r="F13" s="5" t="s">
        <v>2408</v>
      </c>
      <c r="G13" s="5" t="s">
        <v>2409</v>
      </c>
      <c r="H13" s="5" t="s">
        <v>2641</v>
      </c>
      <c r="I13" s="5" t="s">
        <v>2642</v>
      </c>
      <c r="J13" s="5" t="s">
        <v>2643</v>
      </c>
      <c r="K13" s="5" t="s">
        <v>2644</v>
      </c>
    </row>
    <row r="14" customFormat="false" ht="17.15" hidden="false" customHeight="false" outlineLevel="0" collapsed="false">
      <c r="A14" s="6" t="s">
        <v>2638</v>
      </c>
      <c r="B14" s="0" t="s">
        <v>30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2638</v>
      </c>
      <c r="B15" s="0" t="s">
        <v>35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2638</v>
      </c>
      <c r="B16" s="0" t="s">
        <v>39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2639</v>
      </c>
      <c r="B17" s="0" t="s">
        <v>30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2639</v>
      </c>
      <c r="B18" s="0" t="s">
        <v>35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2639</v>
      </c>
      <c r="B19" s="0" t="s">
        <v>39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2645</v>
      </c>
    </row>
    <row r="2" customFormat="false" ht="17.15" hidden="false" customHeight="false" outlineLevel="0" collapsed="false">
      <c r="A2" s="6" t="s">
        <v>2646</v>
      </c>
    </row>
    <row r="3" customFormat="false" ht="15" hidden="false" customHeight="false" outlineLevel="0" collapsed="false">
      <c r="A3" s="4" t="s">
        <v>48</v>
      </c>
      <c r="B3" s="4" t="s">
        <v>49</v>
      </c>
      <c r="C3" s="5" t="s">
        <v>2593</v>
      </c>
      <c r="D3" s="5" t="s">
        <v>2406</v>
      </c>
      <c r="E3" s="5" t="s">
        <v>2407</v>
      </c>
      <c r="F3" s="5" t="s">
        <v>2408</v>
      </c>
      <c r="G3" s="5" t="s">
        <v>2409</v>
      </c>
      <c r="H3" s="4" t="s">
        <v>43</v>
      </c>
    </row>
    <row r="4" customFormat="false" ht="17.15" hidden="false" customHeight="false" outlineLevel="0" collapsed="false">
      <c r="A4" s="9" t="s">
        <v>2647</v>
      </c>
    </row>
    <row r="5" customFormat="false" ht="17.15" hidden="false" customHeight="false" outlineLevel="0" collapsed="false">
      <c r="A5" s="0" t="s">
        <v>2648</v>
      </c>
      <c r="B5" s="0" t="s">
        <v>2649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2650</v>
      </c>
      <c r="B6" s="0" t="s">
        <v>2649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2651</v>
      </c>
      <c r="B7" s="0" t="s">
        <v>2649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2652</v>
      </c>
      <c r="B8" s="0" t="s">
        <v>2649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2653</v>
      </c>
      <c r="B9" s="0" t="s">
        <v>2649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2654</v>
      </c>
      <c r="B10" s="0" t="s">
        <v>2649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2655</v>
      </c>
      <c r="B11" s="0" t="s">
        <v>2649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2656</v>
      </c>
      <c r="B12" s="0" t="s">
        <v>2649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2657</v>
      </c>
      <c r="B13" s="0" t="s">
        <v>2112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2658</v>
      </c>
      <c r="B14" s="0" t="s">
        <v>2112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2659</v>
      </c>
      <c r="B15" s="6" t="s">
        <v>331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2660</v>
      </c>
    </row>
    <row r="16" customFormat="false" ht="17.15" hidden="false" customHeight="false" outlineLevel="0" collapsed="false">
      <c r="A16" s="6" t="s">
        <v>2661</v>
      </c>
      <c r="B16" s="0" t="s">
        <v>342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2662</v>
      </c>
      <c r="B17" s="0" t="s">
        <v>2112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2663</v>
      </c>
    </row>
    <row r="18" customFormat="false" ht="17.15" hidden="false" customHeight="false" outlineLevel="0" collapsed="false">
      <c r="A18" s="6" t="s">
        <v>2664</v>
      </c>
      <c r="B18" s="0" t="s">
        <v>489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2665</v>
      </c>
    </row>
    <row r="19" customFormat="false" ht="17.15" hidden="false" customHeight="false" outlineLevel="0" collapsed="false">
      <c r="A19" s="6" t="s">
        <v>2666</v>
      </c>
      <c r="B19" s="0" t="s">
        <v>489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2665</v>
      </c>
    </row>
    <row r="20" customFormat="false" ht="17.15" hidden="false" customHeight="false" outlineLevel="0" collapsed="false">
      <c r="A20" s="6" t="s">
        <v>2667</v>
      </c>
      <c r="B20" s="0" t="s">
        <v>489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2665</v>
      </c>
    </row>
    <row r="21" customFormat="false" ht="17.15" hidden="false" customHeight="false" outlineLevel="0" collapsed="false">
      <c r="A21" s="6" t="s">
        <v>2668</v>
      </c>
      <c r="B21" s="0" t="s">
        <v>2112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2669</v>
      </c>
      <c r="B22" s="0" t="s">
        <v>2112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2670</v>
      </c>
      <c r="B23" s="0" t="s">
        <v>2112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2671</v>
      </c>
      <c r="B24" s="0" t="s">
        <v>2112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2672</v>
      </c>
    </row>
    <row r="25" customFormat="false" ht="17.15" hidden="false" customHeight="false" outlineLevel="0" collapsed="false">
      <c r="A25" s="6" t="s">
        <v>2673</v>
      </c>
      <c r="B25" s="0" t="s">
        <v>2112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2674</v>
      </c>
      <c r="B26" s="0" t="s">
        <v>2112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2675</v>
      </c>
      <c r="B27" s="0" t="s">
        <v>2112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2676</v>
      </c>
      <c r="B28" s="0" t="s">
        <v>2112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2677</v>
      </c>
      <c r="B29" s="0" t="s">
        <v>2112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2678</v>
      </c>
      <c r="B30" s="0" t="s">
        <v>533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2679</v>
      </c>
      <c r="B31" s="0" t="s">
        <v>533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2680</v>
      </c>
      <c r="B32" s="0" t="s">
        <v>533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2681</v>
      </c>
      <c r="B33" s="0" t="s">
        <v>511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2682</v>
      </c>
      <c r="B34" s="0" t="s">
        <v>511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2683</v>
      </c>
      <c r="B35" s="0" t="s">
        <v>511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2684</v>
      </c>
    </row>
    <row r="38" customFormat="false" ht="17.15" hidden="false" customHeight="false" outlineLevel="0" collapsed="false">
      <c r="A38" s="6" t="s">
        <v>2685</v>
      </c>
      <c r="B38" s="0" t="s">
        <v>511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2686</v>
      </c>
      <c r="B39" s="0" t="s">
        <v>511</v>
      </c>
      <c r="D39" s="22" t="n">
        <f aca="false">nv_dc26*nv_hbm/nv_content</f>
        <v>38.9728971962617</v>
      </c>
      <c r="H39" s="6" t="s">
        <v>2687</v>
      </c>
    </row>
    <row r="40" customFormat="false" ht="15" hidden="false" customHeight="false" outlineLevel="0" collapsed="false">
      <c r="A40" s="6" t="s">
        <v>2688</v>
      </c>
      <c r="B40" s="0" t="s">
        <v>60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2689</v>
      </c>
      <c r="B41" s="6" t="s">
        <v>331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2690</v>
      </c>
    </row>
    <row r="42" customFormat="false" ht="17.15" hidden="false" customHeight="false" outlineLevel="0" collapsed="false">
      <c r="A42" s="6" t="s">
        <v>2691</v>
      </c>
      <c r="B42" s="0" t="s">
        <v>511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2692</v>
      </c>
      <c r="B43" s="0" t="s">
        <v>60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2693</v>
      </c>
    </row>
    <row r="2" customFormat="false" ht="17.15" hidden="false" customHeight="false" outlineLevel="0" collapsed="false">
      <c r="A2" s="6" t="s">
        <v>2694</v>
      </c>
    </row>
    <row r="4" customFormat="false" ht="17.15" hidden="false" customHeight="false" outlineLevel="0" collapsed="false">
      <c r="A4" s="4" t="s">
        <v>2695</v>
      </c>
      <c r="B4" s="4" t="s">
        <v>2696</v>
      </c>
      <c r="C4" s="4" t="s">
        <v>2697</v>
      </c>
      <c r="D4" s="4" t="s">
        <v>50</v>
      </c>
      <c r="E4" s="4" t="s">
        <v>51</v>
      </c>
      <c r="F4" s="4" t="s">
        <v>52</v>
      </c>
      <c r="G4" s="4" t="s">
        <v>49</v>
      </c>
      <c r="H4" s="5" t="s">
        <v>2698</v>
      </c>
      <c r="I4" s="4" t="s">
        <v>2699</v>
      </c>
      <c r="J4" s="4" t="s">
        <v>2700</v>
      </c>
      <c r="K4" s="4" t="s">
        <v>2701</v>
      </c>
      <c r="L4" s="4" t="s">
        <v>2702</v>
      </c>
      <c r="M4" s="4" t="s">
        <v>2703</v>
      </c>
    </row>
    <row r="5" customFormat="false" ht="17.15" hidden="false" customHeight="false" outlineLevel="0" collapsed="false">
      <c r="A5" s="0" t="s">
        <v>2704</v>
      </c>
      <c r="B5" s="0" t="s">
        <v>2705</v>
      </c>
      <c r="C5" s="0" t="s">
        <v>2706</v>
      </c>
      <c r="D5" s="35" t="n">
        <v>22439</v>
      </c>
      <c r="E5" s="35" t="n">
        <v>22439</v>
      </c>
      <c r="F5" s="35" t="n">
        <v>22439</v>
      </c>
      <c r="G5" s="6" t="s">
        <v>2707</v>
      </c>
      <c r="H5" s="12" t="s">
        <v>2708</v>
      </c>
      <c r="I5" s="12" t="s">
        <v>2709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2704</v>
      </c>
      <c r="B6" s="0" t="s">
        <v>2710</v>
      </c>
      <c r="C6" s="0" t="s">
        <v>2711</v>
      </c>
      <c r="D6" s="35" t="n">
        <v>6969</v>
      </c>
      <c r="E6" s="35" t="n">
        <v>6969</v>
      </c>
      <c r="F6" s="35" t="n">
        <v>6969</v>
      </c>
      <c r="G6" s="6" t="s">
        <v>2707</v>
      </c>
      <c r="H6" s="12" t="s">
        <v>2708</v>
      </c>
      <c r="I6" s="12" t="s">
        <v>2709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2704</v>
      </c>
      <c r="B7" s="0" t="s">
        <v>2712</v>
      </c>
      <c r="C7" s="0" t="s">
        <v>2713</v>
      </c>
      <c r="D7" s="35" t="n">
        <v>6764</v>
      </c>
      <c r="E7" s="35" t="n">
        <v>6764</v>
      </c>
      <c r="F7" s="35" t="n">
        <v>6764</v>
      </c>
      <c r="G7" s="6" t="s">
        <v>2707</v>
      </c>
      <c r="H7" s="12" t="s">
        <v>2708</v>
      </c>
      <c r="I7" s="12" t="s">
        <v>2709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2704</v>
      </c>
      <c r="B8" s="0" t="s">
        <v>2714</v>
      </c>
      <c r="C8" s="0" t="s">
        <v>2715</v>
      </c>
      <c r="D8" s="35" t="n">
        <v>4052</v>
      </c>
      <c r="E8" s="35" t="n">
        <v>4052</v>
      </c>
      <c r="F8" s="35" t="n">
        <v>4052</v>
      </c>
      <c r="G8" s="6" t="s">
        <v>2707</v>
      </c>
      <c r="H8" s="12" t="s">
        <v>2708</v>
      </c>
      <c r="I8" s="12" t="s">
        <v>2709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2704</v>
      </c>
      <c r="B9" s="0" t="s">
        <v>2716</v>
      </c>
      <c r="C9" s="0" t="s">
        <v>2717</v>
      </c>
      <c r="D9" s="35" t="n">
        <v>2705</v>
      </c>
      <c r="E9" s="35" t="n">
        <v>2705</v>
      </c>
      <c r="F9" s="35" t="n">
        <v>2705</v>
      </c>
      <c r="G9" s="6" t="s">
        <v>2707</v>
      </c>
      <c r="H9" s="12" t="s">
        <v>2708</v>
      </c>
      <c r="I9" s="12" t="s">
        <v>2709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2718</v>
      </c>
      <c r="B10" s="0" t="s">
        <v>2705</v>
      </c>
      <c r="C10" s="0" t="s">
        <v>2719</v>
      </c>
      <c r="D10" s="35" t="n">
        <v>718048</v>
      </c>
      <c r="E10" s="35" t="n">
        <v>718048</v>
      </c>
      <c r="F10" s="35" t="n">
        <v>718048</v>
      </c>
      <c r="G10" s="6" t="s">
        <v>2720</v>
      </c>
      <c r="H10" s="12" t="s">
        <v>2721</v>
      </c>
      <c r="I10" s="12" t="s">
        <v>2722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2718</v>
      </c>
      <c r="B11" s="0" t="s">
        <v>2710</v>
      </c>
      <c r="C11" s="0" t="s">
        <v>2723</v>
      </c>
      <c r="D11" s="35" t="n">
        <v>501768</v>
      </c>
      <c r="E11" s="35" t="n">
        <v>501768</v>
      </c>
      <c r="F11" s="35" t="n">
        <v>501768</v>
      </c>
      <c r="G11" s="6" t="s">
        <v>2720</v>
      </c>
      <c r="H11" s="12" t="s">
        <v>2721</v>
      </c>
      <c r="I11" s="12" t="s">
        <v>2722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2718</v>
      </c>
      <c r="B12" s="0" t="s">
        <v>2712</v>
      </c>
      <c r="C12" s="0" t="s">
        <v>2724</v>
      </c>
      <c r="D12" s="35" t="n">
        <v>487008</v>
      </c>
      <c r="E12" s="35" t="n">
        <v>487008</v>
      </c>
      <c r="F12" s="35" t="n">
        <v>487008</v>
      </c>
      <c r="G12" s="6" t="s">
        <v>2720</v>
      </c>
      <c r="H12" s="12" t="s">
        <v>2721</v>
      </c>
      <c r="I12" s="12" t="s">
        <v>2722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2718</v>
      </c>
      <c r="B13" s="0" t="s">
        <v>2714</v>
      </c>
      <c r="C13" s="0" t="s">
        <v>2725</v>
      </c>
      <c r="D13" s="35" t="n">
        <v>291744</v>
      </c>
      <c r="E13" s="35" t="n">
        <v>291744</v>
      </c>
      <c r="F13" s="35" t="n">
        <v>291744</v>
      </c>
      <c r="G13" s="6" t="s">
        <v>2720</v>
      </c>
      <c r="H13" s="12" t="s">
        <v>2721</v>
      </c>
      <c r="I13" s="12" t="s">
        <v>2722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2718</v>
      </c>
      <c r="B14" s="0" t="s">
        <v>2716</v>
      </c>
      <c r="C14" s="0" t="s">
        <v>2726</v>
      </c>
      <c r="D14" s="35" t="n">
        <v>194760</v>
      </c>
      <c r="E14" s="35" t="n">
        <v>194760</v>
      </c>
      <c r="F14" s="35" t="n">
        <v>194760</v>
      </c>
      <c r="G14" s="6" t="s">
        <v>2720</v>
      </c>
      <c r="H14" s="12" t="s">
        <v>2721</v>
      </c>
      <c r="I14" s="12" t="s">
        <v>2722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2727</v>
      </c>
      <c r="B15" s="0" t="s">
        <v>2705</v>
      </c>
      <c r="C15" s="0" t="s">
        <v>2728</v>
      </c>
      <c r="D15" s="35" t="n">
        <v>21.4202694</v>
      </c>
      <c r="E15" s="35" t="n">
        <v>27.510214</v>
      </c>
      <c r="F15" s="35" t="n">
        <v>34.1207434</v>
      </c>
      <c r="G15" s="12" t="s">
        <v>511</v>
      </c>
      <c r="H15" s="12" t="s">
        <v>2729</v>
      </c>
      <c r="I15" s="12" t="s">
        <v>2730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2727</v>
      </c>
      <c r="B16" s="0" t="s">
        <v>2710</v>
      </c>
      <c r="C16" s="0" t="s">
        <v>2731</v>
      </c>
      <c r="D16" s="35" t="n">
        <v>20.6393904</v>
      </c>
      <c r="E16" s="35" t="n">
        <v>24.015174</v>
      </c>
      <c r="F16" s="35" t="n">
        <v>27.6502044</v>
      </c>
      <c r="G16" s="12" t="s">
        <v>511</v>
      </c>
      <c r="H16" s="12" t="s">
        <v>2729</v>
      </c>
      <c r="I16" s="12" t="s">
        <v>2730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2727</v>
      </c>
      <c r="B17" s="0" t="s">
        <v>2712</v>
      </c>
      <c r="C17" s="0" t="s">
        <v>2732</v>
      </c>
      <c r="D17" s="35" t="n">
        <v>28.5549024</v>
      </c>
      <c r="E17" s="35" t="n">
        <v>32.237224</v>
      </c>
      <c r="F17" s="35" t="n">
        <v>39.2826064</v>
      </c>
      <c r="G17" s="12" t="s">
        <v>511</v>
      </c>
      <c r="H17" s="12" t="s">
        <v>2729</v>
      </c>
      <c r="I17" s="12" t="s">
        <v>2730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2727</v>
      </c>
      <c r="B18" s="0" t="s">
        <v>2714</v>
      </c>
      <c r="C18" s="0" t="s">
        <v>2733</v>
      </c>
      <c r="D18" s="35" t="n">
        <v>31.9970232</v>
      </c>
      <c r="E18" s="35" t="n">
        <v>37.586352</v>
      </c>
      <c r="F18" s="35" t="n">
        <v>42.6375752</v>
      </c>
      <c r="G18" s="12" t="s">
        <v>511</v>
      </c>
      <c r="H18" s="12" t="s">
        <v>2729</v>
      </c>
      <c r="I18" s="12" t="s">
        <v>2730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2727</v>
      </c>
      <c r="B19" s="0" t="s">
        <v>2716</v>
      </c>
      <c r="C19" s="0" t="s">
        <v>2734</v>
      </c>
      <c r="D19" s="35" t="n">
        <v>35.845578</v>
      </c>
      <c r="E19" s="35" t="n">
        <v>50.08578</v>
      </c>
      <c r="F19" s="35" t="n">
        <v>65.481558</v>
      </c>
      <c r="G19" s="12" t="s">
        <v>511</v>
      </c>
      <c r="H19" s="12" t="s">
        <v>2729</v>
      </c>
      <c r="I19" s="12" t="s">
        <v>2730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2735</v>
      </c>
      <c r="B20" s="0" t="s">
        <v>2705</v>
      </c>
      <c r="C20" s="0" t="s">
        <v>2736</v>
      </c>
      <c r="D20" s="35" t="n">
        <v>10.212</v>
      </c>
      <c r="E20" s="35" t="n">
        <v>12.67</v>
      </c>
      <c r="F20" s="35" t="n">
        <v>16.186</v>
      </c>
      <c r="G20" s="12" t="s">
        <v>511</v>
      </c>
      <c r="H20" s="12" t="s">
        <v>2737</v>
      </c>
      <c r="I20" s="12" t="s">
        <v>2722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2735</v>
      </c>
      <c r="B21" s="0" t="s">
        <v>2710</v>
      </c>
      <c r="C21" s="0" t="s">
        <v>2738</v>
      </c>
      <c r="D21" s="35" t="n">
        <v>10.212</v>
      </c>
      <c r="E21" s="35" t="n">
        <v>12.67</v>
      </c>
      <c r="F21" s="35" t="n">
        <v>16.186</v>
      </c>
      <c r="G21" s="12" t="s">
        <v>511</v>
      </c>
      <c r="H21" s="12" t="s">
        <v>2737</v>
      </c>
      <c r="I21" s="12" t="s">
        <v>2722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2735</v>
      </c>
      <c r="B22" s="0" t="s">
        <v>2712</v>
      </c>
      <c r="C22" s="0" t="s">
        <v>2739</v>
      </c>
      <c r="D22" s="35" t="n">
        <v>10.212</v>
      </c>
      <c r="E22" s="35" t="n">
        <v>12.67</v>
      </c>
      <c r="F22" s="35" t="n">
        <v>16.186</v>
      </c>
      <c r="G22" s="12" t="s">
        <v>511</v>
      </c>
      <c r="H22" s="12" t="s">
        <v>2737</v>
      </c>
      <c r="I22" s="12" t="s">
        <v>2722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2735</v>
      </c>
      <c r="B23" s="0" t="s">
        <v>2714</v>
      </c>
      <c r="C23" s="0" t="s">
        <v>2740</v>
      </c>
      <c r="D23" s="35" t="n">
        <v>10.212</v>
      </c>
      <c r="E23" s="35" t="n">
        <v>12.67</v>
      </c>
      <c r="F23" s="35" t="n">
        <v>16.186</v>
      </c>
      <c r="G23" s="12" t="s">
        <v>511</v>
      </c>
      <c r="H23" s="12" t="s">
        <v>2737</v>
      </c>
      <c r="I23" s="12" t="s">
        <v>2722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2735</v>
      </c>
      <c r="B24" s="0" t="s">
        <v>2716</v>
      </c>
      <c r="C24" s="0" t="s">
        <v>2741</v>
      </c>
      <c r="D24" s="35" t="n">
        <v>10.212</v>
      </c>
      <c r="E24" s="35" t="n">
        <v>12.67</v>
      </c>
      <c r="F24" s="35" t="n">
        <v>16.186</v>
      </c>
      <c r="G24" s="12" t="s">
        <v>511</v>
      </c>
      <c r="H24" s="12" t="s">
        <v>2737</v>
      </c>
      <c r="I24" s="12" t="s">
        <v>2722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2742</v>
      </c>
      <c r="B25" s="0" t="s">
        <v>2705</v>
      </c>
      <c r="C25" s="0" t="s">
        <v>2743</v>
      </c>
      <c r="D25" s="35" t="n">
        <v>31.6322694</v>
      </c>
      <c r="E25" s="35" t="n">
        <v>40.180214</v>
      </c>
      <c r="F25" s="35" t="n">
        <v>50.3067434</v>
      </c>
      <c r="G25" s="12" t="s">
        <v>511</v>
      </c>
      <c r="H25" s="12" t="s">
        <v>2744</v>
      </c>
      <c r="I25" s="12" t="s">
        <v>2722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2742</v>
      </c>
      <c r="B26" s="0" t="s">
        <v>2710</v>
      </c>
      <c r="C26" s="0" t="s">
        <v>2745</v>
      </c>
      <c r="D26" s="35" t="n">
        <v>30.8513904</v>
      </c>
      <c r="E26" s="35" t="n">
        <v>36.685174</v>
      </c>
      <c r="F26" s="35" t="n">
        <v>43.8362044</v>
      </c>
      <c r="G26" s="12" t="s">
        <v>511</v>
      </c>
      <c r="H26" s="12" t="s">
        <v>2744</v>
      </c>
      <c r="I26" s="12" t="s">
        <v>2722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2742</v>
      </c>
      <c r="B27" s="0" t="s">
        <v>2712</v>
      </c>
      <c r="C27" s="0" t="s">
        <v>2746</v>
      </c>
      <c r="D27" s="35" t="n">
        <v>38.7669024</v>
      </c>
      <c r="E27" s="35" t="n">
        <v>44.907224</v>
      </c>
      <c r="F27" s="35" t="n">
        <v>55.4686064</v>
      </c>
      <c r="G27" s="12" t="s">
        <v>511</v>
      </c>
      <c r="H27" s="12" t="s">
        <v>2744</v>
      </c>
      <c r="I27" s="12" t="s">
        <v>2722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2742</v>
      </c>
      <c r="B28" s="0" t="s">
        <v>2714</v>
      </c>
      <c r="C28" s="0" t="s">
        <v>2747</v>
      </c>
      <c r="D28" s="35" t="n">
        <v>42.2090232</v>
      </c>
      <c r="E28" s="35" t="n">
        <v>50.256352</v>
      </c>
      <c r="F28" s="35" t="n">
        <v>58.8235752</v>
      </c>
      <c r="G28" s="12" t="s">
        <v>511</v>
      </c>
      <c r="H28" s="12" t="s">
        <v>2744</v>
      </c>
      <c r="I28" s="12" t="s">
        <v>2722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2742</v>
      </c>
      <c r="B29" s="0" t="s">
        <v>2716</v>
      </c>
      <c r="C29" s="0" t="s">
        <v>2748</v>
      </c>
      <c r="D29" s="35" t="n">
        <v>46.057578</v>
      </c>
      <c r="E29" s="35" t="n">
        <v>62.75578</v>
      </c>
      <c r="F29" s="35" t="n">
        <v>81.667558</v>
      </c>
      <c r="G29" s="12" t="s">
        <v>511</v>
      </c>
      <c r="H29" s="12" t="s">
        <v>2744</v>
      </c>
      <c r="I29" s="12" t="s">
        <v>2722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2749</v>
      </c>
      <c r="B30" s="0" t="s">
        <v>2705</v>
      </c>
      <c r="C30" s="0" t="s">
        <v>2750</v>
      </c>
      <c r="D30" s="35" t="n">
        <v>0.9</v>
      </c>
      <c r="E30" s="35" t="n">
        <v>1.1</v>
      </c>
      <c r="F30" s="35" t="n">
        <v>1.3</v>
      </c>
      <c r="G30" s="12" t="s">
        <v>2751</v>
      </c>
      <c r="H30" s="12" t="s">
        <v>2752</v>
      </c>
      <c r="I30" s="12" t="s">
        <v>2753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2749</v>
      </c>
      <c r="B31" s="0" t="s">
        <v>2710</v>
      </c>
      <c r="C31" s="0" t="s">
        <v>2754</v>
      </c>
      <c r="D31" s="35" t="n">
        <v>2.8</v>
      </c>
      <c r="E31" s="35" t="n">
        <v>3.1</v>
      </c>
      <c r="F31" s="35" t="n">
        <v>3.4</v>
      </c>
      <c r="G31" s="12" t="s">
        <v>2751</v>
      </c>
      <c r="H31" s="12" t="s">
        <v>2752</v>
      </c>
      <c r="I31" s="12" t="s">
        <v>2753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2749</v>
      </c>
      <c r="B32" s="0" t="s">
        <v>2712</v>
      </c>
      <c r="C32" s="0" t="s">
        <v>2755</v>
      </c>
      <c r="D32" s="35" t="n">
        <v>4</v>
      </c>
      <c r="E32" s="35" t="n">
        <v>4.3</v>
      </c>
      <c r="F32" s="35" t="n">
        <v>5</v>
      </c>
      <c r="G32" s="12" t="s">
        <v>2751</v>
      </c>
      <c r="H32" s="12" t="s">
        <v>2752</v>
      </c>
      <c r="I32" s="12" t="s">
        <v>2753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2749</v>
      </c>
      <c r="B33" s="0" t="s">
        <v>2714</v>
      </c>
      <c r="C33" s="0" t="s">
        <v>2756</v>
      </c>
      <c r="D33" s="35" t="n">
        <v>7.5</v>
      </c>
      <c r="E33" s="35" t="n">
        <v>8.4</v>
      </c>
      <c r="F33" s="35" t="n">
        <v>9.1</v>
      </c>
      <c r="G33" s="12" t="s">
        <v>2751</v>
      </c>
      <c r="H33" s="12" t="s">
        <v>2752</v>
      </c>
      <c r="I33" s="12" t="s">
        <v>2753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2749</v>
      </c>
      <c r="B34" s="0" t="s">
        <v>2716</v>
      </c>
      <c r="C34" s="0" t="s">
        <v>2757</v>
      </c>
      <c r="D34" s="35" t="n">
        <v>12.6</v>
      </c>
      <c r="E34" s="35" t="n">
        <v>16.8</v>
      </c>
      <c r="F34" s="35" t="n">
        <v>21</v>
      </c>
      <c r="G34" s="12" t="s">
        <v>2751</v>
      </c>
      <c r="H34" s="12" t="s">
        <v>2752</v>
      </c>
      <c r="I34" s="12" t="s">
        <v>2753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2758</v>
      </c>
      <c r="B35" s="0" t="s">
        <v>2705</v>
      </c>
      <c r="C35" s="0" t="s">
        <v>2759</v>
      </c>
      <c r="D35" s="35" t="n">
        <v>0.05</v>
      </c>
      <c r="E35" s="35" t="n">
        <v>0.1</v>
      </c>
      <c r="F35" s="35" t="n">
        <v>0.15</v>
      </c>
      <c r="G35" s="6" t="s">
        <v>2760</v>
      </c>
      <c r="H35" s="12" t="s">
        <v>2761</v>
      </c>
      <c r="I35" s="12" t="s">
        <v>2762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2758</v>
      </c>
      <c r="B36" s="0" t="s">
        <v>2710</v>
      </c>
      <c r="C36" s="0" t="s">
        <v>2763</v>
      </c>
      <c r="D36" s="35" t="n">
        <v>0.05</v>
      </c>
      <c r="E36" s="35" t="n">
        <v>0.1</v>
      </c>
      <c r="F36" s="35" t="n">
        <v>0.15</v>
      </c>
      <c r="G36" s="6" t="s">
        <v>2760</v>
      </c>
      <c r="H36" s="12" t="s">
        <v>2761</v>
      </c>
      <c r="I36" s="12" t="s">
        <v>2762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2758</v>
      </c>
      <c r="B37" s="0" t="s">
        <v>2712</v>
      </c>
      <c r="C37" s="0" t="s">
        <v>2764</v>
      </c>
      <c r="D37" s="35" t="n">
        <v>0.05</v>
      </c>
      <c r="E37" s="35" t="n">
        <v>0.1</v>
      </c>
      <c r="F37" s="35" t="n">
        <v>0.15</v>
      </c>
      <c r="G37" s="6" t="s">
        <v>2760</v>
      </c>
      <c r="H37" s="12" t="s">
        <v>2761</v>
      </c>
      <c r="I37" s="12" t="s">
        <v>2762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2758</v>
      </c>
      <c r="B38" s="0" t="s">
        <v>2714</v>
      </c>
      <c r="C38" s="0" t="s">
        <v>2765</v>
      </c>
      <c r="D38" s="35" t="n">
        <v>0.05</v>
      </c>
      <c r="E38" s="35" t="n">
        <v>0.1</v>
      </c>
      <c r="F38" s="35" t="n">
        <v>0.15</v>
      </c>
      <c r="G38" s="6" t="s">
        <v>2760</v>
      </c>
      <c r="H38" s="12" t="s">
        <v>2761</v>
      </c>
      <c r="I38" s="12" t="s">
        <v>2762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2758</v>
      </c>
      <c r="B39" s="0" t="s">
        <v>2716</v>
      </c>
      <c r="C39" s="0" t="s">
        <v>2766</v>
      </c>
      <c r="D39" s="35" t="n">
        <v>0.05</v>
      </c>
      <c r="E39" s="35" t="n">
        <v>0.1</v>
      </c>
      <c r="F39" s="35" t="n">
        <v>0.15</v>
      </c>
      <c r="G39" s="6" t="s">
        <v>2760</v>
      </c>
      <c r="H39" s="12" t="s">
        <v>2761</v>
      </c>
      <c r="I39" s="12" t="s">
        <v>2762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2767</v>
      </c>
      <c r="B40" s="0" t="s">
        <v>2705</v>
      </c>
      <c r="C40" s="0" t="s">
        <v>2768</v>
      </c>
      <c r="D40" s="35" t="n">
        <v>300</v>
      </c>
      <c r="E40" s="35" t="n">
        <v>500</v>
      </c>
      <c r="F40" s="35" t="n">
        <v>800</v>
      </c>
      <c r="G40" s="12" t="s">
        <v>2769</v>
      </c>
      <c r="H40" s="12" t="s">
        <v>2770</v>
      </c>
      <c r="I40" s="12" t="s">
        <v>2762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2767</v>
      </c>
      <c r="B41" s="0" t="s">
        <v>2710</v>
      </c>
      <c r="C41" s="0" t="s">
        <v>2771</v>
      </c>
      <c r="D41" s="35" t="n">
        <v>300</v>
      </c>
      <c r="E41" s="35" t="n">
        <v>500</v>
      </c>
      <c r="F41" s="35" t="n">
        <v>800</v>
      </c>
      <c r="G41" s="12" t="s">
        <v>2769</v>
      </c>
      <c r="H41" s="12" t="s">
        <v>2770</v>
      </c>
      <c r="I41" s="12" t="s">
        <v>2762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2767</v>
      </c>
      <c r="B42" s="0" t="s">
        <v>2712</v>
      </c>
      <c r="C42" s="0" t="s">
        <v>2772</v>
      </c>
      <c r="D42" s="35" t="n">
        <v>300</v>
      </c>
      <c r="E42" s="35" t="n">
        <v>500</v>
      </c>
      <c r="F42" s="35" t="n">
        <v>800</v>
      </c>
      <c r="G42" s="12" t="s">
        <v>2769</v>
      </c>
      <c r="H42" s="12" t="s">
        <v>2770</v>
      </c>
      <c r="I42" s="12" t="s">
        <v>2762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2767</v>
      </c>
      <c r="B43" s="0" t="s">
        <v>2714</v>
      </c>
      <c r="C43" s="0" t="s">
        <v>2773</v>
      </c>
      <c r="D43" s="35" t="n">
        <v>300</v>
      </c>
      <c r="E43" s="35" t="n">
        <v>500</v>
      </c>
      <c r="F43" s="35" t="n">
        <v>800</v>
      </c>
      <c r="G43" s="12" t="s">
        <v>2769</v>
      </c>
      <c r="H43" s="12" t="s">
        <v>2770</v>
      </c>
      <c r="I43" s="12" t="s">
        <v>2762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2767</v>
      </c>
      <c r="B44" s="0" t="s">
        <v>2716</v>
      </c>
      <c r="C44" s="0" t="s">
        <v>2774</v>
      </c>
      <c r="D44" s="35" t="n">
        <v>300</v>
      </c>
      <c r="E44" s="35" t="n">
        <v>500</v>
      </c>
      <c r="F44" s="35" t="n">
        <v>800</v>
      </c>
      <c r="G44" s="12" t="s">
        <v>2769</v>
      </c>
      <c r="H44" s="12" t="s">
        <v>2770</v>
      </c>
      <c r="I44" s="12" t="s">
        <v>2762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2775</v>
      </c>
      <c r="B45" s="0" t="s">
        <v>2776</v>
      </c>
      <c r="C45" s="0" t="s">
        <v>2777</v>
      </c>
      <c r="D45" s="35" t="n">
        <v>0.7</v>
      </c>
      <c r="E45" s="35" t="n">
        <v>0.8</v>
      </c>
      <c r="F45" s="35" t="n">
        <v>1.15</v>
      </c>
      <c r="G45" s="6" t="s">
        <v>2778</v>
      </c>
      <c r="H45" s="12" t="s">
        <v>2779</v>
      </c>
      <c r="I45" s="12" t="s">
        <v>2780</v>
      </c>
    </row>
    <row r="46" customFormat="false" ht="17.15" hidden="false" customHeight="false" outlineLevel="0" collapsed="false">
      <c r="A46" s="0" t="s">
        <v>2781</v>
      </c>
      <c r="B46" s="0" t="s">
        <v>2782</v>
      </c>
      <c r="C46" s="0" t="s">
        <v>2783</v>
      </c>
      <c r="D46" s="35" t="n">
        <v>0.6</v>
      </c>
      <c r="E46" s="35" t="n">
        <v>0.8</v>
      </c>
      <c r="F46" s="35" t="n">
        <v>1.1</v>
      </c>
      <c r="G46" s="6" t="s">
        <v>2778</v>
      </c>
      <c r="H46" s="12" t="s">
        <v>2784</v>
      </c>
      <c r="I46" s="12" t="s">
        <v>2780</v>
      </c>
    </row>
    <row r="47" customFormat="false" ht="17.15" hidden="false" customHeight="false" outlineLevel="0" collapsed="false">
      <c r="A47" s="0" t="s">
        <v>2785</v>
      </c>
      <c r="B47" s="0" t="s">
        <v>2786</v>
      </c>
      <c r="C47" s="0" t="s">
        <v>2787</v>
      </c>
      <c r="D47" s="35" t="n">
        <v>0.3</v>
      </c>
      <c r="E47" s="35" t="n">
        <v>0.5</v>
      </c>
      <c r="F47" s="35" t="n">
        <v>0.8</v>
      </c>
      <c r="G47" s="6" t="s">
        <v>2778</v>
      </c>
      <c r="H47" s="12" t="s">
        <v>2788</v>
      </c>
      <c r="I47" s="12" t="s">
        <v>2780</v>
      </c>
    </row>
    <row r="48" customFormat="false" ht="17.15" hidden="false" customHeight="false" outlineLevel="0" collapsed="false">
      <c r="A48" s="0" t="s">
        <v>2789</v>
      </c>
      <c r="B48" s="0" t="s">
        <v>2790</v>
      </c>
      <c r="C48" s="0" t="s">
        <v>2791</v>
      </c>
      <c r="D48" s="35" t="n">
        <v>0.2</v>
      </c>
      <c r="E48" s="35" t="n">
        <v>0.4</v>
      </c>
      <c r="F48" s="35" t="n">
        <v>0.8</v>
      </c>
      <c r="G48" s="6" t="s">
        <v>2778</v>
      </c>
      <c r="H48" s="12" t="s">
        <v>2792</v>
      </c>
      <c r="I48" s="12" t="s">
        <v>2780</v>
      </c>
    </row>
    <row r="49" customFormat="false" ht="17.15" hidden="false" customHeight="false" outlineLevel="0" collapsed="false">
      <c r="A49" s="0" t="s">
        <v>2793</v>
      </c>
      <c r="B49" s="0" t="s">
        <v>2794</v>
      </c>
      <c r="C49" s="0" t="s">
        <v>2795</v>
      </c>
      <c r="D49" s="35" t="n">
        <v>0.4</v>
      </c>
      <c r="E49" s="35" t="n">
        <v>0.6</v>
      </c>
      <c r="F49" s="35" t="n">
        <v>0.9</v>
      </c>
      <c r="G49" s="6" t="s">
        <v>2778</v>
      </c>
      <c r="H49" s="12" t="s">
        <v>2796</v>
      </c>
      <c r="I49" s="12" t="s">
        <v>2780</v>
      </c>
    </row>
    <row r="50" customFormat="false" ht="17.15" hidden="false" customHeight="false" outlineLevel="0" collapsed="false">
      <c r="A50" s="0" t="s">
        <v>2797</v>
      </c>
      <c r="B50" s="6" t="s">
        <v>2798</v>
      </c>
      <c r="C50" s="0" t="s">
        <v>2799</v>
      </c>
      <c r="D50" s="35" t="n">
        <v>0.05</v>
      </c>
      <c r="E50" s="35" t="n">
        <v>0.08</v>
      </c>
      <c r="F50" s="35" t="n">
        <v>0.15</v>
      </c>
      <c r="G50" s="6" t="s">
        <v>2778</v>
      </c>
      <c r="H50" s="12" t="s">
        <v>2800</v>
      </c>
      <c r="I50" s="12" t="s">
        <v>2780</v>
      </c>
    </row>
    <row r="51" customFormat="false" ht="17.15" hidden="false" customHeight="false" outlineLevel="0" collapsed="false">
      <c r="A51" s="0" t="s">
        <v>2801</v>
      </c>
      <c r="B51" s="0" t="s">
        <v>2802</v>
      </c>
      <c r="C51" s="0" t="s">
        <v>2803</v>
      </c>
      <c r="D51" s="35" t="n">
        <v>0.25</v>
      </c>
      <c r="E51" s="35" t="n">
        <v>0.55</v>
      </c>
      <c r="F51" s="35" t="n">
        <v>0.75</v>
      </c>
      <c r="G51" s="6" t="s">
        <v>2778</v>
      </c>
      <c r="H51" s="12" t="s">
        <v>2804</v>
      </c>
      <c r="I51" s="12" t="s">
        <v>2780</v>
      </c>
    </row>
    <row r="52" customFormat="false" ht="17.15" hidden="false" customHeight="false" outlineLevel="0" collapsed="false">
      <c r="A52" s="0" t="s">
        <v>2805</v>
      </c>
      <c r="B52" s="0" t="s">
        <v>2806</v>
      </c>
      <c r="C52" s="0" t="s">
        <v>2807</v>
      </c>
      <c r="D52" s="35" t="n">
        <v>0.67</v>
      </c>
      <c r="E52" s="35" t="n">
        <v>0.85</v>
      </c>
      <c r="F52" s="35" t="n">
        <v>1.12</v>
      </c>
      <c r="G52" s="6" t="s">
        <v>2778</v>
      </c>
      <c r="H52" s="12" t="s">
        <v>2808</v>
      </c>
      <c r="I52" s="12" t="s">
        <v>2780</v>
      </c>
    </row>
    <row r="53" customFormat="false" ht="17.15" hidden="false" customHeight="false" outlineLevel="0" collapsed="false">
      <c r="A53" s="0" t="s">
        <v>2809</v>
      </c>
      <c r="B53" s="0" t="s">
        <v>2810</v>
      </c>
      <c r="C53" s="0" t="s">
        <v>2811</v>
      </c>
      <c r="D53" s="35" t="n">
        <v>0.65</v>
      </c>
      <c r="E53" s="35" t="n">
        <v>0.7</v>
      </c>
      <c r="F53" s="35" t="n">
        <v>0.9</v>
      </c>
      <c r="G53" s="6" t="s">
        <v>2778</v>
      </c>
      <c r="H53" s="12" t="s">
        <v>2812</v>
      </c>
      <c r="I53" s="12" t="s">
        <v>2780</v>
      </c>
    </row>
    <row r="54" customFormat="false" ht="17.15" hidden="false" customHeight="false" outlineLevel="0" collapsed="false">
      <c r="A54" s="0" t="s">
        <v>2813</v>
      </c>
      <c r="B54" s="0" t="s">
        <v>2814</v>
      </c>
      <c r="C54" s="0" t="s">
        <v>2815</v>
      </c>
      <c r="D54" s="35" t="n">
        <v>0.45</v>
      </c>
      <c r="E54" s="35" t="n">
        <v>0.61</v>
      </c>
      <c r="F54" s="35" t="n">
        <v>0.7</v>
      </c>
      <c r="G54" s="6" t="s">
        <v>2778</v>
      </c>
      <c r="H54" s="12" t="s">
        <v>2816</v>
      </c>
      <c r="I54" s="12" t="s">
        <v>2780</v>
      </c>
    </row>
    <row r="55" customFormat="false" ht="17.15" hidden="false" customHeight="false" outlineLevel="0" collapsed="false">
      <c r="A55" s="0" t="s">
        <v>2817</v>
      </c>
      <c r="B55" s="0" t="s">
        <v>2818</v>
      </c>
      <c r="C55" s="0" t="s">
        <v>2819</v>
      </c>
      <c r="D55" s="35" t="n">
        <v>0.8</v>
      </c>
      <c r="E55" s="35" t="n">
        <v>1</v>
      </c>
      <c r="F55" s="35" t="n">
        <v>1.2</v>
      </c>
      <c r="G55" s="6" t="s">
        <v>2778</v>
      </c>
      <c r="H55" s="12" t="s">
        <v>2820</v>
      </c>
      <c r="I55" s="12" t="s">
        <v>2780</v>
      </c>
    </row>
    <row r="56" customFormat="false" ht="17.15" hidden="false" customHeight="false" outlineLevel="0" collapsed="false">
      <c r="A56" s="0" t="s">
        <v>2821</v>
      </c>
      <c r="B56" s="0" t="s">
        <v>2822</v>
      </c>
      <c r="C56" s="0" t="s">
        <v>2823</v>
      </c>
      <c r="D56" s="35" t="n">
        <v>0.7</v>
      </c>
      <c r="E56" s="35" t="n">
        <v>0.8</v>
      </c>
      <c r="F56" s="35" t="n">
        <v>1</v>
      </c>
      <c r="G56" s="6" t="s">
        <v>2778</v>
      </c>
      <c r="H56" s="12" t="s">
        <v>2824</v>
      </c>
      <c r="I56" s="12" t="s">
        <v>2780</v>
      </c>
    </row>
    <row r="57" customFormat="false" ht="17.15" hidden="false" customHeight="false" outlineLevel="0" collapsed="false">
      <c r="A57" s="0" t="s">
        <v>2825</v>
      </c>
      <c r="B57" s="6" t="s">
        <v>2826</v>
      </c>
      <c r="C57" s="0" t="s">
        <v>2827</v>
      </c>
      <c r="D57" s="35" t="n">
        <v>0.45</v>
      </c>
      <c r="E57" s="35" t="n">
        <v>0.55</v>
      </c>
      <c r="F57" s="35" t="n">
        <v>0.7</v>
      </c>
      <c r="G57" s="6" t="s">
        <v>2778</v>
      </c>
      <c r="H57" s="12" t="s">
        <v>2828</v>
      </c>
      <c r="I57" s="12" t="s">
        <v>2780</v>
      </c>
    </row>
    <row r="58" customFormat="false" ht="17.15" hidden="false" customHeight="false" outlineLevel="0" collapsed="false">
      <c r="A58" s="0" t="s">
        <v>2829</v>
      </c>
      <c r="B58" s="0" t="s">
        <v>2830</v>
      </c>
      <c r="C58" s="0" t="s">
        <v>2831</v>
      </c>
      <c r="D58" s="35" t="n">
        <v>0.4</v>
      </c>
      <c r="E58" s="35" t="n">
        <v>0.5</v>
      </c>
      <c r="F58" s="35" t="n">
        <v>0.6</v>
      </c>
      <c r="G58" s="6" t="s">
        <v>2778</v>
      </c>
      <c r="H58" s="12" t="s">
        <v>2832</v>
      </c>
      <c r="I58" s="12" t="s">
        <v>2780</v>
      </c>
    </row>
    <row r="60" customFormat="false" ht="17.15" hidden="false" customHeight="false" outlineLevel="0" collapsed="false">
      <c r="A60" s="9" t="s">
        <v>2833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2834</v>
      </c>
    </row>
    <row r="3" customFormat="false" ht="15" hidden="false" customHeight="false" outlineLevel="0" collapsed="false">
      <c r="A3" s="5" t="s">
        <v>2835</v>
      </c>
      <c r="B3" s="4" t="s">
        <v>2836</v>
      </c>
      <c r="C3" s="4" t="s">
        <v>2837</v>
      </c>
      <c r="D3" s="4" t="s">
        <v>49</v>
      </c>
      <c r="E3" s="4" t="s">
        <v>2838</v>
      </c>
      <c r="F3" s="4" t="s">
        <v>2839</v>
      </c>
      <c r="G3" s="4" t="s">
        <v>2840</v>
      </c>
      <c r="H3" s="4" t="s">
        <v>2841</v>
      </c>
      <c r="I3" s="4" t="s">
        <v>2842</v>
      </c>
      <c r="J3" s="4" t="s">
        <v>2843</v>
      </c>
      <c r="K3" s="4" t="s">
        <v>2844</v>
      </c>
      <c r="L3" s="4" t="s">
        <v>2845</v>
      </c>
      <c r="M3" s="4" t="s">
        <v>2846</v>
      </c>
    </row>
    <row r="4" customFormat="false" ht="32.8" hidden="false" customHeight="false" outlineLevel="0" collapsed="false">
      <c r="A4" s="3" t="s">
        <v>2847</v>
      </c>
      <c r="B4" s="2" t="s">
        <v>2848</v>
      </c>
      <c r="C4" s="2" t="s">
        <v>2849</v>
      </c>
      <c r="D4" s="3" t="s">
        <v>2850</v>
      </c>
      <c r="E4" s="3" t="s">
        <v>2851</v>
      </c>
      <c r="F4" s="3" t="s">
        <v>2852</v>
      </c>
      <c r="G4" s="2" t="s">
        <v>2853</v>
      </c>
      <c r="H4" s="2" t="s">
        <v>2854</v>
      </c>
      <c r="I4" s="2" t="s">
        <v>2855</v>
      </c>
      <c r="J4" s="2" t="s">
        <v>2856</v>
      </c>
      <c r="K4" s="2" t="s">
        <v>2857</v>
      </c>
      <c r="L4" s="2" t="s">
        <v>2858</v>
      </c>
      <c r="M4" s="2" t="s">
        <v>2859</v>
      </c>
    </row>
    <row r="5" customFormat="false" ht="32.8" hidden="false" customHeight="false" outlineLevel="0" collapsed="false">
      <c r="A5" s="3" t="s">
        <v>2860</v>
      </c>
      <c r="B5" s="2" t="s">
        <v>2848</v>
      </c>
      <c r="C5" s="2" t="s">
        <v>2861</v>
      </c>
      <c r="D5" s="3" t="s">
        <v>2850</v>
      </c>
      <c r="E5" s="3" t="s">
        <v>2862</v>
      </c>
      <c r="F5" s="3" t="s">
        <v>2863</v>
      </c>
      <c r="G5" s="3" t="s">
        <v>2864</v>
      </c>
      <c r="H5" s="3" t="s">
        <v>2865</v>
      </c>
      <c r="I5" s="2" t="s">
        <v>2866</v>
      </c>
      <c r="J5" s="2" t="s">
        <v>2867</v>
      </c>
      <c r="K5" s="3" t="s">
        <v>2868</v>
      </c>
      <c r="L5" s="2" t="s">
        <v>2858</v>
      </c>
      <c r="M5" s="2" t="s">
        <v>2869</v>
      </c>
    </row>
    <row r="6" customFormat="false" ht="346.25" hidden="false" customHeight="false" outlineLevel="0" collapsed="false">
      <c r="A6" s="3" t="s">
        <v>2870</v>
      </c>
      <c r="B6" s="2" t="s">
        <v>2848</v>
      </c>
      <c r="C6" s="3" t="s">
        <v>2871</v>
      </c>
      <c r="D6" s="3" t="s">
        <v>60</v>
      </c>
      <c r="E6" s="3" t="s">
        <v>2872</v>
      </c>
      <c r="F6" s="3" t="s">
        <v>2873</v>
      </c>
      <c r="G6" s="3" t="s">
        <v>2874</v>
      </c>
      <c r="H6" s="2" t="s">
        <v>2875</v>
      </c>
      <c r="I6" s="2" t="s">
        <v>2876</v>
      </c>
      <c r="J6" s="2" t="s">
        <v>2877</v>
      </c>
      <c r="K6" s="3" t="s">
        <v>2868</v>
      </c>
      <c r="L6" s="3" t="s">
        <v>2878</v>
      </c>
      <c r="M6" s="2" t="s">
        <v>2879</v>
      </c>
    </row>
    <row r="7" customFormat="false" ht="173.85" hidden="false" customHeight="false" outlineLevel="0" collapsed="false">
      <c r="A7" s="3" t="s">
        <v>2880</v>
      </c>
      <c r="B7" s="2" t="s">
        <v>2881</v>
      </c>
      <c r="C7" s="2" t="s">
        <v>2882</v>
      </c>
      <c r="D7" s="3" t="s">
        <v>60</v>
      </c>
      <c r="E7" s="3" t="s">
        <v>2883</v>
      </c>
      <c r="F7" s="2" t="s">
        <v>2884</v>
      </c>
      <c r="G7" s="3" t="s">
        <v>2885</v>
      </c>
      <c r="H7" s="3" t="s">
        <v>2886</v>
      </c>
      <c r="I7" s="2" t="s">
        <v>2887</v>
      </c>
      <c r="J7" s="2" t="s">
        <v>2888</v>
      </c>
      <c r="K7" s="3" t="s">
        <v>2889</v>
      </c>
      <c r="L7" s="2" t="s">
        <v>2890</v>
      </c>
      <c r="M7" s="2" t="s">
        <v>2891</v>
      </c>
    </row>
    <row r="8" customFormat="false" ht="32.8" hidden="false" customHeight="false" outlineLevel="0" collapsed="false">
      <c r="A8" s="3" t="s">
        <v>2892</v>
      </c>
      <c r="B8" s="2" t="s">
        <v>2893</v>
      </c>
      <c r="C8" s="3" t="s">
        <v>2894</v>
      </c>
      <c r="D8" s="3" t="s">
        <v>675</v>
      </c>
      <c r="E8" s="3" t="s">
        <v>2895</v>
      </c>
      <c r="F8" s="3" t="s">
        <v>2896</v>
      </c>
      <c r="G8" s="3" t="s">
        <v>2897</v>
      </c>
      <c r="H8" s="3" t="s">
        <v>2898</v>
      </c>
      <c r="I8" s="2" t="s">
        <v>2899</v>
      </c>
      <c r="J8" s="3" t="s">
        <v>2900</v>
      </c>
      <c r="K8" s="3" t="s">
        <v>2901</v>
      </c>
      <c r="L8" s="2" t="s">
        <v>2858</v>
      </c>
      <c r="M8" s="2" t="s">
        <v>2902</v>
      </c>
    </row>
    <row r="9" customFormat="false" ht="64.15" hidden="false" customHeight="false" outlineLevel="0" collapsed="false">
      <c r="A9" s="3" t="s">
        <v>2903</v>
      </c>
      <c r="B9" s="2" t="s">
        <v>2904</v>
      </c>
      <c r="C9" s="3" t="s">
        <v>2905</v>
      </c>
      <c r="D9" s="3" t="s">
        <v>675</v>
      </c>
      <c r="E9" s="3" t="s">
        <v>2906</v>
      </c>
      <c r="F9" s="3" t="s">
        <v>2907</v>
      </c>
      <c r="G9" s="3" t="s">
        <v>2908</v>
      </c>
      <c r="H9" s="3" t="s">
        <v>2909</v>
      </c>
      <c r="I9" s="2" t="s">
        <v>2910</v>
      </c>
      <c r="J9" s="3" t="s">
        <v>2911</v>
      </c>
      <c r="K9" s="3" t="s">
        <v>2912</v>
      </c>
      <c r="L9" s="2" t="s">
        <v>2858</v>
      </c>
      <c r="M9" s="2" t="s">
        <v>2913</v>
      </c>
    </row>
    <row r="10" customFormat="false" ht="32.8" hidden="false" customHeight="false" outlineLevel="0" collapsed="false">
      <c r="A10" s="3" t="s">
        <v>2914</v>
      </c>
      <c r="B10" s="2" t="s">
        <v>2904</v>
      </c>
      <c r="C10" s="3" t="s">
        <v>2915</v>
      </c>
      <c r="D10" s="3" t="s">
        <v>675</v>
      </c>
      <c r="E10" s="3" t="s">
        <v>2916</v>
      </c>
      <c r="F10" s="3" t="s">
        <v>2917</v>
      </c>
      <c r="G10" s="3" t="s">
        <v>2918</v>
      </c>
      <c r="H10" s="2" t="s">
        <v>2919</v>
      </c>
      <c r="I10" s="2" t="s">
        <v>2920</v>
      </c>
      <c r="J10" s="3" t="s">
        <v>2921</v>
      </c>
      <c r="K10" s="3" t="s">
        <v>2922</v>
      </c>
      <c r="L10" s="2" t="s">
        <v>2858</v>
      </c>
      <c r="M10" s="2" t="s">
        <v>2923</v>
      </c>
    </row>
    <row r="11" customFormat="false" ht="17.15" hidden="false" customHeight="false" outlineLevel="0" collapsed="false">
      <c r="A11" s="3" t="s">
        <v>2924</v>
      </c>
      <c r="B11" s="2" t="s">
        <v>2904</v>
      </c>
      <c r="C11" s="3" t="s">
        <v>2925</v>
      </c>
      <c r="D11" s="3" t="s">
        <v>489</v>
      </c>
      <c r="E11" s="3" t="s">
        <v>2926</v>
      </c>
      <c r="F11" s="2" t="s">
        <v>2927</v>
      </c>
      <c r="G11" s="3" t="s">
        <v>2928</v>
      </c>
      <c r="H11" s="2" t="s">
        <v>2929</v>
      </c>
      <c r="I11" s="2" t="s">
        <v>2930</v>
      </c>
      <c r="J11" s="2" t="s">
        <v>2931</v>
      </c>
      <c r="K11" s="3" t="s">
        <v>2932</v>
      </c>
      <c r="L11" s="2" t="s">
        <v>2858</v>
      </c>
      <c r="M11" s="2" t="s">
        <v>2933</v>
      </c>
    </row>
    <row r="12" customFormat="false" ht="153.7" hidden="false" customHeight="false" outlineLevel="0" collapsed="false">
      <c r="A12" s="3" t="s">
        <v>2934</v>
      </c>
      <c r="B12" s="2" t="s">
        <v>2935</v>
      </c>
      <c r="C12" s="2" t="s">
        <v>2936</v>
      </c>
      <c r="D12" s="3" t="s">
        <v>2937</v>
      </c>
      <c r="E12" s="3" t="s">
        <v>2938</v>
      </c>
      <c r="F12" s="3" t="s">
        <v>2939</v>
      </c>
      <c r="G12" s="3" t="s">
        <v>2940</v>
      </c>
      <c r="H12" s="3" t="s">
        <v>2941</v>
      </c>
      <c r="I12" s="2" t="s">
        <v>2942</v>
      </c>
      <c r="J12" s="2" t="s">
        <v>2943</v>
      </c>
      <c r="K12" s="3" t="s">
        <v>2889</v>
      </c>
      <c r="L12" s="2" t="s">
        <v>2944</v>
      </c>
      <c r="M12" s="2" t="s">
        <v>2945</v>
      </c>
    </row>
    <row r="13" customFormat="false" ht="267.9" hidden="false" customHeight="false" outlineLevel="0" collapsed="false">
      <c r="A13" s="3" t="s">
        <v>2946</v>
      </c>
      <c r="B13" s="2" t="s">
        <v>2935</v>
      </c>
      <c r="C13" s="3" t="s">
        <v>2947</v>
      </c>
      <c r="D13" s="3" t="s">
        <v>1341</v>
      </c>
      <c r="E13" s="3" t="s">
        <v>2948</v>
      </c>
      <c r="F13" s="3" t="s">
        <v>2949</v>
      </c>
      <c r="G13" s="3" t="s">
        <v>2950</v>
      </c>
      <c r="H13" s="3" t="s">
        <v>2951</v>
      </c>
      <c r="I13" s="2" t="s">
        <v>2952</v>
      </c>
      <c r="J13" s="2" t="s">
        <v>2953</v>
      </c>
      <c r="K13" s="3" t="s">
        <v>2889</v>
      </c>
      <c r="L13" s="2" t="s">
        <v>2954</v>
      </c>
      <c r="M13" s="2" t="s">
        <v>2955</v>
      </c>
    </row>
    <row r="14" customFormat="false" ht="297" hidden="false" customHeight="false" outlineLevel="0" collapsed="false">
      <c r="A14" s="37" t="s">
        <v>2956</v>
      </c>
      <c r="B14" s="38" t="s">
        <v>2957</v>
      </c>
      <c r="C14" s="38" t="s">
        <v>2958</v>
      </c>
      <c r="D14" s="37" t="s">
        <v>60</v>
      </c>
      <c r="E14" s="37" t="s">
        <v>2959</v>
      </c>
      <c r="F14" s="38" t="s">
        <v>2960</v>
      </c>
      <c r="G14" s="37" t="s">
        <v>2961</v>
      </c>
      <c r="H14" s="37" t="s">
        <v>2962</v>
      </c>
      <c r="I14" s="38" t="s">
        <v>2963</v>
      </c>
      <c r="J14" s="38" t="s">
        <v>2964</v>
      </c>
      <c r="K14" s="37" t="s">
        <v>2889</v>
      </c>
      <c r="L14" s="38" t="s">
        <v>2965</v>
      </c>
      <c r="M14" s="38" t="s">
        <v>2966</v>
      </c>
    </row>
    <row r="15" customFormat="false" ht="330.55" hidden="false" customHeight="false" outlineLevel="0" collapsed="false">
      <c r="A15" s="3" t="s">
        <v>2967</v>
      </c>
      <c r="B15" s="2" t="s">
        <v>2881</v>
      </c>
      <c r="C15" s="2" t="s">
        <v>2968</v>
      </c>
      <c r="D15" s="3" t="s">
        <v>2969</v>
      </c>
      <c r="E15" s="2" t="s">
        <v>2970</v>
      </c>
      <c r="F15" s="3" t="s">
        <v>2971</v>
      </c>
      <c r="G15" s="3" t="s">
        <v>2972</v>
      </c>
      <c r="H15" s="3" t="s">
        <v>2973</v>
      </c>
      <c r="I15" s="2" t="s">
        <v>2974</v>
      </c>
      <c r="J15" s="2" t="s">
        <v>2975</v>
      </c>
      <c r="K15" s="3" t="s">
        <v>2889</v>
      </c>
      <c r="L15" s="2" t="s">
        <v>2976</v>
      </c>
      <c r="M15" s="2" t="s">
        <v>2977</v>
      </c>
    </row>
    <row r="16" customFormat="false" ht="111.15" hidden="false" customHeight="false" outlineLevel="0" collapsed="false">
      <c r="A16" s="37" t="s">
        <v>2978</v>
      </c>
      <c r="B16" s="38" t="s">
        <v>2893</v>
      </c>
      <c r="C16" s="37" t="s">
        <v>2979</v>
      </c>
      <c r="D16" s="37" t="s">
        <v>60</v>
      </c>
      <c r="E16" s="37" t="s">
        <v>2980</v>
      </c>
      <c r="F16" s="37" t="s">
        <v>2981</v>
      </c>
      <c r="G16" s="37" t="s">
        <v>2982</v>
      </c>
      <c r="H16" s="37" t="s">
        <v>2983</v>
      </c>
      <c r="I16" s="38" t="s">
        <v>2984</v>
      </c>
      <c r="J16" s="37" t="s">
        <v>2985</v>
      </c>
      <c r="K16" s="37" t="s">
        <v>2986</v>
      </c>
      <c r="L16" s="38" t="s">
        <v>2987</v>
      </c>
      <c r="M16" s="38" t="s">
        <v>2988</v>
      </c>
    </row>
    <row r="17" customFormat="false" ht="64.15" hidden="false" customHeight="false" outlineLevel="0" collapsed="false">
      <c r="A17" s="3" t="s">
        <v>2989</v>
      </c>
      <c r="B17" s="2" t="s">
        <v>2893</v>
      </c>
      <c r="C17" s="3" t="s">
        <v>2990</v>
      </c>
      <c r="D17" s="3" t="s">
        <v>2991</v>
      </c>
      <c r="E17" s="3" t="s">
        <v>2992</v>
      </c>
      <c r="F17" s="3" t="s">
        <v>2993</v>
      </c>
      <c r="G17" s="3" t="s">
        <v>2994</v>
      </c>
      <c r="H17" s="3" t="s">
        <v>2995</v>
      </c>
      <c r="I17" s="2" t="s">
        <v>2996</v>
      </c>
      <c r="J17" s="2" t="s">
        <v>2997</v>
      </c>
      <c r="K17" s="3" t="s">
        <v>2998</v>
      </c>
      <c r="L17" s="2" t="s">
        <v>2999</v>
      </c>
      <c r="M17" s="2" t="s">
        <v>3000</v>
      </c>
    </row>
    <row r="18" customFormat="false" ht="299.25" hidden="false" customHeight="false" outlineLevel="0" collapsed="false">
      <c r="A18" s="3" t="s">
        <v>3001</v>
      </c>
      <c r="B18" s="2" t="s">
        <v>2904</v>
      </c>
      <c r="C18" s="2" t="s">
        <v>3002</v>
      </c>
      <c r="D18" s="3" t="s">
        <v>60</v>
      </c>
      <c r="E18" s="3" t="s">
        <v>3003</v>
      </c>
      <c r="F18" s="3" t="s">
        <v>3004</v>
      </c>
      <c r="G18" s="2" t="s">
        <v>3005</v>
      </c>
      <c r="H18" s="3" t="s">
        <v>3006</v>
      </c>
      <c r="I18" s="2" t="s">
        <v>3007</v>
      </c>
      <c r="J18" s="2" t="s">
        <v>3008</v>
      </c>
      <c r="K18" s="3" t="s">
        <v>3009</v>
      </c>
      <c r="L18" s="2" t="s">
        <v>3010</v>
      </c>
      <c r="M18" s="2" t="s">
        <v>3011</v>
      </c>
    </row>
    <row r="19" customFormat="false" ht="30.55" hidden="false" customHeight="false" outlineLevel="0" collapsed="false">
      <c r="A19" s="3" t="s">
        <v>3012</v>
      </c>
      <c r="B19" s="2" t="s">
        <v>3013</v>
      </c>
      <c r="C19" s="2" t="s">
        <v>3014</v>
      </c>
      <c r="D19" s="3" t="s">
        <v>675</v>
      </c>
      <c r="E19" s="2" t="s">
        <v>3015</v>
      </c>
      <c r="F19" s="3" t="s">
        <v>3016</v>
      </c>
      <c r="G19" s="3" t="s">
        <v>3017</v>
      </c>
      <c r="H19" s="2" t="s">
        <v>3018</v>
      </c>
      <c r="I19" s="2" t="s">
        <v>2920</v>
      </c>
      <c r="J19" s="2" t="s">
        <v>3019</v>
      </c>
      <c r="K19" s="2" t="s">
        <v>3020</v>
      </c>
      <c r="L19" s="2" t="s">
        <v>2858</v>
      </c>
      <c r="M19" s="2" t="s">
        <v>3021</v>
      </c>
    </row>
    <row r="20" customFormat="false" ht="48.5" hidden="false" customHeight="false" outlineLevel="0" collapsed="false">
      <c r="A20" s="3" t="s">
        <v>3022</v>
      </c>
      <c r="B20" s="3" t="s">
        <v>3023</v>
      </c>
      <c r="C20" s="3" t="s">
        <v>3024</v>
      </c>
      <c r="D20" s="3" t="s">
        <v>3025</v>
      </c>
      <c r="E20" s="3" t="s">
        <v>3026</v>
      </c>
      <c r="F20" s="3" t="s">
        <v>3027</v>
      </c>
      <c r="G20" s="3" t="s">
        <v>3028</v>
      </c>
      <c r="H20" s="3" t="s">
        <v>3029</v>
      </c>
      <c r="I20" s="3" t="s">
        <v>3030</v>
      </c>
      <c r="J20" s="2" t="s">
        <v>3031</v>
      </c>
      <c r="K20" s="3" t="s">
        <v>3032</v>
      </c>
      <c r="L20" s="2" t="s">
        <v>3033</v>
      </c>
      <c r="M20" s="3" t="s">
        <v>3034</v>
      </c>
    </row>
    <row r="21" customFormat="false" ht="75.35" hidden="false" customHeight="false" outlineLevel="0" collapsed="false">
      <c r="A21" s="3" t="s">
        <v>3035</v>
      </c>
      <c r="B21" s="2" t="s">
        <v>3036</v>
      </c>
      <c r="C21" s="3" t="s">
        <v>3037</v>
      </c>
      <c r="D21" s="3" t="s">
        <v>60</v>
      </c>
      <c r="E21" s="3" t="s">
        <v>3038</v>
      </c>
      <c r="F21" s="3" t="s">
        <v>3039</v>
      </c>
      <c r="G21" s="3" t="s">
        <v>3040</v>
      </c>
      <c r="H21" s="3" t="s">
        <v>3041</v>
      </c>
      <c r="I21" s="2" t="s">
        <v>3042</v>
      </c>
      <c r="J21" s="3" t="s">
        <v>3043</v>
      </c>
      <c r="K21" s="3" t="s">
        <v>2998</v>
      </c>
      <c r="L21" s="2" t="s">
        <v>3044</v>
      </c>
      <c r="M21" s="3" t="s">
        <v>3045</v>
      </c>
    </row>
    <row r="22" customFormat="false" ht="111.15" hidden="false" customHeight="false" outlineLevel="0" collapsed="false">
      <c r="A22" s="3" t="s">
        <v>3046</v>
      </c>
      <c r="B22" s="2" t="s">
        <v>3047</v>
      </c>
      <c r="C22" s="3" t="s">
        <v>3048</v>
      </c>
      <c r="D22" s="3" t="s">
        <v>60</v>
      </c>
      <c r="E22" s="3" t="s">
        <v>3049</v>
      </c>
      <c r="F22" s="2" t="s">
        <v>3050</v>
      </c>
      <c r="G22" s="2" t="s">
        <v>3051</v>
      </c>
      <c r="H22" s="2" t="s">
        <v>3052</v>
      </c>
      <c r="I22" s="2" t="s">
        <v>3053</v>
      </c>
      <c r="J22" s="3" t="s">
        <v>3054</v>
      </c>
      <c r="K22" s="3" t="s">
        <v>3032</v>
      </c>
      <c r="L22" s="2" t="s">
        <v>3055</v>
      </c>
      <c r="M22" s="3" t="s">
        <v>3056</v>
      </c>
    </row>
    <row r="23" customFormat="false" ht="236.55" hidden="false" customHeight="false" outlineLevel="0" collapsed="false">
      <c r="A23" s="3" t="s">
        <v>3057</v>
      </c>
      <c r="B23" s="2" t="s">
        <v>2848</v>
      </c>
      <c r="C23" s="3" t="s">
        <v>3058</v>
      </c>
      <c r="D23" s="3" t="s">
        <v>60</v>
      </c>
      <c r="E23" s="3" t="s">
        <v>3059</v>
      </c>
      <c r="F23" s="3" t="s">
        <v>3060</v>
      </c>
      <c r="G23" s="3" t="s">
        <v>3061</v>
      </c>
      <c r="H23" s="2" t="s">
        <v>3062</v>
      </c>
      <c r="I23" s="2" t="s">
        <v>3063</v>
      </c>
      <c r="J23" s="2" t="s">
        <v>3064</v>
      </c>
      <c r="K23" s="3" t="s">
        <v>2868</v>
      </c>
      <c r="L23" s="2" t="s">
        <v>3065</v>
      </c>
      <c r="M23" s="3" t="s">
        <v>3066</v>
      </c>
    </row>
    <row r="24" customFormat="false" ht="220.85" hidden="false" customHeight="false" outlineLevel="0" collapsed="false">
      <c r="A24" s="3" t="s">
        <v>3067</v>
      </c>
      <c r="B24" s="2" t="s">
        <v>3068</v>
      </c>
      <c r="C24" s="3" t="s">
        <v>3069</v>
      </c>
      <c r="D24" s="3" t="s">
        <v>60</v>
      </c>
      <c r="E24" s="3" t="s">
        <v>3070</v>
      </c>
      <c r="F24" s="2" t="s">
        <v>3071</v>
      </c>
      <c r="G24" s="3" t="s">
        <v>3072</v>
      </c>
      <c r="H24" s="3" t="s">
        <v>3073</v>
      </c>
      <c r="I24" s="2" t="s">
        <v>3074</v>
      </c>
      <c r="J24" s="2" t="s">
        <v>3075</v>
      </c>
      <c r="K24" s="3" t="s">
        <v>3076</v>
      </c>
      <c r="L24" s="2" t="s">
        <v>3077</v>
      </c>
      <c r="M24" s="3" t="s">
        <v>3078</v>
      </c>
    </row>
    <row r="25" customFormat="false" ht="64.15" hidden="false" customHeight="false" outlineLevel="0" collapsed="false">
      <c r="A25" s="3" t="s">
        <v>3079</v>
      </c>
      <c r="B25" s="2" t="s">
        <v>3080</v>
      </c>
      <c r="C25" s="3" t="s">
        <v>3081</v>
      </c>
      <c r="D25" s="3" t="s">
        <v>3082</v>
      </c>
      <c r="E25" s="3" t="s">
        <v>3083</v>
      </c>
      <c r="F25" s="3" t="s">
        <v>3084</v>
      </c>
      <c r="G25" s="3" t="s">
        <v>3085</v>
      </c>
      <c r="H25" s="3" t="s">
        <v>3086</v>
      </c>
      <c r="I25" s="2" t="s">
        <v>3087</v>
      </c>
      <c r="J25" s="3" t="s">
        <v>3088</v>
      </c>
      <c r="K25" s="3" t="s">
        <v>2998</v>
      </c>
      <c r="L25" s="2" t="s">
        <v>3033</v>
      </c>
      <c r="M25" s="3" t="s">
        <v>3045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3089</v>
      </c>
    </row>
    <row r="2" customFormat="false" ht="17.15" hidden="false" customHeight="false" outlineLevel="0" collapsed="false">
      <c r="A2" s="6" t="s">
        <v>3090</v>
      </c>
    </row>
    <row r="4" customFormat="false" ht="15" hidden="false" customHeight="false" outlineLevel="0" collapsed="false">
      <c r="A4" s="4" t="s">
        <v>24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3091</v>
      </c>
    </row>
    <row r="5" customFormat="false" ht="17.15" hidden="false" customHeight="false" outlineLevel="0" collapsed="false">
      <c r="A5" s="10" t="s">
        <v>3092</v>
      </c>
    </row>
    <row r="6" customFormat="false" ht="17.15" hidden="false" customHeight="false" outlineLevel="0" collapsed="false">
      <c r="A6" s="0" t="s">
        <v>63</v>
      </c>
      <c r="B6" s="6" t="s">
        <v>59</v>
      </c>
      <c r="C6" s="0" t="s">
        <v>60</v>
      </c>
      <c r="E6" s="20" t="n">
        <f aca="false">In!E6</f>
        <v>-0.025</v>
      </c>
      <c r="G6" s="0" t="str">
        <f aca="false">In!G6</f>
        <v>Interested-party</v>
      </c>
      <c r="H6" s="12" t="s">
        <v>3093</v>
      </c>
    </row>
    <row r="7" customFormat="false" ht="17.15" hidden="false" customHeight="false" outlineLevel="0" collapsed="false">
      <c r="A7" s="0" t="s">
        <v>67</v>
      </c>
      <c r="B7" s="6" t="s">
        <v>65</v>
      </c>
      <c r="C7" s="0" t="s">
        <v>60</v>
      </c>
      <c r="E7" s="20" t="n">
        <f aca="false">In!E7</f>
        <v>0.125</v>
      </c>
      <c r="G7" s="0" t="str">
        <f aca="false">In!G7</f>
        <v>Interested-party</v>
      </c>
      <c r="H7" s="12" t="s">
        <v>3094</v>
      </c>
    </row>
    <row r="8" customFormat="false" ht="17.15" hidden="false" customHeight="false" outlineLevel="0" collapsed="false">
      <c r="A8" s="0" t="s">
        <v>70</v>
      </c>
      <c r="B8" s="6" t="s">
        <v>69</v>
      </c>
      <c r="C8" s="0" t="s">
        <v>60</v>
      </c>
      <c r="E8" s="20" t="n">
        <f aca="false">In!E8</f>
        <v>0.475</v>
      </c>
      <c r="G8" s="0" t="str">
        <f aca="false">In!G8</f>
        <v>Interested-party</v>
      </c>
      <c r="H8" s="12" t="s">
        <v>3095</v>
      </c>
    </row>
    <row r="9" customFormat="false" ht="17.15" hidden="false" customHeight="false" outlineLevel="0" collapsed="false">
      <c r="A9" s="0" t="s">
        <v>73</v>
      </c>
      <c r="B9" s="6" t="s">
        <v>72</v>
      </c>
      <c r="C9" s="0" t="s">
        <v>60</v>
      </c>
      <c r="E9" s="20" t="n">
        <f aca="false">In!E9</f>
        <v>0.95</v>
      </c>
      <c r="G9" s="0" t="str">
        <f aca="false">In!G9</f>
        <v>Interested-party</v>
      </c>
      <c r="H9" s="12" t="s">
        <v>3096</v>
      </c>
    </row>
    <row r="10" customFormat="false" ht="17.15" hidden="false" customHeight="false" outlineLevel="0" collapsed="false">
      <c r="A10" s="0" t="s">
        <v>76</v>
      </c>
      <c r="B10" s="6" t="s">
        <v>75</v>
      </c>
      <c r="C10" s="0" t="s">
        <v>60</v>
      </c>
      <c r="E10" s="20" t="n">
        <f aca="false">In!E10</f>
        <v>0.605</v>
      </c>
      <c r="G10" s="0" t="str">
        <f aca="false">In!G10</f>
        <v>Interested-party</v>
      </c>
      <c r="H10" s="12" t="s">
        <v>3097</v>
      </c>
    </row>
    <row r="11" customFormat="false" ht="17.15" hidden="false" customHeight="false" outlineLevel="0" collapsed="false">
      <c r="A11" s="0" t="s">
        <v>79</v>
      </c>
      <c r="B11" s="6" t="s">
        <v>78</v>
      </c>
      <c r="C11" s="0" t="s">
        <v>60</v>
      </c>
      <c r="E11" s="20" t="n">
        <f aca="false">In!E11</f>
        <v>0.155</v>
      </c>
      <c r="G11" s="0" t="str">
        <f aca="false">In!G11</f>
        <v>Interested-party</v>
      </c>
      <c r="H11" s="12" t="s">
        <v>3098</v>
      </c>
    </row>
    <row r="12" customFormat="false" ht="17.15" hidden="false" customHeight="false" outlineLevel="0" collapsed="false">
      <c r="A12" s="0" t="s">
        <v>82</v>
      </c>
      <c r="B12" s="6" t="s">
        <v>81</v>
      </c>
      <c r="C12" s="0" t="s">
        <v>60</v>
      </c>
      <c r="E12" s="20" t="n">
        <f aca="false">In!E12</f>
        <v>0.125</v>
      </c>
      <c r="G12" s="0" t="str">
        <f aca="false">In!G12</f>
        <v>Interested-party</v>
      </c>
      <c r="H12" s="12" t="s">
        <v>3099</v>
      </c>
    </row>
    <row r="13" customFormat="false" ht="17.15" hidden="false" customHeight="false" outlineLevel="0" collapsed="false">
      <c r="A13" s="0" t="s">
        <v>86</v>
      </c>
      <c r="B13" s="6" t="s">
        <v>84</v>
      </c>
      <c r="C13" s="0" t="s">
        <v>60</v>
      </c>
      <c r="E13" s="20" t="n">
        <f aca="false">In!E13</f>
        <v>0.03</v>
      </c>
      <c r="G13" s="0" t="str">
        <f aca="false">In!G13</f>
        <v>Interested-party</v>
      </c>
      <c r="H13" s="12" t="s">
        <v>3100</v>
      </c>
    </row>
    <row r="14" customFormat="false" ht="17.15" hidden="false" customHeight="false" outlineLevel="0" collapsed="false">
      <c r="A14" s="0" t="s">
        <v>89</v>
      </c>
      <c r="B14" s="6" t="s">
        <v>88</v>
      </c>
      <c r="C14" s="0" t="s">
        <v>60</v>
      </c>
      <c r="E14" s="20" t="n">
        <f aca="false">In!E14</f>
        <v>0</v>
      </c>
      <c r="G14" s="0" t="str">
        <f aca="false">In!G14</f>
        <v>Interested-party</v>
      </c>
      <c r="H14" s="12" t="s">
        <v>3101</v>
      </c>
    </row>
    <row r="15" customFormat="false" ht="17.15" hidden="false" customHeight="false" outlineLevel="0" collapsed="false">
      <c r="A15" s="0" t="s">
        <v>92</v>
      </c>
      <c r="B15" s="6" t="s">
        <v>91</v>
      </c>
      <c r="C15" s="0" t="s">
        <v>60</v>
      </c>
      <c r="E15" s="20" t="n">
        <f aca="false">In!E15</f>
        <v>-0.02</v>
      </c>
      <c r="G15" s="0" t="str">
        <f aca="false">In!G15</f>
        <v>Interested-party</v>
      </c>
      <c r="H15" s="12" t="s">
        <v>3102</v>
      </c>
    </row>
    <row r="16" customFormat="false" ht="17.15" hidden="false" customHeight="false" outlineLevel="0" collapsed="false">
      <c r="A16" s="0" t="s">
        <v>95</v>
      </c>
      <c r="B16" s="6" t="s">
        <v>94</v>
      </c>
      <c r="C16" s="0" t="s">
        <v>60</v>
      </c>
      <c r="E16" s="20" t="n">
        <f aca="false">In!E16</f>
        <v>-0.03</v>
      </c>
      <c r="G16" s="0" t="str">
        <f aca="false">In!G16</f>
        <v>Interested-party</v>
      </c>
      <c r="H16" s="12" t="s">
        <v>3103</v>
      </c>
    </row>
    <row r="17" customFormat="false" ht="17.15" hidden="false" customHeight="false" outlineLevel="0" collapsed="false">
      <c r="A17" s="0" t="s">
        <v>98</v>
      </c>
      <c r="B17" s="6" t="s">
        <v>97</v>
      </c>
      <c r="C17" s="0" t="s">
        <v>60</v>
      </c>
      <c r="E17" s="20" t="n">
        <f aca="false">In!E17</f>
        <v>-0.03</v>
      </c>
      <c r="G17" s="0" t="str">
        <f aca="false">In!G17</f>
        <v>Interested-party</v>
      </c>
      <c r="H17" s="12" t="s">
        <v>3104</v>
      </c>
    </row>
    <row r="18" customFormat="false" ht="17.15" hidden="false" customHeight="false" outlineLevel="0" collapsed="false">
      <c r="A18" s="0" t="s">
        <v>101</v>
      </c>
      <c r="B18" s="6" t="s">
        <v>100</v>
      </c>
      <c r="C18" s="0" t="s">
        <v>60</v>
      </c>
      <c r="E18" s="20" t="n">
        <f aca="false">In!E18</f>
        <v>-0.03</v>
      </c>
      <c r="G18" s="0" t="str">
        <f aca="false">In!G18</f>
        <v>Interested-party</v>
      </c>
      <c r="H18" s="12" t="s">
        <v>3105</v>
      </c>
    </row>
    <row r="19" customFormat="false" ht="17.15" hidden="false" customHeight="false" outlineLevel="0" collapsed="false">
      <c r="A19" s="0" t="s">
        <v>104</v>
      </c>
      <c r="B19" s="6" t="s">
        <v>103</v>
      </c>
      <c r="C19" s="0" t="s">
        <v>60</v>
      </c>
      <c r="E19" s="20" t="n">
        <f aca="false">In!E19</f>
        <v>-0.02</v>
      </c>
      <c r="G19" s="0" t="str">
        <f aca="false">In!G19</f>
        <v>Interested-party</v>
      </c>
      <c r="H19" s="12" t="s">
        <v>3106</v>
      </c>
    </row>
    <row r="20" customFormat="false" ht="17.15" hidden="false" customHeight="false" outlineLevel="0" collapsed="false">
      <c r="A20" s="0" t="s">
        <v>107</v>
      </c>
      <c r="B20" s="6" t="s">
        <v>106</v>
      </c>
      <c r="C20" s="0" t="s">
        <v>60</v>
      </c>
      <c r="E20" s="20" t="n">
        <f aca="false">In!E20</f>
        <v>-0.02</v>
      </c>
      <c r="G20" s="0" t="str">
        <f aca="false">In!G20</f>
        <v>Interested-party</v>
      </c>
      <c r="H20" s="12" t="s">
        <v>3107</v>
      </c>
    </row>
    <row r="21" customFormat="false" ht="17.15" hidden="false" customHeight="false" outlineLevel="0" collapsed="false">
      <c r="A21" s="0" t="s">
        <v>110</v>
      </c>
      <c r="B21" s="6" t="s">
        <v>109</v>
      </c>
      <c r="C21" s="0" t="s">
        <v>60</v>
      </c>
      <c r="E21" s="20" t="n">
        <f aca="false">In!E21</f>
        <v>-0.03</v>
      </c>
      <c r="G21" s="0" t="str">
        <f aca="false">In!G21</f>
        <v>Interested-party</v>
      </c>
      <c r="H21" s="12" t="s">
        <v>3108</v>
      </c>
    </row>
    <row r="22" customFormat="false" ht="17.15" hidden="false" customHeight="false" outlineLevel="0" collapsed="false">
      <c r="A22" s="0" t="s">
        <v>113</v>
      </c>
      <c r="B22" s="6" t="s">
        <v>112</v>
      </c>
      <c r="C22" s="0" t="s">
        <v>60</v>
      </c>
      <c r="E22" s="20" t="n">
        <f aca="false">In!E22</f>
        <v>-0.03</v>
      </c>
      <c r="G22" s="0" t="str">
        <f aca="false">In!G22</f>
        <v>Interested-party</v>
      </c>
      <c r="H22" s="12" t="s">
        <v>3109</v>
      </c>
    </row>
    <row r="23" customFormat="false" ht="17.15" hidden="false" customHeight="false" outlineLevel="0" collapsed="false">
      <c r="A23" s="0" t="s">
        <v>116</v>
      </c>
      <c r="B23" s="6" t="s">
        <v>115</v>
      </c>
      <c r="C23" s="0" t="s">
        <v>60</v>
      </c>
      <c r="E23" s="20" t="n">
        <f aca="false">In!E23</f>
        <v>-0.02</v>
      </c>
      <c r="G23" s="0" t="str">
        <f aca="false">In!G23</f>
        <v>Interested-party</v>
      </c>
      <c r="H23" s="12" t="s">
        <v>3110</v>
      </c>
    </row>
    <row r="24" customFormat="false" ht="17.15" hidden="false" customHeight="false" outlineLevel="0" collapsed="false">
      <c r="A24" s="0" t="s">
        <v>119</v>
      </c>
      <c r="B24" s="6" t="s">
        <v>118</v>
      </c>
      <c r="C24" s="0" t="s">
        <v>60</v>
      </c>
      <c r="E24" s="20" t="n">
        <f aca="false">In!E24</f>
        <v>-0.02</v>
      </c>
      <c r="G24" s="0" t="str">
        <f aca="false">In!G24</f>
        <v>Interested-party</v>
      </c>
      <c r="H24" s="12" t="s">
        <v>3111</v>
      </c>
    </row>
    <row r="25" customFormat="false" ht="17.15" hidden="false" customHeight="false" outlineLevel="0" collapsed="false">
      <c r="A25" s="0" t="s">
        <v>123</v>
      </c>
      <c r="B25" s="6" t="s">
        <v>121</v>
      </c>
      <c r="C25" s="0" t="s">
        <v>60</v>
      </c>
      <c r="E25" s="20" t="n">
        <f aca="false">In!E25</f>
        <v>0.05</v>
      </c>
      <c r="G25" s="0" t="str">
        <f aca="false">In!G25</f>
        <v>Interested-party</v>
      </c>
      <c r="H25" s="12" t="s">
        <v>3112</v>
      </c>
    </row>
    <row r="26" customFormat="false" ht="17.15" hidden="false" customHeight="false" outlineLevel="0" collapsed="false">
      <c r="A26" s="0" t="s">
        <v>126</v>
      </c>
      <c r="B26" s="6" t="s">
        <v>125</v>
      </c>
      <c r="C26" s="0" t="s">
        <v>60</v>
      </c>
      <c r="E26" s="20" t="n">
        <f aca="false">In!E26</f>
        <v>0.02</v>
      </c>
      <c r="G26" s="0" t="str">
        <f aca="false">In!G26</f>
        <v>Interested-party</v>
      </c>
      <c r="H26" s="12" t="s">
        <v>3113</v>
      </c>
    </row>
    <row r="27" customFormat="false" ht="17.15" hidden="false" customHeight="false" outlineLevel="0" collapsed="false">
      <c r="A27" s="0" t="s">
        <v>129</v>
      </c>
      <c r="B27" s="6" t="s">
        <v>128</v>
      </c>
      <c r="C27" s="0" t="s">
        <v>60</v>
      </c>
      <c r="E27" s="20" t="n">
        <f aca="false">In!E27</f>
        <v>-0.08</v>
      </c>
      <c r="G27" s="0" t="str">
        <f aca="false">In!G27</f>
        <v>Interested-party</v>
      </c>
      <c r="H27" s="12" t="s">
        <v>3114</v>
      </c>
    </row>
    <row r="28" customFormat="false" ht="17.15" hidden="false" customHeight="false" outlineLevel="0" collapsed="false">
      <c r="A28" s="0" t="s">
        <v>132</v>
      </c>
      <c r="B28" s="6" t="s">
        <v>131</v>
      </c>
      <c r="C28" s="0" t="s">
        <v>60</v>
      </c>
      <c r="E28" s="20" t="n">
        <f aca="false">In!E28</f>
        <v>-0.15</v>
      </c>
      <c r="G28" s="0" t="str">
        <f aca="false">In!G28</f>
        <v>Interested-party</v>
      </c>
      <c r="H28" s="12" t="s">
        <v>3115</v>
      </c>
    </row>
    <row r="29" customFormat="false" ht="17.15" hidden="false" customHeight="false" outlineLevel="0" collapsed="false">
      <c r="A29" s="0" t="s">
        <v>135</v>
      </c>
      <c r="B29" s="6" t="s">
        <v>134</v>
      </c>
      <c r="C29" s="0" t="s">
        <v>60</v>
      </c>
      <c r="E29" s="20" t="n">
        <f aca="false">In!E29</f>
        <v>-0.25</v>
      </c>
      <c r="G29" s="0" t="str">
        <f aca="false">In!G29</f>
        <v>Interested-party</v>
      </c>
      <c r="H29" s="12" t="s">
        <v>3116</v>
      </c>
    </row>
    <row r="30" customFormat="false" ht="17.15" hidden="false" customHeight="false" outlineLevel="0" collapsed="false">
      <c r="A30" s="0" t="s">
        <v>138</v>
      </c>
      <c r="B30" s="6" t="s">
        <v>137</v>
      </c>
      <c r="C30" s="0" t="s">
        <v>60</v>
      </c>
      <c r="E30" s="20" t="n">
        <f aca="false">In!E30</f>
        <v>-0.15</v>
      </c>
      <c r="G30" s="0" t="str">
        <f aca="false">In!G30</f>
        <v>Interested-party</v>
      </c>
      <c r="H30" s="12" t="s">
        <v>3117</v>
      </c>
    </row>
    <row r="31" customFormat="false" ht="17.15" hidden="false" customHeight="false" outlineLevel="0" collapsed="false">
      <c r="A31" s="0" t="s">
        <v>141</v>
      </c>
      <c r="B31" s="6" t="s">
        <v>140</v>
      </c>
      <c r="C31" s="0" t="s">
        <v>60</v>
      </c>
      <c r="E31" s="20" t="n">
        <f aca="false">In!E31</f>
        <v>-0.1</v>
      </c>
      <c r="G31" s="0" t="str">
        <f aca="false">In!G31</f>
        <v>Interested-party</v>
      </c>
      <c r="H31" s="12" t="s">
        <v>3118</v>
      </c>
    </row>
    <row r="32" customFormat="false" ht="17.15" hidden="false" customHeight="false" outlineLevel="0" collapsed="false">
      <c r="A32" s="0" t="s">
        <v>144</v>
      </c>
      <c r="B32" s="6" t="s">
        <v>143</v>
      </c>
      <c r="C32" s="0" t="s">
        <v>60</v>
      </c>
      <c r="E32" s="20" t="n">
        <f aca="false">In!E32</f>
        <v>-0.05</v>
      </c>
      <c r="G32" s="0" t="str">
        <f aca="false">In!G32</f>
        <v>Interested-party</v>
      </c>
      <c r="H32" s="12" t="s">
        <v>3119</v>
      </c>
    </row>
    <row r="33" customFormat="false" ht="17.15" hidden="false" customHeight="false" outlineLevel="0" collapsed="false">
      <c r="A33" s="0" t="s">
        <v>147</v>
      </c>
      <c r="B33" s="6" t="s">
        <v>146</v>
      </c>
      <c r="C33" s="0" t="s">
        <v>60</v>
      </c>
      <c r="E33" s="20" t="n">
        <f aca="false">In!E33</f>
        <v>0.05</v>
      </c>
      <c r="G33" s="0" t="str">
        <f aca="false">In!G33</f>
        <v>Interested-party</v>
      </c>
      <c r="H33" s="12" t="s">
        <v>3120</v>
      </c>
    </row>
    <row r="34" customFormat="false" ht="17.15" hidden="false" customHeight="false" outlineLevel="0" collapsed="false">
      <c r="A34" s="0" t="s">
        <v>150</v>
      </c>
      <c r="B34" s="6" t="s">
        <v>149</v>
      </c>
      <c r="C34" s="0" t="s">
        <v>60</v>
      </c>
      <c r="E34" s="20" t="n">
        <f aca="false">In!E34</f>
        <v>0.05</v>
      </c>
      <c r="G34" s="0" t="str">
        <f aca="false">In!G34</f>
        <v>Interested-party</v>
      </c>
      <c r="H34" s="12" t="s">
        <v>3121</v>
      </c>
    </row>
    <row r="35" customFormat="false" ht="17.15" hidden="false" customHeight="false" outlineLevel="0" collapsed="false">
      <c r="A35" s="0" t="s">
        <v>153</v>
      </c>
      <c r="B35" s="6" t="s">
        <v>152</v>
      </c>
      <c r="C35" s="0" t="s">
        <v>60</v>
      </c>
      <c r="E35" s="20" t="n">
        <f aca="false">In!E35</f>
        <v>0.03</v>
      </c>
      <c r="G35" s="0" t="str">
        <f aca="false">In!G35</f>
        <v>Interested-party</v>
      </c>
      <c r="H35" s="12" t="s">
        <v>3122</v>
      </c>
    </row>
    <row r="36" customFormat="false" ht="17.15" hidden="false" customHeight="false" outlineLevel="0" collapsed="false">
      <c r="A36" s="0" t="s">
        <v>156</v>
      </c>
      <c r="B36" s="6" t="s">
        <v>155</v>
      </c>
      <c r="C36" s="0" t="s">
        <v>60</v>
      </c>
      <c r="E36" s="20" t="n">
        <f aca="false">In!E36</f>
        <v>0.03</v>
      </c>
      <c r="G36" s="0" t="str">
        <f aca="false">In!G36</f>
        <v>Interested-party</v>
      </c>
      <c r="H36" s="12" t="s">
        <v>3123</v>
      </c>
    </row>
    <row r="37" customFormat="false" ht="17.15" hidden="false" customHeight="false" outlineLevel="0" collapsed="false">
      <c r="A37" s="0" t="s">
        <v>161</v>
      </c>
      <c r="B37" s="6" t="s">
        <v>158</v>
      </c>
      <c r="C37" s="0" t="s">
        <v>60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3124</v>
      </c>
    </row>
    <row r="38" customFormat="false" ht="17.15" hidden="false" customHeight="false" outlineLevel="0" collapsed="false">
      <c r="A38" s="0" t="s">
        <v>164</v>
      </c>
      <c r="B38" s="6" t="s">
        <v>163</v>
      </c>
      <c r="C38" s="0" t="s">
        <v>60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3125</v>
      </c>
    </row>
    <row r="39" customFormat="false" ht="17.15" hidden="false" customHeight="false" outlineLevel="0" collapsed="false">
      <c r="A39" s="0" t="s">
        <v>167</v>
      </c>
      <c r="B39" s="6" t="s">
        <v>166</v>
      </c>
      <c r="C39" s="0" t="s">
        <v>60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3126</v>
      </c>
    </row>
    <row r="40" customFormat="false" ht="17.15" hidden="false" customHeight="false" outlineLevel="0" collapsed="false">
      <c r="A40" s="0" t="s">
        <v>170</v>
      </c>
      <c r="B40" s="6" t="s">
        <v>169</v>
      </c>
      <c r="C40" s="0" t="s">
        <v>60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3127</v>
      </c>
    </row>
    <row r="41" customFormat="false" ht="17.15" hidden="false" customHeight="false" outlineLevel="0" collapsed="false">
      <c r="A41" s="0" t="s">
        <v>173</v>
      </c>
      <c r="B41" s="6" t="s">
        <v>172</v>
      </c>
      <c r="C41" s="0" t="s">
        <v>60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3128</v>
      </c>
    </row>
    <row r="42" customFormat="false" ht="17.15" hidden="false" customHeight="false" outlineLevel="0" collapsed="false">
      <c r="A42" s="0" t="s">
        <v>176</v>
      </c>
      <c r="B42" s="6" t="s">
        <v>175</v>
      </c>
      <c r="C42" s="0" t="s">
        <v>60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3129</v>
      </c>
    </row>
    <row r="43" customFormat="false" ht="17.15" hidden="false" customHeight="false" outlineLevel="0" collapsed="false">
      <c r="A43" s="0" t="s">
        <v>179</v>
      </c>
      <c r="B43" s="6" t="s">
        <v>178</v>
      </c>
      <c r="C43" s="0" t="s">
        <v>60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3130</v>
      </c>
    </row>
    <row r="44" customFormat="false" ht="17.15" hidden="false" customHeight="false" outlineLevel="0" collapsed="false">
      <c r="A44" s="0" t="s">
        <v>182</v>
      </c>
      <c r="B44" s="6" t="s">
        <v>181</v>
      </c>
      <c r="C44" s="0" t="s">
        <v>60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3131</v>
      </c>
    </row>
    <row r="45" customFormat="false" ht="17.15" hidden="false" customHeight="false" outlineLevel="0" collapsed="false">
      <c r="A45" s="0" t="s">
        <v>185</v>
      </c>
      <c r="B45" s="6" t="s">
        <v>184</v>
      </c>
      <c r="C45" s="0" t="s">
        <v>60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3132</v>
      </c>
    </row>
    <row r="46" customFormat="false" ht="17.15" hidden="false" customHeight="false" outlineLevel="0" collapsed="false">
      <c r="A46" s="0" t="s">
        <v>188</v>
      </c>
      <c r="B46" s="6" t="s">
        <v>187</v>
      </c>
      <c r="C46" s="0" t="s">
        <v>60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3133</v>
      </c>
    </row>
    <row r="47" customFormat="false" ht="17.15" hidden="false" customHeight="false" outlineLevel="0" collapsed="false">
      <c r="A47" s="0" t="s">
        <v>191</v>
      </c>
      <c r="B47" s="6" t="s">
        <v>190</v>
      </c>
      <c r="C47" s="0" t="s">
        <v>60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3134</v>
      </c>
    </row>
    <row r="48" customFormat="false" ht="17.15" hidden="false" customHeight="false" outlineLevel="0" collapsed="false">
      <c r="A48" s="0" t="s">
        <v>194</v>
      </c>
      <c r="B48" s="6" t="s">
        <v>193</v>
      </c>
      <c r="C48" s="0" t="s">
        <v>60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3135</v>
      </c>
    </row>
    <row r="49" customFormat="false" ht="17.15" hidden="false" customHeight="false" outlineLevel="0" collapsed="false">
      <c r="A49" s="0" t="s">
        <v>198</v>
      </c>
      <c r="B49" s="0" t="s">
        <v>196</v>
      </c>
      <c r="C49" s="0" t="s">
        <v>60</v>
      </c>
      <c r="E49" s="20" t="n">
        <f aca="false">In!E49</f>
        <v>0</v>
      </c>
      <c r="G49" s="0" t="str">
        <f aca="false">In!G49</f>
        <v>Interested-party</v>
      </c>
      <c r="H49" s="12" t="s">
        <v>3136</v>
      </c>
    </row>
    <row r="50" customFormat="false" ht="17.15" hidden="false" customHeight="false" outlineLevel="0" collapsed="false">
      <c r="A50" s="0" t="s">
        <v>201</v>
      </c>
      <c r="B50" s="0" t="s">
        <v>200</v>
      </c>
      <c r="C50" s="0" t="s">
        <v>60</v>
      </c>
      <c r="E50" s="20" t="n">
        <f aca="false">In!E50</f>
        <v>0.05</v>
      </c>
      <c r="G50" s="0" t="str">
        <f aca="false">In!G50</f>
        <v>Interested-party</v>
      </c>
      <c r="H50" s="12" t="s">
        <v>3137</v>
      </c>
    </row>
    <row r="51" customFormat="false" ht="17.15" hidden="false" customHeight="false" outlineLevel="0" collapsed="false">
      <c r="A51" s="0" t="s">
        <v>204</v>
      </c>
      <c r="B51" s="0" t="s">
        <v>203</v>
      </c>
      <c r="C51" s="0" t="s">
        <v>60</v>
      </c>
      <c r="E51" s="20" t="n">
        <f aca="false">In!E51</f>
        <v>0.3</v>
      </c>
      <c r="G51" s="0" t="str">
        <f aca="false">In!G51</f>
        <v>Interested-party</v>
      </c>
      <c r="H51" s="12" t="s">
        <v>3138</v>
      </c>
    </row>
    <row r="52" customFormat="false" ht="17.15" hidden="false" customHeight="false" outlineLevel="0" collapsed="false">
      <c r="A52" s="0" t="s">
        <v>207</v>
      </c>
      <c r="B52" s="0" t="s">
        <v>206</v>
      </c>
      <c r="C52" s="0" t="s">
        <v>60</v>
      </c>
      <c r="E52" s="20" t="n">
        <f aca="false">In!E52</f>
        <v>0.875</v>
      </c>
      <c r="G52" s="0" t="str">
        <f aca="false">In!G52</f>
        <v>Interested-party</v>
      </c>
      <c r="H52" s="12" t="s">
        <v>3139</v>
      </c>
    </row>
    <row r="53" customFormat="false" ht="17.15" hidden="false" customHeight="false" outlineLevel="0" collapsed="false">
      <c r="A53" s="0" t="s">
        <v>210</v>
      </c>
      <c r="B53" s="0" t="s">
        <v>209</v>
      </c>
      <c r="C53" s="0" t="s">
        <v>60</v>
      </c>
      <c r="E53" s="20" t="n">
        <f aca="false">In!E53</f>
        <v>0.725</v>
      </c>
      <c r="G53" s="0" t="str">
        <f aca="false">In!G53</f>
        <v>Interested-party</v>
      </c>
      <c r="H53" s="12" t="s">
        <v>3140</v>
      </c>
    </row>
    <row r="54" customFormat="false" ht="17.15" hidden="false" customHeight="false" outlineLevel="0" collapsed="false">
      <c r="A54" s="0" t="s">
        <v>213</v>
      </c>
      <c r="B54" s="0" t="s">
        <v>212</v>
      </c>
      <c r="C54" s="0" t="s">
        <v>60</v>
      </c>
      <c r="E54" s="20" t="n">
        <f aca="false">In!E54</f>
        <v>0.15</v>
      </c>
      <c r="G54" s="0" t="str">
        <f aca="false">In!G54</f>
        <v>Interested-party</v>
      </c>
      <c r="H54" s="12" t="s">
        <v>3141</v>
      </c>
    </row>
    <row r="55" customFormat="false" ht="17.15" hidden="false" customHeight="false" outlineLevel="0" collapsed="false">
      <c r="A55" s="0" t="s">
        <v>216</v>
      </c>
      <c r="B55" s="0" t="s">
        <v>215</v>
      </c>
      <c r="C55" s="0" t="s">
        <v>60</v>
      </c>
      <c r="E55" s="20" t="n">
        <f aca="false">In!E55</f>
        <v>0.175</v>
      </c>
      <c r="G55" s="0" t="str">
        <f aca="false">In!G55</f>
        <v>Interested-party</v>
      </c>
      <c r="H55" s="12" t="s">
        <v>3142</v>
      </c>
    </row>
    <row r="56" customFormat="false" ht="17.15" hidden="false" customHeight="false" outlineLevel="0" collapsed="false">
      <c r="A56" s="0" t="s">
        <v>220</v>
      </c>
      <c r="B56" s="0" t="s">
        <v>218</v>
      </c>
      <c r="C56" s="0" t="s">
        <v>60</v>
      </c>
      <c r="E56" s="20" t="n">
        <f aca="false">In!E56</f>
        <v>0.03</v>
      </c>
      <c r="G56" s="0" t="str">
        <f aca="false">In!G56</f>
        <v>Interested-party</v>
      </c>
      <c r="H56" s="12" t="s">
        <v>3143</v>
      </c>
    </row>
    <row r="57" customFormat="false" ht="17.15" hidden="false" customHeight="false" outlineLevel="0" collapsed="false">
      <c r="A57" s="0" t="s">
        <v>223</v>
      </c>
      <c r="B57" s="0" t="s">
        <v>222</v>
      </c>
      <c r="C57" s="0" t="s">
        <v>60</v>
      </c>
      <c r="E57" s="20" t="n">
        <f aca="false">In!E57</f>
        <v>0</v>
      </c>
      <c r="G57" s="0" t="str">
        <f aca="false">In!G57</f>
        <v>Interested-party</v>
      </c>
      <c r="H57" s="12" t="s">
        <v>3144</v>
      </c>
    </row>
    <row r="58" customFormat="false" ht="17.15" hidden="false" customHeight="false" outlineLevel="0" collapsed="false">
      <c r="A58" s="0" t="s">
        <v>226</v>
      </c>
      <c r="B58" s="0" t="s">
        <v>225</v>
      </c>
      <c r="C58" s="0" t="s">
        <v>60</v>
      </c>
      <c r="E58" s="20" t="n">
        <f aca="false">In!E58</f>
        <v>-0.05</v>
      </c>
      <c r="G58" s="0" t="str">
        <f aca="false">In!G58</f>
        <v>Interested-party</v>
      </c>
      <c r="H58" s="12" t="s">
        <v>3145</v>
      </c>
    </row>
    <row r="59" customFormat="false" ht="17.15" hidden="false" customHeight="false" outlineLevel="0" collapsed="false">
      <c r="A59" s="0" t="s">
        <v>229</v>
      </c>
      <c r="B59" s="0" t="s">
        <v>228</v>
      </c>
      <c r="C59" s="0" t="s">
        <v>60</v>
      </c>
      <c r="E59" s="20" t="n">
        <f aca="false">In!E59</f>
        <v>-0.07</v>
      </c>
      <c r="G59" s="0" t="str">
        <f aca="false">In!G59</f>
        <v>Interested-party</v>
      </c>
      <c r="H59" s="12" t="s">
        <v>3146</v>
      </c>
    </row>
    <row r="60" customFormat="false" ht="17.15" hidden="false" customHeight="false" outlineLevel="0" collapsed="false">
      <c r="A60" s="0" t="s">
        <v>232</v>
      </c>
      <c r="B60" s="0" t="s">
        <v>231</v>
      </c>
      <c r="C60" s="0" t="s">
        <v>60</v>
      </c>
      <c r="E60" s="20" t="n">
        <f aca="false">In!E60</f>
        <v>-0.05</v>
      </c>
      <c r="G60" s="0" t="str">
        <f aca="false">In!G60</f>
        <v>Interested-party</v>
      </c>
      <c r="H60" s="12" t="s">
        <v>3147</v>
      </c>
    </row>
    <row r="61" customFormat="false" ht="17.15" hidden="false" customHeight="false" outlineLevel="0" collapsed="false">
      <c r="A61" s="0" t="s">
        <v>235</v>
      </c>
      <c r="B61" s="0" t="s">
        <v>234</v>
      </c>
      <c r="C61" s="0" t="s">
        <v>60</v>
      </c>
      <c r="E61" s="20" t="n">
        <f aca="false">In!E61</f>
        <v>-0.05</v>
      </c>
      <c r="G61" s="0" t="str">
        <f aca="false">In!G61</f>
        <v>Interested-party</v>
      </c>
      <c r="H61" s="12" t="s">
        <v>3148</v>
      </c>
    </row>
    <row r="62" customFormat="false" ht="17.15" hidden="false" customHeight="false" outlineLevel="0" collapsed="false">
      <c r="A62" s="0" t="s">
        <v>238</v>
      </c>
      <c r="B62" s="0" t="s">
        <v>237</v>
      </c>
      <c r="C62" s="0" t="s">
        <v>60</v>
      </c>
      <c r="E62" s="20" t="n">
        <f aca="false">In!E62</f>
        <v>-0.05</v>
      </c>
      <c r="G62" s="0" t="str">
        <f aca="false">In!G62</f>
        <v>Interested-party</v>
      </c>
      <c r="H62" s="12" t="s">
        <v>3149</v>
      </c>
    </row>
    <row r="63" customFormat="false" ht="17.15" hidden="false" customHeight="false" outlineLevel="0" collapsed="false">
      <c r="A63" s="0" t="s">
        <v>241</v>
      </c>
      <c r="B63" s="0" t="s">
        <v>240</v>
      </c>
      <c r="C63" s="0" t="s">
        <v>60</v>
      </c>
      <c r="E63" s="20" t="n">
        <f aca="false">In!E63</f>
        <v>-0.05</v>
      </c>
      <c r="G63" s="0" t="str">
        <f aca="false">In!G63</f>
        <v>Interested-party</v>
      </c>
      <c r="H63" s="12" t="s">
        <v>3150</v>
      </c>
    </row>
    <row r="64" customFormat="false" ht="17.15" hidden="false" customHeight="false" outlineLevel="0" collapsed="false">
      <c r="A64" s="0" t="s">
        <v>244</v>
      </c>
      <c r="B64" s="0" t="s">
        <v>243</v>
      </c>
      <c r="C64" s="0" t="s">
        <v>60</v>
      </c>
      <c r="E64" s="20" t="n">
        <f aca="false">In!E64</f>
        <v>-0.03</v>
      </c>
      <c r="G64" s="0" t="str">
        <f aca="false">In!G64</f>
        <v>Interested-party</v>
      </c>
      <c r="H64" s="12" t="s">
        <v>3151</v>
      </c>
    </row>
    <row r="65" customFormat="false" ht="17.15" hidden="false" customHeight="false" outlineLevel="0" collapsed="false">
      <c r="A65" s="0" t="s">
        <v>247</v>
      </c>
      <c r="B65" s="0" t="s">
        <v>246</v>
      </c>
      <c r="C65" s="0" t="s">
        <v>60</v>
      </c>
      <c r="E65" s="20" t="n">
        <f aca="false">In!E65</f>
        <v>-0.03</v>
      </c>
      <c r="G65" s="0" t="str">
        <f aca="false">In!G65</f>
        <v>Interested-party</v>
      </c>
      <c r="H65" s="12" t="s">
        <v>3152</v>
      </c>
    </row>
    <row r="66" customFormat="false" ht="17.15" hidden="false" customHeight="false" outlineLevel="0" collapsed="false">
      <c r="A66" s="0" t="s">
        <v>250</v>
      </c>
      <c r="B66" s="0" t="s">
        <v>249</v>
      </c>
      <c r="C66" s="0" t="s">
        <v>60</v>
      </c>
      <c r="E66" s="20" t="n">
        <f aca="false">In!E66</f>
        <v>-0.03</v>
      </c>
      <c r="G66" s="0" t="str">
        <f aca="false">In!G66</f>
        <v>Interested-party</v>
      </c>
      <c r="H66" s="12" t="s">
        <v>3153</v>
      </c>
    </row>
    <row r="67" customFormat="false" ht="17.15" hidden="false" customHeight="false" outlineLevel="0" collapsed="false">
      <c r="A67" s="0" t="s">
        <v>253</v>
      </c>
      <c r="B67" s="0" t="s">
        <v>252</v>
      </c>
      <c r="C67" s="0" t="s">
        <v>60</v>
      </c>
      <c r="E67" s="20" t="n">
        <f aca="false">In!E67</f>
        <v>-0.03</v>
      </c>
      <c r="G67" s="0" t="str">
        <f aca="false">In!G67</f>
        <v>Interested-party</v>
      </c>
      <c r="H67" s="12" t="s">
        <v>3154</v>
      </c>
    </row>
    <row r="68" customFormat="false" ht="17.15" hidden="false" customHeight="false" outlineLevel="0" collapsed="false">
      <c r="A68" s="0" t="s">
        <v>257</v>
      </c>
      <c r="B68" s="0" t="s">
        <v>255</v>
      </c>
      <c r="C68" s="0" t="s">
        <v>60</v>
      </c>
      <c r="E68" s="20" t="n">
        <f aca="false">In!E68</f>
        <v>0.05</v>
      </c>
      <c r="G68" s="0" t="str">
        <f aca="false">In!G68</f>
        <v>Interested-party</v>
      </c>
      <c r="H68" s="12" t="s">
        <v>3155</v>
      </c>
    </row>
    <row r="69" customFormat="false" ht="17.15" hidden="false" customHeight="false" outlineLevel="0" collapsed="false">
      <c r="A69" s="0" t="s">
        <v>260</v>
      </c>
      <c r="B69" s="0" t="s">
        <v>259</v>
      </c>
      <c r="C69" s="0" t="s">
        <v>60</v>
      </c>
      <c r="E69" s="20" t="n">
        <f aca="false">In!E69</f>
        <v>0.02</v>
      </c>
      <c r="G69" s="0" t="str">
        <f aca="false">In!G69</f>
        <v>Interested-party</v>
      </c>
      <c r="H69" s="12" t="s">
        <v>3156</v>
      </c>
    </row>
    <row r="70" customFormat="false" ht="17.15" hidden="false" customHeight="false" outlineLevel="0" collapsed="false">
      <c r="A70" s="0" t="s">
        <v>263</v>
      </c>
      <c r="B70" s="0" t="s">
        <v>262</v>
      </c>
      <c r="C70" s="0" t="s">
        <v>60</v>
      </c>
      <c r="E70" s="20" t="n">
        <f aca="false">In!E70</f>
        <v>-0.1</v>
      </c>
      <c r="G70" s="0" t="str">
        <f aca="false">In!G70</f>
        <v>Interested-party</v>
      </c>
      <c r="H70" s="12" t="s">
        <v>3157</v>
      </c>
    </row>
    <row r="71" customFormat="false" ht="17.15" hidden="false" customHeight="false" outlineLevel="0" collapsed="false">
      <c r="A71" s="0" t="s">
        <v>266</v>
      </c>
      <c r="B71" s="0" t="s">
        <v>265</v>
      </c>
      <c r="C71" s="0" t="s">
        <v>60</v>
      </c>
      <c r="E71" s="20" t="n">
        <f aca="false">In!E71</f>
        <v>-0.2</v>
      </c>
      <c r="G71" s="0" t="str">
        <f aca="false">In!G71</f>
        <v>Interested-party</v>
      </c>
      <c r="H71" s="12" t="s">
        <v>3158</v>
      </c>
    </row>
    <row r="72" customFormat="false" ht="17.15" hidden="false" customHeight="false" outlineLevel="0" collapsed="false">
      <c r="A72" s="0" t="s">
        <v>269</v>
      </c>
      <c r="B72" s="0" t="s">
        <v>268</v>
      </c>
      <c r="C72" s="0" t="s">
        <v>60</v>
      </c>
      <c r="E72" s="20" t="n">
        <f aca="false">In!E72</f>
        <v>-0.3</v>
      </c>
      <c r="G72" s="0" t="str">
        <f aca="false">In!G72</f>
        <v>Interested-party</v>
      </c>
      <c r="H72" s="12" t="s">
        <v>3159</v>
      </c>
    </row>
    <row r="73" customFormat="false" ht="17.15" hidden="false" customHeight="false" outlineLevel="0" collapsed="false">
      <c r="A73" s="0" t="s">
        <v>272</v>
      </c>
      <c r="B73" s="0" t="s">
        <v>271</v>
      </c>
      <c r="C73" s="0" t="s">
        <v>60</v>
      </c>
      <c r="E73" s="20" t="n">
        <f aca="false">In!E73</f>
        <v>-0.25</v>
      </c>
      <c r="G73" s="0" t="str">
        <f aca="false">In!G73</f>
        <v>Interested-party</v>
      </c>
      <c r="H73" s="12" t="s">
        <v>3160</v>
      </c>
    </row>
    <row r="74" customFormat="false" ht="17.15" hidden="false" customHeight="false" outlineLevel="0" collapsed="false">
      <c r="A74" s="0" t="s">
        <v>275</v>
      </c>
      <c r="B74" s="0" t="s">
        <v>274</v>
      </c>
      <c r="C74" s="0" t="s">
        <v>60</v>
      </c>
      <c r="E74" s="20" t="n">
        <f aca="false">In!E74</f>
        <v>-0.2</v>
      </c>
      <c r="G74" s="0" t="str">
        <f aca="false">In!G74</f>
        <v>Interested-party</v>
      </c>
      <c r="H74" s="12" t="s">
        <v>3161</v>
      </c>
    </row>
    <row r="75" customFormat="false" ht="17.15" hidden="false" customHeight="false" outlineLevel="0" collapsed="false">
      <c r="A75" s="0" t="s">
        <v>278</v>
      </c>
      <c r="B75" s="0" t="s">
        <v>277</v>
      </c>
      <c r="C75" s="0" t="s">
        <v>60</v>
      </c>
      <c r="E75" s="20" t="n">
        <f aca="false">In!E75</f>
        <v>-0.1</v>
      </c>
      <c r="G75" s="0" t="str">
        <f aca="false">In!G75</f>
        <v>Interested-party</v>
      </c>
      <c r="H75" s="12" t="s">
        <v>3162</v>
      </c>
    </row>
    <row r="76" customFormat="false" ht="17.15" hidden="false" customHeight="false" outlineLevel="0" collapsed="false">
      <c r="A76" s="0" t="s">
        <v>281</v>
      </c>
      <c r="B76" s="0" t="s">
        <v>280</v>
      </c>
      <c r="C76" s="0" t="s">
        <v>60</v>
      </c>
      <c r="E76" s="20" t="n">
        <f aca="false">In!E76</f>
        <v>0.05</v>
      </c>
      <c r="G76" s="0" t="str">
        <f aca="false">In!G76</f>
        <v>Interested-party</v>
      </c>
      <c r="H76" s="12" t="s">
        <v>3163</v>
      </c>
    </row>
    <row r="77" customFormat="false" ht="17.15" hidden="false" customHeight="false" outlineLevel="0" collapsed="false">
      <c r="A77" s="0" t="s">
        <v>284</v>
      </c>
      <c r="B77" s="0" t="s">
        <v>283</v>
      </c>
      <c r="C77" s="0" t="s">
        <v>60</v>
      </c>
      <c r="E77" s="20" t="n">
        <f aca="false">In!E77</f>
        <v>0.05</v>
      </c>
      <c r="G77" s="0" t="str">
        <f aca="false">In!G77</f>
        <v>Interested-party</v>
      </c>
      <c r="H77" s="12" t="s">
        <v>3164</v>
      </c>
    </row>
    <row r="78" customFormat="false" ht="17.15" hidden="false" customHeight="false" outlineLevel="0" collapsed="false">
      <c r="A78" s="0" t="s">
        <v>287</v>
      </c>
      <c r="B78" s="0" t="s">
        <v>286</v>
      </c>
      <c r="C78" s="0" t="s">
        <v>60</v>
      </c>
      <c r="E78" s="20" t="n">
        <f aca="false">In!E78</f>
        <v>0.03</v>
      </c>
      <c r="G78" s="0" t="str">
        <f aca="false">In!G78</f>
        <v>Interested-party</v>
      </c>
      <c r="H78" s="12" t="s">
        <v>3165</v>
      </c>
    </row>
    <row r="79" customFormat="false" ht="17.15" hidden="false" customHeight="false" outlineLevel="0" collapsed="false">
      <c r="A79" s="0" t="s">
        <v>290</v>
      </c>
      <c r="B79" s="0" t="s">
        <v>289</v>
      </c>
      <c r="C79" s="0" t="s">
        <v>60</v>
      </c>
      <c r="E79" s="20" t="n">
        <f aca="false">In!E79</f>
        <v>0.03</v>
      </c>
      <c r="G79" s="0" t="str">
        <f aca="false">In!G79</f>
        <v>Interested-party</v>
      </c>
      <c r="H79" s="12" t="s">
        <v>3166</v>
      </c>
    </row>
    <row r="80" customFormat="false" ht="17.15" hidden="false" customHeight="false" outlineLevel="0" collapsed="false">
      <c r="A80" s="0" t="s">
        <v>294</v>
      </c>
      <c r="B80" s="0" t="s">
        <v>292</v>
      </c>
      <c r="C80" s="0" t="s">
        <v>60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3167</v>
      </c>
    </row>
    <row r="81" customFormat="false" ht="17.15" hidden="false" customHeight="false" outlineLevel="0" collapsed="false">
      <c r="A81" s="0" t="s">
        <v>297</v>
      </c>
      <c r="B81" s="0" t="s">
        <v>296</v>
      </c>
      <c r="C81" s="0" t="s">
        <v>60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3168</v>
      </c>
    </row>
    <row r="82" customFormat="false" ht="17.15" hidden="false" customHeight="false" outlineLevel="0" collapsed="false">
      <c r="A82" s="0" t="s">
        <v>300</v>
      </c>
      <c r="B82" s="0" t="s">
        <v>299</v>
      </c>
      <c r="C82" s="0" t="s">
        <v>60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3169</v>
      </c>
    </row>
    <row r="83" customFormat="false" ht="17.15" hidden="false" customHeight="false" outlineLevel="0" collapsed="false">
      <c r="A83" s="0" t="s">
        <v>303</v>
      </c>
      <c r="B83" s="0" t="s">
        <v>302</v>
      </c>
      <c r="C83" s="0" t="s">
        <v>60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3170</v>
      </c>
    </row>
    <row r="84" customFormat="false" ht="17.15" hidden="false" customHeight="false" outlineLevel="0" collapsed="false">
      <c r="A84" s="0" t="s">
        <v>306</v>
      </c>
      <c r="B84" s="0" t="s">
        <v>305</v>
      </c>
      <c r="C84" s="0" t="s">
        <v>60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3171</v>
      </c>
    </row>
    <row r="85" customFormat="false" ht="17.15" hidden="false" customHeight="false" outlineLevel="0" collapsed="false">
      <c r="A85" s="0" t="s">
        <v>309</v>
      </c>
      <c r="B85" s="0" t="s">
        <v>308</v>
      </c>
      <c r="C85" s="0" t="s">
        <v>60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3172</v>
      </c>
    </row>
    <row r="86" customFormat="false" ht="17.15" hidden="false" customHeight="false" outlineLevel="0" collapsed="false">
      <c r="A86" s="0" t="s">
        <v>312</v>
      </c>
      <c r="B86" s="0" t="s">
        <v>311</v>
      </c>
      <c r="C86" s="0" t="s">
        <v>60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3173</v>
      </c>
    </row>
    <row r="87" customFormat="false" ht="17.15" hidden="false" customHeight="false" outlineLevel="0" collapsed="false">
      <c r="A87" s="0" t="s">
        <v>315</v>
      </c>
      <c r="B87" s="0" t="s">
        <v>314</v>
      </c>
      <c r="C87" s="0" t="s">
        <v>60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3174</v>
      </c>
    </row>
    <row r="88" customFormat="false" ht="17.15" hidden="false" customHeight="false" outlineLevel="0" collapsed="false">
      <c r="A88" s="0" t="s">
        <v>318</v>
      </c>
      <c r="B88" s="0" t="s">
        <v>317</v>
      </c>
      <c r="C88" s="0" t="s">
        <v>60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3175</v>
      </c>
    </row>
    <row r="89" customFormat="false" ht="17.15" hidden="false" customHeight="false" outlineLevel="0" collapsed="false">
      <c r="A89" s="0" t="s">
        <v>321</v>
      </c>
      <c r="B89" s="0" t="s">
        <v>320</v>
      </c>
      <c r="C89" s="0" t="s">
        <v>60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3176</v>
      </c>
    </row>
    <row r="90" customFormat="false" ht="17.15" hidden="false" customHeight="false" outlineLevel="0" collapsed="false">
      <c r="A90" s="0" t="s">
        <v>324</v>
      </c>
      <c r="B90" s="0" t="s">
        <v>323</v>
      </c>
      <c r="C90" s="0" t="s">
        <v>60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3177</v>
      </c>
    </row>
    <row r="91" customFormat="false" ht="17.15" hidden="false" customHeight="false" outlineLevel="0" collapsed="false">
      <c r="A91" s="0" t="s">
        <v>327</v>
      </c>
      <c r="B91" s="0" t="s">
        <v>326</v>
      </c>
      <c r="C91" s="0" t="s">
        <v>60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3178</v>
      </c>
    </row>
    <row r="92" customFormat="false" ht="17.15" hidden="false" customHeight="false" outlineLevel="0" collapsed="false">
      <c r="A92" s="0" t="s">
        <v>333</v>
      </c>
      <c r="B92" s="0" t="s">
        <v>330</v>
      </c>
      <c r="C92" s="6" t="s">
        <v>331</v>
      </c>
      <c r="E92" s="35" t="n">
        <f aca="false">In!E93</f>
        <v>5.4</v>
      </c>
      <c r="G92" s="0" t="str">
        <f aca="false">In!G93</f>
        <v>Interested-party</v>
      </c>
      <c r="H92" s="12" t="s">
        <v>3179</v>
      </c>
    </row>
    <row r="93" customFormat="false" ht="17.15" hidden="false" customHeight="false" outlineLevel="0" collapsed="false">
      <c r="A93" s="0" t="s">
        <v>336</v>
      </c>
      <c r="B93" s="0" t="s">
        <v>335</v>
      </c>
      <c r="C93" s="6" t="s">
        <v>331</v>
      </c>
      <c r="E93" s="35" t="n">
        <f aca="false">In!E94</f>
        <v>2.4</v>
      </c>
      <c r="G93" s="0" t="str">
        <f aca="false">In!G94</f>
        <v>Interested-party</v>
      </c>
      <c r="H93" s="12" t="s">
        <v>3180</v>
      </c>
    </row>
    <row r="94" customFormat="false" ht="17.15" hidden="false" customHeight="false" outlineLevel="0" collapsed="false">
      <c r="A94" s="0" t="s">
        <v>339</v>
      </c>
      <c r="B94" s="0" t="s">
        <v>338</v>
      </c>
      <c r="C94" s="6" t="s">
        <v>331</v>
      </c>
      <c r="E94" s="35" t="n">
        <f aca="false">In!E95</f>
        <v>0.5</v>
      </c>
      <c r="G94" s="0" t="str">
        <f aca="false">In!G95</f>
        <v>Interested-party</v>
      </c>
      <c r="H94" s="12" t="s">
        <v>3181</v>
      </c>
    </row>
    <row r="95" customFormat="false" ht="17.15" hidden="false" customHeight="false" outlineLevel="0" collapsed="false">
      <c r="A95" s="0" t="s">
        <v>343</v>
      </c>
      <c r="B95" s="0" t="s">
        <v>341</v>
      </c>
      <c r="C95" s="0" t="s">
        <v>342</v>
      </c>
      <c r="E95" s="35" t="n">
        <f aca="false">In!E96</f>
        <v>260</v>
      </c>
      <c r="G95" s="0" t="str">
        <f aca="false">In!G96</f>
        <v>Interested-party</v>
      </c>
      <c r="H95" s="12" t="s">
        <v>3182</v>
      </c>
    </row>
    <row r="96" customFormat="false" ht="17.15" hidden="false" customHeight="false" outlineLevel="0" collapsed="false">
      <c r="A96" s="0" t="s">
        <v>346</v>
      </c>
      <c r="B96" s="0" t="s">
        <v>345</v>
      </c>
      <c r="C96" s="0" t="s">
        <v>342</v>
      </c>
      <c r="E96" s="35" t="n">
        <f aca="false">In!E97</f>
        <v>280</v>
      </c>
      <c r="G96" s="0" t="str">
        <f aca="false">In!G97</f>
        <v>Interested-party</v>
      </c>
      <c r="H96" s="12" t="s">
        <v>3183</v>
      </c>
    </row>
    <row r="97" customFormat="false" ht="17.15" hidden="false" customHeight="false" outlineLevel="0" collapsed="false">
      <c r="A97" s="0" t="s">
        <v>349</v>
      </c>
      <c r="B97" s="0" t="s">
        <v>348</v>
      </c>
      <c r="C97" s="0" t="s">
        <v>342</v>
      </c>
      <c r="E97" s="35" t="n">
        <f aca="false">In!E98</f>
        <v>288</v>
      </c>
      <c r="G97" s="0" t="str">
        <f aca="false">In!G98</f>
        <v>Interested-party</v>
      </c>
      <c r="H97" s="12" t="s">
        <v>3184</v>
      </c>
    </row>
    <row r="98" customFormat="false" ht="17.15" hidden="false" customHeight="false" outlineLevel="0" collapsed="false">
      <c r="A98" s="0" t="s">
        <v>353</v>
      </c>
      <c r="B98" s="0" t="s">
        <v>351</v>
      </c>
      <c r="C98" s="6" t="s">
        <v>331</v>
      </c>
      <c r="E98" s="35" t="n">
        <f aca="false">In!E99</f>
        <v>1.7</v>
      </c>
      <c r="G98" s="0" t="str">
        <f aca="false">In!G99</f>
        <v>Interested-party</v>
      </c>
      <c r="H98" s="12" t="s">
        <v>3185</v>
      </c>
    </row>
    <row r="99" customFormat="false" ht="17.15" hidden="false" customHeight="false" outlineLevel="0" collapsed="false">
      <c r="A99" s="0" t="s">
        <v>356</v>
      </c>
      <c r="B99" s="0" t="s">
        <v>355</v>
      </c>
      <c r="C99" s="6" t="s">
        <v>331</v>
      </c>
      <c r="E99" s="35" t="n">
        <f aca="false">In!E100</f>
        <v>7</v>
      </c>
      <c r="G99" s="0" t="str">
        <f aca="false">In!G100</f>
        <v>Interested-party</v>
      </c>
      <c r="H99" s="12" t="s">
        <v>3186</v>
      </c>
    </row>
    <row r="100" customFormat="false" ht="17.15" hidden="false" customHeight="false" outlineLevel="0" collapsed="false">
      <c r="A100" s="0" t="s">
        <v>359</v>
      </c>
      <c r="B100" s="0" t="s">
        <v>358</v>
      </c>
      <c r="C100" s="6" t="s">
        <v>331</v>
      </c>
      <c r="E100" s="35" t="n">
        <f aca="false">In!E101</f>
        <v>7</v>
      </c>
      <c r="G100" s="0" t="str">
        <f aca="false">In!G101</f>
        <v>Interested-party</v>
      </c>
      <c r="H100" s="12" t="s">
        <v>3187</v>
      </c>
    </row>
    <row r="101" customFormat="false" ht="17.15" hidden="false" customHeight="false" outlineLevel="0" collapsed="false">
      <c r="A101" s="0" t="s">
        <v>362</v>
      </c>
      <c r="B101" s="0" t="s">
        <v>361</v>
      </c>
      <c r="C101" s="0" t="s">
        <v>342</v>
      </c>
      <c r="E101" s="35" t="n">
        <f aca="false">In!E102</f>
        <v>288</v>
      </c>
      <c r="G101" s="0" t="str">
        <f aca="false">In!G102</f>
        <v>Interested-party</v>
      </c>
      <c r="H101" s="12" t="s">
        <v>3188</v>
      </c>
    </row>
    <row r="102" customFormat="false" ht="17.15" hidden="false" customHeight="false" outlineLevel="0" collapsed="false">
      <c r="A102" s="0" t="s">
        <v>365</v>
      </c>
      <c r="B102" s="0" t="s">
        <v>364</v>
      </c>
      <c r="C102" s="0" t="s">
        <v>342</v>
      </c>
      <c r="E102" s="35" t="n">
        <f aca="false">In!E103</f>
        <v>288</v>
      </c>
      <c r="G102" s="0" t="str">
        <f aca="false">In!G103</f>
        <v>Interested-party</v>
      </c>
      <c r="H102" s="12" t="s">
        <v>3189</v>
      </c>
    </row>
    <row r="103" customFormat="false" ht="17.15" hidden="false" customHeight="false" outlineLevel="0" collapsed="false">
      <c r="A103" s="0" t="s">
        <v>368</v>
      </c>
      <c r="B103" s="0" t="s">
        <v>367</v>
      </c>
      <c r="C103" s="0" t="s">
        <v>342</v>
      </c>
      <c r="E103" s="35" t="n">
        <f aca="false">In!E104</f>
        <v>288</v>
      </c>
      <c r="G103" s="0" t="str">
        <f aca="false">In!G104</f>
        <v>Interested-party</v>
      </c>
      <c r="H103" s="12" t="s">
        <v>3190</v>
      </c>
    </row>
    <row r="104" customFormat="false" ht="17.15" hidden="false" customHeight="false" outlineLevel="0" collapsed="false">
      <c r="A104" s="0" t="s">
        <v>372</v>
      </c>
      <c r="B104" s="0" t="s">
        <v>370</v>
      </c>
      <c r="C104" s="6" t="s">
        <v>331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3191</v>
      </c>
    </row>
    <row r="105" customFormat="false" ht="17.15" hidden="false" customHeight="false" outlineLevel="0" collapsed="false">
      <c r="A105" s="0" t="s">
        <v>375</v>
      </c>
      <c r="B105" s="0" t="s">
        <v>374</v>
      </c>
      <c r="C105" s="6" t="s">
        <v>331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3192</v>
      </c>
    </row>
    <row r="106" customFormat="false" ht="17.15" hidden="false" customHeight="false" outlineLevel="0" collapsed="false">
      <c r="A106" s="0" t="s">
        <v>378</v>
      </c>
      <c r="B106" s="0" t="s">
        <v>377</v>
      </c>
      <c r="C106" s="6" t="s">
        <v>331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3193</v>
      </c>
    </row>
    <row r="107" customFormat="false" ht="17.15" hidden="false" customHeight="false" outlineLevel="0" collapsed="false">
      <c r="A107" s="0" t="s">
        <v>382</v>
      </c>
      <c r="B107" s="0" t="s">
        <v>380</v>
      </c>
      <c r="C107" s="0" t="s">
        <v>342</v>
      </c>
      <c r="E107" s="35" t="n">
        <f aca="false">In!E108</f>
        <v>1024</v>
      </c>
      <c r="G107" s="0" t="str">
        <f aca="false">In!G108</f>
        <v>Interested-party</v>
      </c>
      <c r="H107" s="12" t="s">
        <v>3194</v>
      </c>
    </row>
    <row r="108" customFormat="false" ht="17.15" hidden="false" customHeight="false" outlineLevel="0" collapsed="false">
      <c r="A108" s="0" t="s">
        <v>385</v>
      </c>
      <c r="B108" s="0" t="s">
        <v>384</v>
      </c>
      <c r="C108" s="0" t="s">
        <v>342</v>
      </c>
      <c r="E108" s="35" t="n">
        <f aca="false">In!E109</f>
        <v>1024</v>
      </c>
      <c r="G108" s="0" t="str">
        <f aca="false">In!G109</f>
        <v>Interested-party</v>
      </c>
      <c r="H108" s="12" t="s">
        <v>3195</v>
      </c>
    </row>
    <row r="109" customFormat="false" ht="17.15" hidden="false" customHeight="false" outlineLevel="0" collapsed="false">
      <c r="A109" s="0" t="s">
        <v>388</v>
      </c>
      <c r="B109" s="0" t="s">
        <v>387</v>
      </c>
      <c r="C109" s="0" t="s">
        <v>342</v>
      </c>
      <c r="E109" s="35" t="n">
        <f aca="false">In!E110</f>
        <v>1024</v>
      </c>
      <c r="G109" s="0" t="str">
        <f aca="false">In!G110</f>
        <v>Interested-party</v>
      </c>
      <c r="H109" s="12" t="s">
        <v>3196</v>
      </c>
    </row>
    <row r="110" customFormat="false" ht="17.15" hidden="false" customHeight="false" outlineLevel="0" collapsed="false">
      <c r="A110" s="0" t="s">
        <v>392</v>
      </c>
      <c r="B110" s="0" t="s">
        <v>390</v>
      </c>
      <c r="C110" s="6" t="s">
        <v>331</v>
      </c>
      <c r="E110" s="35" t="n">
        <f aca="false">In!E111</f>
        <v>0.5</v>
      </c>
      <c r="G110" s="0" t="str">
        <f aca="false">In!G111</f>
        <v>Interested-party</v>
      </c>
      <c r="H110" s="12" t="s">
        <v>3197</v>
      </c>
    </row>
    <row r="111" customFormat="false" ht="17.15" hidden="false" customHeight="false" outlineLevel="0" collapsed="false">
      <c r="A111" s="0" t="s">
        <v>395</v>
      </c>
      <c r="B111" s="0" t="s">
        <v>394</v>
      </c>
      <c r="C111" s="6" t="s">
        <v>331</v>
      </c>
      <c r="E111" s="35" t="n">
        <f aca="false">In!E112</f>
        <v>0</v>
      </c>
      <c r="G111" s="0" t="str">
        <f aca="false">In!G112</f>
        <v>Interested-party</v>
      </c>
      <c r="H111" s="12" t="s">
        <v>3198</v>
      </c>
    </row>
    <row r="112" customFormat="false" ht="17.15" hidden="false" customHeight="false" outlineLevel="0" collapsed="false">
      <c r="A112" s="0" t="s">
        <v>398</v>
      </c>
      <c r="B112" s="0" t="s">
        <v>397</v>
      </c>
      <c r="C112" s="6" t="s">
        <v>331</v>
      </c>
      <c r="E112" s="35" t="n">
        <f aca="false">In!E113</f>
        <v>0</v>
      </c>
      <c r="G112" s="0" t="str">
        <f aca="false">In!G113</f>
        <v>Interested-party</v>
      </c>
      <c r="H112" s="12" t="s">
        <v>3199</v>
      </c>
    </row>
    <row r="113" customFormat="false" ht="17.15" hidden="false" customHeight="false" outlineLevel="0" collapsed="false">
      <c r="A113" s="0" t="s">
        <v>401</v>
      </c>
      <c r="B113" s="0" t="s">
        <v>400</v>
      </c>
      <c r="C113" s="0" t="s">
        <v>342</v>
      </c>
      <c r="E113" s="35" t="n">
        <f aca="false">In!E114</f>
        <v>141</v>
      </c>
      <c r="G113" s="0" t="str">
        <f aca="false">In!G114</f>
        <v>Interested-party</v>
      </c>
      <c r="H113" s="12" t="s">
        <v>3200</v>
      </c>
    </row>
    <row r="114" customFormat="false" ht="17.15" hidden="false" customHeight="false" outlineLevel="0" collapsed="false">
      <c r="A114" s="0" t="s">
        <v>404</v>
      </c>
      <c r="B114" s="0" t="s">
        <v>403</v>
      </c>
      <c r="C114" s="0" t="s">
        <v>342</v>
      </c>
      <c r="E114" s="35" t="n">
        <f aca="false">In!E115</f>
        <v>141</v>
      </c>
      <c r="G114" s="0" t="str">
        <f aca="false">In!G115</f>
        <v>Interested-party</v>
      </c>
      <c r="H114" s="12" t="s">
        <v>3201</v>
      </c>
    </row>
    <row r="115" customFormat="false" ht="17.15" hidden="false" customHeight="false" outlineLevel="0" collapsed="false">
      <c r="A115" s="0" t="s">
        <v>407</v>
      </c>
      <c r="B115" s="0" t="s">
        <v>406</v>
      </c>
      <c r="C115" s="0" t="s">
        <v>342</v>
      </c>
      <c r="E115" s="35" t="n">
        <f aca="false">In!E116</f>
        <v>141</v>
      </c>
      <c r="G115" s="0" t="str">
        <f aca="false">In!G116</f>
        <v>Interested-party</v>
      </c>
      <c r="H115" s="12" t="s">
        <v>3202</v>
      </c>
    </row>
    <row r="116" customFormat="false" ht="17.15" hidden="false" customHeight="false" outlineLevel="0" collapsed="false">
      <c r="A116" s="0" t="s">
        <v>412</v>
      </c>
      <c r="B116" s="0" t="s">
        <v>409</v>
      </c>
      <c r="C116" s="6" t="s">
        <v>331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3203</v>
      </c>
    </row>
    <row r="117" customFormat="false" ht="17.15" hidden="false" customHeight="false" outlineLevel="0" collapsed="false">
      <c r="A117" s="0" t="s">
        <v>415</v>
      </c>
      <c r="B117" s="0" t="s">
        <v>414</v>
      </c>
      <c r="C117" s="6" t="s">
        <v>331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3204</v>
      </c>
    </row>
    <row r="118" customFormat="false" ht="17.15" hidden="false" customHeight="false" outlineLevel="0" collapsed="false">
      <c r="A118" s="0" t="s">
        <v>418</v>
      </c>
      <c r="B118" s="0" t="s">
        <v>417</v>
      </c>
      <c r="C118" s="6" t="s">
        <v>331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3205</v>
      </c>
    </row>
    <row r="119" customFormat="false" ht="17.15" hidden="false" customHeight="false" outlineLevel="0" collapsed="false">
      <c r="A119" s="0" t="s">
        <v>421</v>
      </c>
      <c r="B119" s="0" t="s">
        <v>420</v>
      </c>
      <c r="C119" s="0" t="s">
        <v>342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3206</v>
      </c>
    </row>
    <row r="120" customFormat="false" ht="17.15" hidden="false" customHeight="false" outlineLevel="0" collapsed="false">
      <c r="A120" s="0" t="s">
        <v>424</v>
      </c>
      <c r="B120" s="0" t="s">
        <v>423</v>
      </c>
      <c r="C120" s="0" t="s">
        <v>342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3207</v>
      </c>
    </row>
    <row r="121" customFormat="false" ht="17.15" hidden="false" customHeight="false" outlineLevel="0" collapsed="false">
      <c r="A121" s="0" t="s">
        <v>427</v>
      </c>
      <c r="B121" s="0" t="s">
        <v>426</v>
      </c>
      <c r="C121" s="0" t="s">
        <v>342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3208</v>
      </c>
    </row>
    <row r="122" customFormat="false" ht="17.15" hidden="false" customHeight="false" outlineLevel="0" collapsed="false">
      <c r="A122" s="0" t="s">
        <v>431</v>
      </c>
      <c r="B122" s="0" t="s">
        <v>429</v>
      </c>
      <c r="C122" s="6" t="s">
        <v>331</v>
      </c>
      <c r="E122" s="35" t="n">
        <f aca="false">In!E123</f>
        <v>3.85</v>
      </c>
      <c r="G122" s="0" t="str">
        <f aca="false">In!G123</f>
        <v>Interested-party</v>
      </c>
      <c r="H122" s="12" t="s">
        <v>3209</v>
      </c>
    </row>
    <row r="123" customFormat="false" ht="17.15" hidden="false" customHeight="false" outlineLevel="0" collapsed="false">
      <c r="A123" s="0" t="s">
        <v>434</v>
      </c>
      <c r="B123" s="0" t="s">
        <v>433</v>
      </c>
      <c r="C123" s="6" t="s">
        <v>331</v>
      </c>
      <c r="E123" s="35" t="n">
        <f aca="false">In!E124</f>
        <v>5.5</v>
      </c>
      <c r="G123" s="0" t="str">
        <f aca="false">In!G124</f>
        <v>Interested-party</v>
      </c>
      <c r="H123" s="12" t="s">
        <v>3210</v>
      </c>
    </row>
    <row r="124" customFormat="false" ht="17.15" hidden="false" customHeight="false" outlineLevel="0" collapsed="false">
      <c r="A124" s="0" t="s">
        <v>437</v>
      </c>
      <c r="B124" s="0" t="s">
        <v>436</v>
      </c>
      <c r="C124" s="6" t="s">
        <v>331</v>
      </c>
      <c r="E124" s="35" t="n">
        <f aca="false">In!E125</f>
        <v>7</v>
      </c>
      <c r="G124" s="0" t="str">
        <f aca="false">In!G125</f>
        <v>Interested-party</v>
      </c>
      <c r="H124" s="12" t="s">
        <v>3211</v>
      </c>
    </row>
    <row r="125" customFormat="false" ht="17.15" hidden="false" customHeight="false" outlineLevel="0" collapsed="false">
      <c r="A125" s="0" t="s">
        <v>440</v>
      </c>
      <c r="B125" s="0" t="s">
        <v>439</v>
      </c>
      <c r="C125" s="0" t="s">
        <v>342</v>
      </c>
      <c r="E125" s="35" t="n">
        <f aca="false">In!E126</f>
        <v>192</v>
      </c>
      <c r="G125" s="0" t="str">
        <f aca="false">In!G126</f>
        <v>Interested-party</v>
      </c>
      <c r="H125" s="12" t="s">
        <v>3212</v>
      </c>
    </row>
    <row r="126" customFormat="false" ht="17.15" hidden="false" customHeight="false" outlineLevel="0" collapsed="false">
      <c r="A126" s="0" t="s">
        <v>443</v>
      </c>
      <c r="B126" s="0" t="s">
        <v>442</v>
      </c>
      <c r="C126" s="0" t="s">
        <v>342</v>
      </c>
      <c r="E126" s="35" t="n">
        <f aca="false">In!E127</f>
        <v>250</v>
      </c>
      <c r="G126" s="0" t="str">
        <f aca="false">In!G127</f>
        <v>Interested-party</v>
      </c>
      <c r="H126" s="12" t="s">
        <v>3213</v>
      </c>
    </row>
    <row r="127" customFormat="false" ht="17.15" hidden="false" customHeight="false" outlineLevel="0" collapsed="false">
      <c r="A127" s="0" t="s">
        <v>446</v>
      </c>
      <c r="B127" s="0" t="s">
        <v>445</v>
      </c>
      <c r="C127" s="0" t="s">
        <v>342</v>
      </c>
      <c r="E127" s="35" t="n">
        <f aca="false">In!E128</f>
        <v>288</v>
      </c>
      <c r="G127" s="0" t="str">
        <f aca="false">In!G128</f>
        <v>Interested-party</v>
      </c>
      <c r="H127" s="12" t="s">
        <v>3214</v>
      </c>
    </row>
    <row r="128" customFormat="false" ht="17.15" hidden="false" customHeight="false" outlineLevel="0" collapsed="false">
      <c r="A128" s="0" t="s">
        <v>450</v>
      </c>
      <c r="B128" s="0" t="s">
        <v>448</v>
      </c>
      <c r="C128" s="6" t="s">
        <v>331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3215</v>
      </c>
    </row>
    <row r="129" customFormat="false" ht="17.15" hidden="false" customHeight="false" outlineLevel="0" collapsed="false">
      <c r="A129" s="0" t="s">
        <v>453</v>
      </c>
      <c r="B129" s="0" t="s">
        <v>452</v>
      </c>
      <c r="C129" s="6" t="s">
        <v>331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3216</v>
      </c>
    </row>
    <row r="130" customFormat="false" ht="17.15" hidden="false" customHeight="false" outlineLevel="0" collapsed="false">
      <c r="A130" s="0" t="s">
        <v>456</v>
      </c>
      <c r="B130" s="0" t="s">
        <v>455</v>
      </c>
      <c r="C130" s="6" t="s">
        <v>331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3217</v>
      </c>
    </row>
    <row r="131" customFormat="false" ht="17.15" hidden="false" customHeight="false" outlineLevel="0" collapsed="false">
      <c r="A131" s="0" t="s">
        <v>459</v>
      </c>
      <c r="B131" s="0" t="s">
        <v>458</v>
      </c>
      <c r="C131" s="0" t="s">
        <v>342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3218</v>
      </c>
    </row>
    <row r="132" customFormat="false" ht="17.15" hidden="false" customHeight="false" outlineLevel="0" collapsed="false">
      <c r="A132" s="0" t="s">
        <v>462</v>
      </c>
      <c r="B132" s="0" t="s">
        <v>461</v>
      </c>
      <c r="C132" s="0" t="s">
        <v>342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3219</v>
      </c>
    </row>
    <row r="133" customFormat="false" ht="17.15" hidden="false" customHeight="false" outlineLevel="0" collapsed="false">
      <c r="A133" s="0" t="s">
        <v>465</v>
      </c>
      <c r="B133" s="0" t="s">
        <v>464</v>
      </c>
      <c r="C133" s="0" t="s">
        <v>342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3220</v>
      </c>
    </row>
    <row r="134" customFormat="false" ht="17.15" hidden="false" customHeight="false" outlineLevel="0" collapsed="false">
      <c r="A134" s="0" t="s">
        <v>470</v>
      </c>
      <c r="B134" s="6" t="s">
        <v>467</v>
      </c>
      <c r="C134" s="6" t="s">
        <v>331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3221</v>
      </c>
    </row>
    <row r="135" customFormat="false" ht="17.15" hidden="false" customHeight="false" outlineLevel="0" collapsed="false">
      <c r="A135" s="0" t="s">
        <v>473</v>
      </c>
      <c r="B135" s="6" t="s">
        <v>472</v>
      </c>
      <c r="C135" s="6" t="s">
        <v>331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3222</v>
      </c>
    </row>
    <row r="136" customFormat="false" ht="17.15" hidden="false" customHeight="false" outlineLevel="0" collapsed="false">
      <c r="A136" s="0" t="s">
        <v>476</v>
      </c>
      <c r="B136" s="6" t="s">
        <v>475</v>
      </c>
      <c r="C136" s="6" t="s">
        <v>331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3223</v>
      </c>
    </row>
    <row r="137" customFormat="false" ht="17.15" hidden="false" customHeight="false" outlineLevel="0" collapsed="false">
      <c r="A137" s="0" t="s">
        <v>479</v>
      </c>
      <c r="B137" s="6" t="s">
        <v>478</v>
      </c>
      <c r="C137" s="0" t="s">
        <v>342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3224</v>
      </c>
    </row>
    <row r="138" customFormat="false" ht="17.15" hidden="false" customHeight="false" outlineLevel="0" collapsed="false">
      <c r="A138" s="0" t="s">
        <v>482</v>
      </c>
      <c r="B138" s="6" t="s">
        <v>481</v>
      </c>
      <c r="C138" s="0" t="s">
        <v>342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3225</v>
      </c>
    </row>
    <row r="139" customFormat="false" ht="17.15" hidden="false" customHeight="false" outlineLevel="0" collapsed="false">
      <c r="A139" s="0" t="s">
        <v>485</v>
      </c>
      <c r="B139" s="6" t="s">
        <v>484</v>
      </c>
      <c r="C139" s="0" t="s">
        <v>342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3226</v>
      </c>
    </row>
    <row r="140" customFormat="false" ht="17.15" hidden="false" customHeight="false" outlineLevel="0" collapsed="false">
      <c r="A140" s="0" t="s">
        <v>492</v>
      </c>
      <c r="B140" s="6" t="s">
        <v>488</v>
      </c>
      <c r="C140" s="0" t="s">
        <v>489</v>
      </c>
      <c r="E140" s="35" t="n">
        <f aca="false">In!E142</f>
        <v>1</v>
      </c>
      <c r="G140" s="0" t="str">
        <f aca="false">In!G142</f>
        <v>Derived</v>
      </c>
      <c r="H140" s="12" t="s">
        <v>3227</v>
      </c>
    </row>
    <row r="141" customFormat="false" ht="17.15" hidden="false" customHeight="false" outlineLevel="0" collapsed="false">
      <c r="A141" s="0" t="s">
        <v>495</v>
      </c>
      <c r="B141" s="6" t="s">
        <v>494</v>
      </c>
      <c r="C141" s="0" t="s">
        <v>489</v>
      </c>
      <c r="E141" s="35" t="n">
        <f aca="false">In!E143</f>
        <v>1</v>
      </c>
      <c r="G141" s="0" t="str">
        <f aca="false">In!G143</f>
        <v>Derived</v>
      </c>
      <c r="H141" s="12" t="s">
        <v>3228</v>
      </c>
    </row>
    <row r="142" customFormat="false" ht="17.15" hidden="false" customHeight="false" outlineLevel="0" collapsed="false">
      <c r="A142" s="0" t="s">
        <v>498</v>
      </c>
      <c r="B142" s="6" t="s">
        <v>497</v>
      </c>
      <c r="C142" s="0" t="s">
        <v>489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3229</v>
      </c>
    </row>
    <row r="143" customFormat="false" ht="17.15" hidden="false" customHeight="false" outlineLevel="0" collapsed="false">
      <c r="A143" s="0" t="s">
        <v>501</v>
      </c>
      <c r="B143" s="6" t="s">
        <v>500</v>
      </c>
      <c r="C143" s="0" t="s">
        <v>489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3230</v>
      </c>
    </row>
    <row r="144" customFormat="false" ht="17.15" hidden="false" customHeight="false" outlineLevel="0" collapsed="false">
      <c r="A144" s="0" t="s">
        <v>504</v>
      </c>
      <c r="B144" s="6" t="s">
        <v>503</v>
      </c>
      <c r="C144" s="0" t="s">
        <v>489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3231</v>
      </c>
    </row>
    <row r="145" customFormat="false" ht="17.15" hidden="false" customHeight="false" outlineLevel="0" collapsed="false">
      <c r="A145" s="0" t="s">
        <v>507</v>
      </c>
      <c r="B145" s="6" t="s">
        <v>506</v>
      </c>
      <c r="C145" s="0" t="s">
        <v>489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3232</v>
      </c>
    </row>
    <row r="146" customFormat="false" ht="17.15" hidden="false" customHeight="false" outlineLevel="0" collapsed="false">
      <c r="A146" s="0" t="s">
        <v>514</v>
      </c>
      <c r="B146" s="0" t="s">
        <v>510</v>
      </c>
      <c r="C146" s="0" t="s">
        <v>511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3233</v>
      </c>
    </row>
    <row r="147" customFormat="false" ht="17.15" hidden="false" customHeight="false" outlineLevel="0" collapsed="false">
      <c r="A147" s="0" t="s">
        <v>518</v>
      </c>
      <c r="B147" s="0" t="s">
        <v>516</v>
      </c>
      <c r="C147" s="0" t="s">
        <v>60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3234</v>
      </c>
    </row>
    <row r="148" customFormat="false" ht="17.15" hidden="false" customHeight="false" outlineLevel="0" collapsed="false">
      <c r="A148" s="0" t="s">
        <v>522</v>
      </c>
      <c r="B148" s="6" t="s">
        <v>520</v>
      </c>
      <c r="C148" s="0" t="s">
        <v>489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3235</v>
      </c>
    </row>
    <row r="149" customFormat="false" ht="17.15" hidden="false" customHeight="false" outlineLevel="0" collapsed="false">
      <c r="A149" s="0" t="s">
        <v>526</v>
      </c>
      <c r="B149" s="0" t="s">
        <v>524</v>
      </c>
      <c r="C149" s="0" t="s">
        <v>60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3236</v>
      </c>
    </row>
    <row r="150" customFormat="false" ht="17.15" hidden="false" customHeight="false" outlineLevel="0" collapsed="false">
      <c r="A150" s="0" t="s">
        <v>530</v>
      </c>
      <c r="B150" s="0" t="s">
        <v>528</v>
      </c>
      <c r="C150" s="0" t="s">
        <v>60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3237</v>
      </c>
    </row>
    <row r="151" customFormat="false" ht="17.15" hidden="false" customHeight="false" outlineLevel="0" collapsed="false">
      <c r="A151" s="0" t="s">
        <v>535</v>
      </c>
      <c r="B151" s="0" t="s">
        <v>532</v>
      </c>
      <c r="C151" s="0" t="s">
        <v>533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3238</v>
      </c>
    </row>
    <row r="152" customFormat="false" ht="17.15" hidden="false" customHeight="false" outlineLevel="0" collapsed="false">
      <c r="A152" s="0" t="s">
        <v>539</v>
      </c>
      <c r="B152" s="0" t="s">
        <v>537</v>
      </c>
      <c r="C152" s="0" t="s">
        <v>60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3239</v>
      </c>
    </row>
    <row r="153" customFormat="false" ht="17.15" hidden="false" customHeight="false" outlineLevel="0" collapsed="false">
      <c r="A153" s="0" t="s">
        <v>543</v>
      </c>
      <c r="B153" s="0" t="s">
        <v>541</v>
      </c>
      <c r="C153" s="0" t="s">
        <v>60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3240</v>
      </c>
    </row>
    <row r="154" customFormat="false" ht="17.15" hidden="false" customHeight="false" outlineLevel="0" collapsed="false">
      <c r="A154" s="0" t="s">
        <v>547</v>
      </c>
      <c r="B154" s="0" t="s">
        <v>545</v>
      </c>
      <c r="C154" s="0" t="s">
        <v>60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3241</v>
      </c>
    </row>
    <row r="155" customFormat="false" ht="17.15" hidden="false" customHeight="false" outlineLevel="0" collapsed="false">
      <c r="A155" s="0" t="s">
        <v>551</v>
      </c>
      <c r="B155" s="0" t="s">
        <v>549</v>
      </c>
      <c r="C155" s="0" t="s">
        <v>60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3242</v>
      </c>
    </row>
    <row r="156" customFormat="false" ht="17.15" hidden="false" customHeight="false" outlineLevel="0" collapsed="false">
      <c r="A156" s="0" t="s">
        <v>555</v>
      </c>
      <c r="B156" s="0" t="s">
        <v>553</v>
      </c>
      <c r="C156" s="0" t="s">
        <v>60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3243</v>
      </c>
    </row>
    <row r="157" customFormat="false" ht="17.15" hidden="false" customHeight="false" outlineLevel="0" collapsed="false">
      <c r="A157" s="0" t="s">
        <v>559</v>
      </c>
      <c r="B157" s="0" t="s">
        <v>557</v>
      </c>
      <c r="C157" s="0" t="s">
        <v>60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3244</v>
      </c>
    </row>
    <row r="158" customFormat="false" ht="17.15" hidden="false" customHeight="false" outlineLevel="0" collapsed="false">
      <c r="A158" s="0" t="s">
        <v>563</v>
      </c>
      <c r="B158" s="0" t="s">
        <v>561</v>
      </c>
      <c r="C158" s="0" t="s">
        <v>60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3245</v>
      </c>
    </row>
    <row r="159" customFormat="false" ht="17.15" hidden="false" customHeight="false" outlineLevel="0" collapsed="false">
      <c r="A159" s="0" t="s">
        <v>567</v>
      </c>
      <c r="B159" s="0" t="s">
        <v>565</v>
      </c>
      <c r="C159" s="0" t="s">
        <v>60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3246</v>
      </c>
    </row>
    <row r="160" customFormat="false" ht="17.15" hidden="false" customHeight="false" outlineLevel="0" collapsed="false">
      <c r="A160" s="0" t="s">
        <v>571</v>
      </c>
      <c r="B160" s="0" t="s">
        <v>569</v>
      </c>
      <c r="C160" s="0" t="s">
        <v>60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3247</v>
      </c>
    </row>
    <row r="161" customFormat="false" ht="17.15" hidden="false" customHeight="false" outlineLevel="0" collapsed="false">
      <c r="A161" s="0" t="s">
        <v>577</v>
      </c>
      <c r="B161" s="0" t="s">
        <v>574</v>
      </c>
      <c r="C161" s="0" t="s">
        <v>511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3248</v>
      </c>
    </row>
    <row r="162" customFormat="false" ht="17.15" hidden="false" customHeight="false" outlineLevel="0" collapsed="false">
      <c r="A162" s="0" t="s">
        <v>582</v>
      </c>
      <c r="B162" s="6" t="s">
        <v>579</v>
      </c>
      <c r="C162" s="0" t="s">
        <v>580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3249</v>
      </c>
    </row>
    <row r="163" customFormat="false" ht="17.15" hidden="false" customHeight="false" outlineLevel="0" collapsed="false">
      <c r="A163" s="0" t="s">
        <v>586</v>
      </c>
      <c r="B163" s="6" t="s">
        <v>584</v>
      </c>
      <c r="C163" s="0" t="s">
        <v>580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3250</v>
      </c>
    </row>
    <row r="164" customFormat="false" ht="17.15" hidden="false" customHeight="false" outlineLevel="0" collapsed="false">
      <c r="A164" s="0" t="s">
        <v>590</v>
      </c>
      <c r="B164" s="6" t="s">
        <v>588</v>
      </c>
      <c r="C164" s="0" t="s">
        <v>511</v>
      </c>
      <c r="E164" s="35" t="n">
        <f aca="false">In!E168</f>
        <v>54.6</v>
      </c>
      <c r="G164" s="0" t="str">
        <f aca="false">In!G168</f>
        <v>Interested-party</v>
      </c>
      <c r="H164" s="12" t="s">
        <v>3251</v>
      </c>
    </row>
    <row r="165" customFormat="false" ht="17.15" hidden="false" customHeight="false" outlineLevel="0" collapsed="false">
      <c r="A165" s="0" t="s">
        <v>594</v>
      </c>
      <c r="B165" s="6" t="s">
        <v>592</v>
      </c>
      <c r="C165" s="0" t="s">
        <v>511</v>
      </c>
      <c r="E165" s="35" t="n">
        <f aca="false">In!E169</f>
        <v>77.4</v>
      </c>
      <c r="G165" s="0" t="str">
        <f aca="false">In!G169</f>
        <v>Interested-party</v>
      </c>
      <c r="H165" s="12" t="s">
        <v>3252</v>
      </c>
    </row>
    <row r="166" customFormat="false" ht="17.15" hidden="false" customHeight="false" outlineLevel="0" collapsed="false">
      <c r="A166" s="0" t="s">
        <v>598</v>
      </c>
      <c r="B166" s="6" t="s">
        <v>596</v>
      </c>
      <c r="C166" s="0" t="s">
        <v>511</v>
      </c>
      <c r="E166" s="35" t="n">
        <f aca="false">In!E170</f>
        <v>152.8</v>
      </c>
      <c r="G166" s="0" t="str">
        <f aca="false">In!G170</f>
        <v>Interested-party</v>
      </c>
      <c r="H166" s="12" t="s">
        <v>3253</v>
      </c>
    </row>
    <row r="167" customFormat="false" ht="17.15" hidden="false" customHeight="false" outlineLevel="0" collapsed="false">
      <c r="A167" s="0" t="s">
        <v>603</v>
      </c>
      <c r="B167" s="0" t="s">
        <v>601</v>
      </c>
      <c r="C167" s="0" t="s">
        <v>60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3254</v>
      </c>
    </row>
    <row r="168" customFormat="false" ht="17.15" hidden="false" customHeight="false" outlineLevel="0" collapsed="false">
      <c r="A168" s="0" t="s">
        <v>606</v>
      </c>
      <c r="B168" s="0" t="s">
        <v>605</v>
      </c>
      <c r="C168" s="0" t="s">
        <v>60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3255</v>
      </c>
    </row>
    <row r="169" customFormat="false" ht="17.15" hidden="false" customHeight="false" outlineLevel="0" collapsed="false">
      <c r="A169" s="0" t="s">
        <v>609</v>
      </c>
      <c r="B169" s="0" t="s">
        <v>608</v>
      </c>
      <c r="C169" s="0" t="s">
        <v>60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3256</v>
      </c>
    </row>
    <row r="170" customFormat="false" ht="17.15" hidden="false" customHeight="false" outlineLevel="0" collapsed="false">
      <c r="A170" s="0" t="s">
        <v>612</v>
      </c>
      <c r="B170" s="0" t="s">
        <v>611</v>
      </c>
      <c r="C170" s="0" t="s">
        <v>60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3257</v>
      </c>
    </row>
    <row r="171" customFormat="false" ht="17.15" hidden="false" customHeight="false" outlineLevel="0" collapsed="false">
      <c r="A171" s="0" t="s">
        <v>615</v>
      </c>
      <c r="B171" s="0" t="s">
        <v>614</v>
      </c>
      <c r="C171" s="0" t="s">
        <v>60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3258</v>
      </c>
    </row>
    <row r="172" customFormat="false" ht="17.15" hidden="false" customHeight="false" outlineLevel="0" collapsed="false">
      <c r="A172" s="0" t="s">
        <v>618</v>
      </c>
      <c r="B172" s="0" t="s">
        <v>617</v>
      </c>
      <c r="C172" s="0" t="s">
        <v>60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3259</v>
      </c>
    </row>
    <row r="173" customFormat="false" ht="17.15" hidden="false" customHeight="false" outlineLevel="0" collapsed="false">
      <c r="A173" s="0" t="s">
        <v>621</v>
      </c>
      <c r="B173" s="0" t="s">
        <v>620</v>
      </c>
      <c r="C173" s="0" t="s">
        <v>60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3260</v>
      </c>
    </row>
    <row r="174" customFormat="false" ht="17.15" hidden="false" customHeight="false" outlineLevel="0" collapsed="false">
      <c r="A174" s="0" t="s">
        <v>624</v>
      </c>
      <c r="B174" s="6" t="s">
        <v>623</v>
      </c>
      <c r="C174" s="0" t="s">
        <v>60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3261</v>
      </c>
    </row>
    <row r="175" customFormat="false" ht="17.15" hidden="false" customHeight="false" outlineLevel="0" collapsed="false">
      <c r="A175" s="0" t="s">
        <v>630</v>
      </c>
      <c r="B175" s="0" t="s">
        <v>627</v>
      </c>
      <c r="C175" s="0" t="s">
        <v>628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3262</v>
      </c>
    </row>
    <row r="176" customFormat="false" ht="17.15" hidden="false" customHeight="false" outlineLevel="0" collapsed="false">
      <c r="A176" s="0" t="s">
        <v>635</v>
      </c>
      <c r="B176" s="0" t="s">
        <v>633</v>
      </c>
      <c r="C176" s="0" t="s">
        <v>628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3263</v>
      </c>
    </row>
    <row r="177" customFormat="false" ht="17.15" hidden="false" customHeight="false" outlineLevel="0" collapsed="false">
      <c r="A177" s="0" t="s">
        <v>640</v>
      </c>
      <c r="B177" s="0" t="s">
        <v>638</v>
      </c>
      <c r="C177" s="0" t="s">
        <v>628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3264</v>
      </c>
    </row>
    <row r="178" customFormat="false" ht="17.15" hidden="false" customHeight="false" outlineLevel="0" collapsed="false">
      <c r="A178" s="0" t="s">
        <v>645</v>
      </c>
      <c r="B178" s="6" t="s">
        <v>643</v>
      </c>
      <c r="C178" s="0" t="s">
        <v>628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3265</v>
      </c>
    </row>
    <row r="179" customFormat="false" ht="17.15" hidden="false" customHeight="false" outlineLevel="0" collapsed="false">
      <c r="A179" s="0" t="s">
        <v>649</v>
      </c>
      <c r="B179" s="0" t="s">
        <v>647</v>
      </c>
      <c r="C179" s="0" t="s">
        <v>628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3266</v>
      </c>
    </row>
    <row r="180" customFormat="false" ht="17.15" hidden="false" customHeight="false" outlineLevel="0" collapsed="false">
      <c r="A180" s="0" t="s">
        <v>654</v>
      </c>
      <c r="B180" s="6" t="s">
        <v>652</v>
      </c>
      <c r="C180" s="0" t="s">
        <v>628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3267</v>
      </c>
    </row>
    <row r="181" customFormat="false" ht="17.15" hidden="false" customHeight="false" outlineLevel="0" collapsed="false">
      <c r="A181" s="0" t="s">
        <v>659</v>
      </c>
      <c r="B181" s="0" t="s">
        <v>657</v>
      </c>
      <c r="C181" s="0" t="s">
        <v>489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3268</v>
      </c>
    </row>
    <row r="182" customFormat="false" ht="17.15" hidden="false" customHeight="false" outlineLevel="0" collapsed="false">
      <c r="A182" s="0" t="s">
        <v>665</v>
      </c>
      <c r="B182" s="0" t="s">
        <v>663</v>
      </c>
      <c r="C182" s="0" t="s">
        <v>60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3269</v>
      </c>
    </row>
    <row r="183" customFormat="false" ht="17.15" hidden="false" customHeight="false" outlineLevel="0" collapsed="false">
      <c r="A183" s="0" t="s">
        <v>670</v>
      </c>
      <c r="B183" s="0" t="s">
        <v>668</v>
      </c>
      <c r="C183" s="0" t="s">
        <v>60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3270</v>
      </c>
    </row>
    <row r="184" customFormat="false" ht="17.15" hidden="false" customHeight="false" outlineLevel="0" collapsed="false">
      <c r="A184" s="0" t="s">
        <v>674</v>
      </c>
      <c r="B184" s="0" t="s">
        <v>673</v>
      </c>
      <c r="C184" s="0" t="s">
        <v>60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3271</v>
      </c>
    </row>
    <row r="185" customFormat="false" ht="17.15" hidden="false" customHeight="false" outlineLevel="0" collapsed="false">
      <c r="A185" s="0" t="s">
        <v>679</v>
      </c>
      <c r="B185" s="0" t="s">
        <v>677</v>
      </c>
      <c r="C185" s="0" t="s">
        <v>60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3272</v>
      </c>
    </row>
    <row r="186" customFormat="false" ht="17.15" hidden="false" customHeight="false" outlineLevel="0" collapsed="false">
      <c r="A186" s="0" t="s">
        <v>684</v>
      </c>
      <c r="B186" s="0" t="s">
        <v>682</v>
      </c>
      <c r="C186" s="0" t="s">
        <v>60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3273</v>
      </c>
    </row>
    <row r="187" customFormat="false" ht="17.15" hidden="false" customHeight="false" outlineLevel="0" collapsed="false">
      <c r="A187" s="0" t="s">
        <v>688</v>
      </c>
      <c r="B187" s="0" t="s">
        <v>686</v>
      </c>
      <c r="C187" s="0" t="s">
        <v>60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3274</v>
      </c>
    </row>
    <row r="188" customFormat="false" ht="17.15" hidden="false" customHeight="false" outlineLevel="0" collapsed="false">
      <c r="A188" s="0" t="s">
        <v>692</v>
      </c>
      <c r="B188" s="0" t="s">
        <v>690</v>
      </c>
      <c r="C188" s="0" t="s">
        <v>60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3275</v>
      </c>
    </row>
    <row r="189" customFormat="false" ht="17.15" hidden="false" customHeight="false" outlineLevel="0" collapsed="false">
      <c r="A189" s="0" t="s">
        <v>696</v>
      </c>
      <c r="B189" s="0" t="s">
        <v>695</v>
      </c>
      <c r="C189" s="0" t="s">
        <v>60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3276</v>
      </c>
    </row>
    <row r="190" customFormat="false" ht="17.15" hidden="false" customHeight="false" outlineLevel="0" collapsed="false">
      <c r="A190" s="0" t="s">
        <v>699</v>
      </c>
      <c r="B190" s="0" t="s">
        <v>698</v>
      </c>
      <c r="C190" s="0" t="s">
        <v>60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3277</v>
      </c>
    </row>
    <row r="191" customFormat="false" ht="17.15" hidden="false" customHeight="false" outlineLevel="0" collapsed="false">
      <c r="A191" s="0" t="s">
        <v>703</v>
      </c>
      <c r="B191" s="0" t="s">
        <v>701</v>
      </c>
      <c r="C191" s="0" t="s">
        <v>60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3278</v>
      </c>
    </row>
    <row r="192" customFormat="false" ht="17.15" hidden="false" customHeight="false" outlineLevel="0" collapsed="false">
      <c r="A192" s="0" t="s">
        <v>707</v>
      </c>
      <c r="B192" s="0" t="s">
        <v>706</v>
      </c>
      <c r="C192" s="0" t="s">
        <v>60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3279</v>
      </c>
    </row>
    <row r="193" customFormat="false" ht="17.15" hidden="false" customHeight="false" outlineLevel="0" collapsed="false">
      <c r="A193" s="0" t="s">
        <v>710</v>
      </c>
      <c r="B193" s="0" t="s">
        <v>709</v>
      </c>
      <c r="C193" s="0" t="s">
        <v>60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3280</v>
      </c>
    </row>
    <row r="194" customFormat="false" ht="17.15" hidden="false" customHeight="false" outlineLevel="0" collapsed="false">
      <c r="A194" s="0" t="s">
        <v>714</v>
      </c>
      <c r="B194" s="0" t="s">
        <v>712</v>
      </c>
      <c r="C194" s="0" t="s">
        <v>60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3281</v>
      </c>
    </row>
    <row r="195" customFormat="false" ht="17.15" hidden="false" customHeight="false" outlineLevel="0" collapsed="false">
      <c r="A195" s="0" t="s">
        <v>718</v>
      </c>
      <c r="B195" s="0" t="s">
        <v>717</v>
      </c>
      <c r="C195" s="0" t="s">
        <v>60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3282</v>
      </c>
    </row>
    <row r="196" customFormat="false" ht="17.15" hidden="false" customHeight="false" outlineLevel="0" collapsed="false">
      <c r="A196" s="0" t="s">
        <v>721</v>
      </c>
      <c r="B196" s="0" t="s">
        <v>720</v>
      </c>
      <c r="C196" s="0" t="s">
        <v>60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3283</v>
      </c>
    </row>
    <row r="197" customFormat="false" ht="17.15" hidden="false" customHeight="false" outlineLevel="0" collapsed="false">
      <c r="A197" s="0" t="s">
        <v>725</v>
      </c>
      <c r="B197" s="6" t="s">
        <v>723</v>
      </c>
      <c r="C197" s="0" t="s">
        <v>60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3284</v>
      </c>
    </row>
    <row r="198" customFormat="false" ht="17.15" hidden="false" customHeight="false" outlineLevel="0" collapsed="false">
      <c r="A198" s="0" t="s">
        <v>729</v>
      </c>
      <c r="B198" s="6" t="s">
        <v>728</v>
      </c>
      <c r="C198" s="0" t="s">
        <v>60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3285</v>
      </c>
    </row>
    <row r="199" customFormat="false" ht="17.15" hidden="false" customHeight="false" outlineLevel="0" collapsed="false">
      <c r="A199" s="0" t="s">
        <v>732</v>
      </c>
      <c r="B199" s="6" t="s">
        <v>731</v>
      </c>
      <c r="C199" s="0" t="s">
        <v>60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3286</v>
      </c>
    </row>
    <row r="200" customFormat="false" ht="17.15" hidden="false" customHeight="false" outlineLevel="0" collapsed="false">
      <c r="A200" s="0" t="s">
        <v>736</v>
      </c>
      <c r="B200" s="6" t="s">
        <v>734</v>
      </c>
      <c r="C200" s="0" t="s">
        <v>60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3287</v>
      </c>
    </row>
    <row r="201" customFormat="false" ht="17.15" hidden="false" customHeight="false" outlineLevel="0" collapsed="false">
      <c r="A201" s="0" t="s">
        <v>740</v>
      </c>
      <c r="B201" s="6" t="s">
        <v>739</v>
      </c>
      <c r="C201" s="0" t="s">
        <v>60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3288</v>
      </c>
    </row>
    <row r="202" customFormat="false" ht="17.15" hidden="false" customHeight="false" outlineLevel="0" collapsed="false">
      <c r="A202" s="0" t="s">
        <v>743</v>
      </c>
      <c r="B202" s="6" t="s">
        <v>742</v>
      </c>
      <c r="C202" s="0" t="s">
        <v>60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3289</v>
      </c>
    </row>
    <row r="203" customFormat="false" ht="17.15" hidden="false" customHeight="false" outlineLevel="0" collapsed="false">
      <c r="A203" s="0" t="s">
        <v>747</v>
      </c>
      <c r="B203" s="6" t="s">
        <v>745</v>
      </c>
      <c r="C203" s="0" t="s">
        <v>60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3290</v>
      </c>
    </row>
    <row r="204" customFormat="false" ht="17.15" hidden="false" customHeight="false" outlineLevel="0" collapsed="false">
      <c r="A204" s="0" t="s">
        <v>751</v>
      </c>
      <c r="B204" s="6" t="s">
        <v>750</v>
      </c>
      <c r="C204" s="0" t="s">
        <v>60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3291</v>
      </c>
    </row>
    <row r="205" customFormat="false" ht="17.15" hidden="false" customHeight="false" outlineLevel="0" collapsed="false">
      <c r="A205" s="0" t="s">
        <v>754</v>
      </c>
      <c r="B205" s="6" t="s">
        <v>753</v>
      </c>
      <c r="C205" s="0" t="s">
        <v>60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3292</v>
      </c>
    </row>
    <row r="206" customFormat="false" ht="17.15" hidden="false" customHeight="false" outlineLevel="0" collapsed="false">
      <c r="A206" s="0" t="s">
        <v>757</v>
      </c>
      <c r="B206" s="6" t="s">
        <v>756</v>
      </c>
      <c r="C206" s="0" t="s">
        <v>60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3293</v>
      </c>
    </row>
    <row r="207" customFormat="false" ht="17.15" hidden="false" customHeight="false" outlineLevel="0" collapsed="false">
      <c r="A207" s="0" t="s">
        <v>760</v>
      </c>
      <c r="B207" s="6" t="s">
        <v>759</v>
      </c>
      <c r="C207" s="0" t="s">
        <v>60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3294</v>
      </c>
    </row>
    <row r="208" customFormat="false" ht="17.15" hidden="false" customHeight="false" outlineLevel="0" collapsed="false">
      <c r="A208" s="0" t="s">
        <v>763</v>
      </c>
      <c r="B208" s="6" t="s">
        <v>762</v>
      </c>
      <c r="C208" s="0" t="s">
        <v>60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3295</v>
      </c>
    </row>
    <row r="209" customFormat="false" ht="17.15" hidden="false" customHeight="false" outlineLevel="0" collapsed="false">
      <c r="A209" s="0" t="s">
        <v>767</v>
      </c>
      <c r="B209" s="6" t="s">
        <v>766</v>
      </c>
      <c r="C209" s="0" t="s">
        <v>60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3296</v>
      </c>
    </row>
    <row r="210" customFormat="false" ht="17.15" hidden="false" customHeight="false" outlineLevel="0" collapsed="false">
      <c r="A210" s="0" t="s">
        <v>773</v>
      </c>
      <c r="B210" s="0" t="s">
        <v>770</v>
      </c>
      <c r="C210" s="0" t="s">
        <v>771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3297</v>
      </c>
    </row>
    <row r="211" customFormat="false" ht="17.15" hidden="false" customHeight="false" outlineLevel="0" collapsed="false">
      <c r="A211" s="0" t="s">
        <v>776</v>
      </c>
      <c r="B211" s="0" t="s">
        <v>775</v>
      </c>
      <c r="C211" s="0" t="s">
        <v>771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3298</v>
      </c>
    </row>
    <row r="212" customFormat="false" ht="17.15" hidden="false" customHeight="false" outlineLevel="0" collapsed="false">
      <c r="A212" s="0" t="s">
        <v>779</v>
      </c>
      <c r="B212" s="0" t="s">
        <v>778</v>
      </c>
      <c r="C212" s="0" t="s">
        <v>771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3299</v>
      </c>
    </row>
    <row r="213" customFormat="false" ht="17.15" hidden="false" customHeight="false" outlineLevel="0" collapsed="false">
      <c r="A213" s="0" t="s">
        <v>782</v>
      </c>
      <c r="B213" s="0" t="s">
        <v>781</v>
      </c>
      <c r="C213" s="0" t="s">
        <v>771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3300</v>
      </c>
    </row>
    <row r="214" customFormat="false" ht="17.15" hidden="false" customHeight="false" outlineLevel="0" collapsed="false">
      <c r="A214" s="0" t="s">
        <v>785</v>
      </c>
      <c r="B214" s="0" t="s">
        <v>784</v>
      </c>
      <c r="C214" s="0" t="s">
        <v>771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3301</v>
      </c>
    </row>
    <row r="215" customFormat="false" ht="17.15" hidden="false" customHeight="false" outlineLevel="0" collapsed="false">
      <c r="A215" s="0" t="s">
        <v>788</v>
      </c>
      <c r="B215" s="0" t="s">
        <v>787</v>
      </c>
      <c r="C215" s="0" t="s">
        <v>771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3302</v>
      </c>
    </row>
    <row r="216" customFormat="false" ht="17.15" hidden="false" customHeight="false" outlineLevel="0" collapsed="false">
      <c r="A216" s="0" t="s">
        <v>792</v>
      </c>
      <c r="B216" s="0" t="s">
        <v>790</v>
      </c>
      <c r="C216" s="0" t="s">
        <v>771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3303</v>
      </c>
    </row>
    <row r="217" customFormat="false" ht="17.15" hidden="false" customHeight="false" outlineLevel="0" collapsed="false">
      <c r="A217" s="0" t="s">
        <v>795</v>
      </c>
      <c r="B217" s="0" t="s">
        <v>794</v>
      </c>
      <c r="C217" s="0" t="s">
        <v>771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3304</v>
      </c>
    </row>
    <row r="218" customFormat="false" ht="17.15" hidden="false" customHeight="false" outlineLevel="0" collapsed="false">
      <c r="A218" s="0" t="s">
        <v>798</v>
      </c>
      <c r="B218" s="0" t="s">
        <v>797</v>
      </c>
      <c r="C218" s="0" t="s">
        <v>771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3305</v>
      </c>
    </row>
    <row r="219" customFormat="false" ht="17.15" hidden="false" customHeight="false" outlineLevel="0" collapsed="false">
      <c r="A219" s="0" t="s">
        <v>801</v>
      </c>
      <c r="B219" s="0" t="s">
        <v>800</v>
      </c>
      <c r="C219" s="0" t="s">
        <v>771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3306</v>
      </c>
    </row>
    <row r="220" customFormat="false" ht="17.15" hidden="false" customHeight="false" outlineLevel="0" collapsed="false">
      <c r="A220" s="0" t="s">
        <v>804</v>
      </c>
      <c r="B220" s="0" t="s">
        <v>803</v>
      </c>
      <c r="C220" s="0" t="s">
        <v>771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3307</v>
      </c>
    </row>
    <row r="221" customFormat="false" ht="17.15" hidden="false" customHeight="false" outlineLevel="0" collapsed="false">
      <c r="A221" s="0" t="s">
        <v>807</v>
      </c>
      <c r="B221" s="0" t="s">
        <v>806</v>
      </c>
      <c r="C221" s="0" t="s">
        <v>771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3308</v>
      </c>
    </row>
    <row r="222" customFormat="false" ht="17.15" hidden="false" customHeight="false" outlineLevel="0" collapsed="false">
      <c r="A222" s="0" t="s">
        <v>811</v>
      </c>
      <c r="B222" s="0" t="s">
        <v>809</v>
      </c>
      <c r="C222" s="0" t="s">
        <v>771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3309</v>
      </c>
    </row>
    <row r="223" customFormat="false" ht="17.15" hidden="false" customHeight="false" outlineLevel="0" collapsed="false">
      <c r="A223" s="0" t="s">
        <v>814</v>
      </c>
      <c r="B223" s="0" t="s">
        <v>813</v>
      </c>
      <c r="C223" s="0" t="s">
        <v>771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3310</v>
      </c>
    </row>
    <row r="224" customFormat="false" ht="17.15" hidden="false" customHeight="false" outlineLevel="0" collapsed="false">
      <c r="A224" s="0" t="s">
        <v>817</v>
      </c>
      <c r="B224" s="0" t="s">
        <v>816</v>
      </c>
      <c r="C224" s="0" t="s">
        <v>771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3311</v>
      </c>
    </row>
    <row r="225" customFormat="false" ht="17.15" hidden="false" customHeight="false" outlineLevel="0" collapsed="false">
      <c r="A225" s="0" t="s">
        <v>820</v>
      </c>
      <c r="B225" s="0" t="s">
        <v>819</v>
      </c>
      <c r="C225" s="0" t="s">
        <v>771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3312</v>
      </c>
    </row>
    <row r="226" customFormat="false" ht="17.15" hidden="false" customHeight="false" outlineLevel="0" collapsed="false">
      <c r="A226" s="0" t="s">
        <v>823</v>
      </c>
      <c r="B226" s="0" t="s">
        <v>822</v>
      </c>
      <c r="C226" s="0" t="s">
        <v>771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3313</v>
      </c>
    </row>
    <row r="227" customFormat="false" ht="17.15" hidden="false" customHeight="false" outlineLevel="0" collapsed="false">
      <c r="A227" s="0" t="s">
        <v>826</v>
      </c>
      <c r="B227" s="0" t="s">
        <v>825</v>
      </c>
      <c r="C227" s="0" t="s">
        <v>771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3314</v>
      </c>
    </row>
    <row r="228" customFormat="false" ht="17.15" hidden="false" customHeight="false" outlineLevel="0" collapsed="false">
      <c r="A228" s="0" t="s">
        <v>830</v>
      </c>
      <c r="B228" s="0" t="s">
        <v>828</v>
      </c>
      <c r="C228" s="0" t="s">
        <v>771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3315</v>
      </c>
    </row>
    <row r="229" customFormat="false" ht="17.15" hidden="false" customHeight="false" outlineLevel="0" collapsed="false">
      <c r="A229" s="0" t="s">
        <v>833</v>
      </c>
      <c r="B229" s="0" t="s">
        <v>832</v>
      </c>
      <c r="C229" s="0" t="s">
        <v>771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3316</v>
      </c>
    </row>
    <row r="230" customFormat="false" ht="17.15" hidden="false" customHeight="false" outlineLevel="0" collapsed="false">
      <c r="A230" s="0" t="s">
        <v>836</v>
      </c>
      <c r="B230" s="0" t="s">
        <v>835</v>
      </c>
      <c r="C230" s="0" t="s">
        <v>771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3317</v>
      </c>
    </row>
    <row r="231" customFormat="false" ht="17.15" hidden="false" customHeight="false" outlineLevel="0" collapsed="false">
      <c r="A231" s="0" t="s">
        <v>839</v>
      </c>
      <c r="B231" s="0" t="s">
        <v>838</v>
      </c>
      <c r="C231" s="0" t="s">
        <v>771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3318</v>
      </c>
    </row>
    <row r="232" customFormat="false" ht="17.15" hidden="false" customHeight="false" outlineLevel="0" collapsed="false">
      <c r="A232" s="0" t="s">
        <v>842</v>
      </c>
      <c r="B232" s="0" t="s">
        <v>841</v>
      </c>
      <c r="C232" s="0" t="s">
        <v>771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3319</v>
      </c>
    </row>
    <row r="233" customFormat="false" ht="17.15" hidden="false" customHeight="false" outlineLevel="0" collapsed="false">
      <c r="A233" s="0" t="s">
        <v>845</v>
      </c>
      <c r="B233" s="0" t="s">
        <v>844</v>
      </c>
      <c r="C233" s="0" t="s">
        <v>771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3320</v>
      </c>
    </row>
    <row r="234" customFormat="false" ht="17.15" hidden="false" customHeight="false" outlineLevel="0" collapsed="false">
      <c r="A234" s="0" t="s">
        <v>850</v>
      </c>
      <c r="B234" s="0" t="s">
        <v>847</v>
      </c>
      <c r="C234" s="0" t="s">
        <v>771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3321</v>
      </c>
    </row>
    <row r="235" customFormat="false" ht="17.15" hidden="false" customHeight="false" outlineLevel="0" collapsed="false">
      <c r="A235" s="0" t="s">
        <v>853</v>
      </c>
      <c r="B235" s="0" t="s">
        <v>852</v>
      </c>
      <c r="C235" s="0" t="s">
        <v>771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3322</v>
      </c>
    </row>
    <row r="236" customFormat="false" ht="17.15" hidden="false" customHeight="false" outlineLevel="0" collapsed="false">
      <c r="A236" s="0" t="s">
        <v>856</v>
      </c>
      <c r="B236" s="0" t="s">
        <v>855</v>
      </c>
      <c r="C236" s="0" t="s">
        <v>771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3323</v>
      </c>
    </row>
    <row r="237" customFormat="false" ht="17.15" hidden="false" customHeight="false" outlineLevel="0" collapsed="false">
      <c r="A237" s="0" t="s">
        <v>859</v>
      </c>
      <c r="B237" s="0" t="s">
        <v>858</v>
      </c>
      <c r="C237" s="0" t="s">
        <v>771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3324</v>
      </c>
    </row>
    <row r="238" customFormat="false" ht="17.15" hidden="false" customHeight="false" outlineLevel="0" collapsed="false">
      <c r="A238" s="0" t="s">
        <v>862</v>
      </c>
      <c r="B238" s="0" t="s">
        <v>861</v>
      </c>
      <c r="C238" s="0" t="s">
        <v>771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3325</v>
      </c>
    </row>
    <row r="239" customFormat="false" ht="17.15" hidden="false" customHeight="false" outlineLevel="0" collapsed="false">
      <c r="A239" s="0" t="s">
        <v>865</v>
      </c>
      <c r="B239" s="0" t="s">
        <v>864</v>
      </c>
      <c r="C239" s="0" t="s">
        <v>771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3326</v>
      </c>
    </row>
    <row r="240" customFormat="false" ht="17.15" hidden="false" customHeight="false" outlineLevel="0" collapsed="false">
      <c r="A240" s="0" t="s">
        <v>869</v>
      </c>
      <c r="B240" s="0" t="s">
        <v>867</v>
      </c>
      <c r="C240" s="0" t="s">
        <v>771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3327</v>
      </c>
    </row>
    <row r="241" customFormat="false" ht="17.15" hidden="false" customHeight="false" outlineLevel="0" collapsed="false">
      <c r="A241" s="0" t="s">
        <v>872</v>
      </c>
      <c r="B241" s="0" t="s">
        <v>871</v>
      </c>
      <c r="C241" s="0" t="s">
        <v>771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3328</v>
      </c>
    </row>
    <row r="242" customFormat="false" ht="17.15" hidden="false" customHeight="false" outlineLevel="0" collapsed="false">
      <c r="A242" s="0" t="s">
        <v>875</v>
      </c>
      <c r="B242" s="0" t="s">
        <v>874</v>
      </c>
      <c r="C242" s="0" t="s">
        <v>771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3329</v>
      </c>
    </row>
    <row r="243" customFormat="false" ht="17.15" hidden="false" customHeight="false" outlineLevel="0" collapsed="false">
      <c r="A243" s="0" t="s">
        <v>878</v>
      </c>
      <c r="B243" s="0" t="s">
        <v>877</v>
      </c>
      <c r="C243" s="0" t="s">
        <v>771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3330</v>
      </c>
    </row>
    <row r="244" customFormat="false" ht="17.15" hidden="false" customHeight="false" outlineLevel="0" collapsed="false">
      <c r="A244" s="0" t="s">
        <v>881</v>
      </c>
      <c r="B244" s="0" t="s">
        <v>880</v>
      </c>
      <c r="C244" s="0" t="s">
        <v>771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3331</v>
      </c>
    </row>
    <row r="245" customFormat="false" ht="17.15" hidden="false" customHeight="false" outlineLevel="0" collapsed="false">
      <c r="A245" s="0" t="s">
        <v>884</v>
      </c>
      <c r="B245" s="0" t="s">
        <v>883</v>
      </c>
      <c r="C245" s="0" t="s">
        <v>771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3332</v>
      </c>
    </row>
    <row r="246" customFormat="false" ht="17.15" hidden="false" customHeight="false" outlineLevel="0" collapsed="false">
      <c r="A246" s="0" t="s">
        <v>888</v>
      </c>
      <c r="B246" s="0" t="s">
        <v>886</v>
      </c>
      <c r="C246" s="0" t="s">
        <v>771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3333</v>
      </c>
    </row>
    <row r="247" customFormat="false" ht="17.15" hidden="false" customHeight="false" outlineLevel="0" collapsed="false">
      <c r="A247" s="0" t="s">
        <v>891</v>
      </c>
      <c r="B247" s="0" t="s">
        <v>890</v>
      </c>
      <c r="C247" s="0" t="s">
        <v>771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3334</v>
      </c>
    </row>
    <row r="248" customFormat="false" ht="17.15" hidden="false" customHeight="false" outlineLevel="0" collapsed="false">
      <c r="A248" s="0" t="s">
        <v>894</v>
      </c>
      <c r="B248" s="0" t="s">
        <v>893</v>
      </c>
      <c r="C248" s="0" t="s">
        <v>771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3335</v>
      </c>
    </row>
    <row r="249" customFormat="false" ht="17.15" hidden="false" customHeight="false" outlineLevel="0" collapsed="false">
      <c r="A249" s="0" t="s">
        <v>897</v>
      </c>
      <c r="B249" s="0" t="s">
        <v>896</v>
      </c>
      <c r="C249" s="0" t="s">
        <v>771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3336</v>
      </c>
    </row>
    <row r="250" customFormat="false" ht="17.15" hidden="false" customHeight="false" outlineLevel="0" collapsed="false">
      <c r="A250" s="0" t="s">
        <v>900</v>
      </c>
      <c r="B250" s="0" t="s">
        <v>899</v>
      </c>
      <c r="C250" s="0" t="s">
        <v>771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3337</v>
      </c>
    </row>
    <row r="251" customFormat="false" ht="17.15" hidden="false" customHeight="false" outlineLevel="0" collapsed="false">
      <c r="A251" s="0" t="s">
        <v>903</v>
      </c>
      <c r="B251" s="0" t="s">
        <v>902</v>
      </c>
      <c r="C251" s="0" t="s">
        <v>771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3338</v>
      </c>
    </row>
    <row r="252" customFormat="false" ht="17.15" hidden="false" customHeight="false" outlineLevel="0" collapsed="false">
      <c r="A252" s="0" t="s">
        <v>907</v>
      </c>
      <c r="B252" s="0" t="s">
        <v>905</v>
      </c>
      <c r="C252" s="0" t="s">
        <v>771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3339</v>
      </c>
    </row>
    <row r="253" customFormat="false" ht="17.15" hidden="false" customHeight="false" outlineLevel="0" collapsed="false">
      <c r="A253" s="0" t="s">
        <v>910</v>
      </c>
      <c r="B253" s="0" t="s">
        <v>909</v>
      </c>
      <c r="C253" s="0" t="s">
        <v>771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3340</v>
      </c>
    </row>
    <row r="254" customFormat="false" ht="17.15" hidden="false" customHeight="false" outlineLevel="0" collapsed="false">
      <c r="A254" s="0" t="s">
        <v>913</v>
      </c>
      <c r="B254" s="0" t="s">
        <v>912</v>
      </c>
      <c r="C254" s="0" t="s">
        <v>771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3341</v>
      </c>
    </row>
    <row r="255" customFormat="false" ht="17.15" hidden="false" customHeight="false" outlineLevel="0" collapsed="false">
      <c r="A255" s="0" t="s">
        <v>916</v>
      </c>
      <c r="B255" s="0" t="s">
        <v>915</v>
      </c>
      <c r="C255" s="0" t="s">
        <v>771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3342</v>
      </c>
    </row>
    <row r="256" customFormat="false" ht="17.15" hidden="false" customHeight="false" outlineLevel="0" collapsed="false">
      <c r="A256" s="0" t="s">
        <v>919</v>
      </c>
      <c r="B256" s="0" t="s">
        <v>918</v>
      </c>
      <c r="C256" s="0" t="s">
        <v>771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3343</v>
      </c>
    </row>
    <row r="257" customFormat="false" ht="17.15" hidden="false" customHeight="false" outlineLevel="0" collapsed="false">
      <c r="A257" s="0" t="s">
        <v>922</v>
      </c>
      <c r="B257" s="0" t="s">
        <v>921</v>
      </c>
      <c r="C257" s="0" t="s">
        <v>771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3344</v>
      </c>
    </row>
    <row r="258" customFormat="false" ht="17.15" hidden="false" customHeight="false" outlineLevel="0" collapsed="false">
      <c r="A258" s="0" t="s">
        <v>926</v>
      </c>
      <c r="B258" s="6" t="s">
        <v>924</v>
      </c>
      <c r="C258" s="0" t="s">
        <v>771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3345</v>
      </c>
    </row>
    <row r="259" customFormat="false" ht="17.15" hidden="false" customHeight="false" outlineLevel="0" collapsed="false">
      <c r="A259" s="0" t="s">
        <v>929</v>
      </c>
      <c r="B259" s="6" t="s">
        <v>928</v>
      </c>
      <c r="C259" s="0" t="s">
        <v>771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3346</v>
      </c>
    </row>
    <row r="260" customFormat="false" ht="17.15" hidden="false" customHeight="false" outlineLevel="0" collapsed="false">
      <c r="A260" s="0" t="s">
        <v>932</v>
      </c>
      <c r="B260" s="6" t="s">
        <v>931</v>
      </c>
      <c r="C260" s="0" t="s">
        <v>771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3347</v>
      </c>
    </row>
    <row r="261" customFormat="false" ht="17.15" hidden="false" customHeight="false" outlineLevel="0" collapsed="false">
      <c r="A261" s="0" t="s">
        <v>935</v>
      </c>
      <c r="B261" s="6" t="s">
        <v>934</v>
      </c>
      <c r="C261" s="0" t="s">
        <v>771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3348</v>
      </c>
    </row>
    <row r="262" customFormat="false" ht="17.15" hidden="false" customHeight="false" outlineLevel="0" collapsed="false">
      <c r="A262" s="0" t="s">
        <v>938</v>
      </c>
      <c r="B262" s="6" t="s">
        <v>937</v>
      </c>
      <c r="C262" s="0" t="s">
        <v>771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3349</v>
      </c>
    </row>
    <row r="263" customFormat="false" ht="17.15" hidden="false" customHeight="false" outlineLevel="0" collapsed="false">
      <c r="A263" s="0" t="s">
        <v>941</v>
      </c>
      <c r="B263" s="6" t="s">
        <v>940</v>
      </c>
      <c r="C263" s="0" t="s">
        <v>771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3350</v>
      </c>
    </row>
    <row r="264" customFormat="false" ht="17.15" hidden="false" customHeight="false" outlineLevel="0" collapsed="false">
      <c r="A264" s="0" t="s">
        <v>947</v>
      </c>
      <c r="B264" s="0" t="s">
        <v>944</v>
      </c>
      <c r="C264" s="0" t="s">
        <v>945</v>
      </c>
      <c r="E264" s="35" t="n">
        <f aca="false">In!E273</f>
        <v>66.1944444444444</v>
      </c>
      <c r="G264" s="0" t="str">
        <f aca="false">In!G273</f>
        <v>Derived</v>
      </c>
      <c r="H264" s="12" t="s">
        <v>3351</v>
      </c>
    </row>
    <row r="265" customFormat="false" ht="17.15" hidden="false" customHeight="false" outlineLevel="0" collapsed="false">
      <c r="A265" s="0" t="s">
        <v>951</v>
      </c>
      <c r="B265" s="0" t="s">
        <v>949</v>
      </c>
      <c r="C265" s="0" t="s">
        <v>945</v>
      </c>
      <c r="E265" s="35" t="n">
        <f aca="false">In!E274</f>
        <v>128.833333333333</v>
      </c>
      <c r="G265" s="0" t="str">
        <f aca="false">In!G274</f>
        <v>Derived</v>
      </c>
      <c r="H265" s="12" t="s">
        <v>3352</v>
      </c>
    </row>
    <row r="266" customFormat="false" ht="17.15" hidden="false" customHeight="false" outlineLevel="0" collapsed="false">
      <c r="A266" s="0" t="s">
        <v>955</v>
      </c>
      <c r="B266" s="0" t="s">
        <v>953</v>
      </c>
      <c r="C266" s="0" t="s">
        <v>945</v>
      </c>
      <c r="E266" s="35" t="n">
        <f aca="false">In!E275</f>
        <v>257.166666666667</v>
      </c>
      <c r="G266" s="0" t="str">
        <f aca="false">In!G275</f>
        <v>Derived</v>
      </c>
      <c r="H266" s="12" t="s">
        <v>3353</v>
      </c>
    </row>
    <row r="267" customFormat="false" ht="17.15" hidden="false" customHeight="false" outlineLevel="0" collapsed="false">
      <c r="A267" s="0" t="s">
        <v>959</v>
      </c>
      <c r="B267" s="0" t="s">
        <v>957</v>
      </c>
      <c r="C267" s="0" t="s">
        <v>945</v>
      </c>
      <c r="E267" s="35" t="n">
        <f aca="false">In!E276</f>
        <v>38.3125</v>
      </c>
      <c r="G267" s="0" t="str">
        <f aca="false">In!G276</f>
        <v>Derived</v>
      </c>
      <c r="H267" s="12" t="s">
        <v>3354</v>
      </c>
    </row>
    <row r="268" customFormat="false" ht="17.15" hidden="false" customHeight="false" outlineLevel="0" collapsed="false">
      <c r="A268" s="0" t="s">
        <v>963</v>
      </c>
      <c r="B268" s="0" t="s">
        <v>961</v>
      </c>
      <c r="C268" s="0" t="s">
        <v>945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3355</v>
      </c>
    </row>
    <row r="269" customFormat="false" ht="17.15" hidden="false" customHeight="false" outlineLevel="0" collapsed="false">
      <c r="A269" s="0" t="s">
        <v>967</v>
      </c>
      <c r="B269" s="0" t="s">
        <v>965</v>
      </c>
      <c r="C269" s="0" t="s">
        <v>945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3356</v>
      </c>
    </row>
    <row r="270" customFormat="false" ht="17.15" hidden="false" customHeight="false" outlineLevel="0" collapsed="false">
      <c r="A270" s="0" t="s">
        <v>971</v>
      </c>
      <c r="B270" s="0" t="s">
        <v>969</v>
      </c>
      <c r="C270" s="0" t="s">
        <v>945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3357</v>
      </c>
    </row>
    <row r="271" customFormat="false" ht="17.15" hidden="false" customHeight="false" outlineLevel="0" collapsed="false">
      <c r="A271" s="0" t="s">
        <v>974</v>
      </c>
      <c r="B271" s="0" t="s">
        <v>973</v>
      </c>
      <c r="C271" s="0" t="s">
        <v>945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3358</v>
      </c>
    </row>
    <row r="272" customFormat="false" ht="17.15" hidden="false" customHeight="false" outlineLevel="0" collapsed="false">
      <c r="A272" s="0" t="s">
        <v>977</v>
      </c>
      <c r="B272" s="6" t="s">
        <v>976</v>
      </c>
      <c r="C272" s="0" t="s">
        <v>945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3359</v>
      </c>
    </row>
    <row r="273" customFormat="false" ht="17.15" hidden="false" customHeight="false" outlineLevel="0" collapsed="false">
      <c r="A273" s="0" t="s">
        <v>982</v>
      </c>
      <c r="B273" s="0" t="s">
        <v>980</v>
      </c>
      <c r="C273" s="0" t="s">
        <v>60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3360</v>
      </c>
    </row>
    <row r="274" customFormat="false" ht="17.15" hidden="false" customHeight="false" outlineLevel="0" collapsed="false">
      <c r="A274" s="0" t="s">
        <v>985</v>
      </c>
      <c r="B274" s="0" t="s">
        <v>984</v>
      </c>
      <c r="C274" s="0" t="s">
        <v>60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3361</v>
      </c>
    </row>
    <row r="275" customFormat="false" ht="17.15" hidden="false" customHeight="false" outlineLevel="0" collapsed="false">
      <c r="A275" s="0" t="s">
        <v>988</v>
      </c>
      <c r="B275" s="0" t="s">
        <v>987</v>
      </c>
      <c r="C275" s="0" t="s">
        <v>60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3362</v>
      </c>
    </row>
    <row r="276" customFormat="false" ht="17.15" hidden="false" customHeight="false" outlineLevel="0" collapsed="false">
      <c r="A276" s="0" t="s">
        <v>991</v>
      </c>
      <c r="B276" s="0" t="s">
        <v>990</v>
      </c>
      <c r="C276" s="0" t="s">
        <v>60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3363</v>
      </c>
    </row>
    <row r="277" customFormat="false" ht="17.15" hidden="false" customHeight="false" outlineLevel="0" collapsed="false">
      <c r="A277" s="0" t="s">
        <v>995</v>
      </c>
      <c r="B277" s="0" t="s">
        <v>993</v>
      </c>
      <c r="C277" s="0" t="s">
        <v>60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3364</v>
      </c>
    </row>
    <row r="278" customFormat="false" ht="17.15" hidden="false" customHeight="false" outlineLevel="0" collapsed="false">
      <c r="A278" s="0" t="s">
        <v>1000</v>
      </c>
      <c r="B278" s="6" t="s">
        <v>997</v>
      </c>
      <c r="C278" s="0" t="s">
        <v>60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3365</v>
      </c>
    </row>
    <row r="279" customFormat="false" ht="17.15" hidden="false" customHeight="false" outlineLevel="0" collapsed="false">
      <c r="A279" s="0" t="s">
        <v>1003</v>
      </c>
      <c r="B279" s="6" t="s">
        <v>1002</v>
      </c>
      <c r="C279" s="0" t="s">
        <v>60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3366</v>
      </c>
    </row>
    <row r="280" customFormat="false" ht="17.15" hidden="false" customHeight="false" outlineLevel="0" collapsed="false">
      <c r="A280" s="0" t="s">
        <v>1006</v>
      </c>
      <c r="B280" s="6" t="s">
        <v>1005</v>
      </c>
      <c r="C280" s="0" t="s">
        <v>60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3367</v>
      </c>
    </row>
    <row r="281" customFormat="false" ht="17.15" hidden="false" customHeight="false" outlineLevel="0" collapsed="false">
      <c r="A281" s="0" t="s">
        <v>1009</v>
      </c>
      <c r="B281" s="6" t="s">
        <v>1008</v>
      </c>
      <c r="C281" s="0" t="s">
        <v>60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3368</v>
      </c>
    </row>
    <row r="282" customFormat="false" ht="17.15" hidden="false" customHeight="false" outlineLevel="0" collapsed="false">
      <c r="A282" s="0" t="s">
        <v>1013</v>
      </c>
      <c r="B282" s="6" t="s">
        <v>1011</v>
      </c>
      <c r="C282" s="0" t="s">
        <v>60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3369</v>
      </c>
    </row>
    <row r="283" customFormat="false" ht="17.15" hidden="false" customHeight="false" outlineLevel="0" collapsed="false">
      <c r="A283" s="0" t="s">
        <v>1016</v>
      </c>
      <c r="B283" s="6" t="s">
        <v>1015</v>
      </c>
      <c r="C283" s="0" t="s">
        <v>60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3370</v>
      </c>
    </row>
    <row r="284" customFormat="false" ht="17.15" hidden="false" customHeight="false" outlineLevel="0" collapsed="false">
      <c r="A284" s="0" t="s">
        <v>1019</v>
      </c>
      <c r="B284" s="6" t="s">
        <v>1018</v>
      </c>
      <c r="C284" s="0" t="s">
        <v>60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3371</v>
      </c>
    </row>
    <row r="285" customFormat="false" ht="17.15" hidden="false" customHeight="false" outlineLevel="0" collapsed="false">
      <c r="A285" s="0" t="s">
        <v>1022</v>
      </c>
      <c r="B285" s="6" t="s">
        <v>1021</v>
      </c>
      <c r="C285" s="0" t="s">
        <v>60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3372</v>
      </c>
    </row>
    <row r="286" customFormat="false" ht="17.15" hidden="false" customHeight="false" outlineLevel="0" collapsed="false">
      <c r="A286" s="0" t="s">
        <v>1026</v>
      </c>
      <c r="B286" s="6" t="s">
        <v>1024</v>
      </c>
      <c r="C286" s="0" t="s">
        <v>60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3373</v>
      </c>
    </row>
    <row r="287" customFormat="false" ht="17.15" hidden="false" customHeight="false" outlineLevel="0" collapsed="false">
      <c r="A287" s="0" t="s">
        <v>1029</v>
      </c>
      <c r="B287" s="6" t="s">
        <v>1028</v>
      </c>
      <c r="C287" s="0" t="s">
        <v>60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3374</v>
      </c>
    </row>
    <row r="288" customFormat="false" ht="17.15" hidden="false" customHeight="false" outlineLevel="0" collapsed="false">
      <c r="A288" s="0" t="s">
        <v>1032</v>
      </c>
      <c r="B288" s="6" t="s">
        <v>1031</v>
      </c>
      <c r="C288" s="0" t="s">
        <v>60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3375</v>
      </c>
    </row>
    <row r="289" customFormat="false" ht="17.15" hidden="false" customHeight="false" outlineLevel="0" collapsed="false">
      <c r="A289" s="0" t="s">
        <v>1035</v>
      </c>
      <c r="B289" s="6" t="s">
        <v>1034</v>
      </c>
      <c r="C289" s="0" t="s">
        <v>60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3376</v>
      </c>
    </row>
    <row r="290" customFormat="false" ht="17.15" hidden="false" customHeight="false" outlineLevel="0" collapsed="false">
      <c r="A290" s="0" t="s">
        <v>1040</v>
      </c>
      <c r="B290" s="0" t="s">
        <v>1038</v>
      </c>
      <c r="C290" s="0" t="s">
        <v>60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3377</v>
      </c>
    </row>
    <row r="291" customFormat="false" ht="17.15" hidden="false" customHeight="false" outlineLevel="0" collapsed="false">
      <c r="A291" s="0" t="s">
        <v>1046</v>
      </c>
      <c r="B291" s="0" t="s">
        <v>1044</v>
      </c>
      <c r="C291" s="0" t="s">
        <v>60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3378</v>
      </c>
    </row>
    <row r="292" customFormat="false" ht="17.15" hidden="false" customHeight="false" outlineLevel="0" collapsed="false">
      <c r="A292" s="0" t="s">
        <v>1051</v>
      </c>
      <c r="B292" s="0" t="s">
        <v>1049</v>
      </c>
      <c r="C292" s="0" t="s">
        <v>60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3379</v>
      </c>
    </row>
    <row r="293" customFormat="false" ht="17.15" hidden="false" customHeight="false" outlineLevel="0" collapsed="false">
      <c r="A293" s="0" t="s">
        <v>1055</v>
      </c>
      <c r="B293" s="0" t="s">
        <v>1054</v>
      </c>
      <c r="C293" s="0" t="s">
        <v>60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3380</v>
      </c>
    </row>
    <row r="294" customFormat="false" ht="17.15" hidden="false" customHeight="false" outlineLevel="0" collapsed="false">
      <c r="A294" s="0" t="s">
        <v>1059</v>
      </c>
      <c r="B294" s="0" t="s">
        <v>1057</v>
      </c>
      <c r="C294" s="0" t="s">
        <v>60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3381</v>
      </c>
    </row>
    <row r="295" customFormat="false" ht="17.15" hidden="false" customHeight="false" outlineLevel="0" collapsed="false">
      <c r="A295" s="0" t="s">
        <v>1063</v>
      </c>
      <c r="B295" s="0" t="s">
        <v>1062</v>
      </c>
      <c r="C295" s="0" t="s">
        <v>60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3382</v>
      </c>
    </row>
    <row r="296" customFormat="false" ht="17.15" hidden="false" customHeight="false" outlineLevel="0" collapsed="false">
      <c r="A296" s="0" t="s">
        <v>1066</v>
      </c>
      <c r="B296" s="0" t="s">
        <v>1065</v>
      </c>
      <c r="C296" s="0" t="s">
        <v>60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3383</v>
      </c>
    </row>
    <row r="297" customFormat="false" ht="17.15" hidden="false" customHeight="false" outlineLevel="0" collapsed="false">
      <c r="A297" s="0" t="s">
        <v>1070</v>
      </c>
      <c r="B297" s="6" t="s">
        <v>1068</v>
      </c>
      <c r="C297" s="0" t="s">
        <v>60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3384</v>
      </c>
    </row>
    <row r="298" customFormat="false" ht="17.15" hidden="false" customHeight="false" outlineLevel="0" collapsed="false">
      <c r="A298" s="0" t="s">
        <v>1074</v>
      </c>
      <c r="B298" s="6" t="s">
        <v>1073</v>
      </c>
      <c r="C298" s="0" t="s">
        <v>60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3385</v>
      </c>
    </row>
    <row r="299" customFormat="false" ht="17.15" hidden="false" customHeight="false" outlineLevel="0" collapsed="false">
      <c r="A299" s="0" t="s">
        <v>1077</v>
      </c>
      <c r="B299" s="6" t="s">
        <v>1076</v>
      </c>
      <c r="C299" s="0" t="s">
        <v>60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3386</v>
      </c>
    </row>
    <row r="300" customFormat="false" ht="17.15" hidden="false" customHeight="false" outlineLevel="0" collapsed="false">
      <c r="A300" s="0" t="s">
        <v>1081</v>
      </c>
      <c r="B300" s="6" t="s">
        <v>1079</v>
      </c>
      <c r="C300" s="0" t="s">
        <v>60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3387</v>
      </c>
    </row>
    <row r="301" customFormat="false" ht="17.15" hidden="false" customHeight="false" outlineLevel="0" collapsed="false">
      <c r="A301" s="0" t="s">
        <v>1085</v>
      </c>
      <c r="B301" s="6" t="s">
        <v>1084</v>
      </c>
      <c r="C301" s="0" t="s">
        <v>60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3388</v>
      </c>
    </row>
    <row r="302" customFormat="false" ht="17.15" hidden="false" customHeight="false" outlineLevel="0" collapsed="false">
      <c r="A302" s="0" t="s">
        <v>1088</v>
      </c>
      <c r="B302" s="6" t="s">
        <v>1087</v>
      </c>
      <c r="C302" s="0" t="s">
        <v>60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3389</v>
      </c>
    </row>
    <row r="303" customFormat="false" ht="17.15" hidden="false" customHeight="false" outlineLevel="0" collapsed="false">
      <c r="A303" s="0" t="s">
        <v>1092</v>
      </c>
      <c r="B303" s="0" t="s">
        <v>1090</v>
      </c>
      <c r="C303" s="0" t="s">
        <v>60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3390</v>
      </c>
    </row>
    <row r="304" customFormat="false" ht="17.15" hidden="false" customHeight="false" outlineLevel="0" collapsed="false">
      <c r="A304" s="0" t="s">
        <v>1096</v>
      </c>
      <c r="B304" s="0" t="s">
        <v>1095</v>
      </c>
      <c r="C304" s="0" t="s">
        <v>60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3391</v>
      </c>
    </row>
    <row r="305" customFormat="false" ht="17.15" hidden="false" customHeight="false" outlineLevel="0" collapsed="false">
      <c r="A305" s="0" t="s">
        <v>1100</v>
      </c>
      <c r="B305" s="0" t="s">
        <v>1099</v>
      </c>
      <c r="C305" s="0" t="s">
        <v>60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3392</v>
      </c>
    </row>
    <row r="306" customFormat="false" ht="17.15" hidden="false" customHeight="false" outlineLevel="0" collapsed="false">
      <c r="A306" s="0" t="s">
        <v>1105</v>
      </c>
      <c r="B306" s="0" t="s">
        <v>1103</v>
      </c>
      <c r="C306" s="0" t="s">
        <v>60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3393</v>
      </c>
    </row>
    <row r="307" customFormat="false" ht="17.15" hidden="false" customHeight="false" outlineLevel="0" collapsed="false">
      <c r="A307" s="0" t="s">
        <v>1110</v>
      </c>
      <c r="B307" s="0" t="s">
        <v>1108</v>
      </c>
      <c r="C307" s="0" t="s">
        <v>489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3394</v>
      </c>
    </row>
    <row r="308" customFormat="false" ht="17.15" hidden="false" customHeight="false" outlineLevel="0" collapsed="false">
      <c r="A308" s="0" t="s">
        <v>1115</v>
      </c>
      <c r="B308" s="0" t="s">
        <v>1113</v>
      </c>
      <c r="C308" s="0" t="s">
        <v>489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3395</v>
      </c>
    </row>
    <row r="309" customFormat="false" ht="17.15" hidden="false" customHeight="false" outlineLevel="0" collapsed="false">
      <c r="A309" s="0" t="s">
        <v>1118</v>
      </c>
      <c r="B309" s="0" t="s">
        <v>1117</v>
      </c>
      <c r="C309" s="0" t="s">
        <v>489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3396</v>
      </c>
    </row>
    <row r="310" customFormat="false" ht="17.15" hidden="false" customHeight="false" outlineLevel="0" collapsed="false">
      <c r="A310" s="0" t="s">
        <v>1122</v>
      </c>
      <c r="B310" s="6" t="s">
        <v>1120</v>
      </c>
      <c r="C310" s="0" t="s">
        <v>489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3397</v>
      </c>
    </row>
    <row r="311" customFormat="false" ht="17.15" hidden="false" customHeight="false" outlineLevel="0" collapsed="false">
      <c r="A311" s="0" t="s">
        <v>1127</v>
      </c>
      <c r="B311" s="6" t="s">
        <v>1125</v>
      </c>
      <c r="C311" s="0" t="s">
        <v>489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3398</v>
      </c>
    </row>
    <row r="312" customFormat="false" ht="15" hidden="false" customHeight="false" outlineLevel="0" collapsed="false">
      <c r="A312" s="0" t="s">
        <v>1132</v>
      </c>
      <c r="B312" s="6" t="s">
        <v>1130</v>
      </c>
      <c r="C312" s="0" t="s">
        <v>60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3399</v>
      </c>
    </row>
    <row r="313" customFormat="false" ht="17.15" hidden="false" customHeight="false" outlineLevel="0" collapsed="false">
      <c r="A313" s="0" t="s">
        <v>1137</v>
      </c>
      <c r="B313" s="6" t="s">
        <v>1135</v>
      </c>
      <c r="C313" s="0" t="s">
        <v>489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3400</v>
      </c>
    </row>
    <row r="314" customFormat="false" ht="17.15" hidden="false" customHeight="false" outlineLevel="0" collapsed="false">
      <c r="A314" s="0" t="s">
        <v>1142</v>
      </c>
      <c r="B314" s="6" t="s">
        <v>1140</v>
      </c>
      <c r="C314" s="0" t="s">
        <v>489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3401</v>
      </c>
    </row>
    <row r="315" customFormat="false" ht="17.15" hidden="false" customHeight="false" outlineLevel="0" collapsed="false">
      <c r="A315" s="0" t="s">
        <v>1147</v>
      </c>
      <c r="B315" s="6" t="s">
        <v>1145</v>
      </c>
      <c r="C315" s="0" t="s">
        <v>489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3402</v>
      </c>
    </row>
    <row r="316" customFormat="false" ht="17.15" hidden="false" customHeight="false" outlineLevel="0" collapsed="false">
      <c r="A316" s="0" t="s">
        <v>1151</v>
      </c>
      <c r="B316" s="6" t="s">
        <v>1149</v>
      </c>
      <c r="C316" s="0" t="s">
        <v>60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3403</v>
      </c>
    </row>
    <row r="317" customFormat="false" ht="17.15" hidden="false" customHeight="false" outlineLevel="0" collapsed="false">
      <c r="A317" s="0" t="s">
        <v>1156</v>
      </c>
      <c r="B317" s="6" t="s">
        <v>1154</v>
      </c>
      <c r="C317" s="0" t="s">
        <v>60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3404</v>
      </c>
    </row>
    <row r="318" customFormat="false" ht="17.15" hidden="false" customHeight="false" outlineLevel="0" collapsed="false">
      <c r="A318" s="0" t="s">
        <v>1160</v>
      </c>
      <c r="B318" s="6" t="s">
        <v>1159</v>
      </c>
      <c r="C318" s="0" t="s">
        <v>60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3405</v>
      </c>
    </row>
    <row r="319" customFormat="false" ht="17.15" hidden="false" customHeight="false" outlineLevel="0" collapsed="false">
      <c r="A319" s="0" t="s">
        <v>1163</v>
      </c>
      <c r="B319" s="6" t="s">
        <v>1162</v>
      </c>
      <c r="C319" s="0" t="s">
        <v>60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3406</v>
      </c>
    </row>
    <row r="320" customFormat="false" ht="17.15" hidden="false" customHeight="false" outlineLevel="0" collapsed="false">
      <c r="A320" s="0" t="s">
        <v>1167</v>
      </c>
      <c r="B320" s="6" t="s">
        <v>1165</v>
      </c>
      <c r="C320" s="0" t="s">
        <v>60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3407</v>
      </c>
    </row>
    <row r="321" customFormat="false" ht="17.15" hidden="false" customHeight="false" outlineLevel="0" collapsed="false">
      <c r="A321" s="0" t="s">
        <v>1171</v>
      </c>
      <c r="B321" s="6" t="s">
        <v>1170</v>
      </c>
      <c r="C321" s="0" t="s">
        <v>60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3408</v>
      </c>
    </row>
    <row r="322" customFormat="false" ht="17.15" hidden="false" customHeight="false" outlineLevel="0" collapsed="false">
      <c r="A322" s="0" t="s">
        <v>1174</v>
      </c>
      <c r="B322" s="6" t="s">
        <v>1173</v>
      </c>
      <c r="C322" s="0" t="s">
        <v>60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3409</v>
      </c>
    </row>
    <row r="323" customFormat="false" ht="17.15" hidden="false" customHeight="false" outlineLevel="0" collapsed="false">
      <c r="A323" s="0" t="s">
        <v>1177</v>
      </c>
      <c r="B323" s="6" t="s">
        <v>1176</v>
      </c>
      <c r="C323" s="0" t="s">
        <v>60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3410</v>
      </c>
    </row>
    <row r="324" customFormat="false" ht="17.15" hidden="false" customHeight="false" outlineLevel="0" collapsed="false">
      <c r="A324" s="0" t="s">
        <v>1181</v>
      </c>
      <c r="B324" s="6" t="s">
        <v>1179</v>
      </c>
      <c r="C324" s="0" t="s">
        <v>60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3411</v>
      </c>
    </row>
    <row r="325" customFormat="false" ht="17.15" hidden="false" customHeight="false" outlineLevel="0" collapsed="false">
      <c r="A325" s="0" t="s">
        <v>1186</v>
      </c>
      <c r="B325" s="6" t="s">
        <v>1184</v>
      </c>
      <c r="C325" s="0" t="s">
        <v>60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3412</v>
      </c>
    </row>
    <row r="326" customFormat="false" ht="17.15" hidden="false" customHeight="false" outlineLevel="0" collapsed="false">
      <c r="A326" s="0" t="s">
        <v>1189</v>
      </c>
      <c r="B326" s="6" t="s">
        <v>1188</v>
      </c>
      <c r="C326" s="0" t="s">
        <v>60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3413</v>
      </c>
    </row>
    <row r="327" customFormat="false" ht="17.15" hidden="false" customHeight="false" outlineLevel="0" collapsed="false">
      <c r="A327" s="0" t="s">
        <v>1192</v>
      </c>
      <c r="B327" s="6" t="s">
        <v>1191</v>
      </c>
      <c r="C327" s="0" t="s">
        <v>60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3414</v>
      </c>
    </row>
    <row r="328" customFormat="false" ht="17.15" hidden="false" customHeight="false" outlineLevel="0" collapsed="false">
      <c r="A328" s="0" t="s">
        <v>1196</v>
      </c>
      <c r="B328" s="6" t="s">
        <v>1194</v>
      </c>
      <c r="C328" s="0" t="s">
        <v>60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3415</v>
      </c>
    </row>
    <row r="329" customFormat="false" ht="17.15" hidden="false" customHeight="false" outlineLevel="0" collapsed="false">
      <c r="A329" s="0" t="s">
        <v>1200</v>
      </c>
      <c r="B329" s="6" t="s">
        <v>1199</v>
      </c>
      <c r="C329" s="0" t="s">
        <v>60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3416</v>
      </c>
    </row>
    <row r="330" customFormat="false" ht="17.15" hidden="false" customHeight="false" outlineLevel="0" collapsed="false">
      <c r="A330" s="0" t="s">
        <v>1203</v>
      </c>
      <c r="B330" s="6" t="s">
        <v>1202</v>
      </c>
      <c r="C330" s="0" t="s">
        <v>60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3417</v>
      </c>
    </row>
    <row r="331" customFormat="false" ht="17.15" hidden="false" customHeight="false" outlineLevel="0" collapsed="false">
      <c r="A331" s="0" t="s">
        <v>1206</v>
      </c>
      <c r="B331" s="6" t="s">
        <v>1205</v>
      </c>
      <c r="C331" s="0" t="s">
        <v>60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3418</v>
      </c>
    </row>
    <row r="332" customFormat="false" ht="17.15" hidden="false" customHeight="false" outlineLevel="0" collapsed="false">
      <c r="A332" s="0" t="s">
        <v>1210</v>
      </c>
      <c r="B332" s="6" t="s">
        <v>1208</v>
      </c>
      <c r="C332" s="0" t="s">
        <v>60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3419</v>
      </c>
    </row>
    <row r="333" customFormat="false" ht="17.15" hidden="false" customHeight="false" outlineLevel="0" collapsed="false">
      <c r="A333" s="0" t="s">
        <v>1215</v>
      </c>
      <c r="B333" s="6" t="s">
        <v>1213</v>
      </c>
      <c r="C333" s="0" t="s">
        <v>60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3420</v>
      </c>
    </row>
    <row r="334" customFormat="false" ht="17.15" hidden="false" customHeight="false" outlineLevel="0" collapsed="false">
      <c r="A334" s="0" t="s">
        <v>1218</v>
      </c>
      <c r="B334" s="6" t="s">
        <v>1217</v>
      </c>
      <c r="C334" s="0" t="s">
        <v>60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3421</v>
      </c>
    </row>
    <row r="335" customFormat="false" ht="17.15" hidden="false" customHeight="false" outlineLevel="0" collapsed="false">
      <c r="A335" s="0" t="s">
        <v>1221</v>
      </c>
      <c r="B335" s="6" t="s">
        <v>1220</v>
      </c>
      <c r="C335" s="0" t="s">
        <v>60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3422</v>
      </c>
    </row>
    <row r="336" customFormat="false" ht="17.15" hidden="false" customHeight="false" outlineLevel="0" collapsed="false">
      <c r="A336" s="0" t="s">
        <v>1225</v>
      </c>
      <c r="B336" s="6" t="s">
        <v>1223</v>
      </c>
      <c r="C336" s="0" t="s">
        <v>60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3423</v>
      </c>
    </row>
    <row r="337" customFormat="false" ht="17.15" hidden="false" customHeight="false" outlineLevel="0" collapsed="false">
      <c r="A337" s="0" t="s">
        <v>1228</v>
      </c>
      <c r="B337" s="6" t="s">
        <v>1227</v>
      </c>
      <c r="C337" s="0" t="s">
        <v>60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3424</v>
      </c>
    </row>
    <row r="338" customFormat="false" ht="17.15" hidden="false" customHeight="false" outlineLevel="0" collapsed="false">
      <c r="A338" s="0" t="s">
        <v>1231</v>
      </c>
      <c r="B338" s="6" t="s">
        <v>1230</v>
      </c>
      <c r="C338" s="0" t="s">
        <v>60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3425</v>
      </c>
    </row>
    <row r="339" customFormat="false" ht="17.15" hidden="false" customHeight="false" outlineLevel="0" collapsed="false">
      <c r="A339" s="0" t="s">
        <v>1234</v>
      </c>
      <c r="B339" s="6" t="s">
        <v>1233</v>
      </c>
      <c r="C339" s="0" t="s">
        <v>60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3426</v>
      </c>
    </row>
    <row r="340" customFormat="false" ht="17.15" hidden="false" customHeight="false" outlineLevel="0" collapsed="false">
      <c r="A340" s="0" t="s">
        <v>1238</v>
      </c>
      <c r="B340" s="0" t="s">
        <v>1236</v>
      </c>
      <c r="C340" s="0" t="s">
        <v>60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3427</v>
      </c>
    </row>
    <row r="341" customFormat="false" ht="17.15" hidden="false" customHeight="false" outlineLevel="0" collapsed="false">
      <c r="A341" s="0" t="s">
        <v>1243</v>
      </c>
      <c r="B341" s="0" t="s">
        <v>1241</v>
      </c>
      <c r="C341" s="0" t="s">
        <v>60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3428</v>
      </c>
    </row>
    <row r="342" customFormat="false" ht="17.15" hidden="false" customHeight="false" outlineLevel="0" collapsed="false">
      <c r="A342" s="0" t="s">
        <v>1248</v>
      </c>
      <c r="B342" s="0" t="s">
        <v>1246</v>
      </c>
      <c r="C342" s="0" t="s">
        <v>60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3429</v>
      </c>
    </row>
    <row r="343" customFormat="false" ht="17.15" hidden="false" customHeight="false" outlineLevel="0" collapsed="false">
      <c r="A343" s="0" t="s">
        <v>1255</v>
      </c>
      <c r="B343" s="0" t="s">
        <v>1252</v>
      </c>
      <c r="C343" s="6" t="s">
        <v>1253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3430</v>
      </c>
    </row>
    <row r="344" customFormat="false" ht="17.15" hidden="false" customHeight="false" outlineLevel="0" collapsed="false">
      <c r="A344" s="0" t="s">
        <v>1259</v>
      </c>
      <c r="B344" s="0" t="s">
        <v>1257</v>
      </c>
      <c r="C344" s="6" t="s">
        <v>1253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3431</v>
      </c>
    </row>
    <row r="345" customFormat="false" ht="17.15" hidden="false" customHeight="false" outlineLevel="0" collapsed="false">
      <c r="A345" s="0" t="s">
        <v>1263</v>
      </c>
      <c r="B345" s="0" t="s">
        <v>1261</v>
      </c>
      <c r="C345" s="6" t="s">
        <v>1253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3432</v>
      </c>
    </row>
    <row r="346" customFormat="false" ht="17.15" hidden="false" customHeight="false" outlineLevel="0" collapsed="false">
      <c r="A346" s="0" t="s">
        <v>1267</v>
      </c>
      <c r="B346" s="0" t="s">
        <v>1265</v>
      </c>
      <c r="C346" s="6" t="s">
        <v>1253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3433</v>
      </c>
    </row>
    <row r="347" customFormat="false" ht="17.15" hidden="false" customHeight="false" outlineLevel="0" collapsed="false">
      <c r="A347" s="0" t="s">
        <v>1272</v>
      </c>
      <c r="B347" s="0" t="s">
        <v>1269</v>
      </c>
      <c r="C347" s="6" t="s">
        <v>1253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3434</v>
      </c>
    </row>
    <row r="348" customFormat="false" ht="17.15" hidden="false" customHeight="false" outlineLevel="0" collapsed="false">
      <c r="A348" s="0" t="s">
        <v>1276</v>
      </c>
      <c r="B348" s="0" t="s">
        <v>1274</v>
      </c>
      <c r="C348" s="6" t="s">
        <v>1253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3435</v>
      </c>
    </row>
    <row r="349" customFormat="false" ht="17.15" hidden="false" customHeight="false" outlineLevel="0" collapsed="false">
      <c r="A349" s="0" t="s">
        <v>1280</v>
      </c>
      <c r="B349" s="0" t="s">
        <v>1278</v>
      </c>
      <c r="C349" s="6" t="s">
        <v>1253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3436</v>
      </c>
    </row>
    <row r="350" customFormat="false" ht="17.15" hidden="false" customHeight="false" outlineLevel="0" collapsed="false">
      <c r="A350" s="0" t="s">
        <v>1284</v>
      </c>
      <c r="B350" s="0" t="s">
        <v>1282</v>
      </c>
      <c r="C350" s="6" t="s">
        <v>1253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3437</v>
      </c>
    </row>
    <row r="351" customFormat="false" ht="17.15" hidden="false" customHeight="false" outlineLevel="0" collapsed="false">
      <c r="A351" s="0" t="s">
        <v>1288</v>
      </c>
      <c r="B351" s="0" t="s">
        <v>1286</v>
      </c>
      <c r="C351" s="6" t="s">
        <v>1253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3438</v>
      </c>
    </row>
    <row r="352" customFormat="false" ht="17.15" hidden="false" customHeight="false" outlineLevel="0" collapsed="false">
      <c r="A352" s="0" t="s">
        <v>1292</v>
      </c>
      <c r="B352" s="0" t="s">
        <v>1290</v>
      </c>
      <c r="C352" s="6" t="s">
        <v>1253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3439</v>
      </c>
    </row>
    <row r="353" customFormat="false" ht="17.15" hidden="false" customHeight="false" outlineLevel="0" collapsed="false">
      <c r="A353" s="0" t="s">
        <v>1297</v>
      </c>
      <c r="B353" s="6" t="s">
        <v>1294</v>
      </c>
      <c r="C353" s="6" t="s">
        <v>1295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3440</v>
      </c>
    </row>
    <row r="354" customFormat="false" ht="17.15" hidden="false" customHeight="false" outlineLevel="0" collapsed="false">
      <c r="A354" s="0" t="s">
        <v>1302</v>
      </c>
      <c r="B354" s="6" t="s">
        <v>1300</v>
      </c>
      <c r="C354" s="0" t="s">
        <v>60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3441</v>
      </c>
    </row>
    <row r="355" customFormat="false" ht="17.15" hidden="false" customHeight="false" outlineLevel="0" collapsed="false">
      <c r="A355" s="0" t="s">
        <v>1308</v>
      </c>
      <c r="B355" s="0" t="s">
        <v>1305</v>
      </c>
      <c r="C355" s="6" t="s">
        <v>1306</v>
      </c>
      <c r="E355" s="35" t="n">
        <f aca="false">In!E369</f>
        <v>77.5</v>
      </c>
      <c r="G355" s="0" t="str">
        <f aca="false">In!G369</f>
        <v>Interested-party</v>
      </c>
      <c r="H355" s="12" t="s">
        <v>3442</v>
      </c>
    </row>
    <row r="356" customFormat="false" ht="17.15" hidden="false" customHeight="false" outlineLevel="0" collapsed="false">
      <c r="A356" s="0" t="s">
        <v>1312</v>
      </c>
      <c r="B356" s="0" t="s">
        <v>1310</v>
      </c>
      <c r="C356" s="6" t="s">
        <v>1306</v>
      </c>
      <c r="E356" s="35" t="n">
        <f aca="false">In!E370</f>
        <v>130</v>
      </c>
      <c r="G356" s="0" t="str">
        <f aca="false">In!G370</f>
        <v>Interested-party</v>
      </c>
      <c r="H356" s="12" t="s">
        <v>3443</v>
      </c>
    </row>
    <row r="357" customFormat="false" ht="17.15" hidden="false" customHeight="false" outlineLevel="0" collapsed="false">
      <c r="A357" s="0" t="s">
        <v>1316</v>
      </c>
      <c r="B357" s="0" t="s">
        <v>1314</v>
      </c>
      <c r="C357" s="6" t="s">
        <v>1306</v>
      </c>
      <c r="E357" s="35" t="n">
        <f aca="false">In!E371</f>
        <v>200</v>
      </c>
      <c r="G357" s="0" t="str">
        <f aca="false">In!G371</f>
        <v>Interested-party</v>
      </c>
      <c r="H357" s="12" t="s">
        <v>3444</v>
      </c>
    </row>
    <row r="358" customFormat="false" ht="17.15" hidden="false" customHeight="false" outlineLevel="0" collapsed="false">
      <c r="A358" s="0" t="s">
        <v>1320</v>
      </c>
      <c r="B358" s="0" t="s">
        <v>1318</v>
      </c>
      <c r="C358" s="6" t="s">
        <v>1306</v>
      </c>
      <c r="E358" s="35" t="n">
        <f aca="false">In!E372</f>
        <v>260</v>
      </c>
      <c r="G358" s="0" t="str">
        <f aca="false">In!G372</f>
        <v>Interested-party</v>
      </c>
      <c r="H358" s="12" t="s">
        <v>3445</v>
      </c>
    </row>
    <row r="359" customFormat="false" ht="17.15" hidden="false" customHeight="false" outlineLevel="0" collapsed="false">
      <c r="A359" s="0" t="s">
        <v>1324</v>
      </c>
      <c r="B359" s="0" t="s">
        <v>1322</v>
      </c>
      <c r="C359" s="6" t="s">
        <v>1306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3446</v>
      </c>
    </row>
    <row r="360" customFormat="false" ht="17.15" hidden="false" customHeight="false" outlineLevel="0" collapsed="false">
      <c r="A360" s="0" t="s">
        <v>1329</v>
      </c>
      <c r="B360" s="6" t="s">
        <v>1327</v>
      </c>
      <c r="C360" s="0" t="s">
        <v>60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3447</v>
      </c>
    </row>
    <row r="361" customFormat="false" ht="17.15" hidden="false" customHeight="false" outlineLevel="0" collapsed="false">
      <c r="A361" s="0" t="s">
        <v>1333</v>
      </c>
      <c r="B361" s="0" t="s">
        <v>1331</v>
      </c>
      <c r="C361" s="6" t="s">
        <v>1295</v>
      </c>
      <c r="E361" s="35" t="n">
        <f aca="false">In!E375</f>
        <v>1394</v>
      </c>
      <c r="G361" s="0" t="str">
        <f aca="false">In!G375</f>
        <v>Interested-party</v>
      </c>
      <c r="H361" s="12" t="s">
        <v>3448</v>
      </c>
    </row>
    <row r="362" customFormat="false" ht="17.15" hidden="false" customHeight="false" outlineLevel="0" collapsed="false">
      <c r="A362" s="0" t="s">
        <v>1337</v>
      </c>
      <c r="B362" s="0" t="s">
        <v>1335</v>
      </c>
      <c r="C362" s="6" t="s">
        <v>1295</v>
      </c>
      <c r="E362" s="35" t="n">
        <f aca="false">In!E376</f>
        <v>2509</v>
      </c>
      <c r="G362" s="0" t="str">
        <f aca="false">In!G376</f>
        <v>Interested-party</v>
      </c>
      <c r="H362" s="12" t="s">
        <v>3449</v>
      </c>
    </row>
    <row r="363" customFormat="false" ht="17.15" hidden="false" customHeight="false" outlineLevel="0" collapsed="false">
      <c r="A363" s="0" t="s">
        <v>1343</v>
      </c>
      <c r="B363" s="6" t="s">
        <v>1340</v>
      </c>
      <c r="C363" s="0" t="s">
        <v>1341</v>
      </c>
      <c r="E363" s="35" t="n">
        <f aca="false">In!E378</f>
        <v>7.72</v>
      </c>
      <c r="G363" s="0" t="str">
        <f aca="false">In!G378</f>
        <v>Interested-party</v>
      </c>
      <c r="H363" s="12" t="s">
        <v>3450</v>
      </c>
    </row>
    <row r="364" customFormat="false" ht="17.15" hidden="false" customHeight="false" outlineLevel="0" collapsed="false">
      <c r="A364" s="0" t="s">
        <v>1348</v>
      </c>
      <c r="B364" s="6" t="s">
        <v>1346</v>
      </c>
      <c r="C364" s="0" t="s">
        <v>60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3451</v>
      </c>
    </row>
    <row r="365" customFormat="false" ht="17.15" hidden="false" customHeight="false" outlineLevel="0" collapsed="false">
      <c r="A365" s="0" t="s">
        <v>1353</v>
      </c>
      <c r="B365" s="0" t="s">
        <v>1351</v>
      </c>
      <c r="C365" s="0" t="s">
        <v>60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3452</v>
      </c>
    </row>
    <row r="366" customFormat="false" ht="17.15" hidden="false" customHeight="false" outlineLevel="0" collapsed="false">
      <c r="A366" s="0" t="s">
        <v>1358</v>
      </c>
      <c r="B366" s="6" t="s">
        <v>1356</v>
      </c>
      <c r="C366" s="0" t="s">
        <v>60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3453</v>
      </c>
    </row>
    <row r="367" customFormat="false" ht="17.15" hidden="false" customHeight="false" outlineLevel="0" collapsed="false">
      <c r="A367" s="0" t="s">
        <v>1363</v>
      </c>
      <c r="B367" s="6" t="s">
        <v>1361</v>
      </c>
      <c r="C367" s="0" t="s">
        <v>489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3454</v>
      </c>
    </row>
    <row r="368" customFormat="false" ht="17.15" hidden="false" customHeight="false" outlineLevel="0" collapsed="false">
      <c r="A368" s="0" t="s">
        <v>1368</v>
      </c>
      <c r="B368" s="6" t="s">
        <v>1366</v>
      </c>
      <c r="C368" s="0" t="s">
        <v>60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3455</v>
      </c>
    </row>
    <row r="369" customFormat="false" ht="17.15" hidden="false" customHeight="false" outlineLevel="0" collapsed="false">
      <c r="A369" s="0" t="s">
        <v>1373</v>
      </c>
      <c r="B369" s="0" t="s">
        <v>1371</v>
      </c>
      <c r="C369" s="0" t="s">
        <v>1341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3456</v>
      </c>
    </row>
    <row r="370" customFormat="false" ht="17.15" hidden="false" customHeight="false" outlineLevel="0" collapsed="false">
      <c r="A370" s="0" t="s">
        <v>1378</v>
      </c>
      <c r="B370" s="6" t="s">
        <v>1376</v>
      </c>
      <c r="C370" s="0" t="s">
        <v>1341</v>
      </c>
      <c r="E370" s="35" t="n">
        <f aca="false">In!E385</f>
        <v>3.07</v>
      </c>
      <c r="G370" s="0" t="str">
        <f aca="false">In!G385</f>
        <v>Derived</v>
      </c>
      <c r="H370" s="12" t="s">
        <v>3457</v>
      </c>
    </row>
    <row r="371" customFormat="false" ht="17.15" hidden="false" customHeight="false" outlineLevel="0" collapsed="false">
      <c r="A371" s="0" t="s">
        <v>1383</v>
      </c>
      <c r="B371" s="6" t="s">
        <v>1381</v>
      </c>
      <c r="C371" s="0" t="s">
        <v>1341</v>
      </c>
      <c r="E371" s="35" t="n">
        <f aca="false">In!E386</f>
        <v>1.06</v>
      </c>
      <c r="G371" s="0" t="str">
        <f aca="false">In!G386</f>
        <v>Derived</v>
      </c>
      <c r="H371" s="12" t="s">
        <v>3458</v>
      </c>
    </row>
    <row r="372" customFormat="false" ht="17.15" hidden="false" customHeight="false" outlineLevel="0" collapsed="false">
      <c r="A372" s="0" t="s">
        <v>1387</v>
      </c>
      <c r="B372" s="6" t="s">
        <v>1385</v>
      </c>
      <c r="C372" s="0" t="s">
        <v>1341</v>
      </c>
      <c r="E372" s="35" t="n">
        <f aca="false">In!E387</f>
        <v>0.7</v>
      </c>
      <c r="G372" s="0" t="str">
        <f aca="false">In!G387</f>
        <v>Derived</v>
      </c>
      <c r="H372" s="12" t="s">
        <v>3459</v>
      </c>
    </row>
    <row r="373" customFormat="false" ht="17.15" hidden="false" customHeight="false" outlineLevel="0" collapsed="false">
      <c r="A373" s="0" t="s">
        <v>1390</v>
      </c>
      <c r="B373" s="0" t="s">
        <v>1389</v>
      </c>
      <c r="C373" s="0" t="s">
        <v>489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3460</v>
      </c>
    </row>
    <row r="374" customFormat="false" ht="17.15" hidden="false" customHeight="false" outlineLevel="0" collapsed="false">
      <c r="A374" s="0" t="s">
        <v>1394</v>
      </c>
      <c r="B374" s="0" t="s">
        <v>1393</v>
      </c>
      <c r="C374" s="0" t="s">
        <v>489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3461</v>
      </c>
    </row>
    <row r="375" customFormat="false" ht="17.15" hidden="false" customHeight="false" outlineLevel="0" collapsed="false">
      <c r="A375" s="0" t="s">
        <v>1397</v>
      </c>
      <c r="B375" s="0" t="s">
        <v>1396</v>
      </c>
      <c r="C375" s="0" t="s">
        <v>489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3462</v>
      </c>
    </row>
    <row r="376" customFormat="false" ht="17.15" hidden="false" customHeight="false" outlineLevel="0" collapsed="false">
      <c r="A376" s="0" t="s">
        <v>1401</v>
      </c>
      <c r="B376" s="0" t="s">
        <v>1399</v>
      </c>
      <c r="C376" s="0" t="s">
        <v>489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3463</v>
      </c>
    </row>
    <row r="377" customFormat="false" ht="17.15" hidden="false" customHeight="false" outlineLevel="0" collapsed="false">
      <c r="A377" s="0" t="s">
        <v>1405</v>
      </c>
      <c r="B377" s="0" t="s">
        <v>1404</v>
      </c>
      <c r="C377" s="0" t="s">
        <v>489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3464</v>
      </c>
    </row>
    <row r="378" customFormat="false" ht="17.15" hidden="false" customHeight="false" outlineLevel="0" collapsed="false">
      <c r="A378" s="0" t="s">
        <v>1409</v>
      </c>
      <c r="B378" s="0" t="s">
        <v>1408</v>
      </c>
      <c r="C378" s="0" t="s">
        <v>489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3465</v>
      </c>
    </row>
    <row r="379" customFormat="false" ht="17.15" hidden="false" customHeight="false" outlineLevel="0" collapsed="false">
      <c r="A379" s="0" t="s">
        <v>1412</v>
      </c>
      <c r="B379" s="0" t="s">
        <v>1399</v>
      </c>
      <c r="C379" s="0" t="s">
        <v>489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3466</v>
      </c>
    </row>
    <row r="380" customFormat="false" ht="17.15" hidden="false" customHeight="false" outlineLevel="0" collapsed="false">
      <c r="A380" s="0" t="s">
        <v>1415</v>
      </c>
      <c r="B380" s="0" t="s">
        <v>1404</v>
      </c>
      <c r="C380" s="0" t="s">
        <v>489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3467</v>
      </c>
    </row>
    <row r="381" customFormat="false" ht="17.15" hidden="false" customHeight="false" outlineLevel="0" collapsed="false">
      <c r="A381" s="0" t="s">
        <v>1418</v>
      </c>
      <c r="B381" s="0" t="s">
        <v>1408</v>
      </c>
      <c r="C381" s="0" t="s">
        <v>489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3468</v>
      </c>
    </row>
    <row r="382" customFormat="false" ht="17.15" hidden="false" customHeight="false" outlineLevel="0" collapsed="false">
      <c r="A382" s="0" t="s">
        <v>1421</v>
      </c>
      <c r="B382" s="0" t="s">
        <v>1399</v>
      </c>
      <c r="C382" s="0" t="s">
        <v>489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3469</v>
      </c>
    </row>
    <row r="383" customFormat="false" ht="17.15" hidden="false" customHeight="false" outlineLevel="0" collapsed="false">
      <c r="A383" s="0" t="s">
        <v>1425</v>
      </c>
      <c r="B383" s="0" t="s">
        <v>1404</v>
      </c>
      <c r="C383" s="0" t="s">
        <v>489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3470</v>
      </c>
    </row>
    <row r="384" customFormat="false" ht="17.15" hidden="false" customHeight="false" outlineLevel="0" collapsed="false">
      <c r="A384" s="0" t="s">
        <v>1428</v>
      </c>
      <c r="B384" s="0" t="s">
        <v>1408</v>
      </c>
      <c r="C384" s="0" t="s">
        <v>489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3471</v>
      </c>
    </row>
    <row r="385" customFormat="false" ht="17.15" hidden="false" customHeight="false" outlineLevel="0" collapsed="false">
      <c r="A385" s="0" t="s">
        <v>1432</v>
      </c>
      <c r="B385" s="6" t="s">
        <v>1430</v>
      </c>
      <c r="C385" s="0" t="s">
        <v>489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3472</v>
      </c>
    </row>
    <row r="386" customFormat="false" ht="17.15" hidden="false" customHeight="false" outlineLevel="0" collapsed="false">
      <c r="A386" s="0" t="s">
        <v>1436</v>
      </c>
      <c r="B386" s="6" t="s">
        <v>1435</v>
      </c>
      <c r="C386" s="0" t="s">
        <v>489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3473</v>
      </c>
    </row>
    <row r="387" customFormat="false" ht="17.15" hidden="false" customHeight="false" outlineLevel="0" collapsed="false">
      <c r="A387" s="0" t="s">
        <v>1439</v>
      </c>
      <c r="B387" s="6" t="s">
        <v>1438</v>
      </c>
      <c r="C387" s="0" t="s">
        <v>489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3474</v>
      </c>
    </row>
    <row r="388" customFormat="false" ht="17.15" hidden="false" customHeight="false" outlineLevel="0" collapsed="false">
      <c r="A388" s="0" t="s">
        <v>1443</v>
      </c>
      <c r="B388" s="0" t="s">
        <v>1441</v>
      </c>
      <c r="C388" s="0" t="s">
        <v>489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3475</v>
      </c>
    </row>
    <row r="389" customFormat="false" ht="17.15" hidden="false" customHeight="false" outlineLevel="0" collapsed="false">
      <c r="A389" s="0" t="s">
        <v>1447</v>
      </c>
      <c r="B389" s="0" t="s">
        <v>1446</v>
      </c>
      <c r="C389" s="0" t="s">
        <v>489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3476</v>
      </c>
    </row>
    <row r="390" customFormat="false" ht="17.15" hidden="false" customHeight="false" outlineLevel="0" collapsed="false">
      <c r="A390" s="0" t="s">
        <v>1450</v>
      </c>
      <c r="B390" s="0" t="s">
        <v>1449</v>
      </c>
      <c r="C390" s="0" t="s">
        <v>489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3477</v>
      </c>
    </row>
    <row r="391" customFormat="false" ht="17.15" hidden="false" customHeight="false" outlineLevel="0" collapsed="false">
      <c r="A391" s="0" t="s">
        <v>1456</v>
      </c>
      <c r="B391" s="6" t="s">
        <v>1453</v>
      </c>
      <c r="C391" s="0" t="s">
        <v>1454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3478</v>
      </c>
    </row>
    <row r="392" customFormat="false" ht="17.15" hidden="false" customHeight="false" outlineLevel="0" collapsed="false">
      <c r="A392" s="0" t="s">
        <v>1461</v>
      </c>
      <c r="B392" s="6" t="s">
        <v>1459</v>
      </c>
      <c r="C392" s="0" t="s">
        <v>1454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3479</v>
      </c>
    </row>
    <row r="393" customFormat="false" ht="17.15" hidden="false" customHeight="false" outlineLevel="0" collapsed="false">
      <c r="A393" s="0" t="s">
        <v>1466</v>
      </c>
      <c r="B393" s="6" t="s">
        <v>1464</v>
      </c>
      <c r="C393" s="0" t="s">
        <v>1454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3480</v>
      </c>
    </row>
    <row r="394" customFormat="false" ht="17.15" hidden="false" customHeight="false" outlineLevel="0" collapsed="false">
      <c r="A394" s="0" t="s">
        <v>1471</v>
      </c>
      <c r="B394" s="6" t="s">
        <v>1469</v>
      </c>
      <c r="C394" s="0" t="s">
        <v>489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3481</v>
      </c>
    </row>
    <row r="395" customFormat="false" ht="17.15" hidden="false" customHeight="false" outlineLevel="0" collapsed="false">
      <c r="A395" s="0" t="s">
        <v>1475</v>
      </c>
      <c r="B395" s="6" t="s">
        <v>1474</v>
      </c>
      <c r="C395" s="0" t="s">
        <v>489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3482</v>
      </c>
    </row>
    <row r="396" customFormat="false" ht="17.15" hidden="false" customHeight="false" outlineLevel="0" collapsed="false">
      <c r="A396" s="0" t="s">
        <v>1478</v>
      </c>
      <c r="B396" s="6" t="s">
        <v>1477</v>
      </c>
      <c r="C396" s="0" t="s">
        <v>489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3483</v>
      </c>
    </row>
    <row r="397" customFormat="false" ht="17.15" hidden="false" customHeight="false" outlineLevel="0" collapsed="false">
      <c r="A397" s="0" t="s">
        <v>1482</v>
      </c>
      <c r="B397" s="6" t="s">
        <v>1480</v>
      </c>
      <c r="C397" s="0" t="s">
        <v>489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3484</v>
      </c>
    </row>
    <row r="398" customFormat="false" ht="17.15" hidden="false" customHeight="false" outlineLevel="0" collapsed="false">
      <c r="A398" s="0" t="s">
        <v>1486</v>
      </c>
      <c r="B398" s="6" t="s">
        <v>1485</v>
      </c>
      <c r="C398" s="0" t="s">
        <v>489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3485</v>
      </c>
    </row>
    <row r="399" customFormat="false" ht="17.15" hidden="false" customHeight="false" outlineLevel="0" collapsed="false">
      <c r="A399" s="0" t="s">
        <v>1489</v>
      </c>
      <c r="B399" s="6" t="s">
        <v>1488</v>
      </c>
      <c r="C399" s="0" t="s">
        <v>489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3486</v>
      </c>
    </row>
    <row r="400" customFormat="false" ht="17.15" hidden="false" customHeight="false" outlineLevel="0" collapsed="false">
      <c r="A400" s="0" t="s">
        <v>1493</v>
      </c>
      <c r="B400" s="6" t="s">
        <v>1491</v>
      </c>
      <c r="C400" s="0" t="s">
        <v>489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3487</v>
      </c>
    </row>
    <row r="401" customFormat="false" ht="17.15" hidden="false" customHeight="false" outlineLevel="0" collapsed="false">
      <c r="A401" s="0" t="s">
        <v>1497</v>
      </c>
      <c r="B401" s="6" t="s">
        <v>1496</v>
      </c>
      <c r="C401" s="0" t="s">
        <v>489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3488</v>
      </c>
    </row>
    <row r="402" customFormat="false" ht="17.15" hidden="false" customHeight="false" outlineLevel="0" collapsed="false">
      <c r="A402" s="0" t="s">
        <v>1500</v>
      </c>
      <c r="B402" s="6" t="s">
        <v>1499</v>
      </c>
      <c r="C402" s="0" t="s">
        <v>489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3489</v>
      </c>
    </row>
    <row r="403" customFormat="false" ht="17.15" hidden="false" customHeight="false" outlineLevel="0" collapsed="false">
      <c r="A403" s="0" t="s">
        <v>1504</v>
      </c>
      <c r="B403" s="6" t="s">
        <v>1502</v>
      </c>
      <c r="C403" s="0" t="s">
        <v>1454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3490</v>
      </c>
    </row>
    <row r="404" customFormat="false" ht="17.15" hidden="false" customHeight="false" outlineLevel="0" collapsed="false">
      <c r="A404" s="0" t="s">
        <v>1509</v>
      </c>
      <c r="B404" s="6" t="s">
        <v>1507</v>
      </c>
      <c r="C404" s="0" t="s">
        <v>1454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3491</v>
      </c>
    </row>
    <row r="405" customFormat="false" ht="17.15" hidden="false" customHeight="false" outlineLevel="0" collapsed="false">
      <c r="A405" s="0" t="s">
        <v>1514</v>
      </c>
      <c r="B405" s="6" t="s">
        <v>1512</v>
      </c>
      <c r="C405" s="0" t="s">
        <v>1454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3492</v>
      </c>
    </row>
    <row r="406" customFormat="false" ht="17.15" hidden="false" customHeight="false" outlineLevel="0" collapsed="false">
      <c r="A406" s="0" t="s">
        <v>1519</v>
      </c>
      <c r="B406" s="6" t="s">
        <v>1517</v>
      </c>
      <c r="C406" s="0" t="s">
        <v>489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3493</v>
      </c>
    </row>
    <row r="407" customFormat="false" ht="17.15" hidden="false" customHeight="false" outlineLevel="0" collapsed="false">
      <c r="A407" s="0" t="s">
        <v>1523</v>
      </c>
      <c r="B407" s="6" t="s">
        <v>1522</v>
      </c>
      <c r="C407" s="0" t="s">
        <v>489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3494</v>
      </c>
    </row>
    <row r="408" customFormat="false" ht="17.15" hidden="false" customHeight="false" outlineLevel="0" collapsed="false">
      <c r="A408" s="0" t="s">
        <v>1526</v>
      </c>
      <c r="B408" s="6" t="s">
        <v>1525</v>
      </c>
      <c r="C408" s="0" t="s">
        <v>489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3495</v>
      </c>
    </row>
    <row r="409" customFormat="false" ht="17.15" hidden="false" customHeight="false" outlineLevel="0" collapsed="false">
      <c r="A409" s="0" t="s">
        <v>1530</v>
      </c>
      <c r="B409" s="6" t="s">
        <v>1528</v>
      </c>
      <c r="C409" s="0" t="s">
        <v>489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3496</v>
      </c>
    </row>
    <row r="410" customFormat="false" ht="17.15" hidden="false" customHeight="false" outlineLevel="0" collapsed="false">
      <c r="A410" s="0" t="s">
        <v>1534</v>
      </c>
      <c r="B410" s="6" t="s">
        <v>1533</v>
      </c>
      <c r="C410" s="0" t="s">
        <v>489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3497</v>
      </c>
    </row>
    <row r="411" customFormat="false" ht="17.15" hidden="false" customHeight="false" outlineLevel="0" collapsed="false">
      <c r="A411" s="0" t="s">
        <v>1537</v>
      </c>
      <c r="B411" s="6" t="s">
        <v>1536</v>
      </c>
      <c r="C411" s="0" t="s">
        <v>489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3498</v>
      </c>
    </row>
    <row r="412" customFormat="false" ht="17.15" hidden="false" customHeight="false" outlineLevel="0" collapsed="false">
      <c r="A412" s="0" t="s">
        <v>1541</v>
      </c>
      <c r="B412" s="6" t="s">
        <v>1539</v>
      </c>
      <c r="C412" s="0" t="s">
        <v>489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3499</v>
      </c>
    </row>
    <row r="413" customFormat="false" ht="17.15" hidden="false" customHeight="false" outlineLevel="0" collapsed="false">
      <c r="A413" s="0" t="s">
        <v>1545</v>
      </c>
      <c r="B413" s="6" t="s">
        <v>1544</v>
      </c>
      <c r="C413" s="0" t="s">
        <v>489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3500</v>
      </c>
    </row>
    <row r="414" customFormat="false" ht="17.15" hidden="false" customHeight="false" outlineLevel="0" collapsed="false">
      <c r="A414" s="0" t="s">
        <v>1548</v>
      </c>
      <c r="B414" s="6" t="s">
        <v>1547</v>
      </c>
      <c r="C414" s="0" t="s">
        <v>489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3501</v>
      </c>
    </row>
    <row r="415" customFormat="false" ht="17.15" hidden="false" customHeight="false" outlineLevel="0" collapsed="false">
      <c r="A415" s="0" t="s">
        <v>1554</v>
      </c>
      <c r="B415" s="0" t="s">
        <v>1551</v>
      </c>
      <c r="C415" s="0" t="s">
        <v>1552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3502</v>
      </c>
    </row>
    <row r="416" customFormat="false" ht="17.15" hidden="false" customHeight="false" outlineLevel="0" collapsed="false">
      <c r="A416" s="0" t="s">
        <v>1559</v>
      </c>
      <c r="B416" s="0" t="s">
        <v>1557</v>
      </c>
      <c r="C416" s="0" t="s">
        <v>1552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3503</v>
      </c>
    </row>
    <row r="417" customFormat="false" ht="17.15" hidden="false" customHeight="false" outlineLevel="0" collapsed="false">
      <c r="A417" s="0" t="s">
        <v>1564</v>
      </c>
      <c r="B417" s="0" t="s">
        <v>1562</v>
      </c>
      <c r="C417" s="0" t="s">
        <v>1552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3504</v>
      </c>
    </row>
    <row r="418" customFormat="false" ht="17.15" hidden="false" customHeight="false" outlineLevel="0" collapsed="false">
      <c r="A418" s="0" t="s">
        <v>1568</v>
      </c>
      <c r="B418" s="0" t="s">
        <v>1567</v>
      </c>
      <c r="C418" s="0" t="s">
        <v>1552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3505</v>
      </c>
    </row>
    <row r="419" customFormat="false" ht="17.15" hidden="false" customHeight="false" outlineLevel="0" collapsed="false">
      <c r="A419" s="0" t="s">
        <v>1572</v>
      </c>
      <c r="B419" s="6" t="s">
        <v>1570</v>
      </c>
      <c r="C419" s="0" t="s">
        <v>489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3506</v>
      </c>
    </row>
    <row r="420" customFormat="false" ht="17.15" hidden="false" customHeight="false" outlineLevel="0" collapsed="false">
      <c r="A420" s="0" t="s">
        <v>1576</v>
      </c>
      <c r="B420" s="6" t="s">
        <v>1575</v>
      </c>
      <c r="C420" s="0" t="s">
        <v>489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3507</v>
      </c>
    </row>
    <row r="421" customFormat="false" ht="17.15" hidden="false" customHeight="false" outlineLevel="0" collapsed="false">
      <c r="A421" s="0" t="s">
        <v>1579</v>
      </c>
      <c r="B421" s="6" t="s">
        <v>1578</v>
      </c>
      <c r="C421" s="0" t="s">
        <v>489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3508</v>
      </c>
    </row>
    <row r="422" customFormat="false" ht="17.15" hidden="false" customHeight="false" outlineLevel="0" collapsed="false">
      <c r="A422" s="0" t="s">
        <v>1583</v>
      </c>
      <c r="B422" s="6" t="s">
        <v>1581</v>
      </c>
      <c r="C422" s="0" t="s">
        <v>489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3509</v>
      </c>
    </row>
    <row r="423" customFormat="false" ht="17.15" hidden="false" customHeight="false" outlineLevel="0" collapsed="false">
      <c r="A423" s="0" t="s">
        <v>1587</v>
      </c>
      <c r="B423" s="6" t="s">
        <v>1586</v>
      </c>
      <c r="C423" s="0" t="s">
        <v>489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3510</v>
      </c>
    </row>
    <row r="424" customFormat="false" ht="17.15" hidden="false" customHeight="false" outlineLevel="0" collapsed="false">
      <c r="A424" s="0" t="s">
        <v>1590</v>
      </c>
      <c r="B424" s="6" t="s">
        <v>1589</v>
      </c>
      <c r="C424" s="0" t="s">
        <v>489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3511</v>
      </c>
    </row>
    <row r="425" customFormat="false" ht="17.15" hidden="false" customHeight="false" outlineLevel="0" collapsed="false">
      <c r="A425" s="0" t="s">
        <v>1594</v>
      </c>
      <c r="B425" s="6" t="s">
        <v>1592</v>
      </c>
      <c r="C425" s="0" t="s">
        <v>60</v>
      </c>
      <c r="E425" s="20" t="n">
        <f aca="false">In!E442</f>
        <v>0.583671939396773</v>
      </c>
      <c r="G425" s="0" t="str">
        <f aca="false">In!G442</f>
        <v>Derived</v>
      </c>
      <c r="H425" s="12" t="s">
        <v>3512</v>
      </c>
    </row>
    <row r="426" customFormat="false" ht="17.15" hidden="false" customHeight="false" outlineLevel="0" collapsed="false">
      <c r="A426" s="0" t="s">
        <v>1599</v>
      </c>
      <c r="B426" s="6" t="s">
        <v>1597</v>
      </c>
      <c r="C426" s="0" t="s">
        <v>60</v>
      </c>
      <c r="E426" s="20" t="n">
        <f aca="false">In!E443</f>
        <v>0.176143316327046</v>
      </c>
      <c r="G426" s="0" t="str">
        <f aca="false">In!G443</f>
        <v>Derived</v>
      </c>
      <c r="H426" s="12" t="s">
        <v>3513</v>
      </c>
    </row>
    <row r="427" customFormat="false" ht="17.15" hidden="false" customHeight="false" outlineLevel="0" collapsed="false">
      <c r="A427" s="0" t="s">
        <v>1604</v>
      </c>
      <c r="B427" s="6" t="s">
        <v>1602</v>
      </c>
      <c r="C427" s="0" t="s">
        <v>60</v>
      </c>
      <c r="E427" s="20" t="n">
        <f aca="false">In!E444</f>
        <v>0.7</v>
      </c>
      <c r="G427" s="0" t="str">
        <f aca="false">In!G444</f>
        <v>Interested-party</v>
      </c>
      <c r="H427" s="12" t="s">
        <v>3514</v>
      </c>
    </row>
    <row r="428" customFormat="false" ht="17.15" hidden="false" customHeight="false" outlineLevel="0" collapsed="false">
      <c r="A428" s="0" t="s">
        <v>1609</v>
      </c>
      <c r="B428" s="6" t="s">
        <v>1607</v>
      </c>
      <c r="C428" s="0" t="s">
        <v>60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3515</v>
      </c>
    </row>
    <row r="429" customFormat="false" ht="17.15" hidden="false" customHeight="false" outlineLevel="0" collapsed="false">
      <c r="A429" s="0" t="s">
        <v>1614</v>
      </c>
      <c r="B429" s="0" t="s">
        <v>1612</v>
      </c>
      <c r="C429" s="0" t="s">
        <v>1341</v>
      </c>
      <c r="E429" s="35" t="n">
        <f aca="false">In!E446</f>
        <v>17.7</v>
      </c>
      <c r="G429" s="0" t="str">
        <f aca="false">In!G446</f>
        <v>Interested-party</v>
      </c>
      <c r="H429" s="12" t="s">
        <v>3516</v>
      </c>
    </row>
    <row r="430" customFormat="false" ht="17.15" hidden="false" customHeight="false" outlineLevel="0" collapsed="false">
      <c r="A430" s="0" t="s">
        <v>1618</v>
      </c>
      <c r="B430" s="0" t="s">
        <v>1617</v>
      </c>
      <c r="C430" s="0" t="s">
        <v>1341</v>
      </c>
      <c r="E430" s="35" t="n">
        <f aca="false">In!E447</f>
        <v>38.2</v>
      </c>
      <c r="G430" s="0" t="str">
        <f aca="false">In!G447</f>
        <v>Interested-party</v>
      </c>
      <c r="H430" s="12" t="s">
        <v>3517</v>
      </c>
    </row>
    <row r="431" customFormat="false" ht="17.15" hidden="false" customHeight="false" outlineLevel="0" collapsed="false">
      <c r="A431" s="0" t="s">
        <v>1624</v>
      </c>
      <c r="B431" s="0" t="s">
        <v>1621</v>
      </c>
      <c r="C431" s="0" t="s">
        <v>1622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3518</v>
      </c>
    </row>
    <row r="432" customFormat="false" ht="17.15" hidden="false" customHeight="false" outlineLevel="0" collapsed="false">
      <c r="A432" s="0" t="s">
        <v>1629</v>
      </c>
      <c r="B432" s="0" t="s">
        <v>1627</v>
      </c>
      <c r="C432" s="0" t="s">
        <v>1622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3519</v>
      </c>
    </row>
    <row r="433" customFormat="false" ht="17.15" hidden="false" customHeight="false" outlineLevel="0" collapsed="false">
      <c r="A433" s="0" t="s">
        <v>1634</v>
      </c>
      <c r="B433" s="0" t="s">
        <v>1632</v>
      </c>
      <c r="C433" s="0" t="s">
        <v>60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3520</v>
      </c>
    </row>
    <row r="434" customFormat="false" ht="17.15" hidden="false" customHeight="false" outlineLevel="0" collapsed="false">
      <c r="A434" s="0" t="s">
        <v>1640</v>
      </c>
      <c r="B434" s="0" t="s">
        <v>1638</v>
      </c>
      <c r="C434" s="0" t="s">
        <v>628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3521</v>
      </c>
    </row>
    <row r="435" customFormat="false" ht="17.15" hidden="false" customHeight="false" outlineLevel="0" collapsed="false">
      <c r="A435" s="0" t="s">
        <v>1644</v>
      </c>
      <c r="B435" s="0" t="s">
        <v>1643</v>
      </c>
      <c r="C435" s="0" t="s">
        <v>628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3522</v>
      </c>
    </row>
    <row r="436" customFormat="false" ht="15" hidden="false" customHeight="false" outlineLevel="0" collapsed="false">
      <c r="A436" s="0" t="s">
        <v>1649</v>
      </c>
      <c r="B436" s="6" t="s">
        <v>1647</v>
      </c>
      <c r="C436" s="0" t="s">
        <v>628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3523</v>
      </c>
    </row>
    <row r="437" customFormat="false" ht="17.15" hidden="false" customHeight="false" outlineLevel="0" collapsed="false">
      <c r="A437" s="0" t="s">
        <v>1654</v>
      </c>
      <c r="B437" s="6" t="s">
        <v>1652</v>
      </c>
      <c r="C437" s="0" t="s">
        <v>489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3524</v>
      </c>
    </row>
    <row r="438" customFormat="false" ht="17.15" hidden="false" customHeight="false" outlineLevel="0" collapsed="false">
      <c r="A438" s="0" t="s">
        <v>1658</v>
      </c>
      <c r="B438" s="6" t="s">
        <v>1657</v>
      </c>
      <c r="C438" s="0" t="s">
        <v>489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3525</v>
      </c>
    </row>
    <row r="439" customFormat="false" ht="17.15" hidden="false" customHeight="false" outlineLevel="0" collapsed="false">
      <c r="A439" s="0" t="s">
        <v>1661</v>
      </c>
      <c r="B439" s="6" t="s">
        <v>1660</v>
      </c>
      <c r="C439" s="0" t="s">
        <v>489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3526</v>
      </c>
    </row>
    <row r="440" customFormat="false" ht="17.15" hidden="false" customHeight="false" outlineLevel="0" collapsed="false">
      <c r="A440" s="0" t="s">
        <v>1665</v>
      </c>
      <c r="B440" s="6" t="s">
        <v>1663</v>
      </c>
      <c r="C440" s="0" t="s">
        <v>60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3527</v>
      </c>
    </row>
    <row r="441" customFormat="false" ht="17.15" hidden="false" customHeight="false" outlineLevel="0" collapsed="false">
      <c r="A441" s="0" t="s">
        <v>1669</v>
      </c>
      <c r="B441" s="6" t="s">
        <v>1668</v>
      </c>
      <c r="C441" s="0" t="s">
        <v>60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3528</v>
      </c>
    </row>
    <row r="442" customFormat="false" ht="17.15" hidden="false" customHeight="false" outlineLevel="0" collapsed="false">
      <c r="A442" s="0" t="s">
        <v>1672</v>
      </c>
      <c r="B442" s="6" t="s">
        <v>1671</v>
      </c>
      <c r="C442" s="0" t="s">
        <v>60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3529</v>
      </c>
    </row>
    <row r="443" customFormat="false" ht="17.15" hidden="false" customHeight="false" outlineLevel="0" collapsed="false">
      <c r="A443" s="0" t="s">
        <v>1675</v>
      </c>
      <c r="B443" s="6" t="s">
        <v>1674</v>
      </c>
      <c r="C443" s="0" t="s">
        <v>60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3530</v>
      </c>
    </row>
    <row r="444" customFormat="false" ht="17.15" hidden="false" customHeight="false" outlineLevel="0" collapsed="false">
      <c r="A444" s="0" t="s">
        <v>1679</v>
      </c>
      <c r="B444" s="0" t="s">
        <v>1677</v>
      </c>
      <c r="C444" s="0" t="s">
        <v>60</v>
      </c>
      <c r="E444" s="20" t="n">
        <f aca="false">In!E463</f>
        <v>0.53</v>
      </c>
      <c r="G444" s="0" t="str">
        <f aca="false">In!G463</f>
        <v>Interested-party</v>
      </c>
      <c r="H444" s="12" t="s">
        <v>3531</v>
      </c>
    </row>
    <row r="445" customFormat="false" ht="17.15" hidden="false" customHeight="false" outlineLevel="0" collapsed="false">
      <c r="A445" s="0" t="s">
        <v>1682</v>
      </c>
      <c r="B445" s="0" t="s">
        <v>1681</v>
      </c>
      <c r="C445" s="0" t="s">
        <v>60</v>
      </c>
      <c r="E445" s="20" t="n">
        <f aca="false">In!E464</f>
        <v>0.6</v>
      </c>
      <c r="G445" s="0" t="str">
        <f aca="false">In!G464</f>
        <v>Interested-party</v>
      </c>
      <c r="H445" s="12" t="s">
        <v>3532</v>
      </c>
    </row>
    <row r="446" customFormat="false" ht="17.15" hidden="false" customHeight="false" outlineLevel="0" collapsed="false">
      <c r="A446" s="0" t="s">
        <v>1687</v>
      </c>
      <c r="B446" s="6" t="s">
        <v>1685</v>
      </c>
      <c r="C446" s="0" t="s">
        <v>60</v>
      </c>
      <c r="E446" s="20" t="n">
        <f aca="false">In!E465</f>
        <v>0.498927641116677</v>
      </c>
      <c r="G446" s="0" t="str">
        <f aca="false">In!G465</f>
        <v>Derived</v>
      </c>
      <c r="H446" s="12" t="s">
        <v>3533</v>
      </c>
    </row>
    <row r="447" customFormat="false" ht="17.15" hidden="false" customHeight="false" outlineLevel="0" collapsed="false">
      <c r="A447" s="0" t="s">
        <v>1692</v>
      </c>
      <c r="B447" s="6" t="s">
        <v>1690</v>
      </c>
      <c r="C447" s="0" t="s">
        <v>489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3534</v>
      </c>
    </row>
    <row r="448" customFormat="false" ht="17.15" hidden="false" customHeight="false" outlineLevel="0" collapsed="false">
      <c r="A448" s="0" t="s">
        <v>1696</v>
      </c>
      <c r="B448" s="6" t="s">
        <v>1695</v>
      </c>
      <c r="C448" s="0" t="s">
        <v>489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3535</v>
      </c>
    </row>
    <row r="449" customFormat="false" ht="17.15" hidden="false" customHeight="false" outlineLevel="0" collapsed="false">
      <c r="A449" s="0" t="s">
        <v>1699</v>
      </c>
      <c r="B449" s="6" t="s">
        <v>1698</v>
      </c>
      <c r="C449" s="0" t="s">
        <v>489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3536</v>
      </c>
    </row>
    <row r="450" customFormat="false" ht="17.15" hidden="false" customHeight="false" outlineLevel="0" collapsed="false">
      <c r="A450" s="0" t="s">
        <v>1703</v>
      </c>
      <c r="B450" s="6" t="s">
        <v>1701</v>
      </c>
      <c r="C450" s="0" t="s">
        <v>60</v>
      </c>
      <c r="E450" s="20" t="n">
        <f aca="false">In!E469</f>
        <v>0.15870077644017</v>
      </c>
      <c r="G450" s="0" t="str">
        <f aca="false">In!G469</f>
        <v>Derived</v>
      </c>
      <c r="H450" s="12" t="s">
        <v>3537</v>
      </c>
    </row>
    <row r="451" customFormat="false" ht="17.15" hidden="false" customHeight="false" outlineLevel="0" collapsed="false">
      <c r="A451" s="0" t="s">
        <v>1707</v>
      </c>
      <c r="B451" s="6" t="s">
        <v>1705</v>
      </c>
      <c r="C451" s="0" t="s">
        <v>60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3538</v>
      </c>
    </row>
    <row r="452" customFormat="false" ht="17.15" hidden="false" customHeight="false" outlineLevel="0" collapsed="false">
      <c r="A452" s="0" t="s">
        <v>1711</v>
      </c>
      <c r="B452" s="6" t="s">
        <v>1710</v>
      </c>
      <c r="C452" s="0" t="s">
        <v>60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3539</v>
      </c>
    </row>
    <row r="453" customFormat="false" ht="17.15" hidden="false" customHeight="false" outlineLevel="0" collapsed="false">
      <c r="A453" s="0" t="s">
        <v>1714</v>
      </c>
      <c r="B453" s="6" t="s">
        <v>1713</v>
      </c>
      <c r="C453" s="0" t="s">
        <v>60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3540</v>
      </c>
    </row>
    <row r="454" customFormat="false" ht="17.15" hidden="false" customHeight="false" outlineLevel="0" collapsed="false">
      <c r="A454" s="0" t="s">
        <v>1720</v>
      </c>
      <c r="B454" s="6" t="s">
        <v>1717</v>
      </c>
      <c r="C454" s="0" t="s">
        <v>1718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3541</v>
      </c>
    </row>
    <row r="455" customFormat="false" ht="17.15" hidden="false" customHeight="false" outlineLevel="0" collapsed="false">
      <c r="A455" s="0" t="s">
        <v>1725</v>
      </c>
      <c r="B455" s="6" t="s">
        <v>1723</v>
      </c>
      <c r="C455" s="0" t="s">
        <v>1718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3542</v>
      </c>
    </row>
    <row r="456" customFormat="false" ht="17.15" hidden="false" customHeight="false" outlineLevel="0" collapsed="false">
      <c r="A456" s="0" t="s">
        <v>1730</v>
      </c>
      <c r="B456" s="6" t="s">
        <v>1728</v>
      </c>
      <c r="C456" s="0" t="s">
        <v>1718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3543</v>
      </c>
    </row>
    <row r="457" customFormat="false" ht="15" hidden="false" customHeight="false" outlineLevel="0" collapsed="false">
      <c r="A457" s="0" t="s">
        <v>1735</v>
      </c>
      <c r="B457" s="6" t="s">
        <v>1733</v>
      </c>
      <c r="C457" s="0" t="s">
        <v>60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3544</v>
      </c>
    </row>
    <row r="458" customFormat="false" ht="17.15" hidden="false" customHeight="false" outlineLevel="0" collapsed="false">
      <c r="A458" s="0" t="s">
        <v>1740</v>
      </c>
      <c r="B458" s="6" t="s">
        <v>1738</v>
      </c>
      <c r="C458" s="0" t="s">
        <v>511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3545</v>
      </c>
    </row>
    <row r="459" customFormat="false" ht="17.15" hidden="false" customHeight="false" outlineLevel="0" collapsed="false">
      <c r="A459" s="0" t="s">
        <v>1745</v>
      </c>
      <c r="B459" s="6" t="s">
        <v>1743</v>
      </c>
      <c r="C459" s="0" t="s">
        <v>511</v>
      </c>
      <c r="E459" s="35" t="n">
        <f aca="false">In!E479</f>
        <v>21.1</v>
      </c>
      <c r="G459" s="0" t="str">
        <f aca="false">In!G479</f>
        <v>Interested-party</v>
      </c>
      <c r="H459" s="12" t="s">
        <v>3546</v>
      </c>
    </row>
    <row r="460" customFormat="false" ht="17.15" hidden="false" customHeight="false" outlineLevel="0" collapsed="false">
      <c r="A460" s="0" t="s">
        <v>1750</v>
      </c>
      <c r="B460" s="6" t="s">
        <v>1748</v>
      </c>
      <c r="C460" s="0" t="s">
        <v>60</v>
      </c>
      <c r="E460" s="20" t="n">
        <f aca="false">In!E480</f>
        <v>0.2</v>
      </c>
      <c r="G460" s="0" t="str">
        <f aca="false">In!G480</f>
        <v>Interested-party</v>
      </c>
      <c r="H460" s="12" t="s">
        <v>3547</v>
      </c>
    </row>
    <row r="461" customFormat="false" ht="17.15" hidden="false" customHeight="false" outlineLevel="0" collapsed="false">
      <c r="A461" s="0" t="s">
        <v>1756</v>
      </c>
      <c r="B461" s="6" t="s">
        <v>1753</v>
      </c>
      <c r="C461" s="0" t="s">
        <v>1754</v>
      </c>
      <c r="E461" s="35" t="n">
        <f aca="false">In!E481</f>
        <v>283.7</v>
      </c>
      <c r="G461" s="0" t="str">
        <f aca="false">In!G481</f>
        <v>Interested-party</v>
      </c>
      <c r="H461" s="12" t="s">
        <v>3548</v>
      </c>
    </row>
    <row r="462" customFormat="false" ht="17.15" hidden="false" customHeight="false" outlineLevel="0" collapsed="false">
      <c r="A462" s="0" t="s">
        <v>1762</v>
      </c>
      <c r="B462" s="6" t="s">
        <v>1759</v>
      </c>
      <c r="C462" s="0" t="s">
        <v>1760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3549</v>
      </c>
    </row>
    <row r="463" customFormat="false" ht="17.15" hidden="false" customHeight="false" outlineLevel="0" collapsed="false">
      <c r="A463" s="0" t="s">
        <v>1767</v>
      </c>
      <c r="B463" s="6" t="s">
        <v>1764</v>
      </c>
      <c r="C463" s="0" t="s">
        <v>1765</v>
      </c>
      <c r="E463" s="35" t="n">
        <f aca="false">In!E483</f>
        <v>13.4</v>
      </c>
      <c r="G463" s="0" t="str">
        <f aca="false">In!G483</f>
        <v>Verified</v>
      </c>
      <c r="H463" s="12" t="s">
        <v>3550</v>
      </c>
    </row>
    <row r="464" customFormat="false" ht="17.15" hidden="false" customHeight="false" outlineLevel="0" collapsed="false">
      <c r="A464" s="0" t="s">
        <v>1773</v>
      </c>
      <c r="B464" s="6" t="s">
        <v>1770</v>
      </c>
      <c r="C464" s="0" t="s">
        <v>1771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3551</v>
      </c>
    </row>
    <row r="465" customFormat="false" ht="17.15" hidden="false" customHeight="false" outlineLevel="0" collapsed="false">
      <c r="A465" s="0" t="s">
        <v>1778</v>
      </c>
      <c r="B465" s="6" t="s">
        <v>1775</v>
      </c>
      <c r="C465" s="0" t="s">
        <v>1765</v>
      </c>
      <c r="E465" s="35" t="n">
        <f aca="false">In!E485</f>
        <v>0</v>
      </c>
      <c r="G465" s="0" t="str">
        <f aca="false">In!G485</f>
        <v>—（未找到）</v>
      </c>
      <c r="H465" s="12" t="s">
        <v>3552</v>
      </c>
    </row>
    <row r="466" customFormat="false" ht="17.15" hidden="false" customHeight="false" outlineLevel="0" collapsed="false">
      <c r="A466" s="0" t="s">
        <v>1783</v>
      </c>
      <c r="B466" s="0" t="s">
        <v>1781</v>
      </c>
      <c r="C466" s="0" t="s">
        <v>511</v>
      </c>
      <c r="E466" s="35" t="n">
        <f aca="false">In!E486</f>
        <v>0</v>
      </c>
      <c r="G466" s="0" t="str">
        <f aca="false">In!G486</f>
        <v>—（未找到）</v>
      </c>
      <c r="H466" s="12" t="s">
        <v>3553</v>
      </c>
    </row>
    <row r="467" customFormat="false" ht="17.15" hidden="false" customHeight="false" outlineLevel="0" collapsed="false">
      <c r="A467" s="0" t="s">
        <v>1788</v>
      </c>
      <c r="B467" s="0" t="s">
        <v>1786</v>
      </c>
      <c r="C467" s="0" t="s">
        <v>511</v>
      </c>
      <c r="E467" s="35" t="n">
        <f aca="false">In!E487</f>
        <v>38.8</v>
      </c>
      <c r="G467" s="0" t="str">
        <f aca="false">In!G487</f>
        <v>Interested-party</v>
      </c>
      <c r="H467" s="12" t="s">
        <v>3554</v>
      </c>
    </row>
    <row r="468" customFormat="false" ht="17.15" hidden="false" customHeight="false" outlineLevel="0" collapsed="false">
      <c r="A468" s="0" t="s">
        <v>1792</v>
      </c>
      <c r="B468" s="0" t="s">
        <v>1791</v>
      </c>
      <c r="C468" s="0" t="s">
        <v>60</v>
      </c>
      <c r="E468" s="20" t="n">
        <f aca="false">In!E488</f>
        <v>0.39</v>
      </c>
      <c r="G468" s="0" t="str">
        <f aca="false">In!G488</f>
        <v>Interested-party</v>
      </c>
      <c r="H468" s="12" t="s">
        <v>3555</v>
      </c>
    </row>
    <row r="469" customFormat="false" ht="17.15" hidden="false" customHeight="false" outlineLevel="0" collapsed="false">
      <c r="A469" s="0" t="s">
        <v>1796</v>
      </c>
      <c r="B469" s="0" t="s">
        <v>1794</v>
      </c>
      <c r="C469" s="0" t="s">
        <v>60</v>
      </c>
      <c r="E469" s="20" t="n">
        <f aca="false">In!E489</f>
        <v>0.274</v>
      </c>
      <c r="G469" s="0" t="str">
        <f aca="false">In!G489</f>
        <v>Interested-party</v>
      </c>
      <c r="H469" s="12" t="s">
        <v>3556</v>
      </c>
    </row>
    <row r="470" customFormat="false" ht="17.15" hidden="false" customHeight="false" outlineLevel="0" collapsed="false">
      <c r="A470" s="0" t="s">
        <v>1799</v>
      </c>
      <c r="B470" s="0" t="s">
        <v>1798</v>
      </c>
      <c r="C470" s="0" t="s">
        <v>60</v>
      </c>
      <c r="E470" s="20" t="n">
        <f aca="false">In!E490</f>
        <v>0.15</v>
      </c>
      <c r="G470" s="0" t="str">
        <f aca="false">In!G490</f>
        <v>Interested-party</v>
      </c>
      <c r="H470" s="12" t="s">
        <v>3557</v>
      </c>
    </row>
    <row r="471" customFormat="false" ht="17.15" hidden="false" customHeight="false" outlineLevel="0" collapsed="false">
      <c r="A471" s="0" t="s">
        <v>1803</v>
      </c>
      <c r="B471" s="0" t="s">
        <v>1802</v>
      </c>
      <c r="C471" s="0" t="s">
        <v>511</v>
      </c>
      <c r="E471" s="35" t="n">
        <f aca="false">In!E491</f>
        <v>13.9</v>
      </c>
      <c r="G471" s="0" t="str">
        <f aca="false">In!G491</f>
        <v>Interested-party</v>
      </c>
      <c r="H471" s="12" t="s">
        <v>3558</v>
      </c>
    </row>
    <row r="472" customFormat="false" ht="17.15" hidden="false" customHeight="false" outlineLevel="0" collapsed="false">
      <c r="A472" s="0" t="s">
        <v>1806</v>
      </c>
      <c r="B472" s="0" t="s">
        <v>1805</v>
      </c>
      <c r="C472" s="0" t="s">
        <v>60</v>
      </c>
      <c r="E472" s="20" t="n">
        <f aca="false">In!E492</f>
        <v>0.307</v>
      </c>
      <c r="G472" s="0" t="str">
        <f aca="false">In!G492</f>
        <v>Interested-party</v>
      </c>
      <c r="H472" s="12" t="s">
        <v>3559</v>
      </c>
    </row>
    <row r="473" customFormat="false" ht="17.15" hidden="false" customHeight="false" outlineLevel="0" collapsed="false">
      <c r="A473" s="0" t="s">
        <v>1809</v>
      </c>
      <c r="B473" s="0" t="s">
        <v>1808</v>
      </c>
      <c r="C473" s="0" t="s">
        <v>60</v>
      </c>
      <c r="E473" s="20" t="n">
        <f aca="false">In!E493</f>
        <v>0.311</v>
      </c>
      <c r="G473" s="0" t="str">
        <f aca="false">In!G493</f>
        <v>Interested-party</v>
      </c>
      <c r="H473" s="12" t="s">
        <v>3560</v>
      </c>
    </row>
    <row r="474" customFormat="false" ht="17.15" hidden="false" customHeight="false" outlineLevel="0" collapsed="false">
      <c r="A474" s="0" t="s">
        <v>1812</v>
      </c>
      <c r="B474" s="0" t="s">
        <v>1811</v>
      </c>
      <c r="C474" s="0" t="s">
        <v>60</v>
      </c>
      <c r="E474" s="20" t="n">
        <f aca="false">In!E494</f>
        <v>0.145</v>
      </c>
      <c r="G474" s="0" t="str">
        <f aca="false">In!G494</f>
        <v>Interested-party</v>
      </c>
      <c r="H474" s="12" t="s">
        <v>3561</v>
      </c>
    </row>
    <row r="475" customFormat="false" ht="17.15" hidden="false" customHeight="false" outlineLevel="0" collapsed="false">
      <c r="A475" s="0" t="s">
        <v>1815</v>
      </c>
      <c r="B475" s="0" t="s">
        <v>1814</v>
      </c>
      <c r="C475" s="0" t="s">
        <v>511</v>
      </c>
      <c r="E475" s="35" t="n">
        <f aca="false">In!E495</f>
        <v>78</v>
      </c>
      <c r="G475" s="0" t="str">
        <f aca="false">In!G495</f>
        <v>Interested-party</v>
      </c>
      <c r="H475" s="12" t="s">
        <v>3562</v>
      </c>
    </row>
    <row r="476" customFormat="false" ht="17.15" hidden="false" customHeight="false" outlineLevel="0" collapsed="false">
      <c r="A476" s="0" t="s">
        <v>1818</v>
      </c>
      <c r="B476" s="0" t="s">
        <v>1817</v>
      </c>
      <c r="C476" s="0" t="s">
        <v>60</v>
      </c>
      <c r="E476" s="20" t="n">
        <f aca="false">In!E496</f>
        <v>0.189</v>
      </c>
      <c r="G476" s="0" t="str">
        <f aca="false">In!G496</f>
        <v>Interested-party</v>
      </c>
      <c r="H476" s="12" t="s">
        <v>3563</v>
      </c>
    </row>
    <row r="477" customFormat="false" ht="17.15" hidden="false" customHeight="false" outlineLevel="0" collapsed="false">
      <c r="A477" s="0" t="s">
        <v>1821</v>
      </c>
      <c r="B477" s="0" t="s">
        <v>1820</v>
      </c>
      <c r="C477" s="0" t="s">
        <v>60</v>
      </c>
      <c r="E477" s="20" t="n">
        <f aca="false">In!E497</f>
        <v>0.181</v>
      </c>
      <c r="G477" s="0" t="str">
        <f aca="false">In!G497</f>
        <v>Interested-party</v>
      </c>
      <c r="H477" s="12" t="s">
        <v>3564</v>
      </c>
    </row>
    <row r="478" customFormat="false" ht="17.15" hidden="false" customHeight="false" outlineLevel="0" collapsed="false">
      <c r="A478" s="0" t="s">
        <v>1824</v>
      </c>
      <c r="B478" s="0" t="s">
        <v>1823</v>
      </c>
      <c r="C478" s="0" t="s">
        <v>60</v>
      </c>
      <c r="E478" s="20" t="n">
        <f aca="false">In!E498</f>
        <v>0.136</v>
      </c>
      <c r="G478" s="0" t="str">
        <f aca="false">In!G498</f>
        <v>Interested-party</v>
      </c>
      <c r="H478" s="12" t="s">
        <v>3565</v>
      </c>
    </row>
    <row r="479" customFormat="false" ht="17.15" hidden="false" customHeight="false" outlineLevel="0" collapsed="false">
      <c r="A479" s="0" t="s">
        <v>1827</v>
      </c>
      <c r="B479" s="0" t="s">
        <v>1826</v>
      </c>
      <c r="C479" s="0" t="s">
        <v>511</v>
      </c>
      <c r="E479" s="35" t="n">
        <f aca="false">In!E499</f>
        <v>143.9</v>
      </c>
      <c r="G479" s="0" t="str">
        <f aca="false">In!G499</f>
        <v>Interested-party</v>
      </c>
      <c r="H479" s="12" t="s">
        <v>3566</v>
      </c>
    </row>
    <row r="480" customFormat="false" ht="17.15" hidden="false" customHeight="false" outlineLevel="0" collapsed="false">
      <c r="A480" s="0" t="s">
        <v>1830</v>
      </c>
      <c r="B480" s="0" t="s">
        <v>1829</v>
      </c>
      <c r="C480" s="0" t="s">
        <v>60</v>
      </c>
      <c r="E480" s="20" t="n">
        <f aca="false">In!E500</f>
        <v>0.231</v>
      </c>
      <c r="G480" s="0" t="str">
        <f aca="false">In!G500</f>
        <v>Interested-party</v>
      </c>
      <c r="H480" s="12" t="s">
        <v>3567</v>
      </c>
    </row>
    <row r="481" customFormat="false" ht="17.15" hidden="false" customHeight="false" outlineLevel="0" collapsed="false">
      <c r="A481" s="0" t="s">
        <v>1833</v>
      </c>
      <c r="B481" s="0" t="s">
        <v>1832</v>
      </c>
      <c r="C481" s="0" t="s">
        <v>60</v>
      </c>
      <c r="E481" s="20" t="n">
        <f aca="false">In!E501</f>
        <v>0.218</v>
      </c>
      <c r="G481" s="0" t="str">
        <f aca="false">In!G501</f>
        <v>Interested-party</v>
      </c>
      <c r="H481" s="12" t="s">
        <v>3568</v>
      </c>
    </row>
    <row r="482" customFormat="false" ht="17.15" hidden="false" customHeight="false" outlineLevel="0" collapsed="false">
      <c r="A482" s="0" t="s">
        <v>1836</v>
      </c>
      <c r="B482" s="0" t="s">
        <v>1835</v>
      </c>
      <c r="C482" s="0" t="s">
        <v>60</v>
      </c>
      <c r="E482" s="20" t="n">
        <f aca="false">In!E502</f>
        <v>0.141</v>
      </c>
      <c r="G482" s="0" t="str">
        <f aca="false">In!G502</f>
        <v>Interested-party</v>
      </c>
      <c r="H482" s="12" t="s">
        <v>3569</v>
      </c>
    </row>
    <row r="483" customFormat="false" ht="17.15" hidden="false" customHeight="false" outlineLevel="0" collapsed="false">
      <c r="A483" s="0" t="s">
        <v>1839</v>
      </c>
      <c r="B483" s="0" t="s">
        <v>1838</v>
      </c>
      <c r="C483" s="0" t="s">
        <v>511</v>
      </c>
      <c r="E483" s="35" t="n">
        <f aca="false">In!E503</f>
        <v>15.3</v>
      </c>
      <c r="G483" s="0" t="str">
        <f aca="false">In!G503</f>
        <v>Interested-party</v>
      </c>
      <c r="H483" s="12" t="s">
        <v>3570</v>
      </c>
    </row>
    <row r="484" customFormat="false" ht="17.15" hidden="false" customHeight="false" outlineLevel="0" collapsed="false">
      <c r="A484" s="0" t="s">
        <v>1842</v>
      </c>
      <c r="B484" s="0" t="s">
        <v>1841</v>
      </c>
      <c r="C484" s="0" t="s">
        <v>60</v>
      </c>
      <c r="E484" s="20" t="n">
        <f aca="false">In!E504</f>
        <v>0.31</v>
      </c>
      <c r="G484" s="0" t="str">
        <f aca="false">In!G504</f>
        <v>Interested-party</v>
      </c>
      <c r="H484" s="12" t="s">
        <v>3571</v>
      </c>
    </row>
    <row r="485" customFormat="false" ht="17.15" hidden="false" customHeight="false" outlineLevel="0" collapsed="false">
      <c r="A485" s="0" t="s">
        <v>1845</v>
      </c>
      <c r="B485" s="0" t="s">
        <v>1844</v>
      </c>
      <c r="C485" s="0" t="s">
        <v>511</v>
      </c>
      <c r="E485" s="35" t="n">
        <f aca="false">In!E505</f>
        <v>20.8</v>
      </c>
      <c r="G485" s="0" t="str">
        <f aca="false">In!G505</f>
        <v>Interested-party</v>
      </c>
      <c r="H485" s="12" t="s">
        <v>3572</v>
      </c>
    </row>
    <row r="486" customFormat="false" ht="17.15" hidden="false" customHeight="false" outlineLevel="0" collapsed="false">
      <c r="A486" s="0" t="s">
        <v>1849</v>
      </c>
      <c r="B486" s="0" t="s">
        <v>1848</v>
      </c>
      <c r="C486" s="0" t="s">
        <v>511</v>
      </c>
      <c r="E486" s="35" t="n">
        <f aca="false">In!E506</f>
        <v>6.7</v>
      </c>
      <c r="G486" s="0" t="str">
        <f aca="false">In!G506</f>
        <v>Interested-party</v>
      </c>
      <c r="H486" s="12" t="s">
        <v>3573</v>
      </c>
    </row>
    <row r="487" customFormat="false" ht="17.15" hidden="false" customHeight="false" outlineLevel="0" collapsed="false">
      <c r="A487" s="0" t="s">
        <v>1852</v>
      </c>
      <c r="B487" s="0" t="s">
        <v>1851</v>
      </c>
      <c r="C487" s="0" t="s">
        <v>60</v>
      </c>
      <c r="E487" s="20" t="n">
        <f aca="false">In!E507</f>
        <v>0.096</v>
      </c>
      <c r="G487" s="0" t="str">
        <f aca="false">In!G507</f>
        <v>Interested-party</v>
      </c>
      <c r="H487" s="12" t="s">
        <v>3574</v>
      </c>
    </row>
    <row r="488" customFormat="false" ht="17.15" hidden="false" customHeight="false" outlineLevel="0" collapsed="false">
      <c r="A488" s="0" t="s">
        <v>1855</v>
      </c>
      <c r="B488" s="0" t="s">
        <v>1854</v>
      </c>
      <c r="C488" s="0" t="s">
        <v>511</v>
      </c>
      <c r="E488" s="35" t="n">
        <f aca="false">In!E508</f>
        <v>8.6</v>
      </c>
      <c r="G488" s="0" t="str">
        <f aca="false">In!G508</f>
        <v>Interested-party</v>
      </c>
      <c r="H488" s="12" t="s">
        <v>3575</v>
      </c>
    </row>
    <row r="489" customFormat="false" ht="17.15" hidden="false" customHeight="false" outlineLevel="0" collapsed="false">
      <c r="A489" s="0" t="s">
        <v>1859</v>
      </c>
      <c r="B489" s="0" t="s">
        <v>1858</v>
      </c>
      <c r="C489" s="0" t="s">
        <v>511</v>
      </c>
      <c r="E489" s="35" t="n">
        <f aca="false">In!E509</f>
        <v>165.9</v>
      </c>
      <c r="G489" s="0" t="str">
        <f aca="false">In!G509</f>
        <v>Interested-party</v>
      </c>
      <c r="H489" s="12" t="s">
        <v>3576</v>
      </c>
    </row>
    <row r="490" customFormat="false" ht="17.15" hidden="false" customHeight="false" outlineLevel="0" collapsed="false">
      <c r="A490" s="0" t="s">
        <v>1862</v>
      </c>
      <c r="B490" s="0" t="s">
        <v>1861</v>
      </c>
      <c r="C490" s="0" t="s">
        <v>60</v>
      </c>
      <c r="E490" s="20" t="n">
        <f aca="false">In!E510</f>
        <v>0.232</v>
      </c>
      <c r="G490" s="0" t="str">
        <f aca="false">In!G510</f>
        <v>Interested-party</v>
      </c>
      <c r="H490" s="12" t="s">
        <v>3577</v>
      </c>
    </row>
    <row r="491" customFormat="false" ht="17.15" hidden="false" customHeight="false" outlineLevel="0" collapsed="false">
      <c r="A491" s="0" t="s">
        <v>1865</v>
      </c>
      <c r="B491" s="0" t="s">
        <v>1864</v>
      </c>
      <c r="C491" s="0" t="s">
        <v>511</v>
      </c>
      <c r="E491" s="35" t="n">
        <f aca="false">In!E511</f>
        <v>229.5</v>
      </c>
      <c r="G491" s="0" t="str">
        <f aca="false">In!G511</f>
        <v>Interested-party</v>
      </c>
      <c r="H491" s="12" t="s">
        <v>3578</v>
      </c>
    </row>
    <row r="492" customFormat="false" ht="17.15" hidden="false" customHeight="false" outlineLevel="0" collapsed="false">
      <c r="A492" s="0" t="s">
        <v>1869</v>
      </c>
      <c r="B492" s="0" t="s">
        <v>1867</v>
      </c>
      <c r="C492" s="0" t="s">
        <v>60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3579</v>
      </c>
    </row>
    <row r="493" customFormat="false" ht="17.15" hidden="false" customHeight="false" outlineLevel="0" collapsed="false">
      <c r="A493" s="0" t="s">
        <v>1874</v>
      </c>
      <c r="B493" s="6" t="s">
        <v>1872</v>
      </c>
      <c r="C493" s="0" t="s">
        <v>489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3580</v>
      </c>
    </row>
    <row r="494" customFormat="false" ht="17.15" hidden="false" customHeight="false" outlineLevel="0" collapsed="false">
      <c r="A494" s="0" t="s">
        <v>1879</v>
      </c>
      <c r="B494" s="6" t="s">
        <v>1877</v>
      </c>
      <c r="C494" s="0" t="s">
        <v>489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3581</v>
      </c>
    </row>
    <row r="495" customFormat="false" ht="17.15" hidden="false" customHeight="false" outlineLevel="0" collapsed="false">
      <c r="A495" s="0" t="s">
        <v>1884</v>
      </c>
      <c r="B495" s="6" t="s">
        <v>1882</v>
      </c>
      <c r="C495" s="0" t="s">
        <v>489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3582</v>
      </c>
    </row>
    <row r="496" customFormat="false" ht="17.15" hidden="false" customHeight="false" outlineLevel="0" collapsed="false">
      <c r="A496" s="0" t="s">
        <v>1889</v>
      </c>
      <c r="B496" s="6" t="s">
        <v>1887</v>
      </c>
      <c r="C496" s="0" t="s">
        <v>489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3583</v>
      </c>
    </row>
    <row r="497" customFormat="false" ht="15" hidden="false" customHeight="false" outlineLevel="0" collapsed="false">
      <c r="A497" s="0" t="s">
        <v>1893</v>
      </c>
      <c r="B497" s="6" t="s">
        <v>1891</v>
      </c>
      <c r="C497" s="0" t="s">
        <v>60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3584</v>
      </c>
    </row>
    <row r="498" customFormat="false" ht="15" hidden="false" customHeight="false" outlineLevel="0" collapsed="false">
      <c r="A498" s="0" t="s">
        <v>1898</v>
      </c>
      <c r="B498" s="6" t="s">
        <v>1896</v>
      </c>
      <c r="C498" s="0" t="s">
        <v>60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3585</v>
      </c>
    </row>
    <row r="499" customFormat="false" ht="17.15" hidden="false" customHeight="false" outlineLevel="0" collapsed="false">
      <c r="A499" s="0" t="s">
        <v>1903</v>
      </c>
      <c r="B499" s="0" t="s">
        <v>1901</v>
      </c>
      <c r="C499" s="0" t="s">
        <v>511</v>
      </c>
      <c r="E499" s="35" t="n">
        <f aca="false">In!E519</f>
        <v>150</v>
      </c>
      <c r="G499" s="0" t="str">
        <f aca="false">In!G519</f>
        <v>Interested-party</v>
      </c>
      <c r="H499" s="12" t="s">
        <v>3586</v>
      </c>
    </row>
    <row r="500" customFormat="false" ht="17.15" hidden="false" customHeight="false" outlineLevel="0" collapsed="false">
      <c r="A500" s="0" t="s">
        <v>1908</v>
      </c>
      <c r="B500" s="0" t="s">
        <v>1906</v>
      </c>
      <c r="C500" s="0" t="s">
        <v>511</v>
      </c>
      <c r="E500" s="35" t="n">
        <f aca="false">In!E520</f>
        <v>200</v>
      </c>
      <c r="G500" s="0" t="str">
        <f aca="false">In!G520</f>
        <v>Interested-party</v>
      </c>
      <c r="H500" s="12" t="s">
        <v>3587</v>
      </c>
    </row>
    <row r="501" customFormat="false" ht="17.15" hidden="false" customHeight="false" outlineLevel="0" collapsed="false">
      <c r="A501" s="0" t="s">
        <v>1913</v>
      </c>
      <c r="B501" s="0" t="s">
        <v>1911</v>
      </c>
      <c r="C501" s="0" t="s">
        <v>511</v>
      </c>
      <c r="E501" s="35" t="n">
        <f aca="false">In!E521</f>
        <v>150</v>
      </c>
      <c r="G501" s="0" t="str">
        <f aca="false">In!G521</f>
        <v>Interested-party</v>
      </c>
      <c r="H501" s="12" t="s">
        <v>3588</v>
      </c>
    </row>
    <row r="502" customFormat="false" ht="17.15" hidden="false" customHeight="false" outlineLevel="0" collapsed="false">
      <c r="A502" s="0" t="s">
        <v>1918</v>
      </c>
      <c r="B502" s="0" t="s">
        <v>1916</v>
      </c>
      <c r="C502" s="0" t="s">
        <v>511</v>
      </c>
      <c r="E502" s="35" t="n">
        <f aca="false">In!E522</f>
        <v>190</v>
      </c>
      <c r="G502" s="0" t="str">
        <f aca="false">In!G522</f>
        <v>Interested-party</v>
      </c>
      <c r="H502" s="12" t="s">
        <v>3589</v>
      </c>
    </row>
    <row r="503" customFormat="false" ht="15" hidden="false" customHeight="false" outlineLevel="0" collapsed="false">
      <c r="A503" s="0" t="s">
        <v>1923</v>
      </c>
      <c r="B503" s="0" t="s">
        <v>1921</v>
      </c>
      <c r="C503" s="0" t="s">
        <v>511</v>
      </c>
      <c r="E503" s="35" t="n">
        <f aca="false">In!E523</f>
        <v>202</v>
      </c>
      <c r="G503" s="0" t="str">
        <f aca="false">In!G523</f>
        <v>Interested-party</v>
      </c>
      <c r="H503" s="12" t="s">
        <v>3590</v>
      </c>
    </row>
    <row r="504" customFormat="false" ht="15" hidden="false" customHeight="false" outlineLevel="0" collapsed="false">
      <c r="A504" s="0" t="s">
        <v>1928</v>
      </c>
      <c r="B504" s="0" t="s">
        <v>1926</v>
      </c>
      <c r="C504" s="0" t="s">
        <v>511</v>
      </c>
      <c r="E504" s="35" t="n">
        <f aca="false">In!E524</f>
        <v>227</v>
      </c>
      <c r="G504" s="0" t="str">
        <f aca="false">In!G524</f>
        <v>Interested-party</v>
      </c>
      <c r="H504" s="12" t="s">
        <v>3591</v>
      </c>
    </row>
    <row r="505" customFormat="false" ht="15" hidden="false" customHeight="false" outlineLevel="0" collapsed="false">
      <c r="A505" s="0" t="s">
        <v>1932</v>
      </c>
      <c r="B505" s="0" t="s">
        <v>1930</v>
      </c>
      <c r="C505" s="0" t="s">
        <v>511</v>
      </c>
      <c r="E505" s="35" t="n">
        <f aca="false">In!E525</f>
        <v>150</v>
      </c>
      <c r="G505" s="0" t="str">
        <f aca="false">In!G525</f>
        <v>Interested-party</v>
      </c>
      <c r="H505" s="12" t="s">
        <v>3592</v>
      </c>
    </row>
    <row r="506" customFormat="false" ht="15" hidden="false" customHeight="false" outlineLevel="0" collapsed="false">
      <c r="A506" s="0" t="s">
        <v>1936</v>
      </c>
      <c r="B506" s="0" t="s">
        <v>1935</v>
      </c>
      <c r="C506" s="0" t="s">
        <v>511</v>
      </c>
      <c r="E506" s="35" t="n">
        <f aca="false">In!E526</f>
        <v>218</v>
      </c>
      <c r="G506" s="0" t="str">
        <f aca="false">In!G526</f>
        <v>Interested-party</v>
      </c>
      <c r="H506" s="12" t="s">
        <v>3593</v>
      </c>
    </row>
    <row r="507" customFormat="false" ht="15" hidden="false" customHeight="false" outlineLevel="0" collapsed="false">
      <c r="A507" s="0" t="s">
        <v>1939</v>
      </c>
      <c r="B507" s="0" t="s">
        <v>1938</v>
      </c>
      <c r="C507" s="0" t="s">
        <v>511</v>
      </c>
      <c r="E507" s="35" t="n">
        <f aca="false">In!E527</f>
        <v>281</v>
      </c>
      <c r="G507" s="0" t="str">
        <f aca="false">In!G527</f>
        <v>Interested-party</v>
      </c>
      <c r="H507" s="12" t="s">
        <v>3594</v>
      </c>
    </row>
    <row r="508" customFormat="false" ht="17.15" hidden="false" customHeight="false" outlineLevel="0" collapsed="false">
      <c r="A508" s="0" t="s">
        <v>1943</v>
      </c>
      <c r="B508" s="6" t="s">
        <v>1941</v>
      </c>
      <c r="C508" s="0" t="s">
        <v>60</v>
      </c>
      <c r="E508" s="20" t="n">
        <f aca="false">In!E528</f>
        <v>0.15</v>
      </c>
      <c r="G508" s="0" t="str">
        <f aca="false">In!G528</f>
        <v>Verified</v>
      </c>
      <c r="H508" s="12" t="s">
        <v>3595</v>
      </c>
    </row>
    <row r="509" customFormat="false" ht="17.15" hidden="false" customHeight="false" outlineLevel="0" collapsed="false">
      <c r="A509" s="0" t="s">
        <v>1948</v>
      </c>
      <c r="B509" s="0" t="s">
        <v>1946</v>
      </c>
      <c r="C509" s="0" t="s">
        <v>1341</v>
      </c>
      <c r="E509" s="35" t="n">
        <f aca="false">In!E530</f>
        <v>6.9</v>
      </c>
      <c r="G509" s="0" t="str">
        <f aca="false">In!G530</f>
        <v>Interested-party</v>
      </c>
      <c r="H509" s="12" t="s">
        <v>3596</v>
      </c>
    </row>
    <row r="510" customFormat="false" ht="17.15" hidden="false" customHeight="false" outlineLevel="0" collapsed="false">
      <c r="A510" s="0" t="s">
        <v>1952</v>
      </c>
      <c r="B510" s="6" t="s">
        <v>1950</v>
      </c>
      <c r="C510" s="0" t="s">
        <v>1341</v>
      </c>
      <c r="E510" s="35" t="n">
        <f aca="false">In!E531</f>
        <v>2.1</v>
      </c>
      <c r="G510" s="0" t="str">
        <f aca="false">In!G531</f>
        <v>Interested-party</v>
      </c>
      <c r="H510" s="12" t="s">
        <v>3597</v>
      </c>
    </row>
    <row r="511" customFormat="false" ht="17.15" hidden="false" customHeight="false" outlineLevel="0" collapsed="false">
      <c r="A511" s="0" t="s">
        <v>1956</v>
      </c>
      <c r="B511" s="0" t="s">
        <v>1954</v>
      </c>
      <c r="C511" s="0" t="s">
        <v>1341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3598</v>
      </c>
    </row>
    <row r="512" customFormat="false" ht="17.15" hidden="false" customHeight="false" outlineLevel="0" collapsed="false">
      <c r="A512" s="0" t="s">
        <v>1961</v>
      </c>
      <c r="B512" s="6" t="s">
        <v>1959</v>
      </c>
      <c r="C512" s="0" t="s">
        <v>1341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3599</v>
      </c>
    </row>
    <row r="513" customFormat="false" ht="17.15" hidden="false" customHeight="false" outlineLevel="0" collapsed="false">
      <c r="A513" s="0" t="s">
        <v>1966</v>
      </c>
      <c r="B513" s="6" t="s">
        <v>1964</v>
      </c>
      <c r="C513" s="0" t="s">
        <v>1341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3600</v>
      </c>
    </row>
    <row r="514" customFormat="false" ht="17.15" hidden="false" customHeight="false" outlineLevel="0" collapsed="false">
      <c r="A514" s="0" t="s">
        <v>1971</v>
      </c>
      <c r="B514" s="6" t="s">
        <v>1969</v>
      </c>
      <c r="C514" s="0" t="s">
        <v>60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3601</v>
      </c>
    </row>
    <row r="515" customFormat="false" ht="17.15" hidden="false" customHeight="false" outlineLevel="0" collapsed="false">
      <c r="A515" s="0" t="s">
        <v>1975</v>
      </c>
      <c r="B515" s="6" t="s">
        <v>1973</v>
      </c>
      <c r="C515" s="0" t="s">
        <v>1718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3602</v>
      </c>
    </row>
    <row r="516" customFormat="false" ht="17.15" hidden="false" customHeight="false" outlineLevel="0" collapsed="false">
      <c r="A516" s="0" t="s">
        <v>1980</v>
      </c>
      <c r="B516" s="6" t="s">
        <v>1978</v>
      </c>
      <c r="C516" s="0" t="s">
        <v>489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3603</v>
      </c>
    </row>
    <row r="517" customFormat="false" ht="17.15" hidden="false" customHeight="false" outlineLevel="0" collapsed="false">
      <c r="A517" s="0" t="s">
        <v>1985</v>
      </c>
      <c r="B517" s="6" t="s">
        <v>1983</v>
      </c>
      <c r="C517" s="0" t="s">
        <v>489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3604</v>
      </c>
    </row>
    <row r="518" customFormat="false" ht="17.15" hidden="false" customHeight="false" outlineLevel="0" collapsed="false">
      <c r="A518" s="0" t="s">
        <v>1989</v>
      </c>
      <c r="B518" s="6" t="s">
        <v>1987</v>
      </c>
      <c r="C518" s="0" t="s">
        <v>489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3605</v>
      </c>
    </row>
    <row r="519" customFormat="false" ht="17.15" hidden="false" customHeight="false" outlineLevel="0" collapsed="false">
      <c r="A519" s="0" t="s">
        <v>1993</v>
      </c>
      <c r="B519" s="6" t="s">
        <v>1991</v>
      </c>
      <c r="C519" s="0" t="s">
        <v>489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3606</v>
      </c>
    </row>
    <row r="520" customFormat="false" ht="17.15" hidden="false" customHeight="false" outlineLevel="0" collapsed="false">
      <c r="A520" s="0" t="s">
        <v>1997</v>
      </c>
      <c r="B520" s="6" t="s">
        <v>1995</v>
      </c>
      <c r="C520" s="0" t="s">
        <v>489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3607</v>
      </c>
    </row>
    <row r="521" customFormat="false" ht="17.15" hidden="false" customHeight="false" outlineLevel="0" collapsed="false">
      <c r="A521" s="0" t="s">
        <v>2001</v>
      </c>
      <c r="B521" s="6" t="s">
        <v>1999</v>
      </c>
      <c r="C521" s="0" t="s">
        <v>489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3608</v>
      </c>
    </row>
    <row r="522" customFormat="false" ht="17.15" hidden="false" customHeight="false" outlineLevel="0" collapsed="false">
      <c r="A522" s="0" t="s">
        <v>2005</v>
      </c>
      <c r="B522" s="6" t="s">
        <v>2003</v>
      </c>
      <c r="C522" s="0" t="s">
        <v>489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3609</v>
      </c>
    </row>
    <row r="523" customFormat="false" ht="17.15" hidden="false" customHeight="false" outlineLevel="0" collapsed="false">
      <c r="A523" s="0" t="s">
        <v>2009</v>
      </c>
      <c r="B523" s="6" t="s">
        <v>2007</v>
      </c>
      <c r="C523" s="0" t="s">
        <v>489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3610</v>
      </c>
    </row>
    <row r="524" customFormat="false" ht="17.15" hidden="false" customHeight="false" outlineLevel="0" collapsed="false">
      <c r="A524" s="0" t="s">
        <v>2013</v>
      </c>
      <c r="B524" s="6" t="s">
        <v>2011</v>
      </c>
      <c r="C524" s="0" t="s">
        <v>60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3611</v>
      </c>
    </row>
    <row r="525" customFormat="false" ht="17.15" hidden="false" customHeight="false" outlineLevel="0" collapsed="false">
      <c r="A525" s="0" t="s">
        <v>2017</v>
      </c>
      <c r="B525" s="6" t="s">
        <v>2015</v>
      </c>
      <c r="C525" s="0" t="s">
        <v>60</v>
      </c>
      <c r="E525" s="20" t="n">
        <f aca="false">In!E546</f>
        <v>0.07</v>
      </c>
      <c r="G525" s="0" t="str">
        <f aca="false">In!G546</f>
        <v>Interested-party</v>
      </c>
      <c r="H525" s="12" t="s">
        <v>3612</v>
      </c>
    </row>
    <row r="526" customFormat="false" ht="17.15" hidden="false" customHeight="false" outlineLevel="0" collapsed="false">
      <c r="A526" s="0" t="s">
        <v>2021</v>
      </c>
      <c r="B526" s="6" t="s">
        <v>2020</v>
      </c>
      <c r="C526" s="0" t="s">
        <v>60</v>
      </c>
      <c r="E526" s="20" t="n">
        <f aca="false">In!E547</f>
        <v>0.09</v>
      </c>
      <c r="G526" s="0" t="str">
        <f aca="false">In!G547</f>
        <v>Interested-party</v>
      </c>
      <c r="H526" s="12" t="s">
        <v>3613</v>
      </c>
    </row>
    <row r="527" customFormat="false" ht="17.15" hidden="false" customHeight="false" outlineLevel="0" collapsed="false">
      <c r="A527" s="0" t="s">
        <v>2027</v>
      </c>
      <c r="B527" s="0" t="s">
        <v>2024</v>
      </c>
      <c r="C527" s="0" t="s">
        <v>2025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3614</v>
      </c>
    </row>
    <row r="528" customFormat="false" ht="17.15" hidden="false" customHeight="false" outlineLevel="0" collapsed="false">
      <c r="A528" s="0" t="s">
        <v>2031</v>
      </c>
      <c r="B528" s="0" t="s">
        <v>2030</v>
      </c>
      <c r="C528" s="0" t="s">
        <v>2025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3615</v>
      </c>
    </row>
    <row r="529" customFormat="false" ht="17.15" hidden="false" customHeight="false" outlineLevel="0" collapsed="false">
      <c r="A529" s="0" t="s">
        <v>2034</v>
      </c>
      <c r="B529" s="0" t="s">
        <v>2033</v>
      </c>
      <c r="C529" s="0" t="s">
        <v>2025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3616</v>
      </c>
    </row>
    <row r="530" customFormat="false" ht="17.15" hidden="false" customHeight="false" outlineLevel="0" collapsed="false">
      <c r="A530" s="0" t="s">
        <v>2037</v>
      </c>
      <c r="B530" s="0" t="s">
        <v>2036</v>
      </c>
      <c r="C530" s="0" t="s">
        <v>2025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3617</v>
      </c>
    </row>
    <row r="531" customFormat="false" ht="17.15" hidden="false" customHeight="false" outlineLevel="0" collapsed="false">
      <c r="A531" s="0" t="s">
        <v>2040</v>
      </c>
      <c r="B531" s="0" t="s">
        <v>2039</v>
      </c>
      <c r="C531" s="0" t="s">
        <v>2025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3618</v>
      </c>
    </row>
    <row r="532" customFormat="false" ht="17.15" hidden="false" customHeight="false" outlineLevel="0" collapsed="false">
      <c r="A532" s="0" t="s">
        <v>2043</v>
      </c>
      <c r="B532" s="0" t="s">
        <v>2042</v>
      </c>
      <c r="C532" s="0" t="s">
        <v>2025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3619</v>
      </c>
    </row>
    <row r="533" customFormat="false" ht="17.15" hidden="false" customHeight="false" outlineLevel="0" collapsed="false">
      <c r="A533" s="0" t="s">
        <v>2048</v>
      </c>
      <c r="B533" s="0" t="s">
        <v>2045</v>
      </c>
      <c r="C533" s="6" t="s">
        <v>2046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3620</v>
      </c>
    </row>
    <row r="534" customFormat="false" ht="17.15" hidden="false" customHeight="false" outlineLevel="0" collapsed="false">
      <c r="A534" s="0" t="s">
        <v>2052</v>
      </c>
      <c r="B534" s="0" t="s">
        <v>2051</v>
      </c>
      <c r="C534" s="6" t="s">
        <v>2046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3621</v>
      </c>
    </row>
    <row r="535" customFormat="false" ht="17.15" hidden="false" customHeight="false" outlineLevel="0" collapsed="false">
      <c r="A535" s="0" t="s">
        <v>2055</v>
      </c>
      <c r="B535" s="0" t="s">
        <v>2054</v>
      </c>
      <c r="C535" s="6" t="s">
        <v>2046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3622</v>
      </c>
    </row>
    <row r="536" customFormat="false" ht="17.15" hidden="false" customHeight="false" outlineLevel="0" collapsed="false">
      <c r="A536" s="0" t="s">
        <v>2058</v>
      </c>
      <c r="B536" s="0" t="s">
        <v>2057</v>
      </c>
      <c r="C536" s="6" t="s">
        <v>2046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3623</v>
      </c>
    </row>
    <row r="537" customFormat="false" ht="17.15" hidden="false" customHeight="false" outlineLevel="0" collapsed="false">
      <c r="A537" s="0" t="s">
        <v>2061</v>
      </c>
      <c r="B537" s="0" t="s">
        <v>2060</v>
      </c>
      <c r="C537" s="6" t="s">
        <v>2046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3624</v>
      </c>
    </row>
    <row r="538" customFormat="false" ht="17.15" hidden="false" customHeight="false" outlineLevel="0" collapsed="false">
      <c r="A538" s="0" t="s">
        <v>2064</v>
      </c>
      <c r="B538" s="0" t="s">
        <v>2063</v>
      </c>
      <c r="C538" s="6" t="s">
        <v>2046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3625</v>
      </c>
    </row>
    <row r="539" customFormat="false" ht="17.15" hidden="false" customHeight="false" outlineLevel="0" collapsed="false">
      <c r="A539" s="0" t="s">
        <v>2068</v>
      </c>
      <c r="B539" s="6" t="s">
        <v>2066</v>
      </c>
      <c r="C539" s="0" t="s">
        <v>60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3626</v>
      </c>
    </row>
    <row r="540" customFormat="false" ht="17.15" hidden="false" customHeight="false" outlineLevel="0" collapsed="false">
      <c r="A540" s="0" t="s">
        <v>2072</v>
      </c>
      <c r="B540" s="6" t="s">
        <v>2071</v>
      </c>
      <c r="C540" s="0" t="s">
        <v>60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3627</v>
      </c>
    </row>
    <row r="541" customFormat="false" ht="17.15" hidden="false" customHeight="false" outlineLevel="0" collapsed="false">
      <c r="A541" s="0" t="s">
        <v>2075</v>
      </c>
      <c r="B541" s="6" t="s">
        <v>2074</v>
      </c>
      <c r="C541" s="0" t="s">
        <v>60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3628</v>
      </c>
    </row>
    <row r="542" customFormat="false" ht="17.15" hidden="false" customHeight="false" outlineLevel="0" collapsed="false">
      <c r="A542" s="0" t="s">
        <v>2078</v>
      </c>
      <c r="B542" s="6" t="s">
        <v>2077</v>
      </c>
      <c r="C542" s="0" t="s">
        <v>60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3629</v>
      </c>
    </row>
    <row r="543" customFormat="false" ht="17.15" hidden="false" customHeight="false" outlineLevel="0" collapsed="false">
      <c r="A543" s="0" t="s">
        <v>2081</v>
      </c>
      <c r="B543" s="6" t="s">
        <v>2080</v>
      </c>
      <c r="C543" s="0" t="s">
        <v>60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3630</v>
      </c>
    </row>
    <row r="544" customFormat="false" ht="17.15" hidden="false" customHeight="false" outlineLevel="0" collapsed="false">
      <c r="A544" s="0" t="s">
        <v>2084</v>
      </c>
      <c r="B544" s="6" t="s">
        <v>2083</v>
      </c>
      <c r="C544" s="0" t="s">
        <v>60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3631</v>
      </c>
    </row>
    <row r="545" customFormat="false" ht="17.15" hidden="false" customHeight="false" outlineLevel="0" collapsed="false">
      <c r="A545" s="0" t="s">
        <v>2089</v>
      </c>
      <c r="B545" s="0" t="s">
        <v>2087</v>
      </c>
      <c r="C545" s="0" t="s">
        <v>60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3632</v>
      </c>
    </row>
    <row r="546" customFormat="false" ht="17.15" hidden="false" customHeight="false" outlineLevel="0" collapsed="false">
      <c r="A546" s="0" t="s">
        <v>2095</v>
      </c>
      <c r="B546" s="6" t="s">
        <v>2092</v>
      </c>
      <c r="C546" s="0" t="s">
        <v>2093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3633</v>
      </c>
    </row>
    <row r="547" customFormat="false" ht="17.15" hidden="false" customHeight="false" outlineLevel="0" collapsed="false">
      <c r="A547" s="0" t="s">
        <v>2100</v>
      </c>
      <c r="B547" s="6" t="s">
        <v>2098</v>
      </c>
      <c r="C547" s="0" t="s">
        <v>2093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3634</v>
      </c>
    </row>
    <row r="548" customFormat="false" ht="17.15" hidden="false" customHeight="false" outlineLevel="0" collapsed="false">
      <c r="A548" s="0" t="s">
        <v>2103</v>
      </c>
      <c r="B548" s="6" t="s">
        <v>2102</v>
      </c>
      <c r="C548" s="0" t="s">
        <v>2093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3635</v>
      </c>
    </row>
    <row r="549" customFormat="false" ht="17.15" hidden="false" customHeight="false" outlineLevel="0" collapsed="false">
      <c r="A549" s="0" t="s">
        <v>2106</v>
      </c>
      <c r="B549" s="6" t="s">
        <v>2105</v>
      </c>
      <c r="C549" s="0" t="s">
        <v>2093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3636</v>
      </c>
    </row>
    <row r="550" customFormat="false" ht="17.15" hidden="false" customHeight="false" outlineLevel="0" collapsed="false">
      <c r="A550" s="0" t="s">
        <v>2109</v>
      </c>
      <c r="B550" s="6" t="s">
        <v>2108</v>
      </c>
      <c r="C550" s="0" t="s">
        <v>2093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3637</v>
      </c>
    </row>
    <row r="551" customFormat="false" ht="17.15" hidden="false" customHeight="false" outlineLevel="0" collapsed="false">
      <c r="A551" s="0" t="s">
        <v>2114</v>
      </c>
      <c r="B551" s="0" t="s">
        <v>2111</v>
      </c>
      <c r="C551" s="0" t="s">
        <v>2112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3638</v>
      </c>
    </row>
    <row r="552" customFormat="false" ht="17.15" hidden="false" customHeight="false" outlineLevel="0" collapsed="false">
      <c r="A552" s="0" t="s">
        <v>2119</v>
      </c>
      <c r="B552" s="0" t="s">
        <v>2117</v>
      </c>
      <c r="C552" s="0" t="s">
        <v>60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3639</v>
      </c>
    </row>
    <row r="553" customFormat="false" ht="17.15" hidden="false" customHeight="false" outlineLevel="0" collapsed="false">
      <c r="A553" s="0" t="s">
        <v>2124</v>
      </c>
      <c r="B553" s="0" t="s">
        <v>2122</v>
      </c>
      <c r="C553" s="0" t="s">
        <v>60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3640</v>
      </c>
    </row>
    <row r="554" customFormat="false" ht="17.15" hidden="false" customHeight="false" outlineLevel="0" collapsed="false">
      <c r="A554" s="0" t="s">
        <v>2129</v>
      </c>
      <c r="B554" s="0" t="s">
        <v>2127</v>
      </c>
      <c r="C554" s="0" t="s">
        <v>60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3641</v>
      </c>
    </row>
    <row r="555" customFormat="false" ht="17.15" hidden="false" customHeight="false" outlineLevel="0" collapsed="false">
      <c r="A555" s="0" t="s">
        <v>2134</v>
      </c>
      <c r="B555" s="0" t="s">
        <v>2132</v>
      </c>
      <c r="C555" s="0" t="s">
        <v>60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3642</v>
      </c>
    </row>
    <row r="556" customFormat="false" ht="17.15" hidden="false" customHeight="false" outlineLevel="0" collapsed="false">
      <c r="A556" s="0" t="s">
        <v>2137</v>
      </c>
      <c r="B556" s="0" t="s">
        <v>2136</v>
      </c>
      <c r="C556" s="0" t="s">
        <v>60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3643</v>
      </c>
    </row>
    <row r="557" customFormat="false" ht="17.15" hidden="false" customHeight="false" outlineLevel="0" collapsed="false">
      <c r="A557" s="0" t="s">
        <v>2142</v>
      </c>
      <c r="B557" s="6" t="s">
        <v>2140</v>
      </c>
      <c r="C557" s="0" t="s">
        <v>60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3644</v>
      </c>
    </row>
    <row r="558" customFormat="false" ht="17.15" hidden="false" customHeight="false" outlineLevel="0" collapsed="false">
      <c r="A558" s="0" t="s">
        <v>2147</v>
      </c>
      <c r="B558" s="6" t="s">
        <v>2145</v>
      </c>
      <c r="C558" s="0" t="s">
        <v>60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3645</v>
      </c>
    </row>
    <row r="559" customFormat="false" ht="17.15" hidden="false" customHeight="false" outlineLevel="0" collapsed="false">
      <c r="A559" s="0" t="s">
        <v>2151</v>
      </c>
      <c r="B559" s="6" t="s">
        <v>2150</v>
      </c>
      <c r="C559" s="0" t="s">
        <v>60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3646</v>
      </c>
    </row>
    <row r="560" customFormat="false" ht="17.15" hidden="false" customHeight="false" outlineLevel="0" collapsed="false">
      <c r="A560" s="0" t="s">
        <v>2154</v>
      </c>
      <c r="B560" s="6" t="s">
        <v>2153</v>
      </c>
      <c r="C560" s="0" t="s">
        <v>60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3647</v>
      </c>
    </row>
    <row r="561" customFormat="false" ht="17.15" hidden="false" customHeight="false" outlineLevel="0" collapsed="false">
      <c r="A561" s="0" t="s">
        <v>2157</v>
      </c>
      <c r="B561" s="0" t="s">
        <v>2156</v>
      </c>
      <c r="C561" s="0" t="s">
        <v>60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3648</v>
      </c>
    </row>
    <row r="562" customFormat="false" ht="17.15" hidden="false" customHeight="false" outlineLevel="0" collapsed="false">
      <c r="A562" s="0" t="s">
        <v>2160</v>
      </c>
      <c r="B562" s="0" t="s">
        <v>2159</v>
      </c>
      <c r="C562" s="0" t="s">
        <v>60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3649</v>
      </c>
    </row>
    <row r="563" customFormat="false" ht="17.15" hidden="false" customHeight="false" outlineLevel="0" collapsed="false">
      <c r="A563" s="0" t="s">
        <v>2163</v>
      </c>
      <c r="B563" s="0" t="s">
        <v>2162</v>
      </c>
      <c r="C563" s="0" t="s">
        <v>60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3650</v>
      </c>
    </row>
    <row r="564" customFormat="false" ht="17.15" hidden="false" customHeight="false" outlineLevel="0" collapsed="false">
      <c r="A564" s="0" t="s">
        <v>2167</v>
      </c>
      <c r="B564" s="6" t="s">
        <v>2165</v>
      </c>
      <c r="C564" s="0" t="s">
        <v>60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3651</v>
      </c>
    </row>
    <row r="565" customFormat="false" ht="17.15" hidden="false" customHeight="false" outlineLevel="0" collapsed="false">
      <c r="A565" s="0" t="s">
        <v>2170</v>
      </c>
      <c r="B565" s="6" t="s">
        <v>2169</v>
      </c>
      <c r="C565" s="0" t="s">
        <v>60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3652</v>
      </c>
    </row>
    <row r="566" customFormat="false" ht="17.15" hidden="false" customHeight="false" outlineLevel="0" collapsed="false">
      <c r="A566" s="0" t="s">
        <v>2173</v>
      </c>
      <c r="B566" s="6" t="s">
        <v>2172</v>
      </c>
      <c r="C566" s="0" t="s">
        <v>60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3653</v>
      </c>
    </row>
    <row r="567" customFormat="false" ht="17.15" hidden="false" customHeight="false" outlineLevel="0" collapsed="false">
      <c r="A567" s="0" t="s">
        <v>2177</v>
      </c>
      <c r="B567" s="6" t="s">
        <v>2175</v>
      </c>
      <c r="C567" s="0" t="s">
        <v>60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3654</v>
      </c>
    </row>
    <row r="568" customFormat="false" ht="17.15" hidden="false" customHeight="false" outlineLevel="0" collapsed="false">
      <c r="A568" s="0" t="s">
        <v>2181</v>
      </c>
      <c r="B568" s="6" t="s">
        <v>2180</v>
      </c>
      <c r="C568" s="0" t="s">
        <v>60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3655</v>
      </c>
    </row>
    <row r="569" customFormat="false" ht="17.15" hidden="false" customHeight="false" outlineLevel="0" collapsed="false">
      <c r="A569" s="0" t="s">
        <v>2184</v>
      </c>
      <c r="B569" s="6" t="s">
        <v>2183</v>
      </c>
      <c r="C569" s="0" t="s">
        <v>60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3656</v>
      </c>
    </row>
    <row r="570" customFormat="false" ht="17.15" hidden="false" customHeight="false" outlineLevel="0" collapsed="false">
      <c r="A570" s="0" t="s">
        <v>2188</v>
      </c>
      <c r="B570" s="6" t="s">
        <v>2186</v>
      </c>
      <c r="C570" s="0" t="s">
        <v>60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3657</v>
      </c>
    </row>
    <row r="571" customFormat="false" ht="17.15" hidden="false" customHeight="false" outlineLevel="0" collapsed="false">
      <c r="A571" s="0" t="s">
        <v>2191</v>
      </c>
      <c r="B571" s="6" t="s">
        <v>2190</v>
      </c>
      <c r="C571" s="0" t="s">
        <v>60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3658</v>
      </c>
    </row>
    <row r="572" customFormat="false" ht="17.15" hidden="false" customHeight="false" outlineLevel="0" collapsed="false">
      <c r="A572" s="0" t="s">
        <v>2195</v>
      </c>
      <c r="B572" s="6" t="s">
        <v>2193</v>
      </c>
      <c r="C572" s="0" t="s">
        <v>511</v>
      </c>
      <c r="E572" s="35" t="n">
        <f aca="false">In!E595</f>
        <v>4.2</v>
      </c>
      <c r="G572" s="0" t="str">
        <f aca="false">In!G595</f>
        <v>Derived</v>
      </c>
      <c r="H572" s="12" t="s">
        <v>3659</v>
      </c>
    </row>
    <row r="573" customFormat="false" ht="17.15" hidden="false" customHeight="false" outlineLevel="0" collapsed="false">
      <c r="A573" s="0" t="s">
        <v>2199</v>
      </c>
      <c r="B573" s="6" t="s">
        <v>2197</v>
      </c>
      <c r="C573" s="0" t="s">
        <v>511</v>
      </c>
      <c r="E573" s="35" t="n">
        <f aca="false">In!E596</f>
        <v>5.2</v>
      </c>
      <c r="G573" s="0" t="str">
        <f aca="false">In!G596</f>
        <v>Interested-party</v>
      </c>
      <c r="H573" s="12" t="s">
        <v>3660</v>
      </c>
    </row>
    <row r="574" customFormat="false" ht="17.15" hidden="false" customHeight="false" outlineLevel="0" collapsed="false">
      <c r="A574" s="0" t="s">
        <v>2203</v>
      </c>
      <c r="B574" s="6" t="s">
        <v>2201</v>
      </c>
      <c r="C574" s="0" t="s">
        <v>511</v>
      </c>
      <c r="E574" s="35" t="n">
        <f aca="false">In!E597</f>
        <v>6</v>
      </c>
      <c r="G574" s="0" t="str">
        <f aca="false">In!G597</f>
        <v>Interested-party</v>
      </c>
      <c r="H574" s="12" t="s">
        <v>3661</v>
      </c>
    </row>
    <row r="575" customFormat="false" ht="17.15" hidden="false" customHeight="false" outlineLevel="0" collapsed="false">
      <c r="A575" s="0" t="s">
        <v>2207</v>
      </c>
      <c r="B575" s="6" t="s">
        <v>2205</v>
      </c>
      <c r="C575" s="0" t="s">
        <v>511</v>
      </c>
      <c r="E575" s="35" t="n">
        <f aca="false">In!E598</f>
        <v>6.6</v>
      </c>
      <c r="G575" s="0" t="str">
        <f aca="false">In!G598</f>
        <v>Interested-party</v>
      </c>
      <c r="H575" s="12" t="s">
        <v>3662</v>
      </c>
    </row>
    <row r="576" customFormat="false" ht="17.15" hidden="false" customHeight="false" outlineLevel="0" collapsed="false">
      <c r="A576" s="0" t="s">
        <v>2211</v>
      </c>
      <c r="B576" s="6" t="s">
        <v>2209</v>
      </c>
      <c r="C576" s="0" t="s">
        <v>511</v>
      </c>
      <c r="E576" s="35" t="n">
        <f aca="false">In!E599</f>
        <v>13.51</v>
      </c>
      <c r="G576" s="0" t="str">
        <f aca="false">In!G599</f>
        <v>Derived</v>
      </c>
      <c r="H576" s="12" t="s">
        <v>3663</v>
      </c>
    </row>
    <row r="577" customFormat="false" ht="17.15" hidden="false" customHeight="false" outlineLevel="0" collapsed="false">
      <c r="A577" s="0" t="s">
        <v>2215</v>
      </c>
      <c r="B577" s="6" t="s">
        <v>2213</v>
      </c>
      <c r="C577" s="0" t="s">
        <v>511</v>
      </c>
      <c r="E577" s="35" t="n">
        <f aca="false">In!E600</f>
        <v>23.06</v>
      </c>
      <c r="G577" s="0" t="str">
        <f aca="false">In!G600</f>
        <v>Interested-party</v>
      </c>
      <c r="H577" s="12" t="s">
        <v>3664</v>
      </c>
    </row>
    <row r="578" customFormat="false" ht="17.15" hidden="false" customHeight="false" outlineLevel="0" collapsed="false">
      <c r="A578" s="0" t="s">
        <v>2218</v>
      </c>
      <c r="B578" s="0" t="s">
        <v>2217</v>
      </c>
      <c r="C578" s="0" t="s">
        <v>511</v>
      </c>
      <c r="E578" s="35" t="n">
        <f aca="false">In!E601</f>
        <v>2.19</v>
      </c>
      <c r="G578" s="0" t="str">
        <f aca="false">In!G601</f>
        <v>Derived</v>
      </c>
      <c r="H578" s="12" t="s">
        <v>3665</v>
      </c>
    </row>
    <row r="579" customFormat="false" ht="17.15" hidden="false" customHeight="false" outlineLevel="0" collapsed="false">
      <c r="A579" s="0" t="s">
        <v>2221</v>
      </c>
      <c r="B579" s="0" t="s">
        <v>2220</v>
      </c>
      <c r="C579" s="0" t="s">
        <v>511</v>
      </c>
      <c r="E579" s="35" t="n">
        <f aca="false">In!E602</f>
        <v>3.34</v>
      </c>
      <c r="G579" s="0" t="str">
        <f aca="false">In!G602</f>
        <v>Interested-party</v>
      </c>
      <c r="H579" s="12" t="s">
        <v>3666</v>
      </c>
    </row>
    <row r="580" customFormat="false" ht="17.15" hidden="false" customHeight="false" outlineLevel="0" collapsed="false">
      <c r="A580" s="0" t="s">
        <v>2224</v>
      </c>
      <c r="B580" s="0" t="s">
        <v>2223</v>
      </c>
      <c r="C580" s="0" t="s">
        <v>511</v>
      </c>
      <c r="E580" s="35" t="n">
        <f aca="false">In!E603</f>
        <v>3.53</v>
      </c>
      <c r="G580" s="0" t="str">
        <f aca="false">In!G603</f>
        <v>Interested-party</v>
      </c>
      <c r="H580" s="12" t="s">
        <v>3667</v>
      </c>
    </row>
    <row r="581" customFormat="false" ht="17.15" hidden="false" customHeight="false" outlineLevel="0" collapsed="false">
      <c r="A581" s="0" t="s">
        <v>2227</v>
      </c>
      <c r="B581" s="0" t="s">
        <v>2226</v>
      </c>
      <c r="C581" s="0" t="s">
        <v>511</v>
      </c>
      <c r="E581" s="35" t="n">
        <f aca="false">In!E604</f>
        <v>5.21</v>
      </c>
      <c r="G581" s="0" t="str">
        <f aca="false">In!G604</f>
        <v>Interested-party</v>
      </c>
      <c r="H581" s="12" t="s">
        <v>3668</v>
      </c>
    </row>
    <row r="582" customFormat="false" ht="17.15" hidden="false" customHeight="false" outlineLevel="0" collapsed="false">
      <c r="A582" s="0" t="s">
        <v>2230</v>
      </c>
      <c r="B582" s="0" t="s">
        <v>2229</v>
      </c>
      <c r="C582" s="0" t="s">
        <v>511</v>
      </c>
      <c r="E582" s="35" t="n">
        <f aca="false">In!E605</f>
        <v>7.53</v>
      </c>
      <c r="G582" s="0" t="str">
        <f aca="false">In!G605</f>
        <v>Derived</v>
      </c>
      <c r="H582" s="12" t="s">
        <v>3669</v>
      </c>
    </row>
    <row r="583" customFormat="false" ht="17.15" hidden="false" customHeight="false" outlineLevel="0" collapsed="false">
      <c r="A583" s="0" t="s">
        <v>2233</v>
      </c>
      <c r="B583" s="0" t="s">
        <v>2232</v>
      </c>
      <c r="C583" s="0" t="s">
        <v>511</v>
      </c>
      <c r="E583" s="35" t="n">
        <f aca="false">In!E606</f>
        <v>14.27</v>
      </c>
      <c r="G583" s="0" t="str">
        <f aca="false">In!G606</f>
        <v>Interested-party</v>
      </c>
      <c r="H583" s="12" t="s">
        <v>3670</v>
      </c>
    </row>
    <row r="584" customFormat="false" ht="17.15" hidden="false" customHeight="false" outlineLevel="0" collapsed="false">
      <c r="A584" s="0" t="s">
        <v>2236</v>
      </c>
      <c r="B584" s="6" t="s">
        <v>2235</v>
      </c>
      <c r="C584" s="0" t="s">
        <v>511</v>
      </c>
      <c r="E584" s="35" t="n">
        <f aca="false">In!E607</f>
        <v>2.03</v>
      </c>
      <c r="G584" s="0" t="str">
        <f aca="false">In!G607</f>
        <v>Derived</v>
      </c>
      <c r="H584" s="12" t="s">
        <v>3671</v>
      </c>
    </row>
    <row r="585" customFormat="false" ht="17.15" hidden="false" customHeight="false" outlineLevel="0" collapsed="false">
      <c r="A585" s="0" t="s">
        <v>2239</v>
      </c>
      <c r="B585" s="6" t="s">
        <v>2238</v>
      </c>
      <c r="C585" s="0" t="s">
        <v>511</v>
      </c>
      <c r="E585" s="35" t="n">
        <f aca="false">In!E608</f>
        <v>2.1</v>
      </c>
      <c r="G585" s="0" t="str">
        <f aca="false">In!G608</f>
        <v>Interested-party</v>
      </c>
      <c r="H585" s="12" t="s">
        <v>3672</v>
      </c>
    </row>
    <row r="586" customFormat="false" ht="17.15" hidden="false" customHeight="false" outlineLevel="0" collapsed="false">
      <c r="A586" s="0" t="s">
        <v>2242</v>
      </c>
      <c r="B586" s="6" t="s">
        <v>2241</v>
      </c>
      <c r="C586" s="0" t="s">
        <v>511</v>
      </c>
      <c r="E586" s="35" t="n">
        <f aca="false">In!E609</f>
        <v>2.42</v>
      </c>
      <c r="G586" s="0" t="str">
        <f aca="false">In!G609</f>
        <v>Interested-party</v>
      </c>
      <c r="H586" s="12" t="s">
        <v>3673</v>
      </c>
    </row>
    <row r="587" customFormat="false" ht="17.15" hidden="false" customHeight="false" outlineLevel="0" collapsed="false">
      <c r="A587" s="0" t="s">
        <v>2245</v>
      </c>
      <c r="B587" s="6" t="s">
        <v>2244</v>
      </c>
      <c r="C587" s="0" t="s">
        <v>511</v>
      </c>
      <c r="E587" s="35" t="n">
        <f aca="false">In!E610</f>
        <v>3.03</v>
      </c>
      <c r="G587" s="0" t="str">
        <f aca="false">In!G610</f>
        <v>Interested-party</v>
      </c>
      <c r="H587" s="12" t="s">
        <v>3674</v>
      </c>
    </row>
    <row r="588" customFormat="false" ht="17.15" hidden="false" customHeight="false" outlineLevel="0" collapsed="false">
      <c r="A588" s="0" t="s">
        <v>2248</v>
      </c>
      <c r="B588" s="6" t="s">
        <v>2247</v>
      </c>
      <c r="C588" s="0" t="s">
        <v>511</v>
      </c>
      <c r="E588" s="35" t="n">
        <f aca="false">In!E611</f>
        <v>5.95</v>
      </c>
      <c r="G588" s="0" t="str">
        <f aca="false">In!G611</f>
        <v>Derived</v>
      </c>
      <c r="H588" s="12" t="s">
        <v>3675</v>
      </c>
    </row>
    <row r="589" customFormat="false" ht="17.15" hidden="false" customHeight="false" outlineLevel="0" collapsed="false">
      <c r="A589" s="0" t="s">
        <v>2251</v>
      </c>
      <c r="B589" s="6" t="s">
        <v>2250</v>
      </c>
      <c r="C589" s="0" t="s">
        <v>511</v>
      </c>
      <c r="E589" s="35" t="n">
        <f aca="false">In!E612</f>
        <v>11.85</v>
      </c>
      <c r="G589" s="0" t="str">
        <f aca="false">In!G612</f>
        <v>Interested-party</v>
      </c>
      <c r="H589" s="12" t="s">
        <v>3676</v>
      </c>
    </row>
    <row r="590" customFormat="false" ht="17.15" hidden="false" customHeight="false" outlineLevel="0" collapsed="false">
      <c r="A590" s="0" t="s">
        <v>2254</v>
      </c>
      <c r="B590" s="0" t="s">
        <v>2253</v>
      </c>
      <c r="C590" s="0" t="s">
        <v>511</v>
      </c>
      <c r="E590" s="35" t="n">
        <f aca="false">In!E613</f>
        <v>1.92</v>
      </c>
      <c r="G590" s="0" t="str">
        <f aca="false">In!G613</f>
        <v>Derived</v>
      </c>
      <c r="H590" s="12" t="s">
        <v>3677</v>
      </c>
    </row>
    <row r="591" customFormat="false" ht="17.15" hidden="false" customHeight="false" outlineLevel="0" collapsed="false">
      <c r="A591" s="0" t="s">
        <v>2257</v>
      </c>
      <c r="B591" s="0" t="s">
        <v>2256</v>
      </c>
      <c r="C591" s="0" t="s">
        <v>511</v>
      </c>
      <c r="E591" s="35" t="n">
        <f aca="false">In!E614</f>
        <v>2.14</v>
      </c>
      <c r="G591" s="0" t="str">
        <f aca="false">In!G614</f>
        <v>Interested-party</v>
      </c>
      <c r="H591" s="12" t="s">
        <v>3678</v>
      </c>
    </row>
    <row r="592" customFormat="false" ht="17.15" hidden="false" customHeight="false" outlineLevel="0" collapsed="false">
      <c r="A592" s="0" t="s">
        <v>2260</v>
      </c>
      <c r="B592" s="0" t="s">
        <v>2259</v>
      </c>
      <c r="C592" s="0" t="s">
        <v>511</v>
      </c>
      <c r="E592" s="35" t="n">
        <f aca="false">In!E615</f>
        <v>2.84</v>
      </c>
      <c r="G592" s="0" t="str">
        <f aca="false">In!G615</f>
        <v>Interested-party</v>
      </c>
      <c r="H592" s="12" t="s">
        <v>3679</v>
      </c>
    </row>
    <row r="593" customFormat="false" ht="17.15" hidden="false" customHeight="false" outlineLevel="0" collapsed="false">
      <c r="A593" s="0" t="s">
        <v>2263</v>
      </c>
      <c r="B593" s="0" t="s">
        <v>2262</v>
      </c>
      <c r="C593" s="0" t="s">
        <v>511</v>
      </c>
      <c r="E593" s="35" t="n">
        <f aca="false">In!E616</f>
        <v>3.31</v>
      </c>
      <c r="G593" s="0" t="str">
        <f aca="false">In!G616</f>
        <v>Interested-party</v>
      </c>
      <c r="H593" s="12" t="s">
        <v>3680</v>
      </c>
    </row>
    <row r="594" customFormat="false" ht="17.15" hidden="false" customHeight="false" outlineLevel="0" collapsed="false">
      <c r="A594" s="0" t="s">
        <v>2266</v>
      </c>
      <c r="B594" s="0" t="s">
        <v>2265</v>
      </c>
      <c r="C594" s="0" t="s">
        <v>511</v>
      </c>
      <c r="E594" s="35" t="n">
        <f aca="false">In!E617</f>
        <v>5.96</v>
      </c>
      <c r="G594" s="0" t="str">
        <f aca="false">In!G617</f>
        <v>Derived</v>
      </c>
      <c r="H594" s="12" t="s">
        <v>3681</v>
      </c>
    </row>
    <row r="595" customFormat="false" ht="17.15" hidden="false" customHeight="false" outlineLevel="0" collapsed="false">
      <c r="A595" s="0" t="s">
        <v>2269</v>
      </c>
      <c r="B595" s="0" t="s">
        <v>2268</v>
      </c>
      <c r="C595" s="0" t="s">
        <v>511</v>
      </c>
      <c r="E595" s="35" t="n">
        <f aca="false">In!E618</f>
        <v>10.72</v>
      </c>
      <c r="G595" s="0" t="str">
        <f aca="false">In!G618</f>
        <v>Interested-party</v>
      </c>
      <c r="H595" s="12" t="s">
        <v>3682</v>
      </c>
    </row>
    <row r="596" customFormat="false" ht="17.15" hidden="false" customHeight="false" outlineLevel="0" collapsed="false">
      <c r="A596" s="0" t="s">
        <v>2272</v>
      </c>
      <c r="B596" s="0" t="s">
        <v>2271</v>
      </c>
      <c r="C596" s="0" t="s">
        <v>511</v>
      </c>
      <c r="E596" s="35" t="n">
        <f aca="false">In!E619</f>
        <v>1.69</v>
      </c>
      <c r="G596" s="0" t="str">
        <f aca="false">In!G619</f>
        <v>Derived</v>
      </c>
      <c r="H596" s="12" t="s">
        <v>3683</v>
      </c>
    </row>
    <row r="597" customFormat="false" ht="17.15" hidden="false" customHeight="false" outlineLevel="0" collapsed="false">
      <c r="A597" s="0" t="s">
        <v>2275</v>
      </c>
      <c r="B597" s="0" t="s">
        <v>2274</v>
      </c>
      <c r="C597" s="0" t="s">
        <v>511</v>
      </c>
      <c r="E597" s="35" t="n">
        <f aca="false">In!E620</f>
        <v>1.9</v>
      </c>
      <c r="G597" s="0" t="str">
        <f aca="false">In!G620</f>
        <v>Interested-party</v>
      </c>
      <c r="H597" s="12" t="s">
        <v>3684</v>
      </c>
    </row>
    <row r="598" customFormat="false" ht="17.15" hidden="false" customHeight="false" outlineLevel="0" collapsed="false">
      <c r="A598" s="0" t="s">
        <v>2278</v>
      </c>
      <c r="B598" s="0" t="s">
        <v>2277</v>
      </c>
      <c r="C598" s="0" t="s">
        <v>511</v>
      </c>
      <c r="E598" s="35" t="n">
        <f aca="false">In!E621</f>
        <v>2.31</v>
      </c>
      <c r="G598" s="0" t="str">
        <f aca="false">In!G621</f>
        <v>Interested-party</v>
      </c>
      <c r="H598" s="12" t="s">
        <v>3685</v>
      </c>
    </row>
    <row r="599" customFormat="false" ht="17.15" hidden="false" customHeight="false" outlineLevel="0" collapsed="false">
      <c r="A599" s="0" t="s">
        <v>2281</v>
      </c>
      <c r="B599" s="0" t="s">
        <v>2280</v>
      </c>
      <c r="C599" s="0" t="s">
        <v>511</v>
      </c>
      <c r="E599" s="35" t="n">
        <f aca="false">In!E622</f>
        <v>3.03</v>
      </c>
      <c r="G599" s="0" t="str">
        <f aca="false">In!G622</f>
        <v>Interested-party</v>
      </c>
      <c r="H599" s="12" t="s">
        <v>3686</v>
      </c>
    </row>
    <row r="600" customFormat="false" ht="17.15" hidden="false" customHeight="false" outlineLevel="0" collapsed="false">
      <c r="A600" s="0" t="s">
        <v>2284</v>
      </c>
      <c r="B600" s="0" t="s">
        <v>2283</v>
      </c>
      <c r="C600" s="0" t="s">
        <v>511</v>
      </c>
      <c r="E600" s="35" t="n">
        <f aca="false">In!E623</f>
        <v>5.95</v>
      </c>
      <c r="G600" s="0" t="str">
        <f aca="false">In!G623</f>
        <v>Derived</v>
      </c>
      <c r="H600" s="12" t="s">
        <v>3687</v>
      </c>
    </row>
    <row r="601" customFormat="false" ht="17.15" hidden="false" customHeight="false" outlineLevel="0" collapsed="false">
      <c r="A601" s="0" t="s">
        <v>2287</v>
      </c>
      <c r="B601" s="0" t="s">
        <v>2286</v>
      </c>
      <c r="C601" s="0" t="s">
        <v>511</v>
      </c>
      <c r="E601" s="35" t="n">
        <f aca="false">In!E624</f>
        <v>8.97</v>
      </c>
      <c r="G601" s="0" t="str">
        <f aca="false">In!G624</f>
        <v>Interested-party</v>
      </c>
      <c r="H601" s="12" t="s">
        <v>3688</v>
      </c>
    </row>
    <row r="602" customFormat="false" ht="17.15" hidden="false" customHeight="false" outlineLevel="0" collapsed="false">
      <c r="A602" s="0" t="s">
        <v>2292</v>
      </c>
      <c r="B602" s="0" t="s">
        <v>2290</v>
      </c>
      <c r="C602" s="0" t="s">
        <v>511</v>
      </c>
      <c r="E602" s="35" t="n">
        <f aca="false">In!E625</f>
        <v>67.4</v>
      </c>
      <c r="G602" s="0" t="str">
        <f aca="false">In!G625</f>
        <v>Interested-party</v>
      </c>
      <c r="H602" s="12" t="s">
        <v>3689</v>
      </c>
    </row>
    <row r="603" customFormat="false" ht="17.15" hidden="false" customHeight="false" outlineLevel="0" collapsed="false">
      <c r="A603" s="0" t="s">
        <v>2298</v>
      </c>
      <c r="B603" s="6" t="s">
        <v>2295</v>
      </c>
      <c r="C603" s="0" t="s">
        <v>2296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3690</v>
      </c>
    </row>
    <row r="604" customFormat="false" ht="17.15" hidden="false" customHeight="false" outlineLevel="0" collapsed="false">
      <c r="A604" s="0" t="s">
        <v>2302</v>
      </c>
      <c r="B604" s="0" t="s">
        <v>2300</v>
      </c>
      <c r="C604" s="0" t="s">
        <v>2296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3691</v>
      </c>
    </row>
    <row r="605" customFormat="false" ht="17.15" hidden="false" customHeight="false" outlineLevel="0" collapsed="false">
      <c r="A605" s="0" t="s">
        <v>2306</v>
      </c>
      <c r="B605" s="6" t="s">
        <v>2304</v>
      </c>
      <c r="C605" s="0" t="s">
        <v>2296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3692</v>
      </c>
    </row>
    <row r="606" customFormat="false" ht="17.15" hidden="false" customHeight="false" outlineLevel="0" collapsed="false">
      <c r="A606" s="0" t="s">
        <v>2311</v>
      </c>
      <c r="B606" s="0" t="s">
        <v>2309</v>
      </c>
      <c r="C606" s="0" t="s">
        <v>60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3693</v>
      </c>
    </row>
    <row r="607" customFormat="false" ht="17.15" hidden="false" customHeight="false" outlineLevel="0" collapsed="false">
      <c r="A607" s="0" t="s">
        <v>2316</v>
      </c>
      <c r="B607" s="0" t="s">
        <v>2314</v>
      </c>
      <c r="C607" s="0" t="s">
        <v>60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3694</v>
      </c>
    </row>
    <row r="608" customFormat="false" ht="17.15" hidden="false" customHeight="false" outlineLevel="0" collapsed="false">
      <c r="A608" s="0" t="s">
        <v>2321</v>
      </c>
      <c r="B608" s="0" t="s">
        <v>2319</v>
      </c>
      <c r="C608" s="0" t="s">
        <v>60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3695</v>
      </c>
    </row>
    <row r="609" customFormat="false" ht="17.15" hidden="false" customHeight="false" outlineLevel="0" collapsed="false">
      <c r="A609" s="0" t="s">
        <v>2326</v>
      </c>
      <c r="B609" s="0" t="s">
        <v>2324</v>
      </c>
      <c r="C609" s="0" t="s">
        <v>60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3696</v>
      </c>
    </row>
    <row r="610" customFormat="false" ht="17.15" hidden="false" customHeight="false" outlineLevel="0" collapsed="false">
      <c r="A610" s="0" t="s">
        <v>2330</v>
      </c>
      <c r="B610" s="0" t="s">
        <v>2329</v>
      </c>
      <c r="C610" s="0" t="s">
        <v>60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3697</v>
      </c>
    </row>
    <row r="611" customFormat="false" ht="17.15" hidden="false" customHeight="false" outlineLevel="0" collapsed="false">
      <c r="A611" s="0" t="s">
        <v>2335</v>
      </c>
      <c r="B611" s="0" t="s">
        <v>2333</v>
      </c>
      <c r="C611" s="0" t="s">
        <v>60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3698</v>
      </c>
    </row>
    <row r="612" customFormat="false" ht="17.15" hidden="false" customHeight="false" outlineLevel="0" collapsed="false">
      <c r="A612" s="0" t="s">
        <v>2340</v>
      </c>
      <c r="B612" s="0" t="s">
        <v>2338</v>
      </c>
      <c r="C612" s="0" t="s">
        <v>60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3699</v>
      </c>
    </row>
    <row r="613" customFormat="false" ht="17.15" hidden="false" customHeight="false" outlineLevel="0" collapsed="false">
      <c r="A613" s="0" t="s">
        <v>2345</v>
      </c>
      <c r="B613" s="0" t="s">
        <v>2343</v>
      </c>
      <c r="C613" s="0" t="s">
        <v>60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3700</v>
      </c>
    </row>
    <row r="614" customFormat="false" ht="17.15" hidden="false" customHeight="false" outlineLevel="0" collapsed="false">
      <c r="A614" s="0" t="s">
        <v>2350</v>
      </c>
      <c r="B614" s="0" t="s">
        <v>2348</v>
      </c>
      <c r="C614" s="0" t="s">
        <v>60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3701</v>
      </c>
    </row>
    <row r="615" customFormat="false" ht="17.15" hidden="false" customHeight="false" outlineLevel="0" collapsed="false">
      <c r="A615" s="0" t="s">
        <v>2355</v>
      </c>
      <c r="B615" s="0" t="s">
        <v>2353</v>
      </c>
      <c r="C615" s="0" t="s">
        <v>60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3702</v>
      </c>
    </row>
    <row r="616" customFormat="false" ht="17.15" hidden="false" customHeight="false" outlineLevel="0" collapsed="false">
      <c r="A616" s="0" t="s">
        <v>2360</v>
      </c>
      <c r="B616" s="0" t="s">
        <v>2358</v>
      </c>
      <c r="C616" s="0" t="s">
        <v>60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3703</v>
      </c>
    </row>
    <row r="617" customFormat="false" ht="17.15" hidden="false" customHeight="false" outlineLevel="0" collapsed="false">
      <c r="A617" s="0" t="s">
        <v>2365</v>
      </c>
      <c r="B617" s="0" t="s">
        <v>2363</v>
      </c>
      <c r="C617" s="0" t="s">
        <v>60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3704</v>
      </c>
    </row>
    <row r="618" customFormat="false" ht="17.15" hidden="false" customHeight="false" outlineLevel="0" collapsed="false">
      <c r="A618" s="0" t="s">
        <v>2370</v>
      </c>
      <c r="B618" s="0" t="s">
        <v>2368</v>
      </c>
      <c r="C618" s="0" t="s">
        <v>60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3705</v>
      </c>
    </row>
    <row r="619" customFormat="false" ht="17.15" hidden="false" customHeight="false" outlineLevel="0" collapsed="false">
      <c r="A619" s="0" t="s">
        <v>2375</v>
      </c>
      <c r="B619" s="0" t="s">
        <v>2373</v>
      </c>
      <c r="C619" s="0" t="s">
        <v>60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3706</v>
      </c>
    </row>
    <row r="620" customFormat="false" ht="17.15" hidden="false" customHeight="false" outlineLevel="0" collapsed="false">
      <c r="A620" s="0" t="s">
        <v>2379</v>
      </c>
      <c r="B620" s="0" t="s">
        <v>2378</v>
      </c>
      <c r="C620" s="0" t="s">
        <v>60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3707</v>
      </c>
    </row>
    <row r="622" customFormat="false" ht="17.15" hidden="false" customHeight="false" outlineLevel="0" collapsed="false">
      <c r="A622" s="10" t="s">
        <v>3708</v>
      </c>
    </row>
    <row r="623" customFormat="false" ht="15" hidden="false" customHeight="false" outlineLevel="0" collapsed="false">
      <c r="A623" s="4" t="s">
        <v>24</v>
      </c>
      <c r="B623" s="4" t="s">
        <v>48</v>
      </c>
      <c r="C623" s="4" t="s">
        <v>49</v>
      </c>
      <c r="D623" s="5" t="s">
        <v>2593</v>
      </c>
      <c r="E623" s="5" t="s">
        <v>2406</v>
      </c>
      <c r="F623" s="5" t="s">
        <v>2407</v>
      </c>
      <c r="G623" s="5" t="s">
        <v>2408</v>
      </c>
      <c r="H623" s="5" t="s">
        <v>2409</v>
      </c>
      <c r="I623" s="4" t="s">
        <v>3091</v>
      </c>
    </row>
    <row r="624" customFormat="false" ht="17.15" hidden="false" customHeight="false" outlineLevel="0" collapsed="false">
      <c r="A624" s="0" t="s">
        <v>3709</v>
      </c>
      <c r="B624" s="0" t="s">
        <v>3710</v>
      </c>
      <c r="C624" s="0" t="s">
        <v>2112</v>
      </c>
      <c r="D624" s="7" t="str">
        <f aca="false">IF(ISBLANK(Mkt!C13),"",Mkt!C13)</f>
        <v/>
      </c>
      <c r="E624" s="7" t="n">
        <f aca="false">IF(ISBLANK(Mkt!D13),"",Mkt!D13)</f>
        <v>3.2893</v>
      </c>
      <c r="F624" s="7" t="n">
        <f aca="false">IF(ISBLANK(Mkt!E13),"",Mkt!E13)</f>
        <v>6.1702</v>
      </c>
      <c r="G624" s="7" t="n">
        <f aca="false">IF(ISBLANK(Mkt!F13),"",Mkt!F13)</f>
        <v>8.938</v>
      </c>
      <c r="H624" s="7" t="n">
        <f aca="false">IF(ISBLANK(Mkt!G13),"",Mkt!G13)</f>
        <v>11.6194</v>
      </c>
      <c r="I624" s="12" t="s">
        <v>3711</v>
      </c>
    </row>
    <row r="625" customFormat="false" ht="17.15" hidden="false" customHeight="false" outlineLevel="0" collapsed="false">
      <c r="A625" s="0" t="s">
        <v>3712</v>
      </c>
      <c r="B625" s="0" t="s">
        <v>3713</v>
      </c>
      <c r="C625" s="0" t="s">
        <v>2112</v>
      </c>
      <c r="D625" s="7" t="str">
        <f aca="false">IF(ISBLANK(Mkt!C14),"",Mkt!C14)</f>
        <v/>
      </c>
      <c r="E625" s="7" t="n">
        <f aca="false">IF(ISBLANK(Mkt!D14),"",Mkt!D14)</f>
        <v>3.782695</v>
      </c>
      <c r="F625" s="7" t="n">
        <f aca="false">IF(ISBLANK(Mkt!E14),"",Mkt!E14)</f>
        <v>7.09573</v>
      </c>
      <c r="G625" s="7" t="n">
        <f aca="false">IF(ISBLANK(Mkt!F14),"",Mkt!F14)</f>
        <v>10.2787</v>
      </c>
      <c r="H625" s="7" t="n">
        <f aca="false">IF(ISBLANK(Mkt!G14),"",Mkt!G14)</f>
        <v>13.36231</v>
      </c>
      <c r="I625" s="12" t="s">
        <v>3714</v>
      </c>
    </row>
    <row r="626" customFormat="false" ht="17.15" hidden="false" customHeight="false" outlineLevel="0" collapsed="false">
      <c r="A626" s="0" t="s">
        <v>3715</v>
      </c>
      <c r="B626" s="6" t="s">
        <v>3716</v>
      </c>
      <c r="C626" s="6" t="s">
        <v>331</v>
      </c>
      <c r="D626" s="7" t="str">
        <f aca="false">IF(ISBLANK(Mkt!C15),"",Mkt!C15)</f>
        <v/>
      </c>
      <c r="E626" s="7" t="n">
        <f aca="false">IF(ISBLANK(Mkt!D15),"",Mkt!D15)</f>
        <v>15.2</v>
      </c>
      <c r="F626" s="7" t="n">
        <f aca="false">IF(ISBLANK(Mkt!E15),"",Mkt!E15)</f>
        <v>23.7</v>
      </c>
      <c r="G626" s="7" t="n">
        <f aca="false">IF(ISBLANK(Mkt!F15),"",Mkt!F15)</f>
        <v>26.5</v>
      </c>
      <c r="H626" s="7" t="str">
        <f aca="false">IF(ISBLANK(Mkt!G15),"",Mkt!G15)</f>
        <v/>
      </c>
      <c r="I626" s="12" t="s">
        <v>3717</v>
      </c>
    </row>
    <row r="627" customFormat="false" ht="17.15" hidden="false" customHeight="false" outlineLevel="0" collapsed="false">
      <c r="A627" s="0" t="s">
        <v>3718</v>
      </c>
      <c r="B627" s="6" t="s">
        <v>2661</v>
      </c>
      <c r="C627" s="0" t="s">
        <v>342</v>
      </c>
      <c r="D627" s="7" t="str">
        <f aca="false">IF(ISBLANK(Mkt!C16),"",Mkt!C16)</f>
        <v/>
      </c>
      <c r="E627" s="7" t="n">
        <f aca="false">IF(ISBLANK(Mkt!D16),"",Mkt!D16)</f>
        <v>216.401315789474</v>
      </c>
      <c r="F627" s="7" t="n">
        <f aca="false">IF(ISBLANK(Mkt!E16),"",Mkt!E16)</f>
        <v>260.345991561181</v>
      </c>
      <c r="G627" s="7" t="n">
        <f aca="false">IF(ISBLANK(Mkt!F16),"",Mkt!F16)</f>
        <v>337.283018867925</v>
      </c>
      <c r="H627" s="7" t="str">
        <f aca="false">IF(ISBLANK(Mkt!G16),"",Mkt!G16)</f>
        <v/>
      </c>
      <c r="I627" s="12" t="s">
        <v>3719</v>
      </c>
    </row>
    <row r="628" customFormat="false" ht="17.15" hidden="false" customHeight="false" outlineLevel="0" collapsed="false">
      <c r="A628" s="0" t="s">
        <v>3720</v>
      </c>
      <c r="B628" s="0" t="s">
        <v>3721</v>
      </c>
      <c r="C628" s="0" t="s">
        <v>2112</v>
      </c>
      <c r="D628" s="7" t="n">
        <f aca="false">IF(ISBLANK(Mkt!C17),"",Mkt!C17)</f>
        <v>2.22511470588235</v>
      </c>
      <c r="E628" s="7" t="n">
        <f aca="false">IF(ISBLANK(Mkt!D17),"",Mkt!D17)</f>
        <v>3.782695</v>
      </c>
      <c r="F628" s="7" t="n">
        <f aca="false">IF(ISBLANK(Mkt!E17),"",Mkt!E17)</f>
        <v>5.86317725</v>
      </c>
      <c r="G628" s="7" t="n">
        <f aca="false">IF(ISBLANK(Mkt!F17),"",Mkt!F17)</f>
        <v>8.5016070125</v>
      </c>
      <c r="H628" s="7" t="n">
        <f aca="false">IF(ISBLANK(Mkt!G17),"",Mkt!G17)</f>
        <v>11.477169466875</v>
      </c>
      <c r="I628" s="12" t="s">
        <v>3722</v>
      </c>
    </row>
    <row r="629" customFormat="false" ht="17.15" hidden="false" customHeight="false" outlineLevel="0" collapsed="false">
      <c r="A629" s="0" t="s">
        <v>3723</v>
      </c>
      <c r="B629" s="6" t="s">
        <v>3724</v>
      </c>
      <c r="C629" s="0" t="s">
        <v>489</v>
      </c>
      <c r="D629" s="7" t="str">
        <f aca="false">IF(ISBLANK(Mkt!C18),"",Mkt!C18)</f>
        <v/>
      </c>
      <c r="E629" s="7" t="n">
        <f aca="false">IF(ISBLANK(Mkt!D18),"",Mkt!D18)</f>
        <v>1</v>
      </c>
      <c r="F629" s="7" t="n">
        <f aca="false">IF(ISBLANK(Mkt!E18),"",Mkt!E18)</f>
        <v>1</v>
      </c>
      <c r="G629" s="7" t="n">
        <f aca="false">IF(ISBLANK(Mkt!F18),"",Mkt!F18)</f>
        <v>1</v>
      </c>
      <c r="H629" s="7" t="n">
        <f aca="false">IF(ISBLANK(Mkt!G18),"",Mkt!G18)</f>
        <v>1</v>
      </c>
      <c r="I629" s="12" t="s">
        <v>3725</v>
      </c>
    </row>
    <row r="630" customFormat="false" ht="17.15" hidden="false" customHeight="false" outlineLevel="0" collapsed="false">
      <c r="A630" s="0" t="s">
        <v>3726</v>
      </c>
      <c r="B630" s="0" t="s">
        <v>3727</v>
      </c>
      <c r="C630" s="0" t="s">
        <v>2112</v>
      </c>
      <c r="D630" s="7" t="n">
        <f aca="false">IF(ISBLANK(Mkt!C24),"",Mkt!C24)</f>
        <v>2.22511470588235</v>
      </c>
      <c r="E630" s="7" t="n">
        <f aca="false">IF(ISBLANK(Mkt!D24),"",Mkt!D24)</f>
        <v>3.782695</v>
      </c>
      <c r="F630" s="7" t="n">
        <f aca="false">IF(ISBLANK(Mkt!E24),"",Mkt!E24)</f>
        <v>5.86317725</v>
      </c>
      <c r="G630" s="7" t="n">
        <f aca="false">IF(ISBLANK(Mkt!F24),"",Mkt!F24)</f>
        <v>8.5016070125</v>
      </c>
      <c r="H630" s="7" t="n">
        <f aca="false">IF(ISBLANK(Mkt!G24),"",Mkt!G24)</f>
        <v>11.477169466875</v>
      </c>
      <c r="I630" s="12" t="s">
        <v>3728</v>
      </c>
    </row>
    <row r="631" customFormat="false" ht="17.15" hidden="false" customHeight="false" outlineLevel="0" collapsed="false">
      <c r="A631" s="0" t="s">
        <v>3729</v>
      </c>
      <c r="B631" s="0" t="s">
        <v>3730</v>
      </c>
      <c r="C631" s="0" t="s">
        <v>2112</v>
      </c>
      <c r="D631" s="7" t="str">
        <f aca="false">IF(ISBLANK(Mkt!C27),"",Mkt!C27)</f>
        <v/>
      </c>
      <c r="E631" s="7" t="n">
        <f aca="false">IF(ISBLANK(Mkt!D27),"",Mkt!D27)</f>
        <v>0</v>
      </c>
      <c r="F631" s="7" t="n">
        <f aca="false">IF(ISBLANK(Mkt!E27),"",Mkt!E27)</f>
        <v>1.23255275</v>
      </c>
      <c r="G631" s="7" t="n">
        <f aca="false">IF(ISBLANK(Mkt!F27),"",Mkt!F27)</f>
        <v>1.7770929875</v>
      </c>
      <c r="H631" s="7" t="n">
        <f aca="false">IF(ISBLANK(Mkt!G27),"",Mkt!G27)</f>
        <v>1.885140533125</v>
      </c>
      <c r="I631" s="12" t="s">
        <v>3731</v>
      </c>
    </row>
    <row r="632" customFormat="false" ht="17.15" hidden="false" customHeight="false" outlineLevel="0" collapsed="false">
      <c r="A632" s="0" t="s">
        <v>3732</v>
      </c>
      <c r="B632" s="0" t="s">
        <v>2678</v>
      </c>
      <c r="C632" s="0" t="s">
        <v>533</v>
      </c>
      <c r="D632" s="7" t="n">
        <f aca="false">IF(ISBLANK(Mkt!C30),"",Mkt!C30)</f>
        <v>15.7295261711557</v>
      </c>
      <c r="E632" s="7" t="n">
        <f aca="false">IF(ISBLANK(Mkt!D30),"",Mkt!D30)</f>
        <v>14.6</v>
      </c>
      <c r="F632" s="7" t="n">
        <f aca="false">IF(ISBLANK(Mkt!E30),"",Mkt!E30)</f>
        <v>26.28</v>
      </c>
      <c r="G632" s="7" t="n">
        <f aca="false">IF(ISBLANK(Mkt!F30),"",Mkt!F30)</f>
        <v>28.908</v>
      </c>
      <c r="H632" s="7" t="n">
        <f aca="false">IF(ISBLANK(Mkt!G30),"",Mkt!G30)</f>
        <v>27.4626</v>
      </c>
      <c r="I632" s="12" t="s">
        <v>3733</v>
      </c>
    </row>
    <row r="633" customFormat="false" ht="17.15" hidden="false" customHeight="false" outlineLevel="0" collapsed="false">
      <c r="A633" s="0" t="s">
        <v>3734</v>
      </c>
      <c r="B633" s="0" t="s">
        <v>2681</v>
      </c>
      <c r="C633" s="0" t="s">
        <v>511</v>
      </c>
      <c r="D633" s="7" t="n">
        <f aca="false">IF(ISBLANK(Mkt!C33),"",Mkt!C33)</f>
        <v>35</v>
      </c>
      <c r="E633" s="7" t="n">
        <f aca="false">IF(ISBLANK(Mkt!D33),"",Mkt!D33)</f>
        <v>55.227347</v>
      </c>
      <c r="F633" s="7" t="n">
        <f aca="false">IF(ISBLANK(Mkt!E33),"",Mkt!E33)</f>
        <v>154.08429813</v>
      </c>
      <c r="G633" s="7" t="n">
        <f aca="false">IF(ISBLANK(Mkt!F33),"",Mkt!F33)</f>
        <v>245.76445551735</v>
      </c>
      <c r="H633" s="7" t="n">
        <f aca="false">IF(ISBLANK(Mkt!G33),"",Mkt!G33)</f>
        <v>315.192914201001</v>
      </c>
      <c r="I633" s="12" t="s">
        <v>3735</v>
      </c>
    </row>
    <row r="634" customFormat="false" ht="17.15" hidden="false" customHeight="false" outlineLevel="0" collapsed="false">
      <c r="A634" s="0" t="s">
        <v>3736</v>
      </c>
      <c r="B634" s="6" t="s">
        <v>3737</v>
      </c>
      <c r="C634" s="0" t="s">
        <v>489</v>
      </c>
      <c r="D634" s="7" t="str">
        <f aca="false">IF(ISBLANK(Mkt!C19),"",Mkt!C19)</f>
        <v/>
      </c>
      <c r="E634" s="7" t="n">
        <f aca="false">IF(ISBLANK(Mkt!D19),"",Mkt!D19)</f>
        <v>1</v>
      </c>
      <c r="F634" s="7" t="n">
        <f aca="false">IF(ISBLANK(Mkt!E19),"",Mkt!E19)</f>
        <v>1</v>
      </c>
      <c r="G634" s="7" t="n">
        <f aca="false">IF(ISBLANK(Mkt!F19),"",Mkt!F19)</f>
        <v>0.8</v>
      </c>
      <c r="H634" s="7" t="n">
        <f aca="false">IF(ISBLANK(Mkt!G19),"",Mkt!G19)</f>
        <v>0.85</v>
      </c>
      <c r="I634" s="12" t="s">
        <v>3738</v>
      </c>
    </row>
    <row r="635" customFormat="false" ht="17.15" hidden="false" customHeight="false" outlineLevel="0" collapsed="false">
      <c r="A635" s="0" t="s">
        <v>3739</v>
      </c>
      <c r="B635" s="0" t="s">
        <v>3740</v>
      </c>
      <c r="C635" s="0" t="s">
        <v>2112</v>
      </c>
      <c r="D635" s="7" t="n">
        <f aca="false">IF(ISBLANK(Mkt!C25),"",Mkt!C25)</f>
        <v>2.22511470588235</v>
      </c>
      <c r="E635" s="7" t="n">
        <f aca="false">IF(ISBLANK(Mkt!D25),"",Mkt!D25)</f>
        <v>3.782695</v>
      </c>
      <c r="F635" s="7" t="n">
        <f aca="false">IF(ISBLANK(Mkt!E25),"",Mkt!E25)</f>
        <v>5.86317725</v>
      </c>
      <c r="G635" s="7" t="n">
        <f aca="false">IF(ISBLANK(Mkt!F25),"",Mkt!F25)</f>
        <v>8.22296</v>
      </c>
      <c r="H635" s="7" t="n">
        <f aca="false">IF(ISBLANK(Mkt!G25),"",Mkt!G25)</f>
        <v>11.3579635</v>
      </c>
      <c r="I635" s="12" t="s">
        <v>3741</v>
      </c>
    </row>
    <row r="636" customFormat="false" ht="17.15" hidden="false" customHeight="false" outlineLevel="0" collapsed="false">
      <c r="A636" s="0" t="s">
        <v>3742</v>
      </c>
      <c r="B636" s="0" t="s">
        <v>3743</v>
      </c>
      <c r="C636" s="0" t="s">
        <v>2112</v>
      </c>
      <c r="D636" s="7" t="str">
        <f aca="false">IF(ISBLANK(Mkt!C28),"",Mkt!C28)</f>
        <v/>
      </c>
      <c r="E636" s="7" t="n">
        <f aca="false">IF(ISBLANK(Mkt!D28),"",Mkt!D28)</f>
        <v>0</v>
      </c>
      <c r="F636" s="7" t="n">
        <f aca="false">IF(ISBLANK(Mkt!E28),"",Mkt!E28)</f>
        <v>1.23255275</v>
      </c>
      <c r="G636" s="7" t="n">
        <f aca="false">IF(ISBLANK(Mkt!F28),"",Mkt!F28)</f>
        <v>-0.278647012499999</v>
      </c>
      <c r="H636" s="7" t="n">
        <f aca="false">IF(ISBLANK(Mkt!G28),"",Mkt!G28)</f>
        <v>-0.119205966875001</v>
      </c>
      <c r="I636" s="12" t="s">
        <v>3744</v>
      </c>
    </row>
    <row r="637" customFormat="false" ht="17.15" hidden="false" customHeight="false" outlineLevel="0" collapsed="false">
      <c r="A637" s="0" t="s">
        <v>3745</v>
      </c>
      <c r="B637" s="0" t="s">
        <v>2679</v>
      </c>
      <c r="C637" s="0" t="s">
        <v>533</v>
      </c>
      <c r="D637" s="7" t="n">
        <f aca="false">IF(ISBLANK(Mkt!C31),"",Mkt!C31)</f>
        <v>15.7295261711557</v>
      </c>
      <c r="E637" s="7" t="n">
        <f aca="false">IF(ISBLANK(Mkt!D31),"",Mkt!D31)</f>
        <v>14.6</v>
      </c>
      <c r="F637" s="7" t="n">
        <f aca="false">IF(ISBLANK(Mkt!E31),"",Mkt!E31)</f>
        <v>26.28</v>
      </c>
      <c r="G637" s="7" t="n">
        <f aca="false">IF(ISBLANK(Mkt!F31),"",Mkt!F31)</f>
        <v>19.71</v>
      </c>
      <c r="H637" s="7" t="n">
        <f aca="false">IF(ISBLANK(Mkt!G31),"",Mkt!G31)</f>
        <v>19.71</v>
      </c>
      <c r="I637" s="12" t="s">
        <v>3746</v>
      </c>
    </row>
    <row r="638" customFormat="false" ht="17.15" hidden="false" customHeight="false" outlineLevel="0" collapsed="false">
      <c r="A638" s="0" t="s">
        <v>3747</v>
      </c>
      <c r="B638" s="0" t="s">
        <v>2682</v>
      </c>
      <c r="C638" s="0" t="s">
        <v>511</v>
      </c>
      <c r="D638" s="7" t="n">
        <f aca="false">IF(ISBLANK(Mkt!C34),"",Mkt!C34)</f>
        <v>35</v>
      </c>
      <c r="E638" s="7" t="n">
        <f aca="false">IF(ISBLANK(Mkt!D34),"",Mkt!D34)</f>
        <v>55.227347</v>
      </c>
      <c r="F638" s="7" t="n">
        <f aca="false">IF(ISBLANK(Mkt!E34),"",Mkt!E34)</f>
        <v>154.08429813</v>
      </c>
      <c r="G638" s="7" t="n">
        <f aca="false">IF(ISBLANK(Mkt!F34),"",Mkt!F34)</f>
        <v>162.0745416</v>
      </c>
      <c r="H638" s="7" t="n">
        <f aca="false">IF(ISBLANK(Mkt!G34),"",Mkt!G34)</f>
        <v>223.865460585</v>
      </c>
      <c r="I638" s="12" t="s">
        <v>3748</v>
      </c>
    </row>
    <row r="639" customFormat="false" ht="17.15" hidden="false" customHeight="false" outlineLevel="0" collapsed="false">
      <c r="A639" s="0" t="s">
        <v>3749</v>
      </c>
      <c r="B639" s="6" t="s">
        <v>3750</v>
      </c>
      <c r="C639" s="0" t="s">
        <v>489</v>
      </c>
      <c r="D639" s="7" t="str">
        <f aca="false">IF(ISBLANK(Mkt!C20),"",Mkt!C20)</f>
        <v/>
      </c>
      <c r="E639" s="7" t="n">
        <f aca="false">IF(ISBLANK(Mkt!D20),"",Mkt!D20)</f>
        <v>1</v>
      </c>
      <c r="F639" s="7" t="n">
        <f aca="false">IF(ISBLANK(Mkt!E20),"",Mkt!E20)</f>
        <v>1</v>
      </c>
      <c r="G639" s="7" t="n">
        <f aca="false">IF(ISBLANK(Mkt!F20),"",Mkt!F20)</f>
        <v>0.6</v>
      </c>
      <c r="H639" s="7" t="n">
        <f aca="false">IF(ISBLANK(Mkt!G20),"",Mkt!G20)</f>
        <v>0.6</v>
      </c>
      <c r="I639" s="12" t="s">
        <v>3751</v>
      </c>
    </row>
    <row r="640" customFormat="false" ht="17.15" hidden="false" customHeight="false" outlineLevel="0" collapsed="false">
      <c r="A640" s="0" t="s">
        <v>3752</v>
      </c>
      <c r="B640" s="0" t="s">
        <v>3753</v>
      </c>
      <c r="C640" s="0" t="s">
        <v>2112</v>
      </c>
      <c r="D640" s="7" t="n">
        <f aca="false">IF(ISBLANK(Mkt!C26),"",Mkt!C26)</f>
        <v>2.22511470588235</v>
      </c>
      <c r="E640" s="7" t="n">
        <f aca="false">IF(ISBLANK(Mkt!D26),"",Mkt!D26)</f>
        <v>3.782695</v>
      </c>
      <c r="F640" s="7" t="n">
        <f aca="false">IF(ISBLANK(Mkt!E26),"",Mkt!E26)</f>
        <v>5.86317725</v>
      </c>
      <c r="G640" s="7" t="n">
        <f aca="false">IF(ISBLANK(Mkt!F26),"",Mkt!F26)</f>
        <v>6.16722</v>
      </c>
      <c r="H640" s="7" t="n">
        <f aca="false">IF(ISBLANK(Mkt!G26),"",Mkt!G26)</f>
        <v>8.017386</v>
      </c>
      <c r="I640" s="12" t="s">
        <v>3754</v>
      </c>
    </row>
    <row r="641" customFormat="false" ht="17.15" hidden="false" customHeight="false" outlineLevel="0" collapsed="false">
      <c r="A641" s="0" t="s">
        <v>3755</v>
      </c>
      <c r="B641" s="0" t="s">
        <v>3756</v>
      </c>
      <c r="C641" s="0" t="s">
        <v>2112</v>
      </c>
      <c r="D641" s="7" t="str">
        <f aca="false">IF(ISBLANK(Mkt!C29),"",Mkt!C29)</f>
        <v/>
      </c>
      <c r="E641" s="7" t="n">
        <f aca="false">IF(ISBLANK(Mkt!D29),"",Mkt!D29)</f>
        <v>0</v>
      </c>
      <c r="F641" s="7" t="n">
        <f aca="false">IF(ISBLANK(Mkt!E29),"",Mkt!E29)</f>
        <v>1.23255275</v>
      </c>
      <c r="G641" s="7" t="n">
        <f aca="false">IF(ISBLANK(Mkt!F29),"",Mkt!F29)</f>
        <v>-2.3343870125</v>
      </c>
      <c r="H641" s="7" t="n">
        <f aca="false">IF(ISBLANK(Mkt!G29),"",Mkt!G29)</f>
        <v>-3.459783466875</v>
      </c>
      <c r="I641" s="12" t="s">
        <v>3757</v>
      </c>
    </row>
    <row r="642" customFormat="false" ht="17.15" hidden="false" customHeight="false" outlineLevel="0" collapsed="false">
      <c r="A642" s="0" t="s">
        <v>3758</v>
      </c>
      <c r="B642" s="0" t="s">
        <v>2680</v>
      </c>
      <c r="C642" s="0" t="s">
        <v>533</v>
      </c>
      <c r="D642" s="7" t="n">
        <f aca="false">IF(ISBLANK(Mkt!C32),"",Mkt!C32)</f>
        <v>15.7295261711557</v>
      </c>
      <c r="E642" s="7" t="n">
        <f aca="false">IF(ISBLANK(Mkt!D32),"",Mkt!D32)</f>
        <v>14.6</v>
      </c>
      <c r="F642" s="7" t="n">
        <f aca="false">IF(ISBLANK(Mkt!E32),"",Mkt!E32)</f>
        <v>26.28</v>
      </c>
      <c r="G642" s="7" t="n">
        <f aca="false">IF(ISBLANK(Mkt!F32),"",Mkt!F32)</f>
        <v>15.768</v>
      </c>
      <c r="H642" s="7" t="n">
        <f aca="false">IF(ISBLANK(Mkt!G32),"",Mkt!G32)</f>
        <v>16.5564</v>
      </c>
      <c r="I642" s="12" t="s">
        <v>3759</v>
      </c>
    </row>
    <row r="643" customFormat="false" ht="17.15" hidden="false" customHeight="false" outlineLevel="0" collapsed="false">
      <c r="A643" s="0" t="s">
        <v>3760</v>
      </c>
      <c r="B643" s="0" t="s">
        <v>2683</v>
      </c>
      <c r="C643" s="0" t="s">
        <v>511</v>
      </c>
      <c r="D643" s="7" t="n">
        <f aca="false">IF(ISBLANK(Mkt!C35),"",Mkt!C35)</f>
        <v>35</v>
      </c>
      <c r="E643" s="7" t="n">
        <f aca="false">IF(ISBLANK(Mkt!D35),"",Mkt!D35)</f>
        <v>55.227347</v>
      </c>
      <c r="F643" s="7" t="n">
        <f aca="false">IF(ISBLANK(Mkt!E35),"",Mkt!E35)</f>
        <v>154.08429813</v>
      </c>
      <c r="G643" s="7" t="n">
        <f aca="false">IF(ISBLANK(Mkt!F35),"",Mkt!F35)</f>
        <v>97.24472496</v>
      </c>
      <c r="H643" s="7" t="n">
        <f aca="false">IF(ISBLANK(Mkt!G35),"",Mkt!G35)</f>
        <v>132.7390495704</v>
      </c>
      <c r="I643" s="12" t="s">
        <v>3761</v>
      </c>
    </row>
    <row r="645" customFormat="false" ht="17.15" hidden="false" customHeight="false" outlineLevel="0" collapsed="false">
      <c r="A645" s="10" t="s">
        <v>3762</v>
      </c>
    </row>
    <row r="646" customFormat="false" ht="17.15" hidden="false" customHeight="false" outlineLevel="0" collapsed="false">
      <c r="A646" s="0" t="s">
        <v>3763</v>
      </c>
      <c r="B646" s="0" t="s">
        <v>3764</v>
      </c>
      <c r="C646" s="6" t="s">
        <v>331</v>
      </c>
      <c r="E646" s="7" t="n">
        <f aca="false">Units!C4</f>
        <v>5.4</v>
      </c>
      <c r="F646" s="7" t="n">
        <f aca="false">Units!D4</f>
        <v>2.4</v>
      </c>
      <c r="G646" s="7" t="n">
        <f aca="false">Units!E4</f>
        <v>0.5</v>
      </c>
      <c r="H646" s="7" t="n">
        <f aca="false">Units!F4</f>
        <v>0.25</v>
      </c>
      <c r="I646" s="12" t="s">
        <v>3765</v>
      </c>
    </row>
    <row r="647" customFormat="false" ht="17.15" hidden="false" customHeight="false" outlineLevel="0" collapsed="false">
      <c r="A647" s="0" t="s">
        <v>3766</v>
      </c>
      <c r="B647" s="0" t="s">
        <v>3767</v>
      </c>
      <c r="C647" s="6" t="s">
        <v>331</v>
      </c>
      <c r="E647" s="7" t="n">
        <f aca="false">Units!C5</f>
        <v>1.7</v>
      </c>
      <c r="F647" s="7" t="n">
        <f aca="false">Units!D5</f>
        <v>7</v>
      </c>
      <c r="G647" s="7" t="n">
        <f aca="false">Units!E5</f>
        <v>7</v>
      </c>
      <c r="H647" s="7" t="n">
        <f aca="false">Units!F5</f>
        <v>8.05</v>
      </c>
      <c r="I647" s="12" t="s">
        <v>3768</v>
      </c>
    </row>
    <row r="648" customFormat="false" ht="17.15" hidden="false" customHeight="false" outlineLevel="0" collapsed="false">
      <c r="A648" s="0" t="s">
        <v>3769</v>
      </c>
      <c r="B648" s="0" t="s">
        <v>3770</v>
      </c>
      <c r="C648" s="6" t="s">
        <v>331</v>
      </c>
      <c r="E648" s="7" t="n">
        <f aca="false">Units!C6</f>
        <v>0</v>
      </c>
      <c r="F648" s="7" t="n">
        <f aca="false">Units!D6</f>
        <v>0.3</v>
      </c>
      <c r="G648" s="7" t="n">
        <f aca="false">Units!E6</f>
        <v>2</v>
      </c>
      <c r="H648" s="7" t="n">
        <f aca="false">Units!F6</f>
        <v>2.3</v>
      </c>
      <c r="I648" s="12" t="s">
        <v>3771</v>
      </c>
    </row>
    <row r="649" customFormat="false" ht="17.15" hidden="false" customHeight="false" outlineLevel="0" collapsed="false">
      <c r="A649" s="0" t="s">
        <v>3772</v>
      </c>
      <c r="B649" s="0" t="s">
        <v>3773</v>
      </c>
      <c r="C649" s="6" t="s">
        <v>331</v>
      </c>
      <c r="E649" s="7" t="n">
        <f aca="false">Units!C7</f>
        <v>0.5</v>
      </c>
      <c r="F649" s="7" t="n">
        <f aca="false">Units!D7</f>
        <v>0</v>
      </c>
      <c r="G649" s="7" t="n">
        <f aca="false">Units!E7</f>
        <v>0</v>
      </c>
      <c r="H649" s="7" t="n">
        <f aca="false">Units!F7</f>
        <v>0</v>
      </c>
      <c r="I649" s="12" t="s">
        <v>3774</v>
      </c>
    </row>
    <row r="650" customFormat="false" ht="17.15" hidden="false" customHeight="false" outlineLevel="0" collapsed="false">
      <c r="A650" s="0" t="s">
        <v>3775</v>
      </c>
      <c r="B650" s="0" t="s">
        <v>3776</v>
      </c>
      <c r="C650" s="6" t="s">
        <v>331</v>
      </c>
      <c r="E650" s="7" t="n">
        <f aca="false">Units!C8</f>
        <v>0.75</v>
      </c>
      <c r="F650" s="7" t="n">
        <f aca="false">Units!D8</f>
        <v>1.5</v>
      </c>
      <c r="G650" s="7" t="n">
        <f aca="false">Units!E8</f>
        <v>2</v>
      </c>
      <c r="H650" s="7" t="n">
        <f aca="false">Units!F8</f>
        <v>2.3</v>
      </c>
      <c r="I650" s="12" t="s">
        <v>3777</v>
      </c>
    </row>
    <row r="651" customFormat="false" ht="17.15" hidden="false" customHeight="false" outlineLevel="0" collapsed="false">
      <c r="A651" s="0" t="s">
        <v>3778</v>
      </c>
      <c r="B651" s="0" t="s">
        <v>3779</v>
      </c>
      <c r="C651" s="6" t="s">
        <v>331</v>
      </c>
      <c r="E651" s="7" t="n">
        <f aca="false">Units!C9</f>
        <v>3.85</v>
      </c>
      <c r="F651" s="7" t="n">
        <f aca="false">Units!D9</f>
        <v>5.5</v>
      </c>
      <c r="G651" s="7" t="n">
        <f aca="false">Units!E9</f>
        <v>7</v>
      </c>
      <c r="H651" s="7" t="n">
        <f aca="false">Units!F9</f>
        <v>8.05</v>
      </c>
      <c r="I651" s="12" t="s">
        <v>3780</v>
      </c>
    </row>
    <row r="652" customFormat="false" ht="17.15" hidden="false" customHeight="false" outlineLevel="0" collapsed="false">
      <c r="A652" s="0" t="s">
        <v>3781</v>
      </c>
      <c r="B652" s="0" t="s">
        <v>3782</v>
      </c>
      <c r="C652" s="6" t="s">
        <v>331</v>
      </c>
      <c r="E652" s="7" t="n">
        <f aca="false">Units!C10</f>
        <v>2</v>
      </c>
      <c r="F652" s="7" t="n">
        <f aca="false">Units!D10</f>
        <v>2.5</v>
      </c>
      <c r="G652" s="7" t="n">
        <f aca="false">Units!E10</f>
        <v>3</v>
      </c>
      <c r="H652" s="7" t="n">
        <f aca="false">Units!F10</f>
        <v>3.45</v>
      </c>
      <c r="I652" s="12" t="s">
        <v>3783</v>
      </c>
    </row>
    <row r="653" customFormat="false" ht="17.15" hidden="false" customHeight="false" outlineLevel="0" collapsed="false">
      <c r="A653" s="0" t="s">
        <v>3784</v>
      </c>
      <c r="B653" s="6" t="s">
        <v>3785</v>
      </c>
      <c r="C653" s="6" t="s">
        <v>331</v>
      </c>
      <c r="E653" s="7" t="n">
        <f aca="false">Units!C11</f>
        <v>1</v>
      </c>
      <c r="F653" s="7" t="n">
        <f aca="false">Units!D11</f>
        <v>4.5</v>
      </c>
      <c r="G653" s="7" t="n">
        <f aca="false">Units!E11</f>
        <v>5</v>
      </c>
      <c r="H653" s="7" t="n">
        <f aca="false">Units!F11</f>
        <v>5.75</v>
      </c>
      <c r="I653" s="12" t="s">
        <v>3786</v>
      </c>
    </row>
    <row r="654" customFormat="false" ht="17.15" hidden="false" customHeight="false" outlineLevel="0" collapsed="false">
      <c r="A654" s="0" t="s">
        <v>3787</v>
      </c>
      <c r="B654" s="6" t="s">
        <v>3788</v>
      </c>
      <c r="C654" s="6" t="s">
        <v>331</v>
      </c>
      <c r="E654" s="7" t="n">
        <f aca="false">Units!C12</f>
        <v>15.2</v>
      </c>
      <c r="F654" s="7" t="n">
        <f aca="false">Units!D12</f>
        <v>23.7</v>
      </c>
      <c r="G654" s="7" t="n">
        <f aca="false">Units!E12</f>
        <v>26.5</v>
      </c>
      <c r="H654" s="7" t="n">
        <f aca="false">Units!F12</f>
        <v>30.15</v>
      </c>
      <c r="I654" s="12" t="s">
        <v>3789</v>
      </c>
    </row>
    <row r="655" customFormat="false" ht="17.15" hidden="false" customHeight="false" outlineLevel="0" collapsed="false">
      <c r="A655" s="0" t="s">
        <v>3790</v>
      </c>
      <c r="B655" s="6" t="s">
        <v>3791</v>
      </c>
      <c r="C655" s="6" t="s">
        <v>331</v>
      </c>
      <c r="E655" s="7" t="n">
        <f aca="false">Units!C13</f>
        <v>15.2</v>
      </c>
      <c r="F655" s="7" t="n">
        <f aca="false">Units!D13</f>
        <v>23.7</v>
      </c>
      <c r="G655" s="7" t="n">
        <f aca="false">Units!E13</f>
        <v>26.5</v>
      </c>
      <c r="H655" s="7" t="n">
        <f aca="false">Units!F13</f>
        <v>30.15</v>
      </c>
      <c r="I655" s="12" t="s">
        <v>3792</v>
      </c>
    </row>
    <row r="656" customFormat="false" ht="17.15" hidden="false" customHeight="false" outlineLevel="0" collapsed="false">
      <c r="A656" s="0" t="s">
        <v>3793</v>
      </c>
      <c r="B656" s="6" t="s">
        <v>3794</v>
      </c>
      <c r="C656" s="6" t="s">
        <v>331</v>
      </c>
      <c r="E656" s="7" t="n">
        <f aca="false">Units!C14</f>
        <v>15.2</v>
      </c>
      <c r="F656" s="7" t="n">
        <f aca="false">Units!D14</f>
        <v>23.7</v>
      </c>
      <c r="G656" s="7" t="n">
        <f aca="false">Units!E14</f>
        <v>21.2</v>
      </c>
      <c r="H656" s="7" t="n">
        <f aca="false">Units!F14</f>
        <v>25.6275</v>
      </c>
      <c r="I656" s="12" t="s">
        <v>3795</v>
      </c>
    </row>
    <row r="657" customFormat="false" ht="17.15" hidden="false" customHeight="false" outlineLevel="0" collapsed="false">
      <c r="A657" s="0" t="s">
        <v>3796</v>
      </c>
      <c r="B657" s="6" t="s">
        <v>3797</v>
      </c>
      <c r="C657" s="6" t="s">
        <v>331</v>
      </c>
      <c r="E657" s="7" t="n">
        <f aca="false">Units!C15</f>
        <v>15.2</v>
      </c>
      <c r="F657" s="7" t="n">
        <f aca="false">Units!D15</f>
        <v>23.7</v>
      </c>
      <c r="G657" s="7" t="n">
        <f aca="false">Units!E15</f>
        <v>15.9</v>
      </c>
      <c r="H657" s="7" t="n">
        <f aca="false">Units!F15</f>
        <v>18.09</v>
      </c>
      <c r="I657" s="12" t="s">
        <v>3798</v>
      </c>
    </row>
    <row r="658" customFormat="false" ht="17.15" hidden="false" customHeight="false" outlineLevel="0" collapsed="false">
      <c r="A658" s="0" t="s">
        <v>3799</v>
      </c>
      <c r="B658" s="0" t="s">
        <v>3800</v>
      </c>
      <c r="C658" s="0" t="s">
        <v>60</v>
      </c>
      <c r="E658" s="20" t="n">
        <f aca="false">Units!G12</f>
        <v>0.137735849056604</v>
      </c>
      <c r="I658" s="12" t="s">
        <v>3801</v>
      </c>
    </row>
    <row r="660" customFormat="false" ht="17.15" hidden="false" customHeight="false" outlineLevel="0" collapsed="false">
      <c r="A660" s="10" t="s">
        <v>3802</v>
      </c>
    </row>
    <row r="661" customFormat="false" ht="17.15" hidden="false" customHeight="false" outlineLevel="0" collapsed="false">
      <c r="A661" s="0" t="s">
        <v>3803</v>
      </c>
      <c r="B661" s="0" t="s">
        <v>3804</v>
      </c>
      <c r="C661" s="0" t="s">
        <v>60</v>
      </c>
      <c r="E661" s="18" t="n">
        <f aca="false">ShareTbl!D7</f>
        <v>0.95</v>
      </c>
      <c r="F661" s="18" t="n">
        <f aca="false">ShareTbl!E7</f>
        <v>0.95</v>
      </c>
      <c r="G661" s="18" t="n">
        <f aca="false">ShareTbl!F7</f>
        <v>0.98</v>
      </c>
      <c r="I661" s="12" t="s">
        <v>3805</v>
      </c>
    </row>
    <row r="662" customFormat="false" ht="17.15" hidden="false" customHeight="false" outlineLevel="0" collapsed="false">
      <c r="A662" s="0" t="s">
        <v>3806</v>
      </c>
      <c r="B662" s="6" t="s">
        <v>3807</v>
      </c>
      <c r="C662" s="0" t="s">
        <v>60</v>
      </c>
      <c r="E662" s="18" t="n">
        <f aca="false">ShareTbl!D13</f>
        <v>0.4</v>
      </c>
      <c r="F662" s="18" t="n">
        <f aca="false">ShareTbl!E13</f>
        <v>0.61</v>
      </c>
      <c r="G662" s="18" t="n">
        <f aca="false">ShareTbl!F13</f>
        <v>0.7</v>
      </c>
      <c r="I662" s="12" t="s">
        <v>3808</v>
      </c>
    </row>
    <row r="663" customFormat="false" ht="17.15" hidden="false" customHeight="false" outlineLevel="0" collapsed="false">
      <c r="A663" s="0" t="s">
        <v>3809</v>
      </c>
      <c r="B663" s="0" t="s">
        <v>3810</v>
      </c>
      <c r="C663" s="0" t="s">
        <v>60</v>
      </c>
      <c r="E663" s="18" t="n">
        <f aca="false">ShareTbl!D18</f>
        <v>0.4</v>
      </c>
      <c r="F663" s="18" t="n">
        <f aca="false">ShareTbl!E18</f>
        <v>0.65</v>
      </c>
      <c r="G663" s="18" t="n">
        <f aca="false">ShareTbl!F18</f>
        <v>0.63</v>
      </c>
      <c r="I663" s="12" t="s">
        <v>3811</v>
      </c>
    </row>
    <row r="664" customFormat="false" ht="17.15" hidden="false" customHeight="false" outlineLevel="0" collapsed="false">
      <c r="A664" s="0" t="s">
        <v>3812</v>
      </c>
      <c r="B664" s="0" t="s">
        <v>3813</v>
      </c>
      <c r="C664" s="0" t="s">
        <v>60</v>
      </c>
      <c r="E664" s="18" t="n">
        <f aca="false">ShareTbl!D23</f>
        <v>0.4</v>
      </c>
      <c r="F664" s="18" t="n">
        <f aca="false">ShareTbl!E23</f>
        <v>0.6</v>
      </c>
      <c r="G664" s="18" t="n">
        <f aca="false">ShareTbl!F23</f>
        <v>0.53</v>
      </c>
      <c r="I664" s="12" t="s">
        <v>3814</v>
      </c>
    </row>
    <row r="665" customFormat="false" ht="17.15" hidden="false" customHeight="false" outlineLevel="0" collapsed="false">
      <c r="A665" s="0" t="s">
        <v>3815</v>
      </c>
      <c r="B665" s="0" t="s">
        <v>3816</v>
      </c>
      <c r="C665" s="0" t="s">
        <v>60</v>
      </c>
      <c r="E665" s="18" t="n">
        <f aca="false">ShareTbl!D28</f>
        <v>0.4</v>
      </c>
      <c r="F665" s="18" t="n">
        <f aca="false">ShareTbl!E28</f>
        <v>0.5</v>
      </c>
      <c r="G665" s="18" t="n">
        <f aca="false">ShareTbl!F28</f>
        <v>0.43</v>
      </c>
      <c r="I665" s="12" t="s">
        <v>3817</v>
      </c>
    </row>
    <row r="666" customFormat="false" ht="17.15" hidden="false" customHeight="false" outlineLevel="0" collapsed="false">
      <c r="A666" s="0" t="s">
        <v>3818</v>
      </c>
      <c r="B666" s="0" t="s">
        <v>3819</v>
      </c>
      <c r="C666" s="0" t="s">
        <v>60</v>
      </c>
      <c r="E666" s="18" t="n">
        <f aca="false">ShareTbl!D36</f>
        <v>0.5</v>
      </c>
      <c r="F666" s="18" t="n">
        <f aca="false">ShareTbl!E36</f>
        <v>0.65</v>
      </c>
      <c r="G666" s="18" t="n">
        <f aca="false">ShareTbl!F36</f>
        <v>0.75</v>
      </c>
      <c r="I666" s="12" t="s">
        <v>3820</v>
      </c>
    </row>
    <row r="667" customFormat="false" ht="17.15" hidden="false" customHeight="false" outlineLevel="0" collapsed="false">
      <c r="A667" s="0" t="s">
        <v>3821</v>
      </c>
      <c r="B667" s="0" t="s">
        <v>3822</v>
      </c>
      <c r="C667" s="0" t="s">
        <v>60</v>
      </c>
      <c r="E667" s="18" t="n">
        <f aca="false">ShareTbl!D45</f>
        <v>0.99</v>
      </c>
      <c r="F667" s="18" t="n">
        <f aca="false">ShareTbl!E45</f>
        <v>0.995</v>
      </c>
      <c r="G667" s="18" t="n">
        <f aca="false">ShareTbl!F45</f>
        <v>0.996</v>
      </c>
      <c r="H667" s="18" t="n">
        <f aca="false">ShareTbl!G45</f>
        <v>0.995</v>
      </c>
      <c r="I667" s="12" t="s">
        <v>3823</v>
      </c>
    </row>
    <row r="668" customFormat="false" ht="17.15" hidden="false" customHeight="false" outlineLevel="0" collapsed="false">
      <c r="A668" s="0" t="s">
        <v>3824</v>
      </c>
      <c r="B668" s="6" t="s">
        <v>3825</v>
      </c>
      <c r="C668" s="0" t="s">
        <v>60</v>
      </c>
      <c r="E668" s="18" t="n">
        <f aca="false">ShareTbl!D52</f>
        <v>0.88</v>
      </c>
      <c r="F668" s="18" t="n">
        <f aca="false">ShareTbl!E52</f>
        <v>0.895</v>
      </c>
      <c r="G668" s="18" t="n">
        <f aca="false">ShareTbl!F52</f>
        <v>0.89</v>
      </c>
      <c r="H668" s="18" t="n">
        <f aca="false">ShareTbl!G52</f>
        <v>0.885</v>
      </c>
      <c r="I668" s="12" t="s">
        <v>3826</v>
      </c>
    </row>
    <row r="670" customFormat="false" ht="17.15" hidden="false" customHeight="false" outlineLevel="0" collapsed="false">
      <c r="A670" s="10" t="s">
        <v>3827</v>
      </c>
    </row>
    <row r="671" customFormat="false" ht="17.15" hidden="false" customHeight="false" outlineLevel="0" collapsed="false">
      <c r="A671" s="0" t="s">
        <v>3828</v>
      </c>
      <c r="B671" s="0" t="s">
        <v>3829</v>
      </c>
      <c r="C671" s="0" t="s">
        <v>511</v>
      </c>
      <c r="E671" s="7" t="n">
        <f aca="false">Deploy!C5</f>
        <v>781.872916666667</v>
      </c>
      <c r="F671" s="7" t="n">
        <f aca="false">Deploy!D5</f>
        <v>1565.35</v>
      </c>
      <c r="G671" s="7" t="n">
        <f aca="false">Deploy!E5</f>
        <v>1984.26388888889</v>
      </c>
      <c r="H671" s="7" t="n">
        <f aca="false">Deploy!F5</f>
        <v>2260.39027777778</v>
      </c>
      <c r="I671" s="12" t="s">
        <v>3830</v>
      </c>
    </row>
    <row r="672" customFormat="false" ht="17.15" hidden="false" customHeight="false" outlineLevel="0" collapsed="false">
      <c r="A672" s="0" t="s">
        <v>3831</v>
      </c>
      <c r="B672" s="0" t="s">
        <v>3832</v>
      </c>
      <c r="C672" s="0" t="s">
        <v>511</v>
      </c>
      <c r="E672" s="7" t="n">
        <f aca="false">Deploy!C6</f>
        <v>781.872916666667</v>
      </c>
      <c r="F672" s="7" t="n">
        <f aca="false">Deploy!D6</f>
        <v>1565.35</v>
      </c>
      <c r="G672" s="7" t="n">
        <f aca="false">Deploy!E6</f>
        <v>1587.41111111111</v>
      </c>
      <c r="H672" s="7" t="n">
        <f aca="false">Deploy!F6</f>
        <v>1921.33173611111</v>
      </c>
      <c r="I672" s="12" t="s">
        <v>3833</v>
      </c>
    </row>
    <row r="673" customFormat="false" ht="17.15" hidden="false" customHeight="false" outlineLevel="0" collapsed="false">
      <c r="A673" s="0" t="s">
        <v>3834</v>
      </c>
      <c r="B673" s="0" t="s">
        <v>3835</v>
      </c>
      <c r="C673" s="0" t="s">
        <v>511</v>
      </c>
      <c r="E673" s="7" t="n">
        <f aca="false">Deploy!C7</f>
        <v>781.872916666667</v>
      </c>
      <c r="F673" s="7" t="n">
        <f aca="false">Deploy!D7</f>
        <v>1565.35</v>
      </c>
      <c r="G673" s="7" t="n">
        <f aca="false">Deploy!E7</f>
        <v>1190.55833333333</v>
      </c>
      <c r="H673" s="7" t="n">
        <f aca="false">Deploy!F7</f>
        <v>1356.23416666667</v>
      </c>
      <c r="I673" s="12" t="s">
        <v>3836</v>
      </c>
    </row>
    <row r="674" customFormat="false" ht="17.15" hidden="false" customHeight="false" outlineLevel="0" collapsed="false">
      <c r="A674" s="0" t="s">
        <v>3837</v>
      </c>
      <c r="B674" s="6" t="s">
        <v>3838</v>
      </c>
      <c r="C674" s="0" t="s">
        <v>3025</v>
      </c>
      <c r="E674" s="7" t="n">
        <f aca="false">Deploy!C8</f>
        <v>33.41403216</v>
      </c>
      <c r="F674" s="7" t="n">
        <f aca="false">Deploy!D8</f>
        <v>37.586352</v>
      </c>
      <c r="G674" s="7" t="n">
        <f aca="false">Deploy!E8</f>
        <v>37.586352</v>
      </c>
      <c r="H674" s="7" t="n">
        <f aca="false">Deploy!F8</f>
        <v>37.586352</v>
      </c>
      <c r="I674" s="12" t="s">
        <v>3839</v>
      </c>
    </row>
    <row r="675" customFormat="false" ht="17.15" hidden="false" customHeight="false" outlineLevel="0" collapsed="false">
      <c r="A675" s="0" t="s">
        <v>3840</v>
      </c>
      <c r="B675" s="6" t="s">
        <v>3841</v>
      </c>
      <c r="C675" s="0" t="s">
        <v>3082</v>
      </c>
      <c r="E675" s="7" t="n">
        <f aca="false">Deploy!C9</f>
        <v>23.3995380420639</v>
      </c>
      <c r="F675" s="7" t="n">
        <f aca="false">Deploy!D9</f>
        <v>41.6467658260637</v>
      </c>
      <c r="G675" s="7" t="n">
        <f aca="false">Deploy!E9</f>
        <v>52.792138191248</v>
      </c>
      <c r="H675" s="7" t="n">
        <f aca="false">Deploy!F9</f>
        <v>60.1385917361115</v>
      </c>
      <c r="I675" s="12" t="s">
        <v>3842</v>
      </c>
    </row>
    <row r="676" customFormat="false" ht="17.15" hidden="false" customHeight="false" outlineLevel="0" collapsed="false">
      <c r="A676" s="0" t="s">
        <v>3843</v>
      </c>
      <c r="B676" s="6" t="s">
        <v>3844</v>
      </c>
      <c r="C676" s="0" t="s">
        <v>3082</v>
      </c>
      <c r="E676" s="7" t="n">
        <f aca="false">Deploy!C10</f>
        <v>23.3995380420639</v>
      </c>
      <c r="F676" s="7" t="n">
        <f aca="false">Deploy!D10</f>
        <v>41.6467658260637</v>
      </c>
      <c r="G676" s="7" t="n">
        <f aca="false">Deploy!E10</f>
        <v>42.2337105529984</v>
      </c>
      <c r="H676" s="7" t="n">
        <f aca="false">Deploy!F10</f>
        <v>51.1178029756948</v>
      </c>
      <c r="I676" s="12" t="s">
        <v>3845</v>
      </c>
    </row>
    <row r="677" customFormat="false" ht="17.15" hidden="false" customHeight="false" outlineLevel="0" collapsed="false">
      <c r="A677" s="0" t="s">
        <v>3846</v>
      </c>
      <c r="B677" s="6" t="s">
        <v>3847</v>
      </c>
      <c r="C677" s="0" t="s">
        <v>3082</v>
      </c>
      <c r="E677" s="7" t="n">
        <f aca="false">Deploy!C11</f>
        <v>23.3995380420639</v>
      </c>
      <c r="F677" s="7" t="n">
        <f aca="false">Deploy!D11</f>
        <v>41.6467658260637</v>
      </c>
      <c r="G677" s="7" t="n">
        <f aca="false">Deploy!E11</f>
        <v>31.6752829147488</v>
      </c>
      <c r="H677" s="7" t="n">
        <f aca="false">Deploy!F11</f>
        <v>36.0831550416669</v>
      </c>
      <c r="I677" s="12" t="s">
        <v>3848</v>
      </c>
    </row>
    <row r="679" customFormat="false" ht="17.15" hidden="false" customHeight="false" outlineLevel="0" collapsed="false">
      <c r="A679" s="10" t="s">
        <v>3849</v>
      </c>
    </row>
    <row r="680" customFormat="false" ht="17.15" hidden="false" customHeight="false" outlineLevel="0" collapsed="false">
      <c r="A680" s="0" t="s">
        <v>3850</v>
      </c>
      <c r="B680" s="0" t="s">
        <v>3851</v>
      </c>
      <c r="C680" s="0" t="s">
        <v>489</v>
      </c>
      <c r="E680" s="39" t="n">
        <f aca="false">ABF!C19</f>
        <v>1</v>
      </c>
      <c r="F680" s="39" t="n">
        <f aca="false">ABF!D19</f>
        <v>1.3149200792858</v>
      </c>
      <c r="G680" s="39" t="n">
        <f aca="false">ABF!E19</f>
        <v>1.51871652600206</v>
      </c>
      <c r="H680" s="39" t="n">
        <f aca="false">ABF!F19</f>
        <v>1.78409269640899</v>
      </c>
      <c r="I680" s="12" t="s">
        <v>3852</v>
      </c>
    </row>
    <row r="681" customFormat="false" ht="17.15" hidden="false" customHeight="false" outlineLevel="0" collapsed="false">
      <c r="A681" s="0" t="s">
        <v>3853</v>
      </c>
      <c r="B681" s="0" t="s">
        <v>3854</v>
      </c>
      <c r="C681" s="0" t="s">
        <v>489</v>
      </c>
      <c r="E681" s="39" t="n">
        <f aca="false">ABF!C20</f>
        <v>1</v>
      </c>
      <c r="F681" s="39" t="n">
        <f aca="false">ABF!D20</f>
        <v>1.3149200792858</v>
      </c>
      <c r="G681" s="39" t="n">
        <f aca="false">ABF!E20</f>
        <v>1.35604155784815</v>
      </c>
      <c r="H681" s="39" t="n">
        <f aca="false">ABF!F20</f>
        <v>1.62644843296439</v>
      </c>
      <c r="I681" s="12" t="s">
        <v>3855</v>
      </c>
    </row>
    <row r="682" customFormat="false" ht="17.15" hidden="false" customHeight="false" outlineLevel="0" collapsed="false">
      <c r="A682" s="0" t="s">
        <v>3856</v>
      </c>
      <c r="B682" s="0" t="s">
        <v>3857</v>
      </c>
      <c r="C682" s="0" t="s">
        <v>489</v>
      </c>
      <c r="E682" s="39" t="n">
        <f aca="false">ABF!C21</f>
        <v>1</v>
      </c>
      <c r="F682" s="39" t="n">
        <f aca="false">ABF!D21</f>
        <v>1.3149200792858</v>
      </c>
      <c r="G682" s="39" t="n">
        <f aca="false">ABF!E21</f>
        <v>1.18968702447534</v>
      </c>
      <c r="H682" s="39" t="n">
        <f aca="false">ABF!F21</f>
        <v>1.35894775285069</v>
      </c>
      <c r="I682" s="12" t="s">
        <v>3858</v>
      </c>
    </row>
    <row r="683" customFormat="false" ht="17.15" hidden="false" customHeight="false" outlineLevel="0" collapsed="false">
      <c r="A683" s="0" t="s">
        <v>3859</v>
      </c>
      <c r="B683" s="6" t="s">
        <v>3860</v>
      </c>
      <c r="C683" s="0" t="s">
        <v>489</v>
      </c>
      <c r="E683" s="39" t="n">
        <f aca="false">ABF!C34</f>
        <v>1</v>
      </c>
      <c r="F683" s="39" t="n">
        <f aca="false">ABF!D34</f>
        <v>1.23949599623175</v>
      </c>
      <c r="G683" s="39" t="n">
        <f aca="false">ABF!E34</f>
        <v>1.49096404459099</v>
      </c>
      <c r="H683" s="39" t="n">
        <f aca="false">ABF!F34</f>
        <v>1.73090163290941</v>
      </c>
      <c r="I683" s="12" t="s">
        <v>3861</v>
      </c>
    </row>
    <row r="684" customFormat="false" ht="17.15" hidden="false" customHeight="false" outlineLevel="0" collapsed="false">
      <c r="A684" s="0" t="s">
        <v>3862</v>
      </c>
      <c r="B684" s="6" t="s">
        <v>3863</v>
      </c>
      <c r="C684" s="0" t="s">
        <v>489</v>
      </c>
      <c r="E684" s="39" t="n">
        <f aca="false">ABF!C35</f>
        <v>1</v>
      </c>
      <c r="F684" s="39" t="n">
        <f aca="false">ABF!D35</f>
        <v>1.3</v>
      </c>
      <c r="G684" s="39" t="n">
        <f aca="false">ABF!E35</f>
        <v>1.55</v>
      </c>
      <c r="H684" s="39" t="n">
        <f aca="false">ABF!F35</f>
        <v>1.8</v>
      </c>
      <c r="I684" s="12" t="s">
        <v>3864</v>
      </c>
    </row>
    <row r="685" customFormat="false" ht="15" hidden="false" customHeight="false" outlineLevel="0" collapsed="false">
      <c r="A685" s="0" t="s">
        <v>3865</v>
      </c>
      <c r="B685" s="6" t="s">
        <v>3866</v>
      </c>
      <c r="C685" s="0" t="s">
        <v>489</v>
      </c>
      <c r="E685" s="39" t="n">
        <f aca="false">ABF!C36</f>
        <v>1</v>
      </c>
      <c r="F685" s="39" t="n">
        <f aca="false">ABF!D36</f>
        <v>1.23949599623175</v>
      </c>
      <c r="G685" s="39" t="n">
        <f aca="false">ABF!E36</f>
        <v>1.49096404459099</v>
      </c>
      <c r="H685" s="39" t="n">
        <f aca="false">ABF!F36</f>
        <v>1.73090163290941</v>
      </c>
      <c r="I685" s="12" t="s">
        <v>3867</v>
      </c>
    </row>
    <row r="686" customFormat="false" ht="17.15" hidden="false" customHeight="false" outlineLevel="0" collapsed="false">
      <c r="A686" s="0" t="s">
        <v>3868</v>
      </c>
      <c r="B686" s="0" t="s">
        <v>3869</v>
      </c>
      <c r="C686" s="0" t="s">
        <v>60</v>
      </c>
      <c r="E686" s="20" t="n">
        <f aca="false">ABF!C39</f>
        <v>0.0900000000000001</v>
      </c>
      <c r="F686" s="20" t="n">
        <f aca="false">ABF!D39</f>
        <v>0.156327161022588</v>
      </c>
      <c r="G686" s="20" t="n">
        <f aca="false">ABF!E39</f>
        <v>0.110289023633947</v>
      </c>
      <c r="H686" s="20" t="n">
        <f aca="false">ABF!F39</f>
        <v>0.123495987358389</v>
      </c>
      <c r="I686" s="12" t="s">
        <v>3870</v>
      </c>
    </row>
    <row r="687" customFormat="false" ht="17.15" hidden="false" customHeight="false" outlineLevel="0" collapsed="false">
      <c r="A687" s="0" t="s">
        <v>3871</v>
      </c>
      <c r="B687" s="0" t="s">
        <v>3872</v>
      </c>
      <c r="C687" s="0" t="s">
        <v>60</v>
      </c>
      <c r="E687" s="20" t="n">
        <f aca="false">ABF!C40</f>
        <v>0.0900000000000001</v>
      </c>
      <c r="F687" s="20" t="n">
        <f aca="false">ABF!D40</f>
        <v>0.156327161022588</v>
      </c>
      <c r="G687" s="20" t="n">
        <f aca="false">ABF!E40</f>
        <v>-0.00863786526793242</v>
      </c>
      <c r="H687" s="20" t="n">
        <f aca="false">ABF!F40</f>
        <v>0.0242227277533411</v>
      </c>
      <c r="I687" s="12" t="s">
        <v>3873</v>
      </c>
    </row>
    <row r="688" customFormat="false" ht="17.15" hidden="false" customHeight="false" outlineLevel="0" collapsed="false">
      <c r="A688" s="0" t="s">
        <v>3874</v>
      </c>
      <c r="B688" s="0" t="s">
        <v>3875</v>
      </c>
      <c r="C688" s="0" t="s">
        <v>60</v>
      </c>
      <c r="E688" s="20" t="n">
        <f aca="false">ABF!C41</f>
        <v>0.0900000000000001</v>
      </c>
      <c r="F688" s="20" t="n">
        <f aca="false">ABF!D41</f>
        <v>0.156327161022588</v>
      </c>
      <c r="G688" s="20" t="n">
        <f aca="false">ABF!E41</f>
        <v>-0.130254776174792</v>
      </c>
      <c r="H688" s="20" t="n">
        <f aca="false">ABF!F41</f>
        <v>-0.144230369626799</v>
      </c>
      <c r="I688" s="12" t="s">
        <v>3876</v>
      </c>
    </row>
    <row r="690" customFormat="false" ht="17.15" hidden="false" customHeight="false" outlineLevel="0" collapsed="false">
      <c r="A690" s="10" t="s">
        <v>3877</v>
      </c>
    </row>
    <row r="691" customFormat="false" ht="17.15" hidden="false" customHeight="false" outlineLevel="0" collapsed="false">
      <c r="A691" s="0" t="s">
        <v>3878</v>
      </c>
      <c r="B691" s="6" t="s">
        <v>3879</v>
      </c>
      <c r="C691" s="0" t="s">
        <v>1454</v>
      </c>
      <c r="E691" s="40" t="n">
        <f aca="false">PGW!C8</f>
        <v>450</v>
      </c>
      <c r="F691" s="40" t="n">
        <f aca="false">PGW!D8</f>
        <v>682</v>
      </c>
      <c r="G691" s="40" t="n">
        <f aca="false">PGW!E8</f>
        <v>792</v>
      </c>
      <c r="H691" s="40" t="n">
        <f aca="false">PGW!F8</f>
        <v>877</v>
      </c>
      <c r="I691" s="12" t="s">
        <v>3880</v>
      </c>
    </row>
    <row r="692" customFormat="false" ht="17.15" hidden="false" customHeight="false" outlineLevel="0" collapsed="false">
      <c r="A692" s="0" t="s">
        <v>3881</v>
      </c>
      <c r="B692" s="6" t="s">
        <v>3882</v>
      </c>
      <c r="C692" s="0" t="s">
        <v>1454</v>
      </c>
      <c r="E692" s="40" t="n">
        <f aca="false">PGW!C17</f>
        <v>350</v>
      </c>
      <c r="F692" s="40" t="n">
        <f aca="false">PGW!D17</f>
        <v>527.5</v>
      </c>
      <c r="G692" s="40" t="n">
        <f aca="false">PGW!E17</f>
        <v>609</v>
      </c>
      <c r="H692" s="40" t="n">
        <f aca="false">PGW!F17</f>
        <v>662.5</v>
      </c>
      <c r="I692" s="12" t="s">
        <v>3883</v>
      </c>
    </row>
    <row r="693" customFormat="false" ht="17.15" hidden="false" customHeight="false" outlineLevel="0" collapsed="false">
      <c r="A693" s="0" t="s">
        <v>3884</v>
      </c>
      <c r="B693" s="0" t="s">
        <v>3885</v>
      </c>
      <c r="C693" s="0" t="s">
        <v>1341</v>
      </c>
      <c r="E693" s="40" t="n">
        <f aca="false">PGW!C9</f>
        <v>10.5297921189288</v>
      </c>
      <c r="F693" s="40" t="n">
        <f aca="false">PGW!D9</f>
        <v>28.4030942933754</v>
      </c>
      <c r="G693" s="40" t="n">
        <f aca="false">PGW!E9</f>
        <v>41.8113734474684</v>
      </c>
      <c r="H693" s="40" t="n">
        <f aca="false">PGW!F9</f>
        <v>52.7415449525698</v>
      </c>
      <c r="I693" s="12" t="s">
        <v>3886</v>
      </c>
    </row>
    <row r="694" customFormat="false" ht="17.15" hidden="false" customHeight="false" outlineLevel="0" collapsed="false">
      <c r="A694" s="0" t="s">
        <v>3887</v>
      </c>
      <c r="B694" s="0" t="s">
        <v>3888</v>
      </c>
      <c r="C694" s="0" t="s">
        <v>1341</v>
      </c>
      <c r="E694" s="40" t="n">
        <f aca="false">PGW!C10</f>
        <v>10.5297921189288</v>
      </c>
      <c r="F694" s="40" t="n">
        <f aca="false">PGW!D10</f>
        <v>28.4030942933754</v>
      </c>
      <c r="G694" s="40" t="n">
        <f aca="false">PGW!E10</f>
        <v>33.4490987579747</v>
      </c>
      <c r="H694" s="40" t="n">
        <f aca="false">PGW!F10</f>
        <v>44.8303132096843</v>
      </c>
      <c r="I694" s="12" t="s">
        <v>3889</v>
      </c>
    </row>
    <row r="695" customFormat="false" ht="17.15" hidden="false" customHeight="false" outlineLevel="0" collapsed="false">
      <c r="A695" s="0" t="s">
        <v>3890</v>
      </c>
      <c r="B695" s="0" t="s">
        <v>3891</v>
      </c>
      <c r="C695" s="0" t="s">
        <v>1341</v>
      </c>
      <c r="E695" s="40" t="n">
        <f aca="false">PGW!C11</f>
        <v>10.5297921189288</v>
      </c>
      <c r="F695" s="40" t="n">
        <f aca="false">PGW!D11</f>
        <v>28.4030942933754</v>
      </c>
      <c r="G695" s="40" t="n">
        <f aca="false">PGW!E11</f>
        <v>25.086824068481</v>
      </c>
      <c r="H695" s="40" t="n">
        <f aca="false">PGW!F11</f>
        <v>31.6449269715419</v>
      </c>
      <c r="I695" s="12" t="s">
        <v>3892</v>
      </c>
    </row>
    <row r="696" customFormat="false" ht="17.15" hidden="false" customHeight="false" outlineLevel="0" collapsed="false">
      <c r="A696" s="0" t="s">
        <v>3893</v>
      </c>
      <c r="B696" s="0" t="s">
        <v>3894</v>
      </c>
      <c r="C696" s="0" t="s">
        <v>1341</v>
      </c>
      <c r="E696" s="40" t="n">
        <f aca="false">PGW!C18</f>
        <v>8.18983831472237</v>
      </c>
      <c r="F696" s="40" t="n">
        <f aca="false">PGW!D18</f>
        <v>21.9686689732486</v>
      </c>
      <c r="G696" s="40" t="n">
        <f aca="false">PGW!E18</f>
        <v>32.15041215847</v>
      </c>
      <c r="H696" s="40" t="n">
        <f aca="false">PGW!F18</f>
        <v>39.8418170251739</v>
      </c>
      <c r="I696" s="12" t="s">
        <v>3895</v>
      </c>
    </row>
    <row r="697" customFormat="false" ht="17.15" hidden="false" customHeight="false" outlineLevel="0" collapsed="false">
      <c r="A697" s="0" t="s">
        <v>3896</v>
      </c>
      <c r="B697" s="0" t="s">
        <v>3897</v>
      </c>
      <c r="C697" s="0" t="s">
        <v>1341</v>
      </c>
      <c r="E697" s="40" t="n">
        <f aca="false">PGW!C19</f>
        <v>8.18983831472237</v>
      </c>
      <c r="F697" s="40" t="n">
        <f aca="false">PGW!D19</f>
        <v>21.9686689732486</v>
      </c>
      <c r="G697" s="40" t="n">
        <f aca="false">PGW!E19</f>
        <v>25.720329726776</v>
      </c>
      <c r="H697" s="40" t="n">
        <f aca="false">PGW!F19</f>
        <v>33.8655444713978</v>
      </c>
      <c r="I697" s="12" t="s">
        <v>3898</v>
      </c>
    </row>
    <row r="698" customFormat="false" ht="17.15" hidden="false" customHeight="false" outlineLevel="0" collapsed="false">
      <c r="A698" s="0" t="s">
        <v>3899</v>
      </c>
      <c r="B698" s="0" t="s">
        <v>3900</v>
      </c>
      <c r="C698" s="0" t="s">
        <v>1341</v>
      </c>
      <c r="E698" s="40" t="n">
        <f aca="false">PGW!C20</f>
        <v>8.18983831472237</v>
      </c>
      <c r="F698" s="40" t="n">
        <f aca="false">PGW!D20</f>
        <v>21.9686689732486</v>
      </c>
      <c r="G698" s="40" t="n">
        <f aca="false">PGW!E20</f>
        <v>19.290247295082</v>
      </c>
      <c r="H698" s="40" t="n">
        <f aca="false">PGW!F20</f>
        <v>23.9050902151043</v>
      </c>
      <c r="I698" s="12" t="s">
        <v>3901</v>
      </c>
    </row>
    <row r="700" customFormat="false" ht="17.15" hidden="false" customHeight="false" outlineLevel="0" collapsed="false">
      <c r="A700" s="10" t="s">
        <v>3902</v>
      </c>
    </row>
    <row r="701" customFormat="false" ht="17.15" hidden="false" customHeight="false" outlineLevel="0" collapsed="false">
      <c r="A701" s="0" t="s">
        <v>3903</v>
      </c>
      <c r="B701" s="6" t="s">
        <v>3904</v>
      </c>
      <c r="C701" s="0" t="s">
        <v>3905</v>
      </c>
      <c r="E701" s="41" t="n">
        <f aca="false">Rack!C5</f>
        <v>27.1209</v>
      </c>
      <c r="F701" s="41" t="n">
        <f aca="false">Rack!D5</f>
        <v>27.351</v>
      </c>
      <c r="G701" s="41" t="n">
        <f aca="false">Rack!E5</f>
        <v>27.351</v>
      </c>
      <c r="H701" s="41" t="n">
        <f aca="false">Rack!F5</f>
        <v>27.351</v>
      </c>
      <c r="I701" s="12" t="s">
        <v>3906</v>
      </c>
    </row>
    <row r="702" customFormat="false" ht="17.15" hidden="false" customHeight="false" outlineLevel="0" collapsed="false">
      <c r="A702" s="0" t="s">
        <v>3907</v>
      </c>
      <c r="B702" s="0" t="s">
        <v>3908</v>
      </c>
      <c r="C702" s="0" t="s">
        <v>1341</v>
      </c>
      <c r="E702" s="41" t="n">
        <f aca="false">Rack!C6</f>
        <v>634.616531285011</v>
      </c>
      <c r="F702" s="41" t="n">
        <f aca="false">Rack!D6</f>
        <v>1139.08069210867</v>
      </c>
      <c r="G702" s="41" t="n">
        <f aca="false">Rack!E6</f>
        <v>1443.91777166882</v>
      </c>
      <c r="H702" s="41" t="n">
        <f aca="false">Rack!F6</f>
        <v>1644.85062257439</v>
      </c>
      <c r="I702" s="12" t="s">
        <v>3909</v>
      </c>
    </row>
    <row r="703" customFormat="false" ht="17.15" hidden="false" customHeight="false" outlineLevel="0" collapsed="false">
      <c r="A703" s="0" t="s">
        <v>3910</v>
      </c>
      <c r="B703" s="0" t="s">
        <v>3911</v>
      </c>
      <c r="C703" s="0" t="s">
        <v>1341</v>
      </c>
      <c r="E703" s="41" t="n">
        <f aca="false">Rack!C7</f>
        <v>634.616531285011</v>
      </c>
      <c r="F703" s="41" t="n">
        <f aca="false">Rack!D7</f>
        <v>1139.08069210867</v>
      </c>
      <c r="G703" s="41" t="n">
        <f aca="false">Rack!E7</f>
        <v>1155.13421733506</v>
      </c>
      <c r="H703" s="41" t="n">
        <f aca="false">Rack!F7</f>
        <v>1398.12302918823</v>
      </c>
      <c r="I703" s="12" t="s">
        <v>3912</v>
      </c>
    </row>
    <row r="704" customFormat="false" ht="17.15" hidden="false" customHeight="false" outlineLevel="0" collapsed="false">
      <c r="A704" s="0" t="s">
        <v>3913</v>
      </c>
      <c r="B704" s="0" t="s">
        <v>3914</v>
      </c>
      <c r="C704" s="0" t="s">
        <v>1341</v>
      </c>
      <c r="E704" s="41" t="n">
        <f aca="false">Rack!C8</f>
        <v>634.616531285011</v>
      </c>
      <c r="F704" s="41" t="n">
        <f aca="false">Rack!D8</f>
        <v>1139.08069210867</v>
      </c>
      <c r="G704" s="41" t="n">
        <f aca="false">Rack!E8</f>
        <v>866.350663001294</v>
      </c>
      <c r="H704" s="41" t="n">
        <f aca="false">Rack!F8</f>
        <v>986.910373544631</v>
      </c>
      <c r="I704" s="12" t="s">
        <v>3915</v>
      </c>
    </row>
    <row r="705" customFormat="false" ht="17.15" hidden="false" customHeight="false" outlineLevel="0" collapsed="false">
      <c r="A705" s="0" t="s">
        <v>3916</v>
      </c>
      <c r="B705" s="6" t="s">
        <v>3917</v>
      </c>
      <c r="C705" s="0" t="s">
        <v>628</v>
      </c>
      <c r="E705" s="41" t="n">
        <f aca="false">Rack!C11</f>
        <v>59.7222222222222</v>
      </c>
      <c r="F705" s="41" t="n">
        <f aca="false">Rack!D11</f>
        <v>59.7222222222222</v>
      </c>
      <c r="G705" s="41" t="n">
        <f aca="false">Rack!E11</f>
        <v>59.7222222222222</v>
      </c>
      <c r="H705" s="41" t="n">
        <f aca="false">Rack!F11</f>
        <v>59.7222222222222</v>
      </c>
      <c r="I705" s="12" t="s">
        <v>3918</v>
      </c>
    </row>
    <row r="706" customFormat="false" ht="17.15" hidden="false" customHeight="false" outlineLevel="0" collapsed="false">
      <c r="A706" s="0" t="s">
        <v>3919</v>
      </c>
      <c r="B706" s="6" t="s">
        <v>3920</v>
      </c>
      <c r="C706" s="0" t="s">
        <v>628</v>
      </c>
      <c r="E706" s="41" t="n">
        <f aca="false">Rack!C12</f>
        <v>116.666666666667</v>
      </c>
      <c r="F706" s="41" t="n">
        <f aca="false">Rack!D12</f>
        <v>116.666666666667</v>
      </c>
      <c r="G706" s="41" t="n">
        <f aca="false">Rack!E12</f>
        <v>116.666666666667</v>
      </c>
      <c r="H706" s="41" t="n">
        <f aca="false">Rack!F12</f>
        <v>116.666666666667</v>
      </c>
      <c r="I706" s="12" t="s">
        <v>3921</v>
      </c>
    </row>
    <row r="707" customFormat="false" ht="17.15" hidden="false" customHeight="false" outlineLevel="0" collapsed="false">
      <c r="A707" s="0" t="s">
        <v>3922</v>
      </c>
      <c r="B707" s="0" t="s">
        <v>3923</v>
      </c>
      <c r="C707" s="6" t="s">
        <v>331</v>
      </c>
      <c r="E707" s="41" t="n">
        <f aca="false">Rack!C13</f>
        <v>6.65</v>
      </c>
      <c r="F707" s="41" t="n">
        <f aca="false">Rack!D13</f>
        <v>2.4</v>
      </c>
      <c r="G707" s="41" t="n">
        <f aca="false">Rack!E13</f>
        <v>0.5</v>
      </c>
      <c r="H707" s="41" t="n">
        <f aca="false">Rack!F13</f>
        <v>0.25</v>
      </c>
      <c r="I707" s="12" t="s">
        <v>3924</v>
      </c>
    </row>
    <row r="708" customFormat="false" ht="17.15" hidden="false" customHeight="false" outlineLevel="0" collapsed="false">
      <c r="A708" s="0" t="s">
        <v>3925</v>
      </c>
      <c r="B708" s="0" t="s">
        <v>3926</v>
      </c>
      <c r="C708" s="6" t="s">
        <v>331</v>
      </c>
      <c r="E708" s="41" t="n">
        <f aca="false">Rack!C14</f>
        <v>1.7</v>
      </c>
      <c r="F708" s="41" t="n">
        <f aca="false">Rack!D14</f>
        <v>8.8</v>
      </c>
      <c r="G708" s="41" t="n">
        <f aca="false">Rack!E14</f>
        <v>11</v>
      </c>
      <c r="H708" s="41" t="n">
        <f aca="false">Rack!F14</f>
        <v>12.65</v>
      </c>
      <c r="I708" s="12" t="s">
        <v>3927</v>
      </c>
    </row>
    <row r="709" customFormat="false" ht="17.15" hidden="false" customHeight="false" outlineLevel="0" collapsed="false">
      <c r="A709" s="0" t="s">
        <v>3928</v>
      </c>
      <c r="B709" s="6" t="s">
        <v>3929</v>
      </c>
      <c r="C709" s="0" t="s">
        <v>1341</v>
      </c>
      <c r="E709" s="41" t="n">
        <f aca="false">Rack!C15</f>
        <v>595.486111111111</v>
      </c>
      <c r="F709" s="41" t="n">
        <f aca="false">Rack!D15</f>
        <v>1170</v>
      </c>
      <c r="G709" s="41" t="n">
        <f aca="false">Rack!E15</f>
        <v>1313.19444444444</v>
      </c>
      <c r="H709" s="41" t="n">
        <f aca="false">Rack!F15</f>
        <v>1490.76388888889</v>
      </c>
      <c r="I709" s="12" t="s">
        <v>3930</v>
      </c>
    </row>
    <row r="710" customFormat="false" ht="17.15" hidden="false" customHeight="false" outlineLevel="0" collapsed="false">
      <c r="A710" s="0" t="s">
        <v>3931</v>
      </c>
      <c r="B710" s="6" t="s">
        <v>3932</v>
      </c>
      <c r="C710" s="0" t="s">
        <v>1341</v>
      </c>
      <c r="E710" s="41" t="n">
        <f aca="false">Rack!C16</f>
        <v>595.486111111111</v>
      </c>
      <c r="F710" s="41" t="n">
        <f aca="false">Rack!D16</f>
        <v>1170</v>
      </c>
      <c r="G710" s="41" t="n">
        <f aca="false">Rack!E16</f>
        <v>1050.55555555556</v>
      </c>
      <c r="H710" s="41" t="n">
        <f aca="false">Rack!F16</f>
        <v>1267.14930555556</v>
      </c>
      <c r="I710" s="12" t="s">
        <v>3933</v>
      </c>
    </row>
    <row r="711" customFormat="false" ht="17.15" hidden="false" customHeight="false" outlineLevel="0" collapsed="false">
      <c r="A711" s="0" t="s">
        <v>3934</v>
      </c>
      <c r="B711" s="6" t="s">
        <v>3935</v>
      </c>
      <c r="C711" s="0" t="s">
        <v>1341</v>
      </c>
      <c r="E711" s="41" t="n">
        <f aca="false">Rack!C17</f>
        <v>595.486111111111</v>
      </c>
      <c r="F711" s="41" t="n">
        <f aca="false">Rack!D17</f>
        <v>1170</v>
      </c>
      <c r="G711" s="41" t="n">
        <f aca="false">Rack!E17</f>
        <v>787.916666666667</v>
      </c>
      <c r="H711" s="41" t="n">
        <f aca="false">Rack!F17</f>
        <v>894.458333333333</v>
      </c>
      <c r="I711" s="12" t="s">
        <v>3936</v>
      </c>
    </row>
    <row r="712" customFormat="false" ht="17.15" hidden="false" customHeight="false" outlineLevel="0" collapsed="false">
      <c r="A712" s="0" t="s">
        <v>3937</v>
      </c>
      <c r="B712" s="0" t="s">
        <v>3938</v>
      </c>
      <c r="C712" s="0" t="s">
        <v>1341</v>
      </c>
      <c r="E712" s="41" t="n">
        <f aca="false">Rack!C21</f>
        <v>10.5297921189288</v>
      </c>
      <c r="F712" s="41" t="n">
        <f aca="false">Rack!D21</f>
        <v>24.9880594956382</v>
      </c>
      <c r="G712" s="41" t="n">
        <f aca="false">Rack!E21</f>
        <v>35.8986539700486</v>
      </c>
      <c r="H712" s="41" t="n">
        <f aca="false">Rack!F21</f>
        <v>43.2997860500003</v>
      </c>
      <c r="I712" s="12" t="s">
        <v>3939</v>
      </c>
    </row>
    <row r="713" customFormat="false" ht="17.15" hidden="false" customHeight="false" outlineLevel="0" collapsed="false">
      <c r="A713" s="0" t="s">
        <v>3940</v>
      </c>
      <c r="B713" s="0" t="s">
        <v>3941</v>
      </c>
      <c r="C713" s="0" t="s">
        <v>1341</v>
      </c>
      <c r="E713" s="41" t="n">
        <f aca="false">Rack!C22</f>
        <v>10.5297921189288</v>
      </c>
      <c r="F713" s="41" t="n">
        <f aca="false">Rack!D22</f>
        <v>24.9880594956382</v>
      </c>
      <c r="G713" s="41" t="n">
        <f aca="false">Rack!E22</f>
        <v>28.7189231760389</v>
      </c>
      <c r="H713" s="41" t="n">
        <f aca="false">Rack!F22</f>
        <v>36.8048181425002</v>
      </c>
      <c r="I713" s="12" t="s">
        <v>3942</v>
      </c>
    </row>
    <row r="714" customFormat="false" ht="17.15" hidden="false" customHeight="false" outlineLevel="0" collapsed="false">
      <c r="A714" s="0" t="s">
        <v>3943</v>
      </c>
      <c r="B714" s="0" t="s">
        <v>3944</v>
      </c>
      <c r="C714" s="0" t="s">
        <v>1341</v>
      </c>
      <c r="E714" s="41" t="n">
        <f aca="false">Rack!C23</f>
        <v>10.5297921189288</v>
      </c>
      <c r="F714" s="41" t="n">
        <f aca="false">Rack!D23</f>
        <v>24.9880594956382</v>
      </c>
      <c r="G714" s="41" t="n">
        <f aca="false">Rack!E23</f>
        <v>21.5391923820292</v>
      </c>
      <c r="H714" s="41" t="n">
        <f aca="false">Rack!F23</f>
        <v>25.9798716300002</v>
      </c>
      <c r="I714" s="12" t="s">
        <v>3945</v>
      </c>
    </row>
    <row r="715" customFormat="false" ht="17.15" hidden="false" customHeight="false" outlineLevel="0" collapsed="false">
      <c r="A715" s="0" t="s">
        <v>3946</v>
      </c>
      <c r="B715" s="6" t="s">
        <v>3947</v>
      </c>
      <c r="C715" s="0" t="s">
        <v>1454</v>
      </c>
      <c r="E715" s="41" t="n">
        <f aca="false">Rack!C28</f>
        <v>350.7208</v>
      </c>
      <c r="F715" s="41" t="n">
        <f aca="false">Rack!D28</f>
        <v>326.5912</v>
      </c>
      <c r="G715" s="41" t="n">
        <f aca="false">Rack!E28</f>
        <v>351.7136</v>
      </c>
      <c r="H715" s="41" t="n">
        <f aca="false">Rack!F28</f>
        <v>351.7136</v>
      </c>
      <c r="I715" s="12" t="s">
        <v>3948</v>
      </c>
    </row>
    <row r="716" customFormat="false" ht="17.15" hidden="false" customHeight="false" outlineLevel="0" collapsed="false">
      <c r="A716" s="0" t="s">
        <v>3949</v>
      </c>
      <c r="B716" s="6" t="s">
        <v>3950</v>
      </c>
      <c r="C716" s="0" t="s">
        <v>60</v>
      </c>
      <c r="E716" s="41" t="n">
        <f aca="false">Rack!C29</f>
        <v>0.55</v>
      </c>
      <c r="F716" s="41" t="n">
        <f aca="false">Rack!D29</f>
        <v>0.85</v>
      </c>
      <c r="G716" s="41" t="n">
        <f aca="false">Rack!E29</f>
        <v>0.95</v>
      </c>
      <c r="H716" s="41" t="n">
        <f aca="false">Rack!F29</f>
        <v>0.95</v>
      </c>
      <c r="I716" s="12" t="s">
        <v>3951</v>
      </c>
    </row>
    <row r="717" customFormat="false" ht="17.15" hidden="false" customHeight="false" outlineLevel="0" collapsed="false">
      <c r="A717" s="0" t="s">
        <v>3952</v>
      </c>
      <c r="B717" s="6" t="s">
        <v>3953</v>
      </c>
      <c r="C717" s="0" t="s">
        <v>60</v>
      </c>
      <c r="E717" s="41" t="n">
        <f aca="false">Rack!C30</f>
        <v>0.55</v>
      </c>
      <c r="F717" s="41" t="n">
        <f aca="false">Rack!D30</f>
        <v>0.75</v>
      </c>
      <c r="G717" s="41" t="n">
        <f aca="false">Rack!E30</f>
        <v>0.85</v>
      </c>
      <c r="H717" s="41" t="n">
        <f aca="false">Rack!F30</f>
        <v>0.9</v>
      </c>
      <c r="I717" s="12" t="s">
        <v>3954</v>
      </c>
    </row>
    <row r="718" customFormat="false" ht="17.15" hidden="false" customHeight="false" outlineLevel="0" collapsed="false">
      <c r="A718" s="0" t="s">
        <v>3955</v>
      </c>
      <c r="B718" s="6" t="s">
        <v>3956</v>
      </c>
      <c r="C718" s="0" t="s">
        <v>60</v>
      </c>
      <c r="E718" s="41" t="n">
        <f aca="false">Rack!C31</f>
        <v>0.55</v>
      </c>
      <c r="F718" s="41" t="n">
        <f aca="false">Rack!D31</f>
        <v>0.6</v>
      </c>
      <c r="G718" s="41" t="n">
        <f aca="false">Rack!E31</f>
        <v>0.7</v>
      </c>
      <c r="H718" s="41" t="n">
        <f aca="false">Rack!F31</f>
        <v>0.75</v>
      </c>
      <c r="I718" s="12" t="s">
        <v>3957</v>
      </c>
    </row>
    <row r="719" customFormat="false" ht="17.15" hidden="false" customHeight="false" outlineLevel="0" collapsed="false">
      <c r="A719" s="0" t="s">
        <v>3958</v>
      </c>
      <c r="B719" s="0" t="s">
        <v>3959</v>
      </c>
      <c r="C719" s="0" t="s">
        <v>1341</v>
      </c>
      <c r="E719" s="41" t="n">
        <f aca="false">Rack!C32</f>
        <v>4.5136875859587</v>
      </c>
      <c r="F719" s="41" t="n">
        <f aca="false">Rack!D32</f>
        <v>11.5612471431652</v>
      </c>
      <c r="G719" s="41" t="n">
        <f aca="false">Rack!E32</f>
        <v>17.6393273261942</v>
      </c>
      <c r="H719" s="41" t="n">
        <f aca="false">Rack!F32</f>
        <v>20.0939825685161</v>
      </c>
      <c r="I719" s="12" t="s">
        <v>3960</v>
      </c>
    </row>
    <row r="720" customFormat="false" ht="17.15" hidden="false" customHeight="false" outlineLevel="0" collapsed="false">
      <c r="A720" s="0" t="s">
        <v>3961</v>
      </c>
      <c r="B720" s="0" t="s">
        <v>3962</v>
      </c>
      <c r="C720" s="0" t="s">
        <v>1341</v>
      </c>
      <c r="E720" s="41" t="n">
        <f aca="false">Rack!C33</f>
        <v>4.5136875859587</v>
      </c>
      <c r="F720" s="41" t="n">
        <f aca="false">Rack!D33</f>
        <v>10.2011004204398</v>
      </c>
      <c r="G720" s="41" t="n">
        <f aca="false">Rack!E33</f>
        <v>12.6260448229601</v>
      </c>
      <c r="H720" s="41" t="n">
        <f aca="false">Rack!F33</f>
        <v>16.1809438578051</v>
      </c>
      <c r="I720" s="12" t="s">
        <v>3963</v>
      </c>
    </row>
    <row r="721" customFormat="false" ht="17.15" hidden="false" customHeight="false" outlineLevel="0" collapsed="false">
      <c r="A721" s="0" t="s">
        <v>3964</v>
      </c>
      <c r="B721" s="0" t="s">
        <v>3965</v>
      </c>
      <c r="C721" s="0" t="s">
        <v>1341</v>
      </c>
      <c r="E721" s="41" t="n">
        <f aca="false">Rack!C34</f>
        <v>4.5136875859587</v>
      </c>
      <c r="F721" s="41" t="n">
        <f aca="false">Rack!D34</f>
        <v>8.16088033635188</v>
      </c>
      <c r="G721" s="41" t="n">
        <f aca="false">Rack!E34</f>
        <v>7.79843944947535</v>
      </c>
      <c r="H721" s="41" t="n">
        <f aca="false">Rack!F34</f>
        <v>9.51820226929711</v>
      </c>
      <c r="I721" s="12" t="s">
        <v>3966</v>
      </c>
    </row>
    <row r="723" customFormat="false" ht="17.15" hidden="false" customHeight="false" outlineLevel="0" collapsed="false">
      <c r="A723" s="10" t="s">
        <v>3967</v>
      </c>
    </row>
    <row r="724" customFormat="false" ht="17.15" hidden="false" customHeight="false" outlineLevel="0" collapsed="false">
      <c r="A724" s="0" t="s">
        <v>3968</v>
      </c>
      <c r="B724" s="0" t="s">
        <v>3969</v>
      </c>
      <c r="C724" s="0" t="s">
        <v>1341</v>
      </c>
      <c r="D724" s="7" t="n">
        <f aca="false">Equip!C5</f>
        <v>27.9136690647482</v>
      </c>
      <c r="E724" s="7" t="n">
        <f aca="false">Equip!D5</f>
        <v>38.8</v>
      </c>
      <c r="F724" s="7" t="n">
        <f aca="false">Equip!E5</f>
        <v>49.4312</v>
      </c>
      <c r="G724" s="7" t="n">
        <f aca="false">Equip!F5</f>
        <v>56.84588</v>
      </c>
      <c r="H724" s="7" t="n">
        <f aca="false">Equip!G5</f>
        <v>61.3935504</v>
      </c>
      <c r="I724" s="12" t="s">
        <v>3970</v>
      </c>
    </row>
    <row r="725" customFormat="false" ht="17.15" hidden="false" customHeight="false" outlineLevel="0" collapsed="false">
      <c r="A725" s="0" t="s">
        <v>3971</v>
      </c>
      <c r="B725" s="0" t="s">
        <v>3972</v>
      </c>
      <c r="C725" s="0" t="s">
        <v>1341</v>
      </c>
      <c r="D725" s="7" t="n">
        <f aca="false">Equip!C6</f>
        <v>10.6350420811018</v>
      </c>
      <c r="E725" s="7" t="n">
        <f aca="false">Equip!D6</f>
        <v>13.9</v>
      </c>
      <c r="F725" s="7" t="n">
        <f aca="false">Equip!E6</f>
        <v>18.2229</v>
      </c>
      <c r="G725" s="7" t="n">
        <f aca="false">Equip!F6</f>
        <v>20.8652205</v>
      </c>
      <c r="H725" s="7" t="n">
        <f aca="false">Equip!G6</f>
        <v>22.53443814</v>
      </c>
      <c r="I725" s="12" t="s">
        <v>3973</v>
      </c>
    </row>
    <row r="726" customFormat="false" ht="17.15" hidden="false" customHeight="false" outlineLevel="0" collapsed="false">
      <c r="A726" s="0" t="s">
        <v>3974</v>
      </c>
      <c r="B726" s="0" t="s">
        <v>3975</v>
      </c>
      <c r="C726" s="0" t="s">
        <v>1341</v>
      </c>
      <c r="D726" s="7" t="n">
        <f aca="false">Equip!C7</f>
        <v>65.6013456686291</v>
      </c>
      <c r="E726" s="7" t="n">
        <f aca="false">Equip!D7</f>
        <v>78</v>
      </c>
      <c r="F726" s="7" t="n">
        <f aca="false">Equip!E7</f>
        <v>92.118</v>
      </c>
      <c r="G726" s="7" t="n">
        <f aca="false">Equip!F7</f>
        <v>104.646048</v>
      </c>
      <c r="H726" s="7" t="n">
        <f aca="false">Equip!G7</f>
        <v>113.01773184</v>
      </c>
      <c r="I726" s="12" t="s">
        <v>3976</v>
      </c>
    </row>
    <row r="727" customFormat="false" ht="17.15" hidden="false" customHeight="false" outlineLevel="0" collapsed="false">
      <c r="A727" s="0" t="s">
        <v>3977</v>
      </c>
      <c r="B727" s="0" t="s">
        <v>3978</v>
      </c>
      <c r="C727" s="0" t="s">
        <v>1341</v>
      </c>
      <c r="D727" s="7" t="n">
        <f aca="false">Equip!C8</f>
        <v>116.896831844029</v>
      </c>
      <c r="E727" s="7" t="n">
        <f aca="false">Equip!D8</f>
        <v>143.9</v>
      </c>
      <c r="F727" s="7" t="n">
        <f aca="false">Equip!E8</f>
        <v>175.2702</v>
      </c>
      <c r="G727" s="7" t="n">
        <f aca="false">Equip!F8</f>
        <v>199.9832982</v>
      </c>
      <c r="H727" s="7" t="n">
        <f aca="false">Equip!G8</f>
        <v>215.981962056</v>
      </c>
      <c r="I727" s="12" t="s">
        <v>3979</v>
      </c>
    </row>
    <row r="728" customFormat="false" ht="17.15" hidden="false" customHeight="false" outlineLevel="0" collapsed="false">
      <c r="A728" s="0" t="s">
        <v>3980</v>
      </c>
      <c r="B728" s="0" t="s">
        <v>3981</v>
      </c>
      <c r="C728" s="0" t="s">
        <v>1341</v>
      </c>
      <c r="D728" s="7" t="n">
        <f aca="false">Equip!C9</f>
        <v>11.6793893129771</v>
      </c>
      <c r="E728" s="7" t="n">
        <f aca="false">Equip!D9</f>
        <v>15.3</v>
      </c>
      <c r="F728" s="7" t="n">
        <f aca="false">Equip!E9</f>
        <v>17.8392824967822</v>
      </c>
      <c r="G728" s="7" t="n">
        <f aca="false">Equip!F9</f>
        <v>20.8</v>
      </c>
      <c r="H728" s="7" t="n">
        <f aca="false">Equip!G9</f>
        <v>22.464</v>
      </c>
      <c r="I728" s="12" t="s">
        <v>3982</v>
      </c>
    </row>
    <row r="729" customFormat="false" ht="17.15" hidden="false" customHeight="false" outlineLevel="0" collapsed="false">
      <c r="A729" s="0" t="s">
        <v>3983</v>
      </c>
      <c r="B729" s="0" t="s">
        <v>3984</v>
      </c>
      <c r="C729" s="0" t="s">
        <v>1341</v>
      </c>
      <c r="D729" s="7" t="n">
        <f aca="false">Equip!C10</f>
        <v>6.11313868613139</v>
      </c>
      <c r="E729" s="7" t="n">
        <f aca="false">Equip!D10</f>
        <v>6.7</v>
      </c>
      <c r="F729" s="7" t="n">
        <f aca="false">Equip!E10</f>
        <v>7.59078388573934</v>
      </c>
      <c r="G729" s="7" t="n">
        <f aca="false">Equip!F10</f>
        <v>8.6</v>
      </c>
      <c r="H729" s="7" t="n">
        <f aca="false">Equip!G10</f>
        <v>9.288</v>
      </c>
      <c r="I729" s="12" t="s">
        <v>3985</v>
      </c>
    </row>
    <row r="730" customFormat="false" ht="17.15" hidden="false" customHeight="false" outlineLevel="0" collapsed="false">
      <c r="A730" s="0" t="s">
        <v>3986</v>
      </c>
      <c r="B730" s="0" t="s">
        <v>3987</v>
      </c>
      <c r="C730" s="0" t="s">
        <v>1341</v>
      </c>
      <c r="D730" s="7" t="n">
        <f aca="false">Equip!C11</f>
        <v>134.689359843138</v>
      </c>
      <c r="E730" s="7" t="n">
        <f aca="false">Equip!D11</f>
        <v>165.9</v>
      </c>
      <c r="F730" s="7" t="n">
        <f aca="false">Equip!E11</f>
        <v>200.700266382522</v>
      </c>
      <c r="G730" s="7" t="n">
        <f aca="false">Equip!F11</f>
        <v>229.3832982</v>
      </c>
      <c r="H730" s="7" t="n">
        <f aca="false">Equip!G11</f>
        <v>247.733962056</v>
      </c>
      <c r="I730" s="12" t="s">
        <v>3988</v>
      </c>
    </row>
    <row r="731" customFormat="false" ht="17.15" hidden="false" customHeight="false" outlineLevel="0" collapsed="false">
      <c r="A731" s="0" t="s">
        <v>3989</v>
      </c>
      <c r="B731" s="0" t="s">
        <v>3990</v>
      </c>
      <c r="C731" s="0" t="s">
        <v>1341</v>
      </c>
      <c r="D731" s="39" t="n">
        <f aca="false">Equip!C19</f>
        <v>6.9</v>
      </c>
      <c r="E731" s="39" t="n">
        <f aca="false">Equip!D19</f>
        <v>11</v>
      </c>
      <c r="F731" s="39" t="n">
        <f aca="false">Equip!E19</f>
        <v>15.4143580786026</v>
      </c>
      <c r="G731" s="39" t="n">
        <f aca="false">Equip!F19</f>
        <v>17.2991836614041</v>
      </c>
      <c r="H731" s="39" t="n">
        <f aca="false">Equip!G19</f>
        <v>19.2361762010077</v>
      </c>
      <c r="I731" s="12" t="s">
        <v>3991</v>
      </c>
    </row>
    <row r="732" customFormat="false" ht="17.15" hidden="false" customHeight="false" outlineLevel="0" collapsed="false">
      <c r="A732" s="0" t="s">
        <v>3992</v>
      </c>
      <c r="B732" s="0" t="s">
        <v>3993</v>
      </c>
      <c r="C732" s="0" t="s">
        <v>1341</v>
      </c>
      <c r="D732" s="39" t="n">
        <f aca="false">Equip!C20</f>
        <v>6.9</v>
      </c>
      <c r="E732" s="39" t="n">
        <f aca="false">Equip!D20</f>
        <v>11</v>
      </c>
      <c r="F732" s="39" t="n">
        <f aca="false">Equip!E20</f>
        <v>15.4143580786026</v>
      </c>
      <c r="G732" s="39" t="n">
        <f aca="false">Equip!F20</f>
        <v>14.7695229291233</v>
      </c>
      <c r="H732" s="39" t="n">
        <f aca="false">Equip!G20</f>
        <v>17.0762870508566</v>
      </c>
      <c r="I732" s="12" t="s">
        <v>3994</v>
      </c>
    </row>
    <row r="733" customFormat="false" ht="17.15" hidden="false" customHeight="false" outlineLevel="0" collapsed="false">
      <c r="A733" s="0" t="s">
        <v>3995</v>
      </c>
      <c r="B733" s="0" t="s">
        <v>3996</v>
      </c>
      <c r="C733" s="0" t="s">
        <v>1341</v>
      </c>
      <c r="D733" s="39" t="n">
        <f aca="false">Equip!C21</f>
        <v>6.9</v>
      </c>
      <c r="E733" s="39" t="n">
        <f aca="false">Equip!D21</f>
        <v>11</v>
      </c>
      <c r="F733" s="39" t="n">
        <f aca="false">Equip!E21</f>
        <v>15.4143580786026</v>
      </c>
      <c r="G733" s="39" t="n">
        <f aca="false">Equip!F21</f>
        <v>12.2398621968425</v>
      </c>
      <c r="H733" s="39" t="n">
        <f aca="false">Equip!G21</f>
        <v>13.4764718006046</v>
      </c>
      <c r="I733" s="12" t="s">
        <v>3997</v>
      </c>
    </row>
    <row r="734" customFormat="false" ht="17.15" hidden="false" customHeight="false" outlineLevel="0" collapsed="false">
      <c r="A734" s="0" t="s">
        <v>3998</v>
      </c>
      <c r="B734" s="0" t="s">
        <v>3999</v>
      </c>
      <c r="C734" s="0" t="s">
        <v>60</v>
      </c>
      <c r="D734" s="20" t="n">
        <f aca="false">Equip!C24</f>
        <v>0.0999119405439528</v>
      </c>
      <c r="E734" s="20" t="n">
        <f aca="false">Equip!D24</f>
        <v>0.10632383599722</v>
      </c>
      <c r="F734" s="20" t="n">
        <f aca="false">Equip!E24</f>
        <v>0.101781606324305</v>
      </c>
      <c r="G734" s="20" t="n">
        <f aca="false">Equip!F24</f>
        <v>0.104008685661331</v>
      </c>
      <c r="H734" s="20" t="n">
        <f aca="false">Equip!G24</f>
        <v>0.104008685661331</v>
      </c>
      <c r="I734" s="12" t="s">
        <v>4000</v>
      </c>
    </row>
    <row r="735" customFormat="false" ht="17.15" hidden="false" customHeight="false" outlineLevel="0" collapsed="false">
      <c r="A735" s="0" t="s">
        <v>4001</v>
      </c>
      <c r="B735" s="0" t="s">
        <v>4002</v>
      </c>
      <c r="C735" s="0" t="s">
        <v>60</v>
      </c>
      <c r="D735" s="20" t="n">
        <f aca="false">Equip!C25</f>
        <v>0.0590264072272411</v>
      </c>
      <c r="E735" s="20" t="n">
        <f aca="false">Equip!D25</f>
        <v>0.0764419735927728</v>
      </c>
      <c r="F735" s="20" t="n">
        <f aca="false">Equip!E25</f>
        <v>0.0879462571424157</v>
      </c>
      <c r="G735" s="20" t="n">
        <f aca="false">Equip!F25</f>
        <v>0.086503142097914</v>
      </c>
      <c r="H735" s="20" t="n">
        <f aca="false">Equip!G25</f>
        <v>0.0890638089305817</v>
      </c>
      <c r="I735" s="12" t="s">
        <v>4003</v>
      </c>
    </row>
    <row r="736" customFormat="false" ht="17.15" hidden="false" customHeight="false" outlineLevel="0" collapsed="false">
      <c r="A736" s="0" t="s">
        <v>4004</v>
      </c>
      <c r="B736" s="6" t="s">
        <v>4005</v>
      </c>
      <c r="C736" s="0" t="s">
        <v>60</v>
      </c>
      <c r="D736" s="20" t="n">
        <f aca="false">Equip!C29</f>
        <v>0</v>
      </c>
      <c r="E736" s="20" t="n">
        <f aca="false">Equip!D29</f>
        <v>0</v>
      </c>
      <c r="F736" s="20" t="n">
        <f aca="false">Equip!E29</f>
        <v>0</v>
      </c>
      <c r="G736" s="20" t="n">
        <f aca="false">Equip!F29</f>
        <v>0.15</v>
      </c>
      <c r="H736" s="20" t="n">
        <f aca="false">Equip!G29</f>
        <v>0.3</v>
      </c>
      <c r="I736" s="12" t="s">
        <v>4006</v>
      </c>
    </row>
    <row r="737" customFormat="false" ht="17.15" hidden="false" customHeight="false" outlineLevel="0" collapsed="false">
      <c r="A737" s="0" t="s">
        <v>4007</v>
      </c>
      <c r="B737" s="6" t="s">
        <v>4008</v>
      </c>
      <c r="C737" s="0" t="s">
        <v>60</v>
      </c>
      <c r="D737" s="20" t="n">
        <f aca="false">Equip!C30</f>
        <v>0</v>
      </c>
      <c r="E737" s="20" t="n">
        <f aca="false">Equip!D30</f>
        <v>0</v>
      </c>
      <c r="F737" s="20" t="n">
        <f aca="false">Equip!E30</f>
        <v>0</v>
      </c>
      <c r="G737" s="20" t="n">
        <f aca="false">Equip!F30</f>
        <v>0.05</v>
      </c>
      <c r="H737" s="20" t="n">
        <f aca="false">Equip!G30</f>
        <v>0.15</v>
      </c>
      <c r="I737" s="12" t="s">
        <v>4009</v>
      </c>
    </row>
    <row r="738" customFormat="false" ht="17.15" hidden="false" customHeight="false" outlineLevel="0" collapsed="false">
      <c r="A738" s="0" t="s">
        <v>4010</v>
      </c>
      <c r="B738" s="6" t="s">
        <v>4011</v>
      </c>
      <c r="C738" s="0" t="s">
        <v>60</v>
      </c>
      <c r="D738" s="20" t="n">
        <f aca="false">Equip!C31</f>
        <v>0</v>
      </c>
      <c r="E738" s="20" t="n">
        <f aca="false">Equip!D31</f>
        <v>0</v>
      </c>
      <c r="F738" s="20" t="n">
        <f aca="false">Equip!E31</f>
        <v>0</v>
      </c>
      <c r="G738" s="20" t="n">
        <f aca="false">Equip!F31</f>
        <v>0</v>
      </c>
      <c r="H738" s="20" t="n">
        <f aca="false">Equip!G31</f>
        <v>0.05</v>
      </c>
      <c r="I738" s="12" t="s">
        <v>4012</v>
      </c>
    </row>
    <row r="740" customFormat="false" ht="17.15" hidden="false" customHeight="false" outlineLevel="0" collapsed="false">
      <c r="A740" s="10" t="s">
        <v>4013</v>
      </c>
    </row>
    <row r="741" customFormat="false" ht="17.15" hidden="false" customHeight="false" outlineLevel="0" collapsed="false">
      <c r="A741" s="0" t="s">
        <v>4014</v>
      </c>
      <c r="B741" s="6" t="s">
        <v>4015</v>
      </c>
      <c r="C741" s="0" t="s">
        <v>60</v>
      </c>
      <c r="E741" s="20" t="n">
        <f aca="false">ShareTbl!D75</f>
        <v>0.657628417556847</v>
      </c>
      <c r="F741" s="20" t="n">
        <f aca="false">ShareTbl!E75</f>
        <v>0.655617074323022</v>
      </c>
      <c r="G741" s="20" t="n">
        <f aca="false">ShareTbl!F75</f>
        <v>0.645670692267188</v>
      </c>
      <c r="H741" s="20" t="n">
        <f aca="false">ShareTbl!G75</f>
        <v>0.635724310211354</v>
      </c>
      <c r="I741" s="12" t="s">
        <v>4016</v>
      </c>
    </row>
    <row r="742" customFormat="false" ht="17.15" hidden="false" customHeight="false" outlineLevel="0" collapsed="false">
      <c r="A742" s="0" t="s">
        <v>4017</v>
      </c>
      <c r="B742" s="6" t="s">
        <v>4018</v>
      </c>
      <c r="C742" s="0" t="s">
        <v>60</v>
      </c>
      <c r="E742" s="20" t="n">
        <f aca="false">ShareTbl!D81</f>
        <v>0.657628417556847</v>
      </c>
      <c r="F742" s="20" t="n">
        <f aca="false">ShareTbl!E81</f>
        <v>0.632746996679005</v>
      </c>
      <c r="G742" s="20" t="n">
        <f aca="false">ShareTbl!F81</f>
        <v>0.606865575801162</v>
      </c>
      <c r="H742" s="20" t="n">
        <f aca="false">ShareTbl!G81</f>
        <v>0.58398415492332</v>
      </c>
      <c r="I742" s="12" t="s">
        <v>4019</v>
      </c>
    </row>
    <row r="743" customFormat="false" ht="17.15" hidden="false" customHeight="false" outlineLevel="0" collapsed="false">
      <c r="A743" s="0" t="s">
        <v>4020</v>
      </c>
      <c r="B743" s="6" t="s">
        <v>4021</v>
      </c>
      <c r="C743" s="0" t="s">
        <v>60</v>
      </c>
      <c r="E743" s="20" t="n">
        <f aca="false">ShareTbl!D87</f>
        <v>0.657628417556847</v>
      </c>
      <c r="F743" s="20" t="n">
        <f aca="false">ShareTbl!E87</f>
        <v>0.611876919034988</v>
      </c>
      <c r="G743" s="20" t="n">
        <f aca="false">ShareTbl!F87</f>
        <v>0.574060459335137</v>
      </c>
      <c r="H743" s="20" t="n">
        <f aca="false">ShareTbl!G87</f>
        <v>0.545179038457294</v>
      </c>
      <c r="I743" s="12" t="s">
        <v>4022</v>
      </c>
    </row>
    <row r="745" customFormat="false" ht="17.15" hidden="false" customHeight="false" outlineLevel="0" collapsed="false">
      <c r="A745" s="10" t="s">
        <v>4023</v>
      </c>
    </row>
    <row r="746" customFormat="false" ht="17.15" hidden="false" customHeight="false" outlineLevel="0" collapsed="false">
      <c r="A746" s="0" t="s">
        <v>4024</v>
      </c>
      <c r="B746" s="0" t="s">
        <v>4025</v>
      </c>
      <c r="C746" s="0" t="s">
        <v>60</v>
      </c>
      <c r="D746" s="20" t="n">
        <f aca="false">ShareTbl!D98</f>
        <v>0.96</v>
      </c>
      <c r="E746" s="20" t="n">
        <f aca="false">ShareTbl!E98</f>
        <v>1</v>
      </c>
      <c r="F746" s="20" t="n">
        <f aca="false">ShareTbl!F98</f>
        <v>1</v>
      </c>
      <c r="G746" s="20" t="n">
        <f aca="false">ShareTbl!G98</f>
        <v>1</v>
      </c>
      <c r="H746" s="20" t="n">
        <f aca="false">ShareTbl!H98</f>
        <v>1</v>
      </c>
      <c r="I746" s="12" t="s">
        <v>4026</v>
      </c>
    </row>
    <row r="748" customFormat="false" ht="17.15" hidden="false" customHeight="false" outlineLevel="0" collapsed="false">
      <c r="A748" s="10" t="s">
        <v>4027</v>
      </c>
    </row>
    <row r="749" customFormat="false" ht="17.15" hidden="false" customHeight="false" outlineLevel="0" collapsed="false">
      <c r="A749" s="0" t="s">
        <v>4028</v>
      </c>
      <c r="B749" s="6" t="s">
        <v>4029</v>
      </c>
      <c r="C749" s="0" t="s">
        <v>60</v>
      </c>
      <c r="E749" s="20" t="n">
        <f aca="false">ShareTbl!D58</f>
        <v>0.759815255723819</v>
      </c>
      <c r="F749" s="20" t="n">
        <f aca="false">ShareTbl!E58</f>
        <v>0.748245990386685</v>
      </c>
      <c r="G749" s="20" t="n">
        <f aca="false">ShareTbl!F58</f>
        <v>0.736676725049551</v>
      </c>
      <c r="H749" s="20" t="n">
        <f aca="false">ShareTbl!G58</f>
        <v>0.716300293896065</v>
      </c>
      <c r="I749" s="12" t="s">
        <v>4030</v>
      </c>
    </row>
    <row r="750" customFormat="false" ht="17.15" hidden="false" customHeight="false" outlineLevel="0" collapsed="false">
      <c r="A750" s="0" t="s">
        <v>4031</v>
      </c>
      <c r="B750" s="6" t="s">
        <v>4032</v>
      </c>
      <c r="C750" s="0" t="s">
        <v>60</v>
      </c>
      <c r="E750" s="20" t="n">
        <f aca="false">ShareTbl!D63</f>
        <v>0.759815255723819</v>
      </c>
      <c r="F750" s="20" t="n">
        <f aca="false">ShareTbl!E63</f>
        <v>0.73063165875398</v>
      </c>
      <c r="G750" s="20" t="n">
        <f aca="false">ShareTbl!F63</f>
        <v>0.701448061784142</v>
      </c>
      <c r="H750" s="20" t="n">
        <f aca="false">ShareTbl!G63</f>
        <v>0.672264464814303</v>
      </c>
      <c r="I750" s="12" t="s">
        <v>4033</v>
      </c>
    </row>
    <row r="751" customFormat="false" ht="17.15" hidden="false" customHeight="false" outlineLevel="0" collapsed="false">
      <c r="A751" s="0" t="s">
        <v>4034</v>
      </c>
      <c r="B751" s="6" t="s">
        <v>4035</v>
      </c>
      <c r="C751" s="0" t="s">
        <v>60</v>
      </c>
      <c r="E751" s="20" t="n">
        <f aca="false">ShareTbl!D68</f>
        <v>0.759815255723819</v>
      </c>
      <c r="F751" s="20" t="n">
        <f aca="false">ShareTbl!E68</f>
        <v>0.704210161304923</v>
      </c>
      <c r="G751" s="20" t="n">
        <f aca="false">ShareTbl!F68</f>
        <v>0.666219398518733</v>
      </c>
      <c r="H751" s="20" t="n">
        <f aca="false">ShareTbl!G68</f>
        <v>0.628228635732542</v>
      </c>
      <c r="I751" s="12" t="s">
        <v>4036</v>
      </c>
    </row>
    <row r="753" customFormat="false" ht="17.15" hidden="false" customHeight="false" outlineLevel="0" collapsed="false">
      <c r="A753" s="10" t="s">
        <v>4037</v>
      </c>
    </row>
    <row r="754" customFormat="false" ht="15" hidden="false" customHeight="false" outlineLevel="0" collapsed="false">
      <c r="A754" s="4" t="s">
        <v>24</v>
      </c>
      <c r="B754" s="4" t="s">
        <v>48</v>
      </c>
      <c r="C754" s="4" t="s">
        <v>49</v>
      </c>
      <c r="D754" s="4" t="s">
        <v>50</v>
      </c>
      <c r="E754" s="4" t="s">
        <v>51</v>
      </c>
      <c r="F754" s="4" t="s">
        <v>52</v>
      </c>
      <c r="G754" s="4"/>
      <c r="H754" s="4" t="s">
        <v>3091</v>
      </c>
    </row>
    <row r="755" customFormat="false" ht="17.15" hidden="false" customHeight="false" outlineLevel="0" collapsed="false">
      <c r="A755" s="0" t="s">
        <v>4038</v>
      </c>
      <c r="B755" s="6" t="s">
        <v>4039</v>
      </c>
      <c r="C755" s="6" t="s">
        <v>2707</v>
      </c>
      <c r="D755" s="35" t="n">
        <f aca="false">IF(ISBLANK(TK_In!D5),"",TK_In!D5)</f>
        <v>22439</v>
      </c>
      <c r="E755" s="35" t="n">
        <f aca="false">IF(ISBLANK(TK_In!E5),"",TK_In!E5)</f>
        <v>22439</v>
      </c>
      <c r="F755" s="35" t="n">
        <f aca="false">IF(ISBLANK(TK_In!F5),"",TK_In!F5)</f>
        <v>22439</v>
      </c>
      <c r="H755" s="12" t="s">
        <v>4040</v>
      </c>
    </row>
    <row r="756" customFormat="false" ht="17.15" hidden="false" customHeight="false" outlineLevel="0" collapsed="false">
      <c r="A756" s="0" t="s">
        <v>4041</v>
      </c>
      <c r="B756" s="6" t="s">
        <v>4042</v>
      </c>
      <c r="C756" s="6" t="s">
        <v>2707</v>
      </c>
      <c r="D756" s="35" t="n">
        <f aca="false">IF(ISBLANK(TK_In!D6),"",TK_In!D6)</f>
        <v>6969</v>
      </c>
      <c r="E756" s="35" t="n">
        <f aca="false">IF(ISBLANK(TK_In!E6),"",TK_In!E6)</f>
        <v>6969</v>
      </c>
      <c r="F756" s="35" t="n">
        <f aca="false">IF(ISBLANK(TK_In!F6),"",TK_In!F6)</f>
        <v>6969</v>
      </c>
      <c r="H756" s="12" t="s">
        <v>4043</v>
      </c>
    </row>
    <row r="757" customFormat="false" ht="17.15" hidden="false" customHeight="false" outlineLevel="0" collapsed="false">
      <c r="A757" s="0" t="s">
        <v>4044</v>
      </c>
      <c r="B757" s="6" t="s">
        <v>4045</v>
      </c>
      <c r="C757" s="6" t="s">
        <v>2707</v>
      </c>
      <c r="D757" s="35" t="n">
        <f aca="false">IF(ISBLANK(TK_In!D7),"",TK_In!D7)</f>
        <v>6764</v>
      </c>
      <c r="E757" s="35" t="n">
        <f aca="false">IF(ISBLANK(TK_In!E7),"",TK_In!E7)</f>
        <v>6764</v>
      </c>
      <c r="F757" s="35" t="n">
        <f aca="false">IF(ISBLANK(TK_In!F7),"",TK_In!F7)</f>
        <v>6764</v>
      </c>
      <c r="H757" s="12" t="s">
        <v>4046</v>
      </c>
    </row>
    <row r="758" customFormat="false" ht="17.15" hidden="false" customHeight="false" outlineLevel="0" collapsed="false">
      <c r="A758" s="0" t="s">
        <v>4047</v>
      </c>
      <c r="B758" s="6" t="s">
        <v>4048</v>
      </c>
      <c r="C758" s="6" t="s">
        <v>2707</v>
      </c>
      <c r="D758" s="35" t="n">
        <f aca="false">IF(ISBLANK(TK_In!D8),"",TK_In!D8)</f>
        <v>4052</v>
      </c>
      <c r="E758" s="35" t="n">
        <f aca="false">IF(ISBLANK(TK_In!E8),"",TK_In!E8)</f>
        <v>4052</v>
      </c>
      <c r="F758" s="35" t="n">
        <f aca="false">IF(ISBLANK(TK_In!F8),"",TK_In!F8)</f>
        <v>4052</v>
      </c>
      <c r="H758" s="12" t="s">
        <v>4049</v>
      </c>
    </row>
    <row r="759" customFormat="false" ht="17.15" hidden="false" customHeight="false" outlineLevel="0" collapsed="false">
      <c r="A759" s="0" t="s">
        <v>4050</v>
      </c>
      <c r="B759" s="6" t="s">
        <v>4051</v>
      </c>
      <c r="C759" s="6" t="s">
        <v>2707</v>
      </c>
      <c r="D759" s="35" t="n">
        <f aca="false">IF(ISBLANK(TK_In!D9),"",TK_In!D9)</f>
        <v>2705</v>
      </c>
      <c r="E759" s="35" t="n">
        <f aca="false">IF(ISBLANK(TK_In!E9),"",TK_In!E9)</f>
        <v>2705</v>
      </c>
      <c r="F759" s="35" t="n">
        <f aca="false">IF(ISBLANK(TK_In!F9),"",TK_In!F9)</f>
        <v>2705</v>
      </c>
      <c r="H759" s="12" t="s">
        <v>4052</v>
      </c>
    </row>
    <row r="760" customFormat="false" ht="17.15" hidden="false" customHeight="false" outlineLevel="0" collapsed="false">
      <c r="A760" s="0" t="s">
        <v>4053</v>
      </c>
      <c r="B760" s="6" t="s">
        <v>4054</v>
      </c>
      <c r="C760" s="6" t="s">
        <v>2720</v>
      </c>
      <c r="D760" s="35" t="n">
        <f aca="false">IF(ISBLANK(TK_In!D10),"",TK_In!D10)</f>
        <v>718048</v>
      </c>
      <c r="E760" s="35" t="n">
        <f aca="false">IF(ISBLANK(TK_In!E10),"",TK_In!E10)</f>
        <v>718048</v>
      </c>
      <c r="F760" s="35" t="n">
        <f aca="false">IF(ISBLANK(TK_In!F10),"",TK_In!F10)</f>
        <v>718048</v>
      </c>
      <c r="H760" s="12" t="s">
        <v>4055</v>
      </c>
    </row>
    <row r="761" customFormat="false" ht="17.15" hidden="false" customHeight="false" outlineLevel="0" collapsed="false">
      <c r="A761" s="0" t="s">
        <v>4056</v>
      </c>
      <c r="B761" s="6" t="s">
        <v>4057</v>
      </c>
      <c r="C761" s="6" t="s">
        <v>2720</v>
      </c>
      <c r="D761" s="35" t="n">
        <f aca="false">IF(ISBLANK(TK_In!D11),"",TK_In!D11)</f>
        <v>501768</v>
      </c>
      <c r="E761" s="35" t="n">
        <f aca="false">IF(ISBLANK(TK_In!E11),"",TK_In!E11)</f>
        <v>501768</v>
      </c>
      <c r="F761" s="35" t="n">
        <f aca="false">IF(ISBLANK(TK_In!F11),"",TK_In!F11)</f>
        <v>501768</v>
      </c>
      <c r="H761" s="12" t="s">
        <v>4058</v>
      </c>
    </row>
    <row r="762" customFormat="false" ht="17.15" hidden="false" customHeight="false" outlineLevel="0" collapsed="false">
      <c r="A762" s="0" t="s">
        <v>4059</v>
      </c>
      <c r="B762" s="6" t="s">
        <v>4060</v>
      </c>
      <c r="C762" s="6" t="s">
        <v>2720</v>
      </c>
      <c r="D762" s="35" t="n">
        <f aca="false">IF(ISBLANK(TK_In!D12),"",TK_In!D12)</f>
        <v>487008</v>
      </c>
      <c r="E762" s="35" t="n">
        <f aca="false">IF(ISBLANK(TK_In!E12),"",TK_In!E12)</f>
        <v>487008</v>
      </c>
      <c r="F762" s="35" t="n">
        <f aca="false">IF(ISBLANK(TK_In!F12),"",TK_In!F12)</f>
        <v>487008</v>
      </c>
      <c r="H762" s="12" t="s">
        <v>4061</v>
      </c>
    </row>
    <row r="763" customFormat="false" ht="17.15" hidden="false" customHeight="false" outlineLevel="0" collapsed="false">
      <c r="A763" s="0" t="s">
        <v>4062</v>
      </c>
      <c r="B763" s="6" t="s">
        <v>4063</v>
      </c>
      <c r="C763" s="6" t="s">
        <v>2720</v>
      </c>
      <c r="D763" s="35" t="n">
        <f aca="false">IF(ISBLANK(TK_In!D13),"",TK_In!D13)</f>
        <v>291744</v>
      </c>
      <c r="E763" s="35" t="n">
        <f aca="false">IF(ISBLANK(TK_In!E13),"",TK_In!E13)</f>
        <v>291744</v>
      </c>
      <c r="F763" s="35" t="n">
        <f aca="false">IF(ISBLANK(TK_In!F13),"",TK_In!F13)</f>
        <v>291744</v>
      </c>
      <c r="H763" s="12" t="s">
        <v>4064</v>
      </c>
    </row>
    <row r="764" customFormat="false" ht="17.15" hidden="false" customHeight="false" outlineLevel="0" collapsed="false">
      <c r="A764" s="0" t="s">
        <v>4065</v>
      </c>
      <c r="B764" s="6" t="s">
        <v>4066</v>
      </c>
      <c r="C764" s="6" t="s">
        <v>2720</v>
      </c>
      <c r="D764" s="35" t="n">
        <f aca="false">IF(ISBLANK(TK_In!D14),"",TK_In!D14)</f>
        <v>194760</v>
      </c>
      <c r="E764" s="35" t="n">
        <f aca="false">IF(ISBLANK(TK_In!E14),"",TK_In!E14)</f>
        <v>194760</v>
      </c>
      <c r="F764" s="35" t="n">
        <f aca="false">IF(ISBLANK(TK_In!F14),"",TK_In!F14)</f>
        <v>194760</v>
      </c>
      <c r="H764" s="12" t="s">
        <v>4067</v>
      </c>
    </row>
    <row r="765" customFormat="false" ht="17.15" hidden="false" customHeight="false" outlineLevel="0" collapsed="false">
      <c r="A765" s="0" t="s">
        <v>4068</v>
      </c>
      <c r="B765" s="6" t="s">
        <v>4069</v>
      </c>
      <c r="C765" s="0" t="s">
        <v>511</v>
      </c>
      <c r="D765" s="35" t="n">
        <f aca="false">IF(ISBLANK(TK_In!D15),"",TK_In!D15)</f>
        <v>21.4202694</v>
      </c>
      <c r="E765" s="35" t="n">
        <f aca="false">IF(ISBLANK(TK_In!E15),"",TK_In!E15)</f>
        <v>27.510214</v>
      </c>
      <c r="F765" s="35" t="n">
        <f aca="false">IF(ISBLANK(TK_In!F15),"",TK_In!F15)</f>
        <v>34.1207434</v>
      </c>
      <c r="H765" s="12" t="s">
        <v>4070</v>
      </c>
    </row>
    <row r="766" customFormat="false" ht="17.15" hidden="false" customHeight="false" outlineLevel="0" collapsed="false">
      <c r="A766" s="0" t="s">
        <v>4071</v>
      </c>
      <c r="B766" s="6" t="s">
        <v>4072</v>
      </c>
      <c r="C766" s="0" t="s">
        <v>511</v>
      </c>
      <c r="D766" s="35" t="n">
        <f aca="false">IF(ISBLANK(TK_In!D16),"",TK_In!D16)</f>
        <v>20.6393904</v>
      </c>
      <c r="E766" s="35" t="n">
        <f aca="false">IF(ISBLANK(TK_In!E16),"",TK_In!E16)</f>
        <v>24.015174</v>
      </c>
      <c r="F766" s="35" t="n">
        <f aca="false">IF(ISBLANK(TK_In!F16),"",TK_In!F16)</f>
        <v>27.6502044</v>
      </c>
      <c r="H766" s="12" t="s">
        <v>4073</v>
      </c>
    </row>
    <row r="767" customFormat="false" ht="17.15" hidden="false" customHeight="false" outlineLevel="0" collapsed="false">
      <c r="A767" s="0" t="s">
        <v>4074</v>
      </c>
      <c r="B767" s="6" t="s">
        <v>4075</v>
      </c>
      <c r="C767" s="0" t="s">
        <v>511</v>
      </c>
      <c r="D767" s="35" t="n">
        <f aca="false">IF(ISBLANK(TK_In!D17),"",TK_In!D17)</f>
        <v>28.5549024</v>
      </c>
      <c r="E767" s="35" t="n">
        <f aca="false">IF(ISBLANK(TK_In!E17),"",TK_In!E17)</f>
        <v>32.237224</v>
      </c>
      <c r="F767" s="35" t="n">
        <f aca="false">IF(ISBLANK(TK_In!F17),"",TK_In!F17)</f>
        <v>39.2826064</v>
      </c>
      <c r="H767" s="12" t="s">
        <v>4076</v>
      </c>
    </row>
    <row r="768" customFormat="false" ht="17.15" hidden="false" customHeight="false" outlineLevel="0" collapsed="false">
      <c r="A768" s="0" t="s">
        <v>4077</v>
      </c>
      <c r="B768" s="6" t="s">
        <v>4078</v>
      </c>
      <c r="C768" s="0" t="s">
        <v>511</v>
      </c>
      <c r="D768" s="35" t="n">
        <f aca="false">IF(ISBLANK(TK_In!D18),"",TK_In!D18)</f>
        <v>31.9970232</v>
      </c>
      <c r="E768" s="35" t="n">
        <f aca="false">IF(ISBLANK(TK_In!E18),"",TK_In!E18)</f>
        <v>37.586352</v>
      </c>
      <c r="F768" s="35" t="n">
        <f aca="false">IF(ISBLANK(TK_In!F18),"",TK_In!F18)</f>
        <v>42.6375752</v>
      </c>
      <c r="H768" s="12" t="s">
        <v>4079</v>
      </c>
    </row>
    <row r="769" customFormat="false" ht="17.15" hidden="false" customHeight="false" outlineLevel="0" collapsed="false">
      <c r="A769" s="0" t="s">
        <v>4080</v>
      </c>
      <c r="B769" s="6" t="s">
        <v>4081</v>
      </c>
      <c r="C769" s="0" t="s">
        <v>511</v>
      </c>
      <c r="D769" s="35" t="n">
        <f aca="false">IF(ISBLANK(TK_In!D19),"",TK_In!D19)</f>
        <v>35.845578</v>
      </c>
      <c r="E769" s="35" t="n">
        <f aca="false">IF(ISBLANK(TK_In!E19),"",TK_In!E19)</f>
        <v>50.08578</v>
      </c>
      <c r="F769" s="35" t="n">
        <f aca="false">IF(ISBLANK(TK_In!F19),"",TK_In!F19)</f>
        <v>65.481558</v>
      </c>
      <c r="H769" s="12" t="s">
        <v>4082</v>
      </c>
    </row>
    <row r="770" customFormat="false" ht="17.15" hidden="false" customHeight="false" outlineLevel="0" collapsed="false">
      <c r="A770" s="0" t="s">
        <v>4083</v>
      </c>
      <c r="B770" s="6" t="s">
        <v>4084</v>
      </c>
      <c r="C770" s="0" t="s">
        <v>511</v>
      </c>
      <c r="D770" s="35" t="n">
        <f aca="false">IF(ISBLANK(TK_In!D20),"",TK_In!D20)</f>
        <v>10.212</v>
      </c>
      <c r="E770" s="35" t="n">
        <f aca="false">IF(ISBLANK(TK_In!E20),"",TK_In!E20)</f>
        <v>12.67</v>
      </c>
      <c r="F770" s="35" t="n">
        <f aca="false">IF(ISBLANK(TK_In!F20),"",TK_In!F20)</f>
        <v>16.186</v>
      </c>
      <c r="H770" s="12" t="s">
        <v>4085</v>
      </c>
    </row>
    <row r="771" customFormat="false" ht="17.15" hidden="false" customHeight="false" outlineLevel="0" collapsed="false">
      <c r="A771" s="0" t="s">
        <v>4086</v>
      </c>
      <c r="B771" s="6" t="s">
        <v>4087</v>
      </c>
      <c r="C771" s="0" t="s">
        <v>511</v>
      </c>
      <c r="D771" s="35" t="n">
        <f aca="false">IF(ISBLANK(TK_In!D21),"",TK_In!D21)</f>
        <v>10.212</v>
      </c>
      <c r="E771" s="35" t="n">
        <f aca="false">IF(ISBLANK(TK_In!E21),"",TK_In!E21)</f>
        <v>12.67</v>
      </c>
      <c r="F771" s="35" t="n">
        <f aca="false">IF(ISBLANK(TK_In!F21),"",TK_In!F21)</f>
        <v>16.186</v>
      </c>
      <c r="H771" s="12" t="s">
        <v>4088</v>
      </c>
    </row>
    <row r="772" customFormat="false" ht="17.15" hidden="false" customHeight="false" outlineLevel="0" collapsed="false">
      <c r="A772" s="0" t="s">
        <v>4089</v>
      </c>
      <c r="B772" s="6" t="s">
        <v>4090</v>
      </c>
      <c r="C772" s="0" t="s">
        <v>511</v>
      </c>
      <c r="D772" s="35" t="n">
        <f aca="false">IF(ISBLANK(TK_In!D22),"",TK_In!D22)</f>
        <v>10.212</v>
      </c>
      <c r="E772" s="35" t="n">
        <f aca="false">IF(ISBLANK(TK_In!E22),"",TK_In!E22)</f>
        <v>12.67</v>
      </c>
      <c r="F772" s="35" t="n">
        <f aca="false">IF(ISBLANK(TK_In!F22),"",TK_In!F22)</f>
        <v>16.186</v>
      </c>
      <c r="H772" s="12" t="s">
        <v>4091</v>
      </c>
    </row>
    <row r="773" customFormat="false" ht="17.15" hidden="false" customHeight="false" outlineLevel="0" collapsed="false">
      <c r="A773" s="0" t="s">
        <v>4092</v>
      </c>
      <c r="B773" s="6" t="s">
        <v>4093</v>
      </c>
      <c r="C773" s="0" t="s">
        <v>511</v>
      </c>
      <c r="D773" s="35" t="n">
        <f aca="false">IF(ISBLANK(TK_In!D23),"",TK_In!D23)</f>
        <v>10.212</v>
      </c>
      <c r="E773" s="35" t="n">
        <f aca="false">IF(ISBLANK(TK_In!E23),"",TK_In!E23)</f>
        <v>12.67</v>
      </c>
      <c r="F773" s="35" t="n">
        <f aca="false">IF(ISBLANK(TK_In!F23),"",TK_In!F23)</f>
        <v>16.186</v>
      </c>
      <c r="H773" s="12" t="s">
        <v>4094</v>
      </c>
    </row>
    <row r="774" customFormat="false" ht="17.15" hidden="false" customHeight="false" outlineLevel="0" collapsed="false">
      <c r="A774" s="0" t="s">
        <v>4095</v>
      </c>
      <c r="B774" s="6" t="s">
        <v>4096</v>
      </c>
      <c r="C774" s="0" t="s">
        <v>511</v>
      </c>
      <c r="D774" s="35" t="n">
        <f aca="false">IF(ISBLANK(TK_In!D24),"",TK_In!D24)</f>
        <v>10.212</v>
      </c>
      <c r="E774" s="35" t="n">
        <f aca="false">IF(ISBLANK(TK_In!E24),"",TK_In!E24)</f>
        <v>12.67</v>
      </c>
      <c r="F774" s="35" t="n">
        <f aca="false">IF(ISBLANK(TK_In!F24),"",TK_In!F24)</f>
        <v>16.186</v>
      </c>
      <c r="H774" s="12" t="s">
        <v>4097</v>
      </c>
    </row>
    <row r="775" customFormat="false" ht="17.15" hidden="false" customHeight="false" outlineLevel="0" collapsed="false">
      <c r="A775" s="0" t="s">
        <v>4098</v>
      </c>
      <c r="B775" s="6" t="s">
        <v>4099</v>
      </c>
      <c r="C775" s="0" t="s">
        <v>511</v>
      </c>
      <c r="D775" s="35" t="n">
        <f aca="false">IF(ISBLANK(TK_In!D25),"",TK_In!D25)</f>
        <v>31.6322694</v>
      </c>
      <c r="E775" s="35" t="n">
        <f aca="false">IF(ISBLANK(TK_In!E25),"",TK_In!E25)</f>
        <v>40.180214</v>
      </c>
      <c r="F775" s="35" t="n">
        <f aca="false">IF(ISBLANK(TK_In!F25),"",TK_In!F25)</f>
        <v>50.3067434</v>
      </c>
      <c r="H775" s="12" t="s">
        <v>4100</v>
      </c>
    </row>
    <row r="776" customFormat="false" ht="17.15" hidden="false" customHeight="false" outlineLevel="0" collapsed="false">
      <c r="A776" s="0" t="s">
        <v>4101</v>
      </c>
      <c r="B776" s="6" t="s">
        <v>4102</v>
      </c>
      <c r="C776" s="0" t="s">
        <v>511</v>
      </c>
      <c r="D776" s="35" t="n">
        <f aca="false">IF(ISBLANK(TK_In!D26),"",TK_In!D26)</f>
        <v>30.8513904</v>
      </c>
      <c r="E776" s="35" t="n">
        <f aca="false">IF(ISBLANK(TK_In!E26),"",TK_In!E26)</f>
        <v>36.685174</v>
      </c>
      <c r="F776" s="35" t="n">
        <f aca="false">IF(ISBLANK(TK_In!F26),"",TK_In!F26)</f>
        <v>43.8362044</v>
      </c>
      <c r="H776" s="12" t="s">
        <v>4103</v>
      </c>
    </row>
    <row r="777" customFormat="false" ht="17.15" hidden="false" customHeight="false" outlineLevel="0" collapsed="false">
      <c r="A777" s="0" t="s">
        <v>4104</v>
      </c>
      <c r="B777" s="6" t="s">
        <v>4105</v>
      </c>
      <c r="C777" s="0" t="s">
        <v>511</v>
      </c>
      <c r="D777" s="35" t="n">
        <f aca="false">IF(ISBLANK(TK_In!D27),"",TK_In!D27)</f>
        <v>38.7669024</v>
      </c>
      <c r="E777" s="35" t="n">
        <f aca="false">IF(ISBLANK(TK_In!E27),"",TK_In!E27)</f>
        <v>44.907224</v>
      </c>
      <c r="F777" s="35" t="n">
        <f aca="false">IF(ISBLANK(TK_In!F27),"",TK_In!F27)</f>
        <v>55.4686064</v>
      </c>
      <c r="H777" s="12" t="s">
        <v>4106</v>
      </c>
    </row>
    <row r="778" customFormat="false" ht="17.15" hidden="false" customHeight="false" outlineLevel="0" collapsed="false">
      <c r="A778" s="0" t="s">
        <v>4107</v>
      </c>
      <c r="B778" s="6" t="s">
        <v>4108</v>
      </c>
      <c r="C778" s="0" t="s">
        <v>511</v>
      </c>
      <c r="D778" s="35" t="n">
        <f aca="false">IF(ISBLANK(TK_In!D28),"",TK_In!D28)</f>
        <v>42.2090232</v>
      </c>
      <c r="E778" s="35" t="n">
        <f aca="false">IF(ISBLANK(TK_In!E28),"",TK_In!E28)</f>
        <v>50.256352</v>
      </c>
      <c r="F778" s="35" t="n">
        <f aca="false">IF(ISBLANK(TK_In!F28),"",TK_In!F28)</f>
        <v>58.8235752</v>
      </c>
      <c r="H778" s="12" t="s">
        <v>4109</v>
      </c>
    </row>
    <row r="779" customFormat="false" ht="17.15" hidden="false" customHeight="false" outlineLevel="0" collapsed="false">
      <c r="A779" s="0" t="s">
        <v>4110</v>
      </c>
      <c r="B779" s="6" t="s">
        <v>4111</v>
      </c>
      <c r="C779" s="0" t="s">
        <v>511</v>
      </c>
      <c r="D779" s="35" t="n">
        <f aca="false">IF(ISBLANK(TK_In!D29),"",TK_In!D29)</f>
        <v>46.057578</v>
      </c>
      <c r="E779" s="35" t="n">
        <f aca="false">IF(ISBLANK(TK_In!E29),"",TK_In!E29)</f>
        <v>62.75578</v>
      </c>
      <c r="F779" s="35" t="n">
        <f aca="false">IF(ISBLANK(TK_In!F29),"",TK_In!F29)</f>
        <v>81.667558</v>
      </c>
      <c r="H779" s="12" t="s">
        <v>4112</v>
      </c>
    </row>
    <row r="780" customFormat="false" ht="17.15" hidden="false" customHeight="false" outlineLevel="0" collapsed="false">
      <c r="A780" s="0" t="s">
        <v>4113</v>
      </c>
      <c r="B780" s="6" t="s">
        <v>4114</v>
      </c>
      <c r="C780" s="0" t="s">
        <v>2751</v>
      </c>
      <c r="D780" s="35" t="n">
        <f aca="false">IF(ISBLANK(TK_In!D30),"",TK_In!D30)</f>
        <v>0.9</v>
      </c>
      <c r="E780" s="35" t="n">
        <f aca="false">IF(ISBLANK(TK_In!E30),"",TK_In!E30)</f>
        <v>1.1</v>
      </c>
      <c r="F780" s="35" t="n">
        <f aca="false">IF(ISBLANK(TK_In!F30),"",TK_In!F30)</f>
        <v>1.3</v>
      </c>
      <c r="H780" s="12" t="s">
        <v>4115</v>
      </c>
    </row>
    <row r="781" customFormat="false" ht="17.15" hidden="false" customHeight="false" outlineLevel="0" collapsed="false">
      <c r="A781" s="0" t="s">
        <v>4116</v>
      </c>
      <c r="B781" s="6" t="s">
        <v>4117</v>
      </c>
      <c r="C781" s="0" t="s">
        <v>2751</v>
      </c>
      <c r="D781" s="35" t="n">
        <f aca="false">IF(ISBLANK(TK_In!D31),"",TK_In!D31)</f>
        <v>2.8</v>
      </c>
      <c r="E781" s="35" t="n">
        <f aca="false">IF(ISBLANK(TK_In!E31),"",TK_In!E31)</f>
        <v>3.1</v>
      </c>
      <c r="F781" s="35" t="n">
        <f aca="false">IF(ISBLANK(TK_In!F31),"",TK_In!F31)</f>
        <v>3.4</v>
      </c>
      <c r="H781" s="12" t="s">
        <v>4118</v>
      </c>
    </row>
    <row r="782" customFormat="false" ht="17.15" hidden="false" customHeight="false" outlineLevel="0" collapsed="false">
      <c r="A782" s="0" t="s">
        <v>4119</v>
      </c>
      <c r="B782" s="6" t="s">
        <v>4120</v>
      </c>
      <c r="C782" s="0" t="s">
        <v>2751</v>
      </c>
      <c r="D782" s="35" t="n">
        <f aca="false">IF(ISBLANK(TK_In!D32),"",TK_In!D32)</f>
        <v>4</v>
      </c>
      <c r="E782" s="35" t="n">
        <f aca="false">IF(ISBLANK(TK_In!E32),"",TK_In!E32)</f>
        <v>4.3</v>
      </c>
      <c r="F782" s="35" t="n">
        <f aca="false">IF(ISBLANK(TK_In!F32),"",TK_In!F32)</f>
        <v>5</v>
      </c>
      <c r="H782" s="12" t="s">
        <v>4121</v>
      </c>
    </row>
    <row r="783" customFormat="false" ht="17.15" hidden="false" customHeight="false" outlineLevel="0" collapsed="false">
      <c r="A783" s="0" t="s">
        <v>4122</v>
      </c>
      <c r="B783" s="6" t="s">
        <v>4123</v>
      </c>
      <c r="C783" s="0" t="s">
        <v>2751</v>
      </c>
      <c r="D783" s="35" t="n">
        <f aca="false">IF(ISBLANK(TK_In!D33),"",TK_In!D33)</f>
        <v>7.5</v>
      </c>
      <c r="E783" s="35" t="n">
        <f aca="false">IF(ISBLANK(TK_In!E33),"",TK_In!E33)</f>
        <v>8.4</v>
      </c>
      <c r="F783" s="35" t="n">
        <f aca="false">IF(ISBLANK(TK_In!F33),"",TK_In!F33)</f>
        <v>9.1</v>
      </c>
      <c r="H783" s="12" t="s">
        <v>4124</v>
      </c>
    </row>
    <row r="784" customFormat="false" ht="17.15" hidden="false" customHeight="false" outlineLevel="0" collapsed="false">
      <c r="A784" s="0" t="s">
        <v>4125</v>
      </c>
      <c r="B784" s="6" t="s">
        <v>4126</v>
      </c>
      <c r="C784" s="0" t="s">
        <v>2751</v>
      </c>
      <c r="D784" s="35" t="n">
        <f aca="false">IF(ISBLANK(TK_In!D34),"",TK_In!D34)</f>
        <v>12.6</v>
      </c>
      <c r="E784" s="35" t="n">
        <f aca="false">IF(ISBLANK(TK_In!E34),"",TK_In!E34)</f>
        <v>16.8</v>
      </c>
      <c r="F784" s="35" t="n">
        <f aca="false">IF(ISBLANK(TK_In!F34),"",TK_In!F34)</f>
        <v>21</v>
      </c>
      <c r="H784" s="12" t="s">
        <v>4127</v>
      </c>
    </row>
    <row r="785" customFormat="false" ht="17.15" hidden="false" customHeight="false" outlineLevel="0" collapsed="false">
      <c r="A785" s="0" t="s">
        <v>4128</v>
      </c>
      <c r="B785" s="0" t="s">
        <v>4129</v>
      </c>
      <c r="C785" s="6" t="s">
        <v>2760</v>
      </c>
      <c r="D785" s="35" t="n">
        <f aca="false">IF(ISBLANK(TK_In!D35),"",TK_In!D35)</f>
        <v>0.05</v>
      </c>
      <c r="E785" s="35" t="n">
        <f aca="false">IF(ISBLANK(TK_In!E35),"",TK_In!E35)</f>
        <v>0.1</v>
      </c>
      <c r="F785" s="35" t="n">
        <f aca="false">IF(ISBLANK(TK_In!F35),"",TK_In!F35)</f>
        <v>0.15</v>
      </c>
      <c r="H785" s="12" t="s">
        <v>4130</v>
      </c>
    </row>
    <row r="786" customFormat="false" ht="17.15" hidden="false" customHeight="false" outlineLevel="0" collapsed="false">
      <c r="A786" s="0" t="s">
        <v>4131</v>
      </c>
      <c r="B786" s="0" t="s">
        <v>4132</v>
      </c>
      <c r="C786" s="6" t="s">
        <v>2760</v>
      </c>
      <c r="D786" s="35" t="n">
        <f aca="false">IF(ISBLANK(TK_In!D36),"",TK_In!D36)</f>
        <v>0.05</v>
      </c>
      <c r="E786" s="35" t="n">
        <f aca="false">IF(ISBLANK(TK_In!E36),"",TK_In!E36)</f>
        <v>0.1</v>
      </c>
      <c r="F786" s="35" t="n">
        <f aca="false">IF(ISBLANK(TK_In!F36),"",TK_In!F36)</f>
        <v>0.15</v>
      </c>
      <c r="H786" s="12" t="s">
        <v>4133</v>
      </c>
    </row>
    <row r="787" customFormat="false" ht="17.15" hidden="false" customHeight="false" outlineLevel="0" collapsed="false">
      <c r="A787" s="0" t="s">
        <v>4134</v>
      </c>
      <c r="B787" s="0" t="s">
        <v>4135</v>
      </c>
      <c r="C787" s="6" t="s">
        <v>2760</v>
      </c>
      <c r="D787" s="35" t="n">
        <f aca="false">IF(ISBLANK(TK_In!D37),"",TK_In!D37)</f>
        <v>0.05</v>
      </c>
      <c r="E787" s="35" t="n">
        <f aca="false">IF(ISBLANK(TK_In!E37),"",TK_In!E37)</f>
        <v>0.1</v>
      </c>
      <c r="F787" s="35" t="n">
        <f aca="false">IF(ISBLANK(TK_In!F37),"",TK_In!F37)</f>
        <v>0.15</v>
      </c>
      <c r="H787" s="12" t="s">
        <v>4136</v>
      </c>
    </row>
    <row r="788" customFormat="false" ht="17.15" hidden="false" customHeight="false" outlineLevel="0" collapsed="false">
      <c r="A788" s="0" t="s">
        <v>4137</v>
      </c>
      <c r="B788" s="0" t="s">
        <v>4138</v>
      </c>
      <c r="C788" s="6" t="s">
        <v>2760</v>
      </c>
      <c r="D788" s="35" t="n">
        <f aca="false">IF(ISBLANK(TK_In!D38),"",TK_In!D38)</f>
        <v>0.05</v>
      </c>
      <c r="E788" s="35" t="n">
        <f aca="false">IF(ISBLANK(TK_In!E38),"",TK_In!E38)</f>
        <v>0.1</v>
      </c>
      <c r="F788" s="35" t="n">
        <f aca="false">IF(ISBLANK(TK_In!F38),"",TK_In!F38)</f>
        <v>0.15</v>
      </c>
      <c r="H788" s="12" t="s">
        <v>4139</v>
      </c>
    </row>
    <row r="789" customFormat="false" ht="17.15" hidden="false" customHeight="false" outlineLevel="0" collapsed="false">
      <c r="A789" s="0" t="s">
        <v>4140</v>
      </c>
      <c r="B789" s="0" t="s">
        <v>4141</v>
      </c>
      <c r="C789" s="6" t="s">
        <v>2760</v>
      </c>
      <c r="D789" s="35" t="n">
        <f aca="false">IF(ISBLANK(TK_In!D39),"",TK_In!D39)</f>
        <v>0.05</v>
      </c>
      <c r="E789" s="35" t="n">
        <f aca="false">IF(ISBLANK(TK_In!E39),"",TK_In!E39)</f>
        <v>0.1</v>
      </c>
      <c r="F789" s="35" t="n">
        <f aca="false">IF(ISBLANK(TK_In!F39),"",TK_In!F39)</f>
        <v>0.15</v>
      </c>
      <c r="H789" s="12" t="s">
        <v>4142</v>
      </c>
    </row>
    <row r="790" customFormat="false" ht="17.15" hidden="false" customHeight="false" outlineLevel="0" collapsed="false">
      <c r="A790" s="0" t="s">
        <v>4143</v>
      </c>
      <c r="B790" s="6" t="s">
        <v>4144</v>
      </c>
      <c r="C790" s="0" t="s">
        <v>2769</v>
      </c>
      <c r="D790" s="35" t="n">
        <f aca="false">IF(ISBLANK(TK_In!D40),"",TK_In!D40)</f>
        <v>300</v>
      </c>
      <c r="E790" s="35" t="n">
        <f aca="false">IF(ISBLANK(TK_In!E40),"",TK_In!E40)</f>
        <v>500</v>
      </c>
      <c r="F790" s="35" t="n">
        <f aca="false">IF(ISBLANK(TK_In!F40),"",TK_In!F40)</f>
        <v>800</v>
      </c>
      <c r="H790" s="12" t="s">
        <v>4145</v>
      </c>
    </row>
    <row r="791" customFormat="false" ht="17.15" hidden="false" customHeight="false" outlineLevel="0" collapsed="false">
      <c r="A791" s="0" t="s">
        <v>4146</v>
      </c>
      <c r="B791" s="6" t="s">
        <v>4147</v>
      </c>
      <c r="C791" s="0" t="s">
        <v>2769</v>
      </c>
      <c r="D791" s="35" t="n">
        <f aca="false">IF(ISBLANK(TK_In!D41),"",TK_In!D41)</f>
        <v>300</v>
      </c>
      <c r="E791" s="35" t="n">
        <f aca="false">IF(ISBLANK(TK_In!E41),"",TK_In!E41)</f>
        <v>500</v>
      </c>
      <c r="F791" s="35" t="n">
        <f aca="false">IF(ISBLANK(TK_In!F41),"",TK_In!F41)</f>
        <v>800</v>
      </c>
      <c r="H791" s="12" t="s">
        <v>4148</v>
      </c>
    </row>
    <row r="792" customFormat="false" ht="17.15" hidden="false" customHeight="false" outlineLevel="0" collapsed="false">
      <c r="A792" s="0" t="s">
        <v>4149</v>
      </c>
      <c r="B792" s="6" t="s">
        <v>4150</v>
      </c>
      <c r="C792" s="0" t="s">
        <v>2769</v>
      </c>
      <c r="D792" s="35" t="n">
        <f aca="false">IF(ISBLANK(TK_In!D42),"",TK_In!D42)</f>
        <v>300</v>
      </c>
      <c r="E792" s="35" t="n">
        <f aca="false">IF(ISBLANK(TK_In!E42),"",TK_In!E42)</f>
        <v>500</v>
      </c>
      <c r="F792" s="35" t="n">
        <f aca="false">IF(ISBLANK(TK_In!F42),"",TK_In!F42)</f>
        <v>800</v>
      </c>
      <c r="H792" s="12" t="s">
        <v>4151</v>
      </c>
    </row>
    <row r="793" customFormat="false" ht="17.15" hidden="false" customHeight="false" outlineLevel="0" collapsed="false">
      <c r="A793" s="0" t="s">
        <v>4152</v>
      </c>
      <c r="B793" s="6" t="s">
        <v>4153</v>
      </c>
      <c r="C793" s="0" t="s">
        <v>2769</v>
      </c>
      <c r="D793" s="35" t="n">
        <f aca="false">IF(ISBLANK(TK_In!D43),"",TK_In!D43)</f>
        <v>300</v>
      </c>
      <c r="E793" s="35" t="n">
        <f aca="false">IF(ISBLANK(TK_In!E43),"",TK_In!E43)</f>
        <v>500</v>
      </c>
      <c r="F793" s="35" t="n">
        <f aca="false">IF(ISBLANK(TK_In!F43),"",TK_In!F43)</f>
        <v>800</v>
      </c>
      <c r="H793" s="12" t="s">
        <v>4154</v>
      </c>
    </row>
    <row r="794" customFormat="false" ht="17.15" hidden="false" customHeight="false" outlineLevel="0" collapsed="false">
      <c r="A794" s="0" t="s">
        <v>4155</v>
      </c>
      <c r="B794" s="6" t="s">
        <v>4156</v>
      </c>
      <c r="C794" s="0" t="s">
        <v>2769</v>
      </c>
      <c r="D794" s="35" t="n">
        <f aca="false">IF(ISBLANK(TK_In!D44),"",TK_In!D44)</f>
        <v>300</v>
      </c>
      <c r="E794" s="35" t="n">
        <f aca="false">IF(ISBLANK(TK_In!E44),"",TK_In!E44)</f>
        <v>500</v>
      </c>
      <c r="F794" s="35" t="n">
        <f aca="false">IF(ISBLANK(TK_In!F44),"",TK_In!F44)</f>
        <v>800</v>
      </c>
      <c r="H794" s="12" t="s">
        <v>4157</v>
      </c>
    </row>
    <row r="795" customFormat="false" ht="17.15" hidden="false" customHeight="false" outlineLevel="0" collapsed="false">
      <c r="A795" s="0" t="s">
        <v>4158</v>
      </c>
      <c r="B795" s="0" t="s">
        <v>2776</v>
      </c>
      <c r="C795" s="6" t="s">
        <v>2778</v>
      </c>
      <c r="D795" s="35" t="n">
        <f aca="false">IF(ISBLANK(TK_In!D45),"",TK_In!D45)</f>
        <v>0.7</v>
      </c>
      <c r="E795" s="35" t="n">
        <f aca="false">IF(ISBLANK(TK_In!E45),"",TK_In!E45)</f>
        <v>0.8</v>
      </c>
      <c r="F795" s="35" t="n">
        <f aca="false">IF(ISBLANK(TK_In!F45),"",TK_In!F45)</f>
        <v>1.15</v>
      </c>
      <c r="H795" s="12" t="s">
        <v>4159</v>
      </c>
    </row>
    <row r="796" customFormat="false" ht="17.15" hidden="false" customHeight="false" outlineLevel="0" collapsed="false">
      <c r="A796" s="0" t="s">
        <v>4160</v>
      </c>
      <c r="B796" s="0" t="s">
        <v>2782</v>
      </c>
      <c r="C796" s="6" t="s">
        <v>2778</v>
      </c>
      <c r="D796" s="35" t="n">
        <f aca="false">IF(ISBLANK(TK_In!D46),"",TK_In!D46)</f>
        <v>0.6</v>
      </c>
      <c r="E796" s="35" t="n">
        <f aca="false">IF(ISBLANK(TK_In!E46),"",TK_In!E46)</f>
        <v>0.8</v>
      </c>
      <c r="F796" s="35" t="n">
        <f aca="false">IF(ISBLANK(TK_In!F46),"",TK_In!F46)</f>
        <v>1.1</v>
      </c>
      <c r="H796" s="12" t="s">
        <v>4161</v>
      </c>
    </row>
    <row r="797" customFormat="false" ht="17.15" hidden="false" customHeight="false" outlineLevel="0" collapsed="false">
      <c r="A797" s="0" t="s">
        <v>4162</v>
      </c>
      <c r="B797" s="0" t="s">
        <v>2786</v>
      </c>
      <c r="C797" s="6" t="s">
        <v>2778</v>
      </c>
      <c r="D797" s="35" t="n">
        <f aca="false">IF(ISBLANK(TK_In!D47),"",TK_In!D47)</f>
        <v>0.3</v>
      </c>
      <c r="E797" s="35" t="n">
        <f aca="false">IF(ISBLANK(TK_In!E47),"",TK_In!E47)</f>
        <v>0.5</v>
      </c>
      <c r="F797" s="35" t="n">
        <f aca="false">IF(ISBLANK(TK_In!F47),"",TK_In!F47)</f>
        <v>0.8</v>
      </c>
      <c r="H797" s="12" t="s">
        <v>4163</v>
      </c>
    </row>
    <row r="798" customFormat="false" ht="17.15" hidden="false" customHeight="false" outlineLevel="0" collapsed="false">
      <c r="A798" s="0" t="s">
        <v>4164</v>
      </c>
      <c r="B798" s="0" t="s">
        <v>2790</v>
      </c>
      <c r="C798" s="6" t="s">
        <v>2778</v>
      </c>
      <c r="D798" s="35" t="n">
        <f aca="false">IF(ISBLANK(TK_In!D48),"",TK_In!D48)</f>
        <v>0.2</v>
      </c>
      <c r="E798" s="35" t="n">
        <f aca="false">IF(ISBLANK(TK_In!E48),"",TK_In!E48)</f>
        <v>0.4</v>
      </c>
      <c r="F798" s="35" t="n">
        <f aca="false">IF(ISBLANK(TK_In!F48),"",TK_In!F48)</f>
        <v>0.8</v>
      </c>
      <c r="H798" s="12" t="s">
        <v>4165</v>
      </c>
    </row>
    <row r="799" customFormat="false" ht="17.15" hidden="false" customHeight="false" outlineLevel="0" collapsed="false">
      <c r="A799" s="0" t="s">
        <v>4166</v>
      </c>
      <c r="B799" s="0" t="s">
        <v>2794</v>
      </c>
      <c r="C799" s="6" t="s">
        <v>2778</v>
      </c>
      <c r="D799" s="35" t="n">
        <f aca="false">IF(ISBLANK(TK_In!D49),"",TK_In!D49)</f>
        <v>0.4</v>
      </c>
      <c r="E799" s="35" t="n">
        <f aca="false">IF(ISBLANK(TK_In!E49),"",TK_In!E49)</f>
        <v>0.6</v>
      </c>
      <c r="F799" s="35" t="n">
        <f aca="false">IF(ISBLANK(TK_In!F49),"",TK_In!F49)</f>
        <v>0.9</v>
      </c>
      <c r="H799" s="12" t="s">
        <v>4167</v>
      </c>
    </row>
    <row r="800" customFormat="false" ht="17.15" hidden="false" customHeight="false" outlineLevel="0" collapsed="false">
      <c r="A800" s="0" t="s">
        <v>4168</v>
      </c>
      <c r="B800" s="6" t="s">
        <v>2798</v>
      </c>
      <c r="C800" s="6" t="s">
        <v>2778</v>
      </c>
      <c r="D800" s="35" t="n">
        <f aca="false">IF(ISBLANK(TK_In!D50),"",TK_In!D50)</f>
        <v>0.05</v>
      </c>
      <c r="E800" s="35" t="n">
        <f aca="false">IF(ISBLANK(TK_In!E50),"",TK_In!E50)</f>
        <v>0.08</v>
      </c>
      <c r="F800" s="35" t="n">
        <f aca="false">IF(ISBLANK(TK_In!F50),"",TK_In!F50)</f>
        <v>0.15</v>
      </c>
      <c r="H800" s="12" t="s">
        <v>4169</v>
      </c>
    </row>
    <row r="801" customFormat="false" ht="17.15" hidden="false" customHeight="false" outlineLevel="0" collapsed="false">
      <c r="A801" s="0" t="s">
        <v>4170</v>
      </c>
      <c r="B801" s="0" t="s">
        <v>2802</v>
      </c>
      <c r="C801" s="6" t="s">
        <v>2778</v>
      </c>
      <c r="D801" s="35" t="n">
        <f aca="false">IF(ISBLANK(TK_In!D51),"",TK_In!D51)</f>
        <v>0.25</v>
      </c>
      <c r="E801" s="35" t="n">
        <f aca="false">IF(ISBLANK(TK_In!E51),"",TK_In!E51)</f>
        <v>0.55</v>
      </c>
      <c r="F801" s="35" t="n">
        <f aca="false">IF(ISBLANK(TK_In!F51),"",TK_In!F51)</f>
        <v>0.75</v>
      </c>
      <c r="H801" s="12" t="s">
        <v>4171</v>
      </c>
    </row>
    <row r="802" customFormat="false" ht="17.15" hidden="false" customHeight="false" outlineLevel="0" collapsed="false">
      <c r="A802" s="0" t="s">
        <v>4172</v>
      </c>
      <c r="B802" s="0" t="s">
        <v>2806</v>
      </c>
      <c r="C802" s="6" t="s">
        <v>2778</v>
      </c>
      <c r="D802" s="35" t="n">
        <f aca="false">IF(ISBLANK(TK_In!D52),"",TK_In!D52)</f>
        <v>0.67</v>
      </c>
      <c r="E802" s="35" t="n">
        <f aca="false">IF(ISBLANK(TK_In!E52),"",TK_In!E52)</f>
        <v>0.85</v>
      </c>
      <c r="F802" s="35" t="n">
        <f aca="false">IF(ISBLANK(TK_In!F52),"",TK_In!F52)</f>
        <v>1.12</v>
      </c>
      <c r="H802" s="12" t="s">
        <v>4173</v>
      </c>
    </row>
    <row r="803" customFormat="false" ht="17.15" hidden="false" customHeight="false" outlineLevel="0" collapsed="false">
      <c r="A803" s="0" t="s">
        <v>4174</v>
      </c>
      <c r="B803" s="0" t="s">
        <v>2810</v>
      </c>
      <c r="C803" s="6" t="s">
        <v>2778</v>
      </c>
      <c r="D803" s="35" t="n">
        <f aca="false">IF(ISBLANK(TK_In!D53),"",TK_In!D53)</f>
        <v>0.65</v>
      </c>
      <c r="E803" s="35" t="n">
        <f aca="false">IF(ISBLANK(TK_In!E53),"",TK_In!E53)</f>
        <v>0.7</v>
      </c>
      <c r="F803" s="35" t="n">
        <f aca="false">IF(ISBLANK(TK_In!F53),"",TK_In!F53)</f>
        <v>0.9</v>
      </c>
      <c r="H803" s="12" t="s">
        <v>4175</v>
      </c>
    </row>
    <row r="804" customFormat="false" ht="17.15" hidden="false" customHeight="false" outlineLevel="0" collapsed="false">
      <c r="A804" s="0" t="s">
        <v>4176</v>
      </c>
      <c r="B804" s="0" t="s">
        <v>2814</v>
      </c>
      <c r="C804" s="6" t="s">
        <v>2778</v>
      </c>
      <c r="D804" s="35" t="n">
        <f aca="false">IF(ISBLANK(TK_In!D54),"",TK_In!D54)</f>
        <v>0.45</v>
      </c>
      <c r="E804" s="35" t="n">
        <f aca="false">IF(ISBLANK(TK_In!E54),"",TK_In!E54)</f>
        <v>0.61</v>
      </c>
      <c r="F804" s="35" t="n">
        <f aca="false">IF(ISBLANK(TK_In!F54),"",TK_In!F54)</f>
        <v>0.7</v>
      </c>
      <c r="H804" s="12" t="s">
        <v>4177</v>
      </c>
    </row>
    <row r="805" customFormat="false" ht="17.15" hidden="false" customHeight="false" outlineLevel="0" collapsed="false">
      <c r="A805" s="0" t="s">
        <v>4178</v>
      </c>
      <c r="B805" s="0" t="s">
        <v>2818</v>
      </c>
      <c r="C805" s="6" t="s">
        <v>2778</v>
      </c>
      <c r="D805" s="35" t="n">
        <f aca="false">IF(ISBLANK(TK_In!D55),"",TK_In!D55)</f>
        <v>0.8</v>
      </c>
      <c r="E805" s="35" t="n">
        <f aca="false">IF(ISBLANK(TK_In!E55),"",TK_In!E55)</f>
        <v>1</v>
      </c>
      <c r="F805" s="35" t="n">
        <f aca="false">IF(ISBLANK(TK_In!F55),"",TK_In!F55)</f>
        <v>1.2</v>
      </c>
      <c r="H805" s="12" t="s">
        <v>4179</v>
      </c>
    </row>
    <row r="806" customFormat="false" ht="17.15" hidden="false" customHeight="false" outlineLevel="0" collapsed="false">
      <c r="A806" s="0" t="s">
        <v>4180</v>
      </c>
      <c r="B806" s="0" t="s">
        <v>2822</v>
      </c>
      <c r="C806" s="6" t="s">
        <v>2778</v>
      </c>
      <c r="D806" s="35" t="n">
        <f aca="false">IF(ISBLANK(TK_In!D56),"",TK_In!D56)</f>
        <v>0.7</v>
      </c>
      <c r="E806" s="35" t="n">
        <f aca="false">IF(ISBLANK(TK_In!E56),"",TK_In!E56)</f>
        <v>0.8</v>
      </c>
      <c r="F806" s="35" t="n">
        <f aca="false">IF(ISBLANK(TK_In!F56),"",TK_In!F56)</f>
        <v>1</v>
      </c>
      <c r="H806" s="12" t="s">
        <v>4181</v>
      </c>
    </row>
    <row r="807" customFormat="false" ht="17.15" hidden="false" customHeight="false" outlineLevel="0" collapsed="false">
      <c r="A807" s="0" t="s">
        <v>4182</v>
      </c>
      <c r="B807" s="6" t="s">
        <v>2826</v>
      </c>
      <c r="C807" s="6" t="s">
        <v>2778</v>
      </c>
      <c r="D807" s="35" t="n">
        <f aca="false">IF(ISBLANK(TK_In!D57),"",TK_In!D57)</f>
        <v>0.45</v>
      </c>
      <c r="E807" s="35" t="n">
        <f aca="false">IF(ISBLANK(TK_In!E57),"",TK_In!E57)</f>
        <v>0.55</v>
      </c>
      <c r="F807" s="35" t="n">
        <f aca="false">IF(ISBLANK(TK_In!F57),"",TK_In!F57)</f>
        <v>0.7</v>
      </c>
      <c r="H807" s="12" t="s">
        <v>4183</v>
      </c>
    </row>
    <row r="808" customFormat="false" ht="17.15" hidden="false" customHeight="false" outlineLevel="0" collapsed="false">
      <c r="A808" s="0" t="s">
        <v>4184</v>
      </c>
      <c r="B808" s="0" t="s">
        <v>2830</v>
      </c>
      <c r="C808" s="6" t="s">
        <v>2778</v>
      </c>
      <c r="D808" s="35" t="n">
        <f aca="false">IF(ISBLANK(TK_In!D58),"",TK_In!D58)</f>
        <v>0.4</v>
      </c>
      <c r="E808" s="35" t="n">
        <f aca="false">IF(ISBLANK(TK_In!E58),"",TK_In!E58)</f>
        <v>0.5</v>
      </c>
      <c r="F808" s="35" t="n">
        <f aca="false">IF(ISBLANK(TK_In!F58),"",TK_In!F58)</f>
        <v>0.6</v>
      </c>
      <c r="H808" s="12" t="s">
        <v>4185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4186</v>
      </c>
    </row>
    <row r="3" customFormat="false" ht="15" hidden="false" customHeight="false" outlineLevel="0" collapsed="false">
      <c r="A3" s="5" t="s">
        <v>2835</v>
      </c>
      <c r="B3" s="4" t="s">
        <v>48</v>
      </c>
      <c r="C3" s="4" t="s">
        <v>4187</v>
      </c>
      <c r="D3" s="4" t="s">
        <v>4188</v>
      </c>
      <c r="E3" s="4" t="s">
        <v>4189</v>
      </c>
      <c r="F3" s="4" t="s">
        <v>4190</v>
      </c>
      <c r="G3" s="4" t="s">
        <v>2842</v>
      </c>
      <c r="H3" s="4" t="s">
        <v>43</v>
      </c>
    </row>
    <row r="4" customFormat="false" ht="17.15" hidden="false" customHeight="false" outlineLevel="0" collapsed="false">
      <c r="A4" s="0" t="s">
        <v>4191</v>
      </c>
      <c r="B4" s="0" t="s">
        <v>4192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4193</v>
      </c>
      <c r="H4" s="12" t="s">
        <v>4194</v>
      </c>
    </row>
    <row r="5" customFormat="false" ht="17.15" hidden="false" customHeight="false" outlineLevel="0" collapsed="false">
      <c r="A5" s="0" t="s">
        <v>4195</v>
      </c>
      <c r="B5" s="0" t="s">
        <v>4196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4193</v>
      </c>
      <c r="H5" s="12" t="s">
        <v>4194</v>
      </c>
    </row>
    <row r="6" customFormat="false" ht="17.15" hidden="false" customHeight="false" outlineLevel="0" collapsed="false">
      <c r="A6" s="0" t="s">
        <v>4197</v>
      </c>
      <c r="B6" s="0" t="s">
        <v>4198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4193</v>
      </c>
      <c r="H6" s="12" t="s">
        <v>4194</v>
      </c>
    </row>
    <row r="7" customFormat="false" ht="17.15" hidden="false" customHeight="false" outlineLevel="0" collapsed="false">
      <c r="A7" s="0" t="s">
        <v>4199</v>
      </c>
      <c r="B7" s="0" t="s">
        <v>4200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4193</v>
      </c>
      <c r="H7" s="12" t="s">
        <v>4194</v>
      </c>
    </row>
    <row r="8" customFormat="false" ht="17.15" hidden="false" customHeight="false" outlineLevel="0" collapsed="false">
      <c r="A8" s="0" t="s">
        <v>4201</v>
      </c>
      <c r="B8" s="0" t="s">
        <v>4202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4193</v>
      </c>
      <c r="H8" s="12" t="s">
        <v>4194</v>
      </c>
    </row>
    <row r="9" customFormat="false" ht="17.15" hidden="false" customHeight="false" outlineLevel="0" collapsed="false">
      <c r="A9" s="0" t="s">
        <v>4203</v>
      </c>
      <c r="B9" s="0" t="s">
        <v>4204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4193</v>
      </c>
      <c r="H9" s="12" t="s">
        <v>4194</v>
      </c>
    </row>
    <row r="10" customFormat="false" ht="17.15" hidden="false" customHeight="false" outlineLevel="0" collapsed="false">
      <c r="A10" s="0" t="s">
        <v>4205</v>
      </c>
      <c r="B10" s="0" t="s">
        <v>4206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4193</v>
      </c>
      <c r="H10" s="12" t="s">
        <v>4194</v>
      </c>
    </row>
    <row r="11" customFormat="false" ht="17.15" hidden="false" customHeight="false" outlineLevel="0" collapsed="false">
      <c r="A11" s="0" t="s">
        <v>4207</v>
      </c>
      <c r="B11" s="0" t="s">
        <v>4208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4193</v>
      </c>
      <c r="H11" s="12" t="s">
        <v>4194</v>
      </c>
    </row>
    <row r="12" customFormat="false" ht="17.15" hidden="false" customHeight="false" outlineLevel="0" collapsed="false">
      <c r="A12" s="0" t="s">
        <v>4209</v>
      </c>
      <c r="B12" s="0" t="s">
        <v>4210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4193</v>
      </c>
      <c r="H12" s="12" t="s">
        <v>4194</v>
      </c>
    </row>
    <row r="13" customFormat="false" ht="17.15" hidden="false" customHeight="false" outlineLevel="0" collapsed="false">
      <c r="A13" s="0" t="s">
        <v>4211</v>
      </c>
      <c r="B13" s="0" t="s">
        <v>4212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4193</v>
      </c>
      <c r="H13" s="12" t="s">
        <v>4194</v>
      </c>
    </row>
    <row r="14" customFormat="false" ht="17.15" hidden="false" customHeight="false" outlineLevel="0" collapsed="false">
      <c r="A14" s="0" t="s">
        <v>4213</v>
      </c>
      <c r="B14" s="0" t="s">
        <v>4214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4193</v>
      </c>
      <c r="H14" s="12" t="s">
        <v>4194</v>
      </c>
    </row>
    <row r="15" customFormat="false" ht="17.15" hidden="false" customHeight="false" outlineLevel="0" collapsed="false">
      <c r="A15" s="0" t="s">
        <v>4215</v>
      </c>
      <c r="B15" s="0" t="s">
        <v>4216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4193</v>
      </c>
      <c r="H15" s="12" t="s">
        <v>4194</v>
      </c>
    </row>
    <row r="16" customFormat="false" ht="17.15" hidden="false" customHeight="false" outlineLevel="0" collapsed="false">
      <c r="A16" s="0" t="s">
        <v>4217</v>
      </c>
      <c r="B16" s="0" t="s">
        <v>4218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4193</v>
      </c>
      <c r="H16" s="12" t="s">
        <v>4194</v>
      </c>
    </row>
    <row r="17" customFormat="false" ht="17.15" hidden="false" customHeight="false" outlineLevel="0" collapsed="false">
      <c r="A17" s="0" t="s">
        <v>4219</v>
      </c>
      <c r="B17" s="0" t="s">
        <v>4220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4193</v>
      </c>
      <c r="H17" s="12" t="s">
        <v>4194</v>
      </c>
    </row>
    <row r="18" customFormat="false" ht="17.15" hidden="false" customHeight="false" outlineLevel="0" collapsed="false">
      <c r="A18" s="0" t="s">
        <v>4221</v>
      </c>
      <c r="B18" s="0" t="s">
        <v>4222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4193</v>
      </c>
      <c r="H18" s="12" t="s">
        <v>4194</v>
      </c>
    </row>
    <row r="19" customFormat="false" ht="17.15" hidden="false" customHeight="false" outlineLevel="0" collapsed="false">
      <c r="A19" s="0" t="s">
        <v>4223</v>
      </c>
      <c r="B19" s="6" t="s">
        <v>4224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4225</v>
      </c>
    </row>
    <row r="20" customFormat="false" ht="17.15" hidden="false" customHeight="false" outlineLevel="0" collapsed="false">
      <c r="A20" s="0" t="s">
        <v>4226</v>
      </c>
      <c r="B20" s="6" t="s">
        <v>4227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4225</v>
      </c>
    </row>
    <row r="21" customFormat="false" ht="17.15" hidden="false" customHeight="false" outlineLevel="0" collapsed="false">
      <c r="A21" s="0" t="s">
        <v>4228</v>
      </c>
      <c r="B21" s="6" t="s">
        <v>4229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4225</v>
      </c>
    </row>
    <row r="22" customFormat="false" ht="17.15" hidden="false" customHeight="false" outlineLevel="0" collapsed="false">
      <c r="A22" s="0" t="s">
        <v>4230</v>
      </c>
      <c r="B22" s="6" t="s">
        <v>4231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4225</v>
      </c>
    </row>
    <row r="23" customFormat="false" ht="17.15" hidden="false" customHeight="false" outlineLevel="0" collapsed="false">
      <c r="A23" s="0" t="s">
        <v>4232</v>
      </c>
      <c r="B23" s="6" t="s">
        <v>4233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4225</v>
      </c>
    </row>
    <row r="24" customFormat="false" ht="17.15" hidden="false" customHeight="false" outlineLevel="0" collapsed="false">
      <c r="A24" s="0" t="s">
        <v>4234</v>
      </c>
      <c r="B24" s="6" t="s">
        <v>4235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4225</v>
      </c>
    </row>
    <row r="25" customFormat="false" ht="17.15" hidden="false" customHeight="false" outlineLevel="0" collapsed="false">
      <c r="A25" s="0" t="s">
        <v>4236</v>
      </c>
      <c r="B25" s="0" t="s">
        <v>4237</v>
      </c>
      <c r="F25" s="0" t="str">
        <f aca="false">IF(AND(um28_A&gt;=um28_B,um28_B&gt;=um28_C),"OK","ERROR")</f>
        <v>OK</v>
      </c>
      <c r="G25" s="6" t="s">
        <v>4225</v>
      </c>
    </row>
    <row r="26" customFormat="false" ht="17.15" hidden="false" customHeight="false" outlineLevel="0" collapsed="false">
      <c r="A26" s="0" t="s">
        <v>4238</v>
      </c>
      <c r="B26" s="0" t="s">
        <v>4239</v>
      </c>
      <c r="F26" s="0" t="str">
        <f aca="false">IF(AND(um29_A&gt;=um29_B,um29_B&gt;=um29_C),"OK","ERROR")</f>
        <v>OK</v>
      </c>
      <c r="G26" s="6" t="s">
        <v>4225</v>
      </c>
    </row>
    <row r="27" customFormat="false" ht="17.15" hidden="false" customHeight="false" outlineLevel="0" collapsed="false">
      <c r="A27" s="0" t="s">
        <v>4240</v>
      </c>
      <c r="B27" s="6" t="s">
        <v>4241</v>
      </c>
      <c r="C27" s="0" t="n">
        <f aca="false">TK_In!$M$60</f>
        <v>0</v>
      </c>
      <c r="F27" s="0" t="str">
        <f aca="false">IF(C27=0,"OK","WARN")</f>
        <v>OK</v>
      </c>
      <c r="G27" s="6" t="s">
        <v>4242</v>
      </c>
      <c r="H27" s="0" t="s">
        <v>4243</v>
      </c>
    </row>
    <row r="28" customFormat="false" ht="17.15" hidden="false" customHeight="false" outlineLevel="0" collapsed="false">
      <c r="A28" s="0" t="s">
        <v>4244</v>
      </c>
      <c r="B28" s="0" t="s">
        <v>4245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4246</v>
      </c>
    </row>
    <row r="29" customFormat="false" ht="17.15" hidden="false" customHeight="false" outlineLevel="0" collapsed="false">
      <c r="A29" s="0" t="s">
        <v>4247</v>
      </c>
      <c r="B29" s="0" t="s">
        <v>4248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4246</v>
      </c>
    </row>
    <row r="30" customFormat="false" ht="17.15" hidden="false" customHeight="false" outlineLevel="0" collapsed="false">
      <c r="A30" s="0" t="s">
        <v>4249</v>
      </c>
      <c r="B30" s="0" t="s">
        <v>4250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4246</v>
      </c>
    </row>
    <row r="31" customFormat="false" ht="17.15" hidden="false" customHeight="false" outlineLevel="0" collapsed="false">
      <c r="A31" s="0" t="s">
        <v>4251</v>
      </c>
      <c r="B31" s="0" t="s">
        <v>4252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4225</v>
      </c>
    </row>
    <row r="32" customFormat="false" ht="17.15" hidden="false" customHeight="false" outlineLevel="0" collapsed="false">
      <c r="A32" s="0" t="s">
        <v>4253</v>
      </c>
      <c r="B32" s="0" t="s">
        <v>4254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4225</v>
      </c>
    </row>
    <row r="33" customFormat="false" ht="17.15" hidden="false" customHeight="false" outlineLevel="0" collapsed="false">
      <c r="A33" s="0" t="s">
        <v>4255</v>
      </c>
      <c r="B33" s="0" t="s">
        <v>4256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4225</v>
      </c>
    </row>
    <row r="34" customFormat="false" ht="17.15" hidden="false" customHeight="false" outlineLevel="0" collapsed="false">
      <c r="A34" s="0" t="s">
        <v>4257</v>
      </c>
      <c r="B34" s="0" t="s">
        <v>4258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4225</v>
      </c>
    </row>
    <row r="35" customFormat="false" ht="17.15" hidden="false" customHeight="false" outlineLevel="0" collapsed="false">
      <c r="A35" s="0" t="s">
        <v>4259</v>
      </c>
      <c r="B35" s="0" t="s">
        <v>4260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4225</v>
      </c>
    </row>
    <row r="36" customFormat="false" ht="17.15" hidden="false" customHeight="false" outlineLevel="0" collapsed="false">
      <c r="A36" s="0" t="s">
        <v>4261</v>
      </c>
      <c r="B36" s="0" t="s">
        <v>4262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4225</v>
      </c>
    </row>
    <row r="37" customFormat="false" ht="17.15" hidden="false" customHeight="false" outlineLevel="0" collapsed="false">
      <c r="A37" s="0" t="s">
        <v>4263</v>
      </c>
      <c r="B37" s="0" t="s">
        <v>4264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4225</v>
      </c>
    </row>
    <row r="38" customFormat="false" ht="17.15" hidden="false" customHeight="false" outlineLevel="0" collapsed="false">
      <c r="A38" s="0" t="s">
        <v>4265</v>
      </c>
      <c r="B38" s="0" t="s">
        <v>4266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4225</v>
      </c>
    </row>
    <row r="39" customFormat="false" ht="17.15" hidden="false" customHeight="false" outlineLevel="0" collapsed="false">
      <c r="A39" s="0" t="s">
        <v>4267</v>
      </c>
      <c r="B39" s="0" t="s">
        <v>4268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4269</v>
      </c>
    </row>
    <row r="40" customFormat="false" ht="17.15" hidden="false" customHeight="false" outlineLevel="0" collapsed="false">
      <c r="A40" s="0" t="s">
        <v>4270</v>
      </c>
      <c r="B40" s="0" t="s">
        <v>4271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4269</v>
      </c>
    </row>
    <row r="41" customFormat="false" ht="17.15" hidden="false" customHeight="false" outlineLevel="0" collapsed="false">
      <c r="A41" s="0" t="s">
        <v>4272</v>
      </c>
      <c r="B41" s="0" t="s">
        <v>4273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4269</v>
      </c>
    </row>
    <row r="42" customFormat="false" ht="17.15" hidden="false" customHeight="false" outlineLevel="0" collapsed="false">
      <c r="A42" s="0" t="s">
        <v>4274</v>
      </c>
      <c r="B42" s="6" t="s">
        <v>4275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4269</v>
      </c>
    </row>
    <row r="43" customFormat="false" ht="17.15" hidden="false" customHeight="false" outlineLevel="0" collapsed="false">
      <c r="A43" s="0" t="s">
        <v>4276</v>
      </c>
      <c r="B43" s="6" t="s">
        <v>4277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4269</v>
      </c>
    </row>
    <row r="44" customFormat="false" ht="17.15" hidden="false" customHeight="false" outlineLevel="0" collapsed="false">
      <c r="A44" s="0" t="s">
        <v>4278</v>
      </c>
      <c r="B44" s="6" t="s">
        <v>4279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4269</v>
      </c>
    </row>
    <row r="45" customFormat="false" ht="17.15" hidden="false" customHeight="false" outlineLevel="0" collapsed="false">
      <c r="A45" s="0" t="s">
        <v>4280</v>
      </c>
      <c r="B45" s="0" t="s">
        <v>4281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4269</v>
      </c>
    </row>
    <row r="46" customFormat="false" ht="17.15" hidden="false" customHeight="false" outlineLevel="0" collapsed="false">
      <c r="A46" s="0" t="s">
        <v>4282</v>
      </c>
      <c r="B46" s="0" t="s">
        <v>4283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4269</v>
      </c>
    </row>
    <row r="47" customFormat="false" ht="17.15" hidden="false" customHeight="false" outlineLevel="0" collapsed="false">
      <c r="A47" s="0" t="s">
        <v>4284</v>
      </c>
      <c r="B47" s="0" t="s">
        <v>4285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4269</v>
      </c>
    </row>
    <row r="48" customFormat="false" ht="17.15" hidden="false" customHeight="false" outlineLevel="0" collapsed="false">
      <c r="A48" s="0" t="s">
        <v>4286</v>
      </c>
      <c r="B48" s="0" t="s">
        <v>4287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4269</v>
      </c>
    </row>
    <row r="49" customFormat="false" ht="17.15" hidden="false" customHeight="false" outlineLevel="0" collapsed="false">
      <c r="A49" s="0" t="s">
        <v>4288</v>
      </c>
      <c r="B49" s="0" t="s">
        <v>4289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4269</v>
      </c>
    </row>
    <row r="50" customFormat="false" ht="17.15" hidden="false" customHeight="false" outlineLevel="0" collapsed="false">
      <c r="A50" s="0" t="s">
        <v>4290</v>
      </c>
      <c r="B50" s="0" t="s">
        <v>4291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4269</v>
      </c>
    </row>
    <row r="51" customFormat="false" ht="17.15" hidden="false" customHeight="false" outlineLevel="0" collapsed="false">
      <c r="A51" s="0" t="s">
        <v>4292</v>
      </c>
      <c r="B51" s="0" t="s">
        <v>4293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4269</v>
      </c>
    </row>
    <row r="52" customFormat="false" ht="17.15" hidden="false" customHeight="false" outlineLevel="0" collapsed="false">
      <c r="A52" s="0" t="s">
        <v>4294</v>
      </c>
      <c r="B52" s="0" t="s">
        <v>4295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4269</v>
      </c>
    </row>
    <row r="53" customFormat="false" ht="17.15" hidden="false" customHeight="false" outlineLevel="0" collapsed="false">
      <c r="A53" s="0" t="s">
        <v>4296</v>
      </c>
      <c r="B53" s="0" t="s">
        <v>4297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4269</v>
      </c>
    </row>
    <row r="54" customFormat="false" ht="17.15" hidden="false" customHeight="false" outlineLevel="0" collapsed="false">
      <c r="A54" s="0" t="s">
        <v>4298</v>
      </c>
      <c r="B54" s="0" t="s">
        <v>4299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4269</v>
      </c>
    </row>
    <row r="55" customFormat="false" ht="17.15" hidden="false" customHeight="false" outlineLevel="0" collapsed="false">
      <c r="A55" s="0" t="s">
        <v>4300</v>
      </c>
      <c r="B55" s="0" t="s">
        <v>4301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4269</v>
      </c>
    </row>
    <row r="56" customFormat="false" ht="17.15" hidden="false" customHeight="false" outlineLevel="0" collapsed="false">
      <c r="A56" s="0" t="s">
        <v>4302</v>
      </c>
      <c r="B56" s="0" t="s">
        <v>4303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4269</v>
      </c>
    </row>
    <row r="57" customFormat="false" ht="17.15" hidden="false" customHeight="false" outlineLevel="0" collapsed="false">
      <c r="A57" s="0" t="s">
        <v>4304</v>
      </c>
      <c r="B57" s="0" t="s">
        <v>4305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4269</v>
      </c>
    </row>
    <row r="58" customFormat="false" ht="17.15" hidden="false" customHeight="false" outlineLevel="0" collapsed="false">
      <c r="A58" s="0" t="s">
        <v>4306</v>
      </c>
      <c r="B58" s="0" t="s">
        <v>4307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4269</v>
      </c>
    </row>
    <row r="59" customFormat="false" ht="17.15" hidden="false" customHeight="false" outlineLevel="0" collapsed="false">
      <c r="A59" s="0" t="s">
        <v>4308</v>
      </c>
      <c r="B59" s="0" t="s">
        <v>4309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4269</v>
      </c>
    </row>
    <row r="60" customFormat="false" ht="17.15" hidden="false" customHeight="false" outlineLevel="0" collapsed="false">
      <c r="A60" s="0" t="s">
        <v>4310</v>
      </c>
      <c r="B60" s="0" t="s">
        <v>4311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4269</v>
      </c>
    </row>
    <row r="61" customFormat="false" ht="17.15" hidden="false" customHeight="false" outlineLevel="0" collapsed="false">
      <c r="A61" s="0" t="s">
        <v>4312</v>
      </c>
      <c r="B61" s="6" t="s">
        <v>4313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4269</v>
      </c>
    </row>
    <row r="62" customFormat="false" ht="17.15" hidden="false" customHeight="false" outlineLevel="0" collapsed="false">
      <c r="A62" s="0" t="s">
        <v>4314</v>
      </c>
      <c r="B62" s="6" t="s">
        <v>4315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4269</v>
      </c>
    </row>
    <row r="63" customFormat="false" ht="17.15" hidden="false" customHeight="false" outlineLevel="0" collapsed="false">
      <c r="A63" s="0" t="s">
        <v>4316</v>
      </c>
      <c r="B63" s="6" t="s">
        <v>4317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4269</v>
      </c>
    </row>
    <row r="64" customFormat="false" ht="17.15" hidden="false" customHeight="false" outlineLevel="0" collapsed="false">
      <c r="A64" s="0" t="s">
        <v>4318</v>
      </c>
      <c r="B64" s="6" t="s">
        <v>4319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4269</v>
      </c>
    </row>
    <row r="65" customFormat="false" ht="17.15" hidden="false" customHeight="false" outlineLevel="0" collapsed="false">
      <c r="A65" s="0" t="s">
        <v>4320</v>
      </c>
      <c r="B65" s="0" t="s">
        <v>4321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4269</v>
      </c>
    </row>
    <row r="66" customFormat="false" ht="17.15" hidden="false" customHeight="false" outlineLevel="0" collapsed="false">
      <c r="A66" s="0" t="s">
        <v>4322</v>
      </c>
      <c r="B66" s="0" t="s">
        <v>4323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4269</v>
      </c>
    </row>
    <row r="67" customFormat="false" ht="17.15" hidden="false" customHeight="false" outlineLevel="0" collapsed="false">
      <c r="A67" s="0" t="s">
        <v>4324</v>
      </c>
      <c r="B67" s="0" t="s">
        <v>4325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4269</v>
      </c>
    </row>
    <row r="68" customFormat="false" ht="17.15" hidden="false" customHeight="false" outlineLevel="0" collapsed="false">
      <c r="A68" s="0" t="s">
        <v>4326</v>
      </c>
      <c r="B68" s="0" t="s">
        <v>4327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4269</v>
      </c>
    </row>
    <row r="69" customFormat="false" ht="17.15" hidden="false" customHeight="false" outlineLevel="0" collapsed="false">
      <c r="A69" s="0" t="s">
        <v>4328</v>
      </c>
      <c r="B69" s="0" t="s">
        <v>4329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4269</v>
      </c>
    </row>
    <row r="70" customFormat="false" ht="17.15" hidden="false" customHeight="false" outlineLevel="0" collapsed="false">
      <c r="A70" s="0" t="s">
        <v>4330</v>
      </c>
      <c r="B70" s="0" t="s">
        <v>4331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4269</v>
      </c>
    </row>
    <row r="71" customFormat="false" ht="17.15" hidden="false" customHeight="false" outlineLevel="0" collapsed="false">
      <c r="A71" s="0" t="s">
        <v>4332</v>
      </c>
      <c r="B71" s="0" t="s">
        <v>4333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4269</v>
      </c>
    </row>
    <row r="72" customFormat="false" ht="17.15" hidden="false" customHeight="false" outlineLevel="0" collapsed="false">
      <c r="A72" s="0" t="s">
        <v>4334</v>
      </c>
      <c r="B72" s="0" t="s">
        <v>4335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4269</v>
      </c>
    </row>
    <row r="73" customFormat="false" ht="17.15" hidden="false" customHeight="false" outlineLevel="0" collapsed="false">
      <c r="A73" s="0" t="s">
        <v>4336</v>
      </c>
      <c r="B73" s="0" t="s">
        <v>4337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4269</v>
      </c>
    </row>
    <row r="74" customFormat="false" ht="17.15" hidden="false" customHeight="false" outlineLevel="0" collapsed="false">
      <c r="A74" s="0" t="s">
        <v>4338</v>
      </c>
      <c r="B74" s="0" t="s">
        <v>4339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4269</v>
      </c>
    </row>
    <row r="75" customFormat="false" ht="17.15" hidden="false" customHeight="false" outlineLevel="0" collapsed="false">
      <c r="A75" s="0" t="s">
        <v>4340</v>
      </c>
      <c r="B75" s="0" t="s">
        <v>4341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4269</v>
      </c>
    </row>
    <row r="76" customFormat="false" ht="17.15" hidden="false" customHeight="false" outlineLevel="0" collapsed="false">
      <c r="A76" s="0" t="s">
        <v>4342</v>
      </c>
      <c r="B76" s="0" t="s">
        <v>4343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4269</v>
      </c>
    </row>
    <row r="77" customFormat="false" ht="17.15" hidden="false" customHeight="false" outlineLevel="0" collapsed="false">
      <c r="A77" s="0" t="s">
        <v>4344</v>
      </c>
      <c r="B77" s="0" t="s">
        <v>4345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4269</v>
      </c>
    </row>
    <row r="78" customFormat="false" ht="17.15" hidden="false" customHeight="false" outlineLevel="0" collapsed="false">
      <c r="A78" s="0" t="s">
        <v>4346</v>
      </c>
      <c r="B78" s="0" t="s">
        <v>4347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4269</v>
      </c>
    </row>
    <row r="79" customFormat="false" ht="17.15" hidden="false" customHeight="false" outlineLevel="0" collapsed="false">
      <c r="A79" s="0" t="s">
        <v>4348</v>
      </c>
      <c r="B79" s="0" t="s">
        <v>4349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4269</v>
      </c>
    </row>
    <row r="80" customFormat="false" ht="17.15" hidden="false" customHeight="false" outlineLevel="0" collapsed="false">
      <c r="A80" s="0" t="s">
        <v>4350</v>
      </c>
      <c r="B80" s="0" t="s">
        <v>4351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4269</v>
      </c>
    </row>
    <row r="81" customFormat="false" ht="17.15" hidden="false" customHeight="false" outlineLevel="0" collapsed="false">
      <c r="A81" s="0" t="s">
        <v>4352</v>
      </c>
      <c r="B81" s="0" t="s">
        <v>4353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4269</v>
      </c>
    </row>
    <row r="82" customFormat="false" ht="17.15" hidden="false" customHeight="false" outlineLevel="0" collapsed="false">
      <c r="A82" s="0" t="s">
        <v>4354</v>
      </c>
      <c r="B82" s="0" t="s">
        <v>4355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4269</v>
      </c>
    </row>
    <row r="83" customFormat="false" ht="17.15" hidden="false" customHeight="false" outlineLevel="0" collapsed="false">
      <c r="A83" s="0" t="s">
        <v>4356</v>
      </c>
      <c r="B83" s="0" t="s">
        <v>4357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4269</v>
      </c>
    </row>
    <row r="84" customFormat="false" ht="17.15" hidden="false" customHeight="false" outlineLevel="0" collapsed="false">
      <c r="A84" s="0" t="s">
        <v>4358</v>
      </c>
      <c r="B84" s="0" t="s">
        <v>4359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4269</v>
      </c>
    </row>
    <row r="85" customFormat="false" ht="17.15" hidden="false" customHeight="false" outlineLevel="0" collapsed="false">
      <c r="A85" s="0" t="s">
        <v>4360</v>
      </c>
      <c r="B85" s="0" t="s">
        <v>4361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4269</v>
      </c>
    </row>
    <row r="86" customFormat="false" ht="17.15" hidden="false" customHeight="false" outlineLevel="0" collapsed="false">
      <c r="A86" s="0" t="s">
        <v>4362</v>
      </c>
      <c r="B86" s="0" t="s">
        <v>4363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4269</v>
      </c>
    </row>
    <row r="87" customFormat="false" ht="17.15" hidden="false" customHeight="false" outlineLevel="0" collapsed="false">
      <c r="A87" s="0" t="s">
        <v>4364</v>
      </c>
      <c r="B87" s="0" t="s">
        <v>4365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4269</v>
      </c>
    </row>
    <row r="88" customFormat="false" ht="17.15" hidden="false" customHeight="false" outlineLevel="0" collapsed="false">
      <c r="A88" s="0" t="s">
        <v>4366</v>
      </c>
      <c r="B88" s="0" t="s">
        <v>4367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4269</v>
      </c>
    </row>
    <row r="89" customFormat="false" ht="17.15" hidden="false" customHeight="false" outlineLevel="0" collapsed="false">
      <c r="A89" s="0" t="s">
        <v>4368</v>
      </c>
      <c r="B89" s="0" t="s">
        <v>4369</v>
      </c>
      <c r="C89" s="17" t="n">
        <f aca="false">ShareTbl!D98</f>
        <v>0.96</v>
      </c>
      <c r="D89" s="0" t="n">
        <v>1</v>
      </c>
      <c r="F89" s="0" t="str">
        <f aca="false">IF(C89&lt;=1+0.000000001,"OK","ERROR")</f>
        <v>OK</v>
      </c>
      <c r="G89" s="6" t="s">
        <v>4269</v>
      </c>
    </row>
    <row r="90" customFormat="false" ht="17.15" hidden="false" customHeight="false" outlineLevel="0" collapsed="false">
      <c r="A90" s="0" t="s">
        <v>4370</v>
      </c>
      <c r="B90" s="0" t="s">
        <v>4371</v>
      </c>
      <c r="C90" s="17" t="n">
        <f aca="false">ShareTbl!E98</f>
        <v>1</v>
      </c>
      <c r="D90" s="0" t="n">
        <v>1</v>
      </c>
      <c r="F90" s="0" t="str">
        <f aca="false">IF(C90&lt;=1+0.000000001,"OK","ERROR")</f>
        <v>OK</v>
      </c>
      <c r="G90" s="6" t="s">
        <v>4269</v>
      </c>
    </row>
    <row r="91" customFormat="false" ht="17.15" hidden="false" customHeight="false" outlineLevel="0" collapsed="false">
      <c r="A91" s="0" t="s">
        <v>4372</v>
      </c>
      <c r="B91" s="0" t="s">
        <v>4373</v>
      </c>
      <c r="C91" s="17" t="n">
        <f aca="false">ShareTbl!F98</f>
        <v>1</v>
      </c>
      <c r="D91" s="0" t="n">
        <v>1</v>
      </c>
      <c r="F91" s="0" t="str">
        <f aca="false">IF(C91&lt;=1+0.000000001,"OK","ERROR")</f>
        <v>OK</v>
      </c>
      <c r="G91" s="6" t="s">
        <v>4269</v>
      </c>
    </row>
    <row r="92" customFormat="false" ht="17.15" hidden="false" customHeight="false" outlineLevel="0" collapsed="false">
      <c r="A92" s="0" t="s">
        <v>4374</v>
      </c>
      <c r="B92" s="0" t="s">
        <v>4375</v>
      </c>
      <c r="C92" s="17" t="n">
        <f aca="false">ShareTbl!G98</f>
        <v>1</v>
      </c>
      <c r="D92" s="0" t="n">
        <v>1</v>
      </c>
      <c r="F92" s="0" t="str">
        <f aca="false">IF(C92&lt;=1+0.000000001,"OK","ERROR")</f>
        <v>OK</v>
      </c>
      <c r="G92" s="6" t="s">
        <v>4269</v>
      </c>
    </row>
    <row r="93" customFormat="false" ht="17.15" hidden="false" customHeight="false" outlineLevel="0" collapsed="false">
      <c r="A93" s="0" t="s">
        <v>4376</v>
      </c>
      <c r="B93" s="0" t="s">
        <v>4377</v>
      </c>
      <c r="C93" s="17" t="n">
        <f aca="false">ShareTbl!H98</f>
        <v>1</v>
      </c>
      <c r="D93" s="0" t="n">
        <v>1</v>
      </c>
      <c r="F93" s="0" t="str">
        <f aca="false">IF(C93&lt;=1+0.000000001,"OK","ERROR")</f>
        <v>OK</v>
      </c>
      <c r="G93" s="6" t="s">
        <v>4269</v>
      </c>
    </row>
    <row r="94" customFormat="false" ht="17.15" hidden="false" customHeight="false" outlineLevel="0" collapsed="false">
      <c r="A94" s="0" t="s">
        <v>4378</v>
      </c>
      <c r="B94" s="0" t="s">
        <v>4379</v>
      </c>
      <c r="C94" s="17" t="n">
        <f aca="false">Equip!D25</f>
        <v>0.0764419735927728</v>
      </c>
      <c r="D94" s="0" t="str">
        <f aca="false">TEXT(ts_tw_lo,"0%")&amp;"–"&amp;TEXT(ts_tw_hi,"0%")</f>
        <v>7%–9%</v>
      </c>
      <c r="F94" s="0" t="str">
        <f aca="false">IF(AND(C94&gt;=ts_tw_lo,C94&lt;=ts_tw_hi),"OK","WARN")</f>
        <v>OK</v>
      </c>
      <c r="G94" s="6" t="s">
        <v>4380</v>
      </c>
    </row>
    <row r="95" customFormat="false" ht="17.15" hidden="false" customHeight="false" outlineLevel="0" collapsed="false">
      <c r="A95" s="0" t="s">
        <v>4381</v>
      </c>
      <c r="B95" s="0" t="s">
        <v>4382</v>
      </c>
      <c r="C95" s="17" t="n">
        <f aca="false">Equip!E25</f>
        <v>0.0879462571424157</v>
      </c>
      <c r="D95" s="0" t="str">
        <f aca="false">TEXT(ts_tw_lo,"0%")&amp;"–"&amp;TEXT(ts_tw_hi,"0%")</f>
        <v>7%–9%</v>
      </c>
      <c r="F95" s="0" t="str">
        <f aca="false">IF(AND(C95&gt;=ts_tw_lo,C95&lt;=ts_tw_hi),"OK","WARN")</f>
        <v>OK</v>
      </c>
      <c r="G95" s="6" t="s">
        <v>4380</v>
      </c>
    </row>
    <row r="96" customFormat="false" ht="17.15" hidden="false" customHeight="false" outlineLevel="0" collapsed="false">
      <c r="A96" s="0" t="s">
        <v>4383</v>
      </c>
      <c r="B96" s="0" t="s">
        <v>4384</v>
      </c>
      <c r="C96" s="17" t="n">
        <f aca="false">Equip!F25</f>
        <v>0.086503142097914</v>
      </c>
      <c r="D96" s="0" t="str">
        <f aca="false">TEXT(ts_tw_lo,"0%")&amp;"–"&amp;TEXT(ts_tw_hi,"0%")</f>
        <v>7%–9%</v>
      </c>
      <c r="F96" s="0" t="str">
        <f aca="false">IF(AND(C96&gt;=ts_tw_lo,C96&lt;=ts_tw_hi),"OK","WARN")</f>
        <v>OK</v>
      </c>
      <c r="G96" s="6" t="s">
        <v>4380</v>
      </c>
    </row>
    <row r="97" customFormat="false" ht="17.15" hidden="false" customHeight="false" outlineLevel="0" collapsed="false">
      <c r="A97" s="0" t="s">
        <v>4385</v>
      </c>
      <c r="B97" s="0" t="s">
        <v>4386</v>
      </c>
      <c r="C97" s="32" t="n">
        <f aca="false">Rack!C15</f>
        <v>595.486111111111</v>
      </c>
      <c r="D97" s="22" t="n">
        <f aca="false">Deploy!C5</f>
        <v>781.872916666667</v>
      </c>
      <c r="F97" s="0" t="str">
        <f aca="false">IF(C97&lt;=D97+0.000000001,"OK","ERROR")</f>
        <v>OK</v>
      </c>
      <c r="G97" s="6" t="s">
        <v>4387</v>
      </c>
    </row>
    <row r="98" customFormat="false" ht="17.15" hidden="false" customHeight="false" outlineLevel="0" collapsed="false">
      <c r="A98" s="0" t="s">
        <v>4388</v>
      </c>
      <c r="B98" s="0" t="s">
        <v>4389</v>
      </c>
      <c r="C98" s="0" t="n">
        <f aca="false">SUMPRODUCT((In!A5:A655&lt;&gt;"")*(In!E5:E655&lt;&gt;"")*(In!G5:G655=""))</f>
        <v>0</v>
      </c>
      <c r="F98" s="0" t="str">
        <f aca="false">IF(C98=0,"OK","ERROR")</f>
        <v>OK</v>
      </c>
      <c r="G98" s="6" t="s">
        <v>4390</v>
      </c>
    </row>
    <row r="99" customFormat="false" ht="17.15" hidden="false" customHeight="false" outlineLevel="0" collapsed="false">
      <c r="A99" s="0" t="s">
        <v>4391</v>
      </c>
      <c r="B99" s="0" t="s">
        <v>4392</v>
      </c>
      <c r="C99" s="0" t="n">
        <f aca="false">SUMPRODUCT((In!A5:A655&lt;&gt;"")*(In!E5:E655&lt;&gt;"")*(In!H5:H655=""))</f>
        <v>0</v>
      </c>
      <c r="F99" s="0" t="str">
        <f aca="false">IF(C99=0,"OK","ERROR")</f>
        <v>OK</v>
      </c>
      <c r="G99" s="6" t="s">
        <v>4390</v>
      </c>
      <c r="H99" s="0" t="s">
        <v>4393</v>
      </c>
    </row>
    <row r="100" customFormat="false" ht="17.15" hidden="false" customHeight="false" outlineLevel="0" collapsed="false">
      <c r="A100" s="0" t="s">
        <v>4394</v>
      </c>
      <c r="B100" s="6" t="s">
        <v>4395</v>
      </c>
      <c r="C100" s="0" t="n">
        <f aca="false">SUMPRODUCT((In!A5:A655&lt;&gt;"")*(In!E5:E655&lt;&gt;"")*(ISNUMBER(SEARCH("Assumed",In!G5:G655))+ISNUMBER(SEARCH("Analogy",In!G5:G655))&gt;0)*((In!D5:D655="")+(In!F5:F655="")&gt;0))</f>
        <v>0</v>
      </c>
      <c r="F100" s="0" t="str">
        <f aca="false">IF(C100=0,"OK","ERROR")</f>
        <v>OK</v>
      </c>
      <c r="G100" s="6" t="s">
        <v>4390</v>
      </c>
      <c r="H100" s="0" t="s">
        <v>4396</v>
      </c>
    </row>
    <row r="101" customFormat="false" ht="17.15" hidden="false" customHeight="false" outlineLevel="0" collapsed="false">
      <c r="A101" s="0" t="s">
        <v>4397</v>
      </c>
      <c r="B101" s="0" t="s">
        <v>4398</v>
      </c>
      <c r="C101" s="0" t="n">
        <v>0</v>
      </c>
      <c r="F101" s="0" t="str">
        <f aca="false">IF(C101=0,"OK","ERROR")</f>
        <v>OK</v>
      </c>
      <c r="G101" s="6" t="s">
        <v>4390</v>
      </c>
    </row>
    <row r="102" customFormat="false" ht="17.15" hidden="false" customHeight="false" outlineLevel="0" collapsed="false">
      <c r="A102" s="0" t="s">
        <v>4399</v>
      </c>
      <c r="B102" s="6" t="s">
        <v>4400</v>
      </c>
      <c r="C102" s="0" t="n">
        <f aca="false">COUNTIF(Conflicts!L4:L25,"待*")</f>
        <v>9</v>
      </c>
      <c r="F102" s="0" t="str">
        <f aca="false">IF(C102=0,"OK","WARN")</f>
        <v>WARN</v>
      </c>
      <c r="G102" s="6" t="s">
        <v>4390</v>
      </c>
      <c r="H102" s="0" t="s">
        <v>4401</v>
      </c>
    </row>
    <row r="104" customFormat="false" ht="15" hidden="false" customHeight="false" outlineLevel="0" collapsed="false">
      <c r="A104" s="10" t="s">
        <v>4402</v>
      </c>
      <c r="C104" s="36" t="n">
        <f aca="false">COUNTIF(F4:F102,"ERROR")</f>
        <v>0</v>
      </c>
    </row>
    <row r="105" customFormat="false" ht="15" hidden="false" customHeight="false" outlineLevel="0" collapsed="false">
      <c r="A105" s="10" t="s">
        <v>4403</v>
      </c>
      <c r="C105" s="36" t="n">
        <f aca="false">COUNTIF(F4:F102,"WARN")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4404</v>
      </c>
    </row>
    <row r="3" customFormat="false" ht="17.15" hidden="false" customHeight="false" outlineLevel="0" collapsed="false">
      <c r="A3" s="4" t="s">
        <v>4405</v>
      </c>
      <c r="B3" s="4" t="s">
        <v>4406</v>
      </c>
      <c r="C3" s="4" t="s">
        <v>48</v>
      </c>
      <c r="D3" s="4" t="s">
        <v>4407</v>
      </c>
      <c r="E3" s="4" t="s">
        <v>4408</v>
      </c>
      <c r="F3" s="5" t="s">
        <v>4409</v>
      </c>
      <c r="G3" s="4" t="s">
        <v>2845</v>
      </c>
    </row>
    <row r="4" customFormat="false" ht="79.85" hidden="false" customHeight="false" outlineLevel="0" collapsed="false">
      <c r="A4" s="3" t="s">
        <v>4410</v>
      </c>
      <c r="B4" s="2" t="s">
        <v>4411</v>
      </c>
      <c r="C4" s="2" t="s">
        <v>4412</v>
      </c>
      <c r="D4" s="2" t="s">
        <v>4413</v>
      </c>
      <c r="E4" s="3" t="s">
        <v>4414</v>
      </c>
      <c r="F4" s="2" t="s">
        <v>4415</v>
      </c>
      <c r="G4" s="2" t="s">
        <v>4416</v>
      </c>
    </row>
    <row r="5" customFormat="false" ht="79.85" hidden="false" customHeight="false" outlineLevel="0" collapsed="false">
      <c r="A5" s="37" t="s">
        <v>4417</v>
      </c>
      <c r="B5" s="38" t="s">
        <v>4418</v>
      </c>
      <c r="C5" s="38" t="s">
        <v>24</v>
      </c>
      <c r="D5" s="37" t="s">
        <v>4419</v>
      </c>
      <c r="E5" s="37" t="s">
        <v>4420</v>
      </c>
      <c r="F5" s="38" t="s">
        <v>4421</v>
      </c>
      <c r="G5" s="38" t="s">
        <v>4422</v>
      </c>
    </row>
    <row r="6" customFormat="false" ht="64.15" hidden="false" customHeight="false" outlineLevel="0" collapsed="false">
      <c r="A6" s="3" t="s">
        <v>4423</v>
      </c>
      <c r="B6" s="2" t="s">
        <v>4424</v>
      </c>
      <c r="C6" s="2" t="s">
        <v>4425</v>
      </c>
      <c r="D6" s="3" t="s">
        <v>4426</v>
      </c>
      <c r="E6" s="3" t="s">
        <v>4420</v>
      </c>
      <c r="F6" s="2" t="s">
        <v>4427</v>
      </c>
      <c r="G6" s="2" t="s">
        <v>4416</v>
      </c>
    </row>
    <row r="7" customFormat="false" ht="95.5" hidden="false" customHeight="false" outlineLevel="0" collapsed="false">
      <c r="A7" s="37" t="s">
        <v>4428</v>
      </c>
      <c r="B7" s="38" t="s">
        <v>4411</v>
      </c>
      <c r="C7" s="38" t="s">
        <v>4429</v>
      </c>
      <c r="D7" s="38" t="s">
        <v>4430</v>
      </c>
      <c r="E7" s="37" t="s">
        <v>4420</v>
      </c>
      <c r="F7" s="38" t="s">
        <v>4431</v>
      </c>
      <c r="G7" s="38" t="s">
        <v>4422</v>
      </c>
    </row>
    <row r="8" customFormat="false" ht="64.15" hidden="false" customHeight="false" outlineLevel="0" collapsed="false">
      <c r="A8" s="3" t="s">
        <v>4432</v>
      </c>
      <c r="B8" s="2" t="s">
        <v>4424</v>
      </c>
      <c r="C8" s="2" t="s">
        <v>4433</v>
      </c>
      <c r="D8" s="3" t="s">
        <v>4434</v>
      </c>
      <c r="E8" s="3" t="s">
        <v>4420</v>
      </c>
      <c r="F8" s="2" t="s">
        <v>4427</v>
      </c>
      <c r="G8" s="2" t="s">
        <v>4416</v>
      </c>
    </row>
    <row r="9" customFormat="false" ht="48.5" hidden="false" customHeight="false" outlineLevel="0" collapsed="false">
      <c r="A9" s="37" t="s">
        <v>4435</v>
      </c>
      <c r="B9" s="38" t="s">
        <v>4411</v>
      </c>
      <c r="C9" s="38" t="s">
        <v>4436</v>
      </c>
      <c r="D9" s="37" t="s">
        <v>4437</v>
      </c>
      <c r="E9" s="37" t="s">
        <v>4420</v>
      </c>
      <c r="F9" s="38" t="s">
        <v>4438</v>
      </c>
      <c r="G9" s="38" t="s">
        <v>4422</v>
      </c>
    </row>
    <row r="10" customFormat="false" ht="48.5" hidden="false" customHeight="false" outlineLevel="0" collapsed="false">
      <c r="A10" s="3" t="s">
        <v>4439</v>
      </c>
      <c r="B10" s="2" t="s">
        <v>4390</v>
      </c>
      <c r="C10" s="2" t="s">
        <v>4440</v>
      </c>
      <c r="D10" s="2" t="s">
        <v>4441</v>
      </c>
      <c r="E10" s="3" t="s">
        <v>4420</v>
      </c>
      <c r="F10" s="2" t="s">
        <v>4442</v>
      </c>
      <c r="G10" s="2" t="s">
        <v>4416</v>
      </c>
    </row>
    <row r="11" customFormat="false" ht="95.5" hidden="false" customHeight="false" outlineLevel="0" collapsed="false">
      <c r="A11" s="37" t="s">
        <v>4443</v>
      </c>
      <c r="B11" s="38" t="s">
        <v>4411</v>
      </c>
      <c r="C11" s="37" t="s">
        <v>4444</v>
      </c>
      <c r="D11" s="37" t="s">
        <v>4445</v>
      </c>
      <c r="E11" s="37" t="s">
        <v>4420</v>
      </c>
      <c r="F11" s="38" t="s">
        <v>4446</v>
      </c>
      <c r="G11" s="38" t="s">
        <v>4422</v>
      </c>
    </row>
    <row r="12" customFormat="false" ht="48.5" hidden="false" customHeight="false" outlineLevel="0" collapsed="false">
      <c r="A12" s="3" t="s">
        <v>4447</v>
      </c>
      <c r="B12" s="2" t="s">
        <v>4390</v>
      </c>
      <c r="C12" s="3" t="s">
        <v>4448</v>
      </c>
      <c r="D12" s="3" t="s">
        <v>4449</v>
      </c>
      <c r="E12" s="3" t="s">
        <v>4420</v>
      </c>
      <c r="F12" s="2" t="s">
        <v>4450</v>
      </c>
      <c r="G12" s="2" t="s">
        <v>4416</v>
      </c>
    </row>
    <row r="13" customFormat="false" ht="48.5" hidden="false" customHeight="false" outlineLevel="0" collapsed="false">
      <c r="A13" s="3" t="s">
        <v>4451</v>
      </c>
      <c r="B13" s="2" t="s">
        <v>4424</v>
      </c>
      <c r="C13" s="2" t="s">
        <v>4452</v>
      </c>
      <c r="D13" s="3" t="s">
        <v>4453</v>
      </c>
      <c r="E13" s="3" t="s">
        <v>4420</v>
      </c>
      <c r="F13" s="2" t="s">
        <v>4450</v>
      </c>
      <c r="G13" s="2" t="s">
        <v>4416</v>
      </c>
    </row>
    <row r="14" customFormat="false" ht="95.5" hidden="false" customHeight="false" outlineLevel="0" collapsed="false">
      <c r="A14" s="3" t="s">
        <v>4454</v>
      </c>
      <c r="B14" s="2" t="s">
        <v>4411</v>
      </c>
      <c r="C14" s="3" t="s">
        <v>4455</v>
      </c>
      <c r="D14" s="3" t="s">
        <v>4456</v>
      </c>
      <c r="E14" s="3" t="s">
        <v>4420</v>
      </c>
      <c r="F14" s="2" t="s">
        <v>4450</v>
      </c>
      <c r="G14" s="2" t="s">
        <v>4416</v>
      </c>
    </row>
    <row r="15" customFormat="false" ht="48.5" hidden="false" customHeight="false" outlineLevel="0" collapsed="false">
      <c r="A15" s="3" t="s">
        <v>4457</v>
      </c>
      <c r="B15" s="2" t="s">
        <v>4424</v>
      </c>
      <c r="C15" s="2" t="s">
        <v>4458</v>
      </c>
      <c r="D15" s="2" t="s">
        <v>4459</v>
      </c>
      <c r="E15" s="3" t="s">
        <v>4420</v>
      </c>
      <c r="F15" s="2" t="s">
        <v>4450</v>
      </c>
      <c r="G15" s="2" t="s">
        <v>4416</v>
      </c>
    </row>
    <row r="16" customFormat="false" ht="48.5" hidden="false" customHeight="false" outlineLevel="0" collapsed="false">
      <c r="A16" s="3" t="s">
        <v>4460</v>
      </c>
      <c r="B16" s="2" t="s">
        <v>4461</v>
      </c>
      <c r="C16" s="3" t="s">
        <v>4462</v>
      </c>
      <c r="D16" s="2" t="s">
        <v>4463</v>
      </c>
      <c r="E16" s="3" t="s">
        <v>4464</v>
      </c>
      <c r="F16" s="2" t="s">
        <v>4465</v>
      </c>
      <c r="G16" s="2" t="s">
        <v>4416</v>
      </c>
    </row>
    <row r="17" customFormat="false" ht="111.15" hidden="false" customHeight="false" outlineLevel="0" collapsed="false">
      <c r="A17" s="37" t="s">
        <v>4466</v>
      </c>
      <c r="B17" s="38" t="s">
        <v>4411</v>
      </c>
      <c r="C17" s="37" t="s">
        <v>4467</v>
      </c>
      <c r="D17" s="37" t="s">
        <v>4468</v>
      </c>
      <c r="E17" s="37" t="s">
        <v>4420</v>
      </c>
      <c r="F17" s="38" t="s">
        <v>4446</v>
      </c>
      <c r="G17" s="38" t="s">
        <v>4422</v>
      </c>
    </row>
    <row r="18" customFormat="false" ht="111.15" hidden="false" customHeight="false" outlineLevel="0" collapsed="false">
      <c r="A18" s="37" t="s">
        <v>4469</v>
      </c>
      <c r="B18" s="38" t="s">
        <v>4411</v>
      </c>
      <c r="C18" s="37" t="s">
        <v>4470</v>
      </c>
      <c r="D18" s="38" t="s">
        <v>4471</v>
      </c>
      <c r="E18" s="37" t="s">
        <v>4420</v>
      </c>
      <c r="F18" s="38" t="s">
        <v>4472</v>
      </c>
      <c r="G18" s="38" t="s">
        <v>4422</v>
      </c>
    </row>
    <row r="19" customFormat="false" ht="142.5" hidden="false" customHeight="false" outlineLevel="0" collapsed="false">
      <c r="A19" s="37" t="s">
        <v>4473</v>
      </c>
      <c r="B19" s="38" t="s">
        <v>4411</v>
      </c>
      <c r="C19" s="37" t="s">
        <v>4474</v>
      </c>
      <c r="D19" s="37" t="s">
        <v>4475</v>
      </c>
      <c r="E19" s="37" t="s">
        <v>4420</v>
      </c>
      <c r="F19" s="38" t="s">
        <v>4476</v>
      </c>
      <c r="G19" s="38" t="s">
        <v>4422</v>
      </c>
    </row>
    <row r="20" customFormat="false" ht="48.5" hidden="false" customHeight="false" outlineLevel="0" collapsed="false">
      <c r="A20" s="3" t="s">
        <v>4477</v>
      </c>
      <c r="B20" s="2" t="s">
        <v>4478</v>
      </c>
      <c r="C20" s="3" t="s">
        <v>4479</v>
      </c>
      <c r="D20" s="2" t="s">
        <v>4480</v>
      </c>
      <c r="E20" s="3" t="s">
        <v>4420</v>
      </c>
      <c r="F20" s="3" t="s">
        <v>4481</v>
      </c>
      <c r="G20" s="2" t="s">
        <v>4482</v>
      </c>
    </row>
    <row r="21" customFormat="false" ht="111.15" hidden="false" customHeight="false" outlineLevel="0" collapsed="false">
      <c r="A21" s="37" t="s">
        <v>4483</v>
      </c>
      <c r="B21" s="38" t="s">
        <v>4411</v>
      </c>
      <c r="C21" s="37" t="s">
        <v>4484</v>
      </c>
      <c r="D21" s="38" t="s">
        <v>4485</v>
      </c>
      <c r="E21" s="37" t="s">
        <v>4420</v>
      </c>
      <c r="F21" s="38" t="s">
        <v>4486</v>
      </c>
      <c r="G21" s="38" t="s">
        <v>4422</v>
      </c>
    </row>
    <row r="22" customFormat="false" ht="79.85" hidden="false" customHeight="false" outlineLevel="0" collapsed="false">
      <c r="A22" s="37" t="s">
        <v>4487</v>
      </c>
      <c r="B22" s="38" t="s">
        <v>4411</v>
      </c>
      <c r="C22" s="37" t="s">
        <v>4488</v>
      </c>
      <c r="D22" s="37" t="s">
        <v>4489</v>
      </c>
      <c r="E22" s="37" t="s">
        <v>4420</v>
      </c>
      <c r="F22" s="37" t="s">
        <v>4490</v>
      </c>
      <c r="G22" s="38" t="s">
        <v>4422</v>
      </c>
    </row>
    <row r="23" customFormat="false" ht="173.85" hidden="false" customHeight="false" outlineLevel="0" collapsed="false">
      <c r="A23" s="37" t="s">
        <v>4491</v>
      </c>
      <c r="B23" s="38" t="s">
        <v>4411</v>
      </c>
      <c r="C23" s="37" t="s">
        <v>4492</v>
      </c>
      <c r="D23" s="37" t="s">
        <v>4493</v>
      </c>
      <c r="E23" s="37" t="s">
        <v>4420</v>
      </c>
      <c r="F23" s="37" t="s">
        <v>4494</v>
      </c>
      <c r="G23" s="38" t="s">
        <v>4422</v>
      </c>
    </row>
    <row r="24" customFormat="false" ht="126.85" hidden="false" customHeight="false" outlineLevel="0" collapsed="false">
      <c r="A24" s="37" t="s">
        <v>4495</v>
      </c>
      <c r="B24" s="38" t="s">
        <v>4411</v>
      </c>
      <c r="C24" s="37" t="s">
        <v>4496</v>
      </c>
      <c r="D24" s="37" t="s">
        <v>4497</v>
      </c>
      <c r="E24" s="37" t="s">
        <v>4420</v>
      </c>
      <c r="F24" s="37" t="s">
        <v>4498</v>
      </c>
      <c r="G24" s="38" t="s">
        <v>4422</v>
      </c>
    </row>
    <row r="25" customFormat="false" ht="142.5" hidden="false" customHeight="false" outlineLevel="0" collapsed="false">
      <c r="A25" s="37" t="s">
        <v>4499</v>
      </c>
      <c r="B25" s="38" t="s">
        <v>4411</v>
      </c>
      <c r="C25" s="37" t="s">
        <v>4500</v>
      </c>
      <c r="D25" s="37" t="s">
        <v>4501</v>
      </c>
      <c r="E25" s="37" t="s">
        <v>4502</v>
      </c>
      <c r="F25" s="37" t="s">
        <v>4503</v>
      </c>
      <c r="G25" s="38" t="s">
        <v>4422</v>
      </c>
    </row>
    <row r="26" customFormat="false" ht="142.5" hidden="false" customHeight="false" outlineLevel="0" collapsed="false">
      <c r="A26" s="37" t="s">
        <v>4504</v>
      </c>
      <c r="B26" s="38" t="s">
        <v>4411</v>
      </c>
      <c r="C26" s="37" t="s">
        <v>4505</v>
      </c>
      <c r="D26" s="37" t="s">
        <v>4506</v>
      </c>
      <c r="E26" s="37" t="s">
        <v>4502</v>
      </c>
      <c r="F26" s="37" t="s">
        <v>4503</v>
      </c>
      <c r="G26" s="38" t="s">
        <v>4422</v>
      </c>
    </row>
    <row r="27" customFormat="false" ht="95.5" hidden="false" customHeight="false" outlineLevel="0" collapsed="false">
      <c r="A27" s="37" t="s">
        <v>4507</v>
      </c>
      <c r="B27" s="38" t="s">
        <v>4411</v>
      </c>
      <c r="C27" s="37" t="s">
        <v>4508</v>
      </c>
      <c r="D27" s="37" t="s">
        <v>4509</v>
      </c>
      <c r="E27" s="37" t="s">
        <v>4502</v>
      </c>
      <c r="F27" s="37" t="s">
        <v>4510</v>
      </c>
      <c r="G27" s="38" t="s">
        <v>4422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4511</v>
      </c>
    </row>
    <row r="3" customFormat="false" ht="15" hidden="false" customHeight="false" outlineLevel="0" collapsed="false">
      <c r="A3" s="5" t="s">
        <v>2835</v>
      </c>
      <c r="B3" s="4" t="s">
        <v>4408</v>
      </c>
      <c r="C3" s="4" t="s">
        <v>4512</v>
      </c>
      <c r="D3" s="4" t="s">
        <v>2846</v>
      </c>
      <c r="E3" s="4" t="s">
        <v>53</v>
      </c>
      <c r="F3" s="4" t="s">
        <v>4513</v>
      </c>
      <c r="G3" s="4" t="s">
        <v>4514</v>
      </c>
      <c r="H3" s="4" t="s">
        <v>4515</v>
      </c>
      <c r="I3" s="4" t="s">
        <v>4516</v>
      </c>
      <c r="J3" s="4" t="s">
        <v>4517</v>
      </c>
      <c r="K3" s="4" t="s">
        <v>4518</v>
      </c>
      <c r="L3" s="4" t="s">
        <v>4519</v>
      </c>
    </row>
    <row r="4" customFormat="false" ht="17.15" hidden="false" customHeight="false" outlineLevel="0" collapsed="false">
      <c r="A4" s="6" t="s">
        <v>4520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2026-10-28T06:36:16Z</dcterms:created>
  <dc:creator>openpyxl</dc:creator>
  <dc:description/>
  <dc:language>en-US</dc:language>
  <cp:lastModifiedBy/>
  <dcterms:modified xsi:type="dcterms:W3CDTF">2026-10-28T06:36:16Z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