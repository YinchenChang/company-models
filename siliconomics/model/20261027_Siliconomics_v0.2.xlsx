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Path" sheetId="5" state="visible" r:id="rId7"/>
    <sheet name="Mkt" sheetId="6" state="visible" r:id="rId8"/>
    <sheet name="TK_In" sheetId="7" state="visible" r:id="rId9"/>
    <sheet name="Conflicts" sheetId="8" state="visible" r:id="rId10"/>
    <sheet name="Interface" sheetId="9" state="visible" r:id="rId11"/>
    <sheet name="Checks" sheetId="10" state="visible" r:id="rId12"/>
    <sheet name="Decisions" sheetId="11" state="visible" r:id="rId13"/>
    <sheet name="DB_Evidence" sheetId="12" state="visible" r:id="rId14"/>
  </sheets>
  <definedNames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Checks!$C$45</definedName>
    <definedName function="false" hidden="false" name="SGOV_Warn" vbProcedure="false">Checks!$C$46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Interface!$D$178:$H$178</definedName>
    <definedName function="false" hidden="false" name="SIF_HBM_DemandGrossEB" vbProcedure="false">Interface!$D$179:$H$179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Interface!$D$185:$H$185</definedName>
    <definedName function="false" hidden="false" name="SIF_HBM_GapEB_B" vbProcedure="false">Interface!$D$190:$H$190</definedName>
    <definedName function="false" hidden="false" name="SIF_HBM_GapEB_C" vbProcedure="false">Interface!$D$195:$H$195</definedName>
    <definedName function="false" hidden="false" name="SIF_HBM_GBperUnit" vbProcedure="false">Interface!$D$181:$H$181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Interface!$D$187:$H$187</definedName>
    <definedName function="false" hidden="false" name="SIF_HBM_Mkt_B" vbProcedure="false">Interface!$D$192:$H$192</definedName>
    <definedName function="false" hidden="false" name="SIF_HBM_Mkt_C" vbProcedure="false">Interface!$D$197:$H$197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Interface!$D$186:$H$186</definedName>
    <definedName function="false" hidden="false" name="SIF_HBM_Price_B" vbProcedure="false">Interface!$D$191:$H$191</definedName>
    <definedName function="false" hidden="false" name="SIF_HBM_Price_C" vbProcedure="false">Interface!$D$196:$H$196</definedName>
    <definedName function="false" hidden="false" name="SIF_HBM_ShipEB_A" vbProcedure="false">Interface!$D$184:$H$184</definedName>
    <definedName function="false" hidden="false" name="SIF_HBM_ShipEB_B" vbProcedure="false">Interface!$D$189:$H$189</definedName>
    <definedName function="false" hidden="false" name="SIF_HBM_ShipEB_C" vbProcedure="false">Interface!$D$194:$H$194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Interface!$D$182:$H$182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TK_CapexFacility_GB200" vbProcedure="false">Interface!$E$232</definedName>
    <definedName function="false" hidden="false" name="SIF_TK_CapexFacility_GB200_hi" vbProcedure="false">Interface!$F$232</definedName>
    <definedName function="false" hidden="false" name="SIF_TK_CapexFacility_GB200_lo" vbProcedure="false">Interface!$D$232</definedName>
    <definedName function="false" hidden="false" name="SIF_TK_CapexFacility_GB300" vbProcedure="false">Interface!$E$233</definedName>
    <definedName function="false" hidden="false" name="SIF_TK_CapexFacility_GB300_hi" vbProcedure="false">Interface!$F$233</definedName>
    <definedName function="false" hidden="false" name="SIF_TK_CapexFacility_GB300_lo" vbProcedure="false">Interface!$D$233</definedName>
    <definedName function="false" hidden="false" name="SIF_TK_CapexFacility_H100" vbProcedure="false">Interface!$E$231</definedName>
    <definedName function="false" hidden="false" name="SIF_TK_CapexFacility_H100_hi" vbProcedure="false">Interface!$F$231</definedName>
    <definedName function="false" hidden="false" name="SIF_TK_CapexFacility_H100_lo" vbProcedure="false">Interface!$D$231</definedName>
    <definedName function="false" hidden="false" name="SIF_TK_CapexFacility_RU" vbProcedure="false">Interface!$E$235</definedName>
    <definedName function="false" hidden="false" name="SIF_TK_CapexFacility_RU_hi" vbProcedure="false">Interface!$F$235</definedName>
    <definedName function="false" hidden="false" name="SIF_TK_CapexFacility_RU_lo" vbProcedure="false">Interface!$D$235</definedName>
    <definedName function="false" hidden="false" name="SIF_TK_CapexFacility_VR200" vbProcedure="false">Interface!$E$234</definedName>
    <definedName function="false" hidden="false" name="SIF_TK_CapexFacility_VR200_hi" vbProcedure="false">Interface!$F$234</definedName>
    <definedName function="false" hidden="false" name="SIF_TK_CapexFacility_VR200_lo" vbProcedure="false">Interface!$D$234</definedName>
    <definedName function="false" hidden="false" name="SIF_TK_CapexIT_GB200" vbProcedure="false">Interface!$E$227</definedName>
    <definedName function="false" hidden="false" name="SIF_TK_CapexIT_GB200_hi" vbProcedure="false">Interface!$F$227</definedName>
    <definedName function="false" hidden="false" name="SIF_TK_CapexIT_GB200_lo" vbProcedure="false">Interface!$D$227</definedName>
    <definedName function="false" hidden="false" name="SIF_TK_CapexIT_GB300" vbProcedure="false">Interface!$E$228</definedName>
    <definedName function="false" hidden="false" name="SIF_TK_CapexIT_GB300_hi" vbProcedure="false">Interface!$F$228</definedName>
    <definedName function="false" hidden="false" name="SIF_TK_CapexIT_GB300_lo" vbProcedure="false">Interface!$D$228</definedName>
    <definedName function="false" hidden="false" name="SIF_TK_CapexIT_H100" vbProcedure="false">Interface!$E$226</definedName>
    <definedName function="false" hidden="false" name="SIF_TK_CapexIT_H100_hi" vbProcedure="false">Interface!$F$226</definedName>
    <definedName function="false" hidden="false" name="SIF_TK_CapexIT_H100_lo" vbProcedure="false">Interface!$D$226</definedName>
    <definedName function="false" hidden="false" name="SIF_TK_CapexIT_RU" vbProcedure="false">Interface!$E$230</definedName>
    <definedName function="false" hidden="false" name="SIF_TK_CapexIT_RU_hi" vbProcedure="false">Interface!$F$230</definedName>
    <definedName function="false" hidden="false" name="SIF_TK_CapexIT_RU_lo" vbProcedure="false">Interface!$D$230</definedName>
    <definedName function="false" hidden="false" name="SIF_TK_CapexIT_VR200" vbProcedure="false">Interface!$E$229</definedName>
    <definedName function="false" hidden="false" name="SIF_TK_CapexIT_VR200_hi" vbProcedure="false">Interface!$F$229</definedName>
    <definedName function="false" hidden="false" name="SIF_TK_CapexIT_VR200_lo" vbProcedure="false">Interface!$D$229</definedName>
    <definedName function="false" hidden="false" name="SIF_TK_CapexTotal_GB200" vbProcedure="false">Interface!$E$237</definedName>
    <definedName function="false" hidden="false" name="SIF_TK_CapexTotal_GB200_hi" vbProcedure="false">Interface!$F$237</definedName>
    <definedName function="false" hidden="false" name="SIF_TK_CapexTotal_GB200_lo" vbProcedure="false">Interface!$D$237</definedName>
    <definedName function="false" hidden="false" name="SIF_TK_CapexTotal_GB300" vbProcedure="false">Interface!$E$238</definedName>
    <definedName function="false" hidden="false" name="SIF_TK_CapexTotal_GB300_hi" vbProcedure="false">Interface!$F$238</definedName>
    <definedName function="false" hidden="false" name="SIF_TK_CapexTotal_GB300_lo" vbProcedure="false">Interface!$D$238</definedName>
    <definedName function="false" hidden="false" name="SIF_TK_CapexTotal_H100" vbProcedure="false">Interface!$E$236</definedName>
    <definedName function="false" hidden="false" name="SIF_TK_CapexTotal_H100_hi" vbProcedure="false">Interface!$F$236</definedName>
    <definedName function="false" hidden="false" name="SIF_TK_CapexTotal_H100_lo" vbProcedure="false">Interface!$D$236</definedName>
    <definedName function="false" hidden="false" name="SIF_TK_CapexTotal_RU" vbProcedure="false">Interface!$E$240</definedName>
    <definedName function="false" hidden="false" name="SIF_TK_CapexTotal_RU_hi" vbProcedure="false">Interface!$F$240</definedName>
    <definedName function="false" hidden="false" name="SIF_TK_CapexTotal_RU_lo" vbProcedure="false">Interface!$D$240</definedName>
    <definedName function="false" hidden="false" name="SIF_TK_CapexTotal_VR200" vbProcedure="false">Interface!$E$239</definedName>
    <definedName function="false" hidden="false" name="SIF_TK_CapexTotal_VR200_hi" vbProcedure="false">Interface!$F$239</definedName>
    <definedName function="false" hidden="false" name="SIF_TK_CapexTotal_VR200_lo" vbProcedure="false">Interface!$D$239</definedName>
    <definedName function="false" hidden="false" name="SIF_TK_GPUsPerGW_GB200" vbProcedure="false">Interface!$E$222</definedName>
    <definedName function="false" hidden="false" name="SIF_TK_GPUsPerGW_GB200_hi" vbProcedure="false">Interface!$F$222</definedName>
    <definedName function="false" hidden="false" name="SIF_TK_GPUsPerGW_GB200_lo" vbProcedure="false">Interface!$D$222</definedName>
    <definedName function="false" hidden="false" name="SIF_TK_GPUsPerGW_GB300" vbProcedure="false">Interface!$E$223</definedName>
    <definedName function="false" hidden="false" name="SIF_TK_GPUsPerGW_GB300_hi" vbProcedure="false">Interface!$F$223</definedName>
    <definedName function="false" hidden="false" name="SIF_TK_GPUsPerGW_GB300_lo" vbProcedure="false">Interface!$D$223</definedName>
    <definedName function="false" hidden="false" name="SIF_TK_GPUsPerGW_H100" vbProcedure="false">Interface!$E$221</definedName>
    <definedName function="false" hidden="false" name="SIF_TK_GPUsPerGW_H100_hi" vbProcedure="false">Interface!$F$221</definedName>
    <definedName function="false" hidden="false" name="SIF_TK_GPUsPerGW_H100_lo" vbProcedure="false">Interface!$D$221</definedName>
    <definedName function="false" hidden="false" name="SIF_TK_GPUsPerGW_RU" vbProcedure="false">Interface!$E$225</definedName>
    <definedName function="false" hidden="false" name="SIF_TK_GPUsPerGW_RU_hi" vbProcedure="false">Interface!$F$225</definedName>
    <definedName function="false" hidden="false" name="SIF_TK_GPUsPerGW_RU_lo" vbProcedure="false">Interface!$D$225</definedName>
    <definedName function="false" hidden="false" name="SIF_TK_GPUsPerGW_VR200" vbProcedure="false">Interface!$E$224</definedName>
    <definedName function="false" hidden="false" name="SIF_TK_GPUsPerGW_VR200_hi" vbProcedure="false">Interface!$F$224</definedName>
    <definedName function="false" hidden="false" name="SIF_TK_GPUsPerGW_VR200_lo" vbProcedure="false">Interface!$D$224</definedName>
    <definedName function="false" hidden="false" name="SIF_TK_NonNV_Hold_AMD" vbProcedure="false">Interface!$E$263</definedName>
    <definedName function="false" hidden="false" name="SIF_TK_NonNV_Hold_AMD_hi" vbProcedure="false">Interface!$F$263</definedName>
    <definedName function="false" hidden="false" name="SIF_TK_NonNV_Hold_AMD_lo" vbProcedure="false">Interface!$D$263</definedName>
    <definedName function="false" hidden="false" name="SIF_TK_NonNV_Hold_Ascend" vbProcedure="false">Interface!$E$268</definedName>
    <definedName function="false" hidden="false" name="SIF_TK_NonNV_Hold_Ascend_hi" vbProcedure="false">Interface!$F$268</definedName>
    <definedName function="false" hidden="false" name="SIF_TK_NonNV_Hold_Ascend_lo" vbProcedure="false">Interface!$D$268</definedName>
    <definedName function="false" hidden="false" name="SIF_TK_NonNV_Hold_CS" vbProcedure="false">Interface!$E$266</definedName>
    <definedName function="false" hidden="false" name="SIF_TK_NonNV_Hold_CS_hi" vbProcedure="false">Interface!$F$266</definedName>
    <definedName function="false" hidden="false" name="SIF_TK_NonNV_Hold_CS_lo" vbProcedure="false">Interface!$D$266</definedName>
    <definedName function="false" hidden="false" name="SIF_TK_NonNV_Hold_Maia" vbProcedure="false">Interface!$E$269</definedName>
    <definedName function="false" hidden="false" name="SIF_TK_NonNV_Hold_Maia_hi" vbProcedure="false">Interface!$F$269</definedName>
    <definedName function="false" hidden="false" name="SIF_TK_NonNV_Hold_Maia_lo" vbProcedure="false">Interface!$D$269</definedName>
    <definedName function="false" hidden="false" name="SIF_TK_NonNV_Hold_OAI" vbProcedure="false">Interface!$E$267</definedName>
    <definedName function="false" hidden="false" name="SIF_TK_NonNV_Hold_OAI_hi" vbProcedure="false">Interface!$F$267</definedName>
    <definedName function="false" hidden="false" name="SIF_TK_NonNV_Hold_OAI_lo" vbProcedure="false">Interface!$D$267</definedName>
    <definedName function="false" hidden="false" name="SIF_TK_NonNV_Hold_TPU" vbProcedure="false">Interface!$E$264</definedName>
    <definedName function="false" hidden="false" name="SIF_TK_NonNV_Hold_TPU_hi" vbProcedure="false">Interface!$F$264</definedName>
    <definedName function="false" hidden="false" name="SIF_TK_NonNV_Hold_TPU_lo" vbProcedure="false">Interface!$D$264</definedName>
    <definedName function="false" hidden="false" name="SIF_TK_NonNV_Hold_Trn" vbProcedure="false">Interface!$E$265</definedName>
    <definedName function="false" hidden="false" name="SIF_TK_NonNV_Hold_Trn_hi" vbProcedure="false">Interface!$F$265</definedName>
    <definedName function="false" hidden="false" name="SIF_TK_NonNV_Hold_Trn_lo" vbProcedure="false">Interface!$D$265</definedName>
    <definedName function="false" hidden="false" name="SIF_TK_NonNV_Out_AMD" vbProcedure="false">Interface!$E$256</definedName>
    <definedName function="false" hidden="false" name="SIF_TK_NonNV_Out_AMD_hi" vbProcedure="false">Interface!$F$256</definedName>
    <definedName function="false" hidden="false" name="SIF_TK_NonNV_Out_AMD_lo" vbProcedure="false">Interface!$D$256</definedName>
    <definedName function="false" hidden="false" name="SIF_TK_NonNV_Out_Ascend" vbProcedure="false">Interface!$E$261</definedName>
    <definedName function="false" hidden="false" name="SIF_TK_NonNV_Out_Ascend_hi" vbProcedure="false">Interface!$F$261</definedName>
    <definedName function="false" hidden="false" name="SIF_TK_NonNV_Out_Ascend_lo" vbProcedure="false">Interface!$D$261</definedName>
    <definedName function="false" hidden="false" name="SIF_TK_NonNV_Out_CS" vbProcedure="false">Interface!$E$259</definedName>
    <definedName function="false" hidden="false" name="SIF_TK_NonNV_Out_CS_hi" vbProcedure="false">Interface!$F$259</definedName>
    <definedName function="false" hidden="false" name="SIF_TK_NonNV_Out_CS_lo" vbProcedure="false">Interface!$D$259</definedName>
    <definedName function="false" hidden="false" name="SIF_TK_NonNV_Out_Maia" vbProcedure="false">Interface!$E$262</definedName>
    <definedName function="false" hidden="false" name="SIF_TK_NonNV_Out_Maia_hi" vbProcedure="false">Interface!$F$262</definedName>
    <definedName function="false" hidden="false" name="SIF_TK_NonNV_Out_Maia_lo" vbProcedure="false">Interface!$D$262</definedName>
    <definedName function="false" hidden="false" name="SIF_TK_NonNV_Out_OAI" vbProcedure="false">Interface!$E$260</definedName>
    <definedName function="false" hidden="false" name="SIF_TK_NonNV_Out_OAI_hi" vbProcedure="false">Interface!$F$260</definedName>
    <definedName function="false" hidden="false" name="SIF_TK_NonNV_Out_OAI_lo" vbProcedure="false">Interface!$D$260</definedName>
    <definedName function="false" hidden="false" name="SIF_TK_NonNV_Out_TPU" vbProcedure="false">Interface!$E$257</definedName>
    <definedName function="false" hidden="false" name="SIF_TK_NonNV_Out_TPU_hi" vbProcedure="false">Interface!$F$257</definedName>
    <definedName function="false" hidden="false" name="SIF_TK_NonNV_Out_TPU_lo" vbProcedure="false">Interface!$D$257</definedName>
    <definedName function="false" hidden="false" name="SIF_TK_NonNV_Out_Trn" vbProcedure="false">Interface!$E$258</definedName>
    <definedName function="false" hidden="false" name="SIF_TK_NonNV_Out_Trn_hi" vbProcedure="false">Interface!$F$258</definedName>
    <definedName function="false" hidden="false" name="SIF_TK_NonNV_Out_Trn_lo" vbProcedure="false">Interface!$D$258</definedName>
    <definedName function="false" hidden="false" name="SIF_TK_RackPrice_GB200" vbProcedure="false">Interface!$E$242</definedName>
    <definedName function="false" hidden="false" name="SIF_TK_RackPrice_GB200_hi" vbProcedure="false">Interface!$F$242</definedName>
    <definedName function="false" hidden="false" name="SIF_TK_RackPrice_GB200_lo" vbProcedure="false">Interface!$D$242</definedName>
    <definedName function="false" hidden="false" name="SIF_TK_RackPrice_GB300" vbProcedure="false">Interface!$E$243</definedName>
    <definedName function="false" hidden="false" name="SIF_TK_RackPrice_GB300_hi" vbProcedure="false">Interface!$F$243</definedName>
    <definedName function="false" hidden="false" name="SIF_TK_RackPrice_GB300_lo" vbProcedure="false">Interface!$D$243</definedName>
    <definedName function="false" hidden="false" name="SIF_TK_RackPrice_H100" vbProcedure="false">Interface!$E$241</definedName>
    <definedName function="false" hidden="false" name="SIF_TK_RackPrice_H100_hi" vbProcedure="false">Interface!$F$241</definedName>
    <definedName function="false" hidden="false" name="SIF_TK_RackPrice_H100_lo" vbProcedure="false">Interface!$D$241</definedName>
    <definedName function="false" hidden="false" name="SIF_TK_RackPrice_RU" vbProcedure="false">Interface!$E$245</definedName>
    <definedName function="false" hidden="false" name="SIF_TK_RackPrice_RU_hi" vbProcedure="false">Interface!$F$245</definedName>
    <definedName function="false" hidden="false" name="SIF_TK_RackPrice_RU_lo" vbProcedure="false">Interface!$D$245</definedName>
    <definedName function="false" hidden="false" name="SIF_TK_RackPrice_VR200" vbProcedure="false">Interface!$E$244</definedName>
    <definedName function="false" hidden="false" name="SIF_TK_RackPrice_VR200_hi" vbProcedure="false">Interface!$F$244</definedName>
    <definedName function="false" hidden="false" name="SIF_TK_RackPrice_VR200_lo" vbProcedure="false">Interface!$D$244</definedName>
    <definedName function="false" hidden="false" name="SIF_TK_RacksPerGW_GB200" vbProcedure="false">Interface!$E$217</definedName>
    <definedName function="false" hidden="false" name="SIF_TK_RacksPerGW_GB200_hi" vbProcedure="false">Interface!$F$217</definedName>
    <definedName function="false" hidden="false" name="SIF_TK_RacksPerGW_GB200_lo" vbProcedure="false">Interface!$D$217</definedName>
    <definedName function="false" hidden="false" name="SIF_TK_RacksPerGW_GB300" vbProcedure="false">Interface!$E$218</definedName>
    <definedName function="false" hidden="false" name="SIF_TK_RacksPerGW_GB300_hi" vbProcedure="false">Interface!$F$218</definedName>
    <definedName function="false" hidden="false" name="SIF_TK_RacksPerGW_GB300_lo" vbProcedure="false">Interface!$D$218</definedName>
    <definedName function="false" hidden="false" name="SIF_TK_RacksPerGW_H100" vbProcedure="false">Interface!$E$216</definedName>
    <definedName function="false" hidden="false" name="SIF_TK_RacksPerGW_H100_hi" vbProcedure="false">Interface!$F$216</definedName>
    <definedName function="false" hidden="false" name="SIF_TK_RacksPerGW_H100_lo" vbProcedure="false">Interface!$D$216</definedName>
    <definedName function="false" hidden="false" name="SIF_TK_RacksPerGW_RU" vbProcedure="false">Interface!$E$220</definedName>
    <definedName function="false" hidden="false" name="SIF_TK_RacksPerGW_RU_hi" vbProcedure="false">Interface!$F$220</definedName>
    <definedName function="false" hidden="false" name="SIF_TK_RacksPerGW_RU_lo" vbProcedure="false">Interface!$D$220</definedName>
    <definedName function="false" hidden="false" name="SIF_TK_RacksPerGW_VR200" vbProcedure="false">Interface!$E$219</definedName>
    <definedName function="false" hidden="false" name="SIF_TK_RacksPerGW_VR200_hi" vbProcedure="false">Interface!$F$219</definedName>
    <definedName function="false" hidden="false" name="SIF_TK_RacksPerGW_VR200_lo" vbProcedure="false">Interface!$D$219</definedName>
    <definedName function="false" hidden="false" name="SIF_TK_ScaleOutShare_GB200" vbProcedure="false">Interface!$E$247</definedName>
    <definedName function="false" hidden="false" name="SIF_TK_ScaleOutShare_GB200_hi" vbProcedure="false">Interface!$F$247</definedName>
    <definedName function="false" hidden="false" name="SIF_TK_ScaleOutShare_GB200_lo" vbProcedure="false">Interface!$D$247</definedName>
    <definedName function="false" hidden="false" name="SIF_TK_ScaleOutShare_GB300" vbProcedure="false">Interface!$E$248</definedName>
    <definedName function="false" hidden="false" name="SIF_TK_ScaleOutShare_GB300_hi" vbProcedure="false">Interface!$F$248</definedName>
    <definedName function="false" hidden="false" name="SIF_TK_ScaleOutShare_GB300_lo" vbProcedure="false">Interface!$D$248</definedName>
    <definedName function="false" hidden="false" name="SIF_TK_ScaleOutShare_H100" vbProcedure="false">Interface!$E$246</definedName>
    <definedName function="false" hidden="false" name="SIF_TK_ScaleOutShare_H100_hi" vbProcedure="false">Interface!$F$246</definedName>
    <definedName function="false" hidden="false" name="SIF_TK_ScaleOutShare_H100_lo" vbProcedure="false">Interface!$D$246</definedName>
    <definedName function="false" hidden="false" name="SIF_TK_ScaleOutShare_RU" vbProcedure="false">Interface!$E$250</definedName>
    <definedName function="false" hidden="false" name="SIF_TK_ScaleOutShare_RU_hi" vbProcedure="false">Interface!$F$250</definedName>
    <definedName function="false" hidden="false" name="SIF_TK_ScaleOutShare_RU_lo" vbProcedure="false">Interface!$D$250</definedName>
    <definedName function="false" hidden="false" name="SIF_TK_ScaleOutShare_VR200" vbProcedure="false">Interface!$E$249</definedName>
    <definedName function="false" hidden="false" name="SIF_TK_ScaleOutShare_VR200_hi" vbProcedure="false">Interface!$F$249</definedName>
    <definedName function="false" hidden="false" name="SIF_TK_ScaleOutShare_VR200_lo" vbProcedure="false">Interface!$D$249</definedName>
    <definedName function="false" hidden="false" name="SIF_TK_StoragePerGPU_GB200" vbProcedure="false">Interface!$E$252</definedName>
    <definedName function="false" hidden="false" name="SIF_TK_StoragePerGPU_GB200_hi" vbProcedure="false">Interface!$F$252</definedName>
    <definedName function="false" hidden="false" name="SIF_TK_StoragePerGPU_GB200_lo" vbProcedure="false">Interface!$D$252</definedName>
    <definedName function="false" hidden="false" name="SIF_TK_StoragePerGPU_GB300" vbProcedure="false">Interface!$E$253</definedName>
    <definedName function="false" hidden="false" name="SIF_TK_StoragePerGPU_GB300_hi" vbProcedure="false">Interface!$F$253</definedName>
    <definedName function="false" hidden="false" name="SIF_TK_StoragePerGPU_GB300_lo" vbProcedure="false">Interface!$D$253</definedName>
    <definedName function="false" hidden="false" name="SIF_TK_StoragePerGPU_H100" vbProcedure="false">Interface!$E$251</definedName>
    <definedName function="false" hidden="false" name="SIF_TK_StoragePerGPU_H100_hi" vbProcedure="false">Interface!$F$251</definedName>
    <definedName function="false" hidden="false" name="SIF_TK_StoragePerGPU_H100_lo" vbProcedure="false">Interface!$D$251</definedName>
    <definedName function="false" hidden="false" name="SIF_TK_StoragePerGPU_RU" vbProcedure="false">Interface!$E$255</definedName>
    <definedName function="false" hidden="false" name="SIF_TK_StoragePerGPU_RU_hi" vbProcedure="false">Interface!$F$255</definedName>
    <definedName function="false" hidden="false" name="SIF_TK_StoragePerGPU_RU_lo" vbProcedure="false">Interface!$D$255</definedName>
    <definedName function="false" hidden="false" name="SIF_TK_StoragePerGPU_VR200" vbProcedure="false">Interface!$E$254</definedName>
    <definedName function="false" hidden="false" name="SIF_TK_StoragePerGPU_VR200_hi" vbProcedure="false">Interface!$F$254</definedName>
    <definedName function="false" hidden="false" name="SIF_TK_StoragePerGPU_VR200_lo" vbProcedure="false">Interface!$D$254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Interface!$D$183:$H$183</definedName>
    <definedName function="false" hidden="false" name="SIF_UnitsCoef_B" vbProcedure="false">Interface!$D$188:$H$188</definedName>
    <definedName function="false" hidden="false" name="SIF_UnitsCoef_C" vbProcedure="false">Interface!$D$193:$H$193</definedName>
    <definedName function="false" hidden="false" name="SIF_UnitsGrowth29" vbProcedure="false">Interface!$E$212</definedName>
    <definedName function="false" hidden="false" name="SIF_UnitsPlat_amd" vbProcedure="false">Interface!$D$204:$H$204</definedName>
    <definedName function="false" hidden="false" name="SIF_UnitsPlat_bw" vbProcedure="false">Interface!$D$200:$H$200</definedName>
    <definedName function="false" hidden="false" name="SIF_UnitsPlat_hp" vbProcedure="false">Interface!$D$203:$H$203</definedName>
    <definedName function="false" hidden="false" name="SIF_UnitsPlat_oth" vbProcedure="false">Interface!$D$207:$H$207</definedName>
    <definedName function="false" hidden="false" name="SIF_UnitsPlat_rb" vbProcedure="false">Interface!$D$201:$H$201</definedName>
    <definedName function="false" hidden="false" name="SIF_UnitsPlat_ru" vbProcedure="false">Interface!$D$202:$H$202</definedName>
    <definedName function="false" hidden="false" name="SIF_UnitsPlat_Total" vbProcedure="false">Interface!$D$208:$H$208</definedName>
    <definedName function="false" hidden="false" name="SIF_UnitsPlat_Total_A" vbProcedure="false">Interface!$D$209:$H$209</definedName>
    <definedName function="false" hidden="false" name="SIF_UnitsPlat_Total_B" vbProcedure="false">Interface!$D$210:$H$210</definedName>
    <definedName function="false" hidden="false" name="SIF_UnitsPlat_Total_C" vbProcedure="false">Interface!$D$211:$H$211</definedName>
    <definedName function="false" hidden="false" name="SIF_UnitsPlat_tpu" vbProcedure="false">Interface!$D$205:$H$205</definedName>
    <definedName function="false" hidden="false" name="SIF_UnitsPlat_trn" vbProcedure="false">Interface!$D$206:$H$206</definedName>
    <definedName function="false" hidden="false" name="SIF_Units_Total" vbProcedure="false">Interface!$D$180:$H$180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<sst xmlns="http://schemas.openxmlformats.org/spreadsheetml/2006/main" count="3221" uniqueCount="1691">
  <si>
    <r>
      <rPr>
        <b val="true"/>
        <sz val="13"/>
        <rFont val="Cambria"/>
        <family val="0"/>
        <charset val="1"/>
      </rPr>
      <t xml:space="preserve">Siliconomics v0.2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</si>
  <si>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</si>
  <si>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</si>
  <si>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</si>
  <si>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</si>
  <si>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</si>
  <si>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</si>
  <si>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</si>
  <si>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</si>
  <si>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</si>
  <si>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</si>
  <si>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</si>
  <si>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</si>
  <si>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</si>
  <si>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</si>
  <si>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</si>
  <si>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</si>
  <si>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</si>
  <si>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</si>
  <si>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</si>
  <si>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</si>
  <si>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</si>
  <si>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</si>
  <si>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</si>
  <si>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</si>
  <si>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</si>
  <si>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</si>
  <si>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</si>
  <si>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</si>
  <si>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</si>
  <si>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</si>
  <si>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</si>
  <si>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</si>
  <si>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</si>
  <si>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</si>
  <si>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</si>
  <si>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</si>
  <si>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</si>
  <si>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</si>
  <si>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</si>
  <si>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</si>
  <si>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</si>
  <si>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</si>
  <si>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</si>
  <si>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</si>
  <si>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</si>
  <si>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</si>
  <si>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</si>
  <si>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</si>
  <si>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</si>
  <si>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</si>
  <si>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</si>
  <si>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</si>
  <si>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</si>
  <si>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</si>
  <si>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</si>
  <si>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</si>
  <si>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</si>
  <si>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</si>
  <si>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</si>
  <si>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</si>
  <si>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</si>
  <si>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</si>
  <si>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</si>
  <si>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</si>
  <si>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</si>
  <si>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</si>
  <si>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</si>
  <si>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</si>
  <si>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</si>
  <si>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</si>
  <si>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</si>
  <si>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</si>
  <si>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</si>
  <si>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</si>
  <si>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</si>
  <si>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</si>
  <si>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</si>
  <si>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</si>
  <si>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</si>
  <si>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</si>
  <si>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</si>
  <si>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</si>
  <si>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</si>
  <si>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</si>
  <si>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</si>
  <si>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</si>
  <si>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</si>
  <si>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</si>
  <si>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</si>
  <si>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</si>
  <si>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</si>
  <si>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</si>
  <si>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</si>
  <si>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</si>
  <si>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</si>
  <si>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</si>
  <si>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</si>
  <si>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</si>
  <si>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</si>
  <si>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</si>
  <si>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</si>
  <si>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</si>
  <si>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</si>
  <si>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</si>
  <si>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</si>
  <si>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</si>
  <si>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</si>
  <si>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</si>
  <si>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</si>
  <si>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</si>
  <si>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</si>
  <si>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</si>
  <si>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</si>
  <si>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</si>
  <si>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</si>
  <si>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</si>
  <si>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</si>
  <si>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</si>
  <si>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</si>
  <si>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</si>
  <si>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</si>
  <si>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</si>
  <si>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</si>
  <si>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</si>
  <si>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</si>
  <si>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</si>
  <si>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</si>
  <si>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</si>
  <si>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</si>
  <si>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</si>
  <si>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</si>
  <si>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</si>
  <si>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</si>
  <si>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</si>
  <si>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</si>
  <si>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</si>
  <si>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</si>
  <si>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</si>
  <si>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</si>
  <si>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</si>
  <si>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</si>
  <si>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</si>
  <si>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</si>
  <si>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</si>
  <si>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</si>
  <si>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</si>
  <si>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</si>
  <si>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</si>
  <si>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</si>
  <si>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</si>
  <si>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</si>
  <si>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</si>
  <si>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</si>
  <si>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</si>
  <si>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</si>
  <si>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</si>
  <si>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</si>
  <si>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</si>
  <si>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</si>
  <si>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</si>
  <si>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</si>
  <si>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</si>
  <si>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</si>
  <si>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</si>
  <si>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</si>
  <si>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</si>
  <si>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</si>
  <si>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</si>
  <si>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</si>
  <si>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</si>
  <si>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</si>
  <si>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</si>
  <si>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</si>
  <si>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</si>
  <si>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</si>
  <si>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</si>
  <si>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</si>
  <si>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</si>
  <si>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</si>
  <si>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</si>
  <si>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</si>
  <si>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</si>
  <si>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</si>
  <si>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</si>
  <si>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</si>
  <si>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</si>
  <si>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</si>
  <si>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</si>
  <si>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</si>
  <si>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</si>
  <si>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</si>
  <si>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</si>
  <si>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</si>
  <si>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</si>
  <si>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</si>
  <si>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</si>
  <si>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</si>
  <si>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</si>
  <si>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</si>
  <si>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</si>
  <si>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</si>
  <si>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</si>
  <si>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</si>
  <si>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</si>
  <si>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</si>
  <si>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</si>
  <si>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</si>
  <si>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</si>
  <si>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</si>
  <si>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</si>
  <si>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</si>
  <si>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</si>
  <si>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</si>
  <si>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</si>
  <si>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</si>
  <si>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</si>
  <si>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</si>
  <si>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</si>
  <si>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</si>
  <si>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</si>
  <si>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</si>
  <si>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</si>
  <si>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</si>
  <si>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</si>
  <si>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</si>
  <si>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</si>
  <si>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</si>
  <si>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</si>
  <si>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</si>
  <si>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</si>
  <si>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</si>
  <si>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</si>
  <si>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</si>
  <si>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</si>
  <si>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</si>
  <si>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</si>
  <si>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</si>
  <si>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</si>
  <si>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</si>
  <si>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</si>
  <si>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</si>
  <si>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</si>
  <si>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</si>
  <si>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</si>
  <si>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</si>
  <si>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</si>
  <si>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</si>
  <si>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</si>
  <si>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</si>
  <si>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</si>
  <si>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</si>
  <si>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</si>
  <si>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</si>
  <si>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</si>
  <si>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</si>
  <si>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</si>
  <si>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</si>
  <si>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</si>
  <si>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</si>
  <si>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</si>
  <si>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</si>
  <si>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</si>
  <si>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</si>
  <si>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</si>
  <si>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</si>
  <si>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</si>
  <si>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</si>
  <si>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</si>
  <si>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</si>
  <si>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</si>
  <si>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</si>
  <si>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</si>
  <si>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</si>
  <si>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</si>
  <si>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</si>
  <si>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</si>
  <si>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</si>
  <si>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</si>
  <si>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</si>
  <si>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</si>
  <si>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</si>
  <si>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</si>
  <si>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</si>
  <si>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</si>
  <si>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</si>
  <si>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</si>
  <si>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</si>
  <si>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</si>
  <si>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</si>
  <si>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</si>
  <si>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</si>
  <si>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</si>
  <si>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</si>
  <si>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</si>
  <si>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</si>
  <si>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</si>
  <si>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</si>
  <si>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</si>
  <si>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</si>
  <si>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</si>
  <si>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</si>
  <si>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</si>
  <si>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</si>
  <si>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</si>
  <si>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</si>
  <si>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</si>
  <si>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</si>
  <si>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</si>
  <si>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</si>
  <si>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</si>
  <si>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</si>
  <si>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</si>
  <si>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</si>
  <si>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</si>
  <si>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</si>
  <si>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</si>
  <si>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</si>
  <si>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</si>
  <si>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</si>
  <si>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</si>
  <si>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</si>
  <si>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</si>
  <si>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</si>
  <si>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</si>
  <si>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</si>
  <si>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</si>
  <si>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</si>
  <si>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</si>
  <si>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</si>
  <si>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</si>
  <si>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</si>
  <si>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</si>
  <si>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</si>
  <si>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</si>
  <si>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</si>
  <si>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</si>
  <si>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</si>
  <si>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</si>
  <si>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</si>
  <si>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</si>
  <si>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</si>
  <si>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</si>
  <si>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</si>
  <si>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</si>
  <si>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</si>
  <si>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</si>
  <si>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</si>
  <si>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</si>
  <si>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</si>
  <si>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</si>
  <si>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</si>
  <si>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</si>
  <si>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</si>
  <si>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</si>
  <si>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</si>
  <si>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</si>
  <si>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</si>
  <si>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</si>
  <si>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</si>
  <si>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</si>
  <si>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</si>
  <si>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</si>
  <si>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</si>
  <si>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</si>
  <si>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</si>
  <si>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</si>
  <si>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</si>
  <si>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</si>
  <si>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</si>
  <si>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</si>
  <si>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</si>
  <si>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</si>
  <si>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</si>
  <si>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</si>
  <si>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</si>
  <si>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</si>
  <si>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</si>
  <si>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</si>
  <si>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</si>
  <si>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</si>
  <si>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</si>
  <si>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</si>
  <si>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</si>
  <si>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</si>
  <si>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</si>
  <si>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</si>
  <si>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</si>
  <si>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</si>
  <si>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</si>
  <si>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</si>
  <si>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</si>
  <si>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</si>
  <si>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</si>
  <si>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</si>
  <si>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</si>
  <si>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</si>
  <si>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</si>
  <si>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</si>
  <si>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</si>
  <si>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</si>
  <si>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</si>
  <si>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</si>
  <si>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</si>
  <si>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</si>
  <si>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</si>
  <si>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</si>
  <si>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</si>
  <si>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</si>
  <si>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</si>
  <si>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</si>
  <si>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</si>
  <si>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</si>
  <si>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</si>
  <si>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</si>
  <si>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</si>
  <si>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</si>
  <si>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</si>
  <si>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</si>
  <si>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</si>
  <si>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</si>
  <si>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</si>
  <si>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</si>
  <si>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</si>
  <si>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</si>
  <si>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</si>
  <si>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</si>
  <si>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</si>
  <si>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</si>
  <si>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</si>
  <si>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</si>
  <si>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</si>
  <si>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</si>
  <si>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</si>
  <si>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</si>
  <si>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</si>
  <si>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</si>
  <si>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</si>
  <si>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</si>
  <si>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</si>
  <si>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</si>
  <si>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</si>
  <si>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</si>
  <si>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</si>
  <si>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</si>
  <si>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</si>
  <si>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</si>
  <si>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</si>
  <si>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</si>
  <si>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</si>
  <si>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</si>
  <si>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</si>
  <si>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</si>
  <si>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</si>
  <si>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</si>
  <si>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</si>
  <si>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</si>
  <si>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</si>
  <si>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</si>
  <si>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</si>
  <si>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</si>
  <si>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</si>
  <si>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</si>
  <si>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</si>
  <si>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</si>
  <si>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</si>
  <si>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</si>
  <si>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</si>
  <si>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</si>
  <si>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</si>
  <si>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</si>
  <si>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</si>
  <si>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</si>
  <si>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</si>
  <si>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</si>
  <si>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</si>
  <si>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</si>
  <si>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</si>
  <si>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</si>
  <si>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</si>
  <si>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</si>
  <si>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</si>
  <si>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</si>
  <si>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</si>
  <si>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</si>
  <si>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</si>
  <si>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</si>
  <si>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</si>
  <si>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</si>
  <si>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</si>
  <si>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</si>
  <si>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</si>
  <si>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</si>
  <si>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</si>
  <si>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</si>
  <si>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</si>
  <si>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</si>
  <si>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</si>
  <si>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</si>
  <si>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</si>
  <si>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</si>
  <si>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</si>
  <si>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</si>
  <si>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</si>
  <si>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</si>
  <si>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</si>
  <si>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</si>
  <si>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</si>
  <si>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</si>
  <si>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</si>
  <si>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</si>
  <si>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</si>
  <si>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</si>
  <si>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</si>
  <si>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</si>
  <si>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</si>
  <si>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</si>
  <si>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</si>
  <si>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</si>
  <si>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</si>
  <si>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</si>
  <si>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</si>
  <si>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</si>
  <si>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</si>
  <si>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</si>
  <si>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</si>
  <si>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</si>
  <si>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</si>
  <si>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</si>
  <si>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</si>
  <si>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</si>
  <si>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</si>
  <si>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</si>
  <si>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</si>
  <si>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</si>
  <si>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</si>
  <si>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</si>
  <si>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</si>
  <si>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</si>
  <si>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</si>
  <si>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</si>
  <si>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</si>
  <si>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</si>
  <si>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</si>
  <si>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</si>
  <si>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</si>
  <si>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</si>
  <si>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</si>
  <si>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</si>
  <si>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</si>
  <si>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</si>
  <si>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</si>
  <si>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</si>
  <si>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</si>
  <si>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</si>
  <si>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</si>
  <si>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</si>
  <si>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</si>
  <si>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</si>
  <si>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</si>
  <si>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</si>
  <si>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</si>
  <si>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</si>
  <si>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</si>
  <si>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</si>
  <si>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</si>
  <si>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</si>
  <si>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</si>
  <si>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</si>
  <si>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</si>
  <si>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</si>
  <si>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</si>
  <si>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</si>
  <si>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</si>
  <si>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</si>
  <si>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</si>
  <si>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</si>
  <si>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</si>
  <si>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</si>
  <si>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</si>
  <si>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</si>
  <si>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</si>
  <si>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</si>
  <si>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</si>
  <si>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</si>
  <si>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</si>
  <si>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</si>
  <si>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</si>
  <si>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</si>
  <si>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</si>
  <si>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</si>
  <si>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</si>
  <si>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</si>
  <si>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</si>
  <si>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</si>
  <si>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</si>
  <si>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</si>
  <si>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</si>
  <si>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</si>
  <si>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</si>
  <si>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</si>
  <si>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</si>
  <si>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</si>
  <si>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</si>
  <si>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</si>
  <si>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</si>
  <si>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</si>
  <si>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</si>
  <si>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</si>
  <si>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</si>
  <si>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</si>
  <si>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</si>
  <si>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</si>
  <si>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</si>
  <si>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</si>
  <si>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</si>
  <si>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</si>
  <si>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</si>
  <si>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</si>
  <si>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</si>
  <si>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</si>
  <si>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</si>
  <si>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</si>
  <si>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</si>
  <si>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</si>
  <si>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</si>
  <si>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</si>
  <si>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</si>
  <si>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</si>
  <si>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</si>
  <si>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</si>
  <si>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</si>
  <si>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</si>
  <si>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</si>
  <si>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</si>
  <si>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</si>
  <si>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</si>
  <si>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</si>
  <si>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</si>
  <si>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</si>
  <si>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</si>
  <si>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</si>
  <si>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</si>
  <si>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</si>
  <si>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</si>
  <si>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</si>
  <si>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</si>
  <si>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</si>
  <si>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</si>
  <si>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</si>
  <si>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</si>
  <si>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</si>
  <si>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</si>
  <si>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</si>
  <si>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</si>
  <si>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</si>
  <si>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</si>
  <si>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</si>
  <si>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</si>
  <si>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</si>
  <si>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</si>
  <si>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</si>
  <si>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</si>
  <si>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</si>
  <si>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</si>
  <si>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</si>
  <si>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</si>
  <si>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</si>
  <si>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</si>
  <si>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</si>
  <si>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</si>
  <si>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</si>
  <si>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</si>
  <si>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</si>
  <si>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</si>
  <si>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</si>
  <si>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</si>
  <si>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</si>
  <si>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</si>
  <si>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</si>
  <si>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</si>
  <si>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</si>
  <si>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</si>
  <si>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</si>
  <si>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</si>
  <si>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</si>
  <si>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</si>
  <si>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</si>
  <si>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</si>
  <si>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</si>
  <si>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</si>
  <si>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</si>
  <si>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</si>
  <si>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</si>
  <si>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</si>
  <si>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</si>
  <si>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</si>
  <si>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</si>
  <si>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</si>
  <si>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</si>
  <si>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</si>
  <si>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</si>
  <si>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</si>
  <si>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</si>
  <si>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</si>
  <si>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</si>
  <si>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</si>
  <si>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</si>
  <si>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</si>
  <si>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</si>
  <si>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</si>
  <si>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</si>
  <si>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</si>
  <si>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</si>
  <si>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</si>
  <si>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</si>
  <si>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</si>
  <si>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</si>
  <si>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</si>
  <si>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</si>
  <si>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</si>
  <si>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</si>
  <si>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</si>
  <si>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</si>
  <si>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</si>
  <si>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</si>
  <si>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</si>
  <si>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</si>
  <si>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</si>
  <si>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</si>
  <si>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</si>
  <si>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</si>
  <si>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</si>
  <si>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</si>
  <si>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</si>
  <si>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</si>
  <si>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</si>
  <si>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</si>
  <si>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</si>
  <si>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</si>
  <si>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</si>
  <si>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</si>
  <si>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</si>
  <si>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</si>
  <si>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</si>
  <si>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</si>
  <si>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</si>
  <si>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</si>
  <si>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</si>
  <si>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</si>
  <si>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</si>
  <si>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</si>
  <si>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</si>
  <si>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</si>
  <si>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</si>
  <si>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</si>
  <si>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</si>
  <si>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</si>
  <si>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</si>
  <si>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</si>
  <si>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</si>
  <si>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</si>
  <si>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</si>
  <si>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</si>
  <si>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</si>
  <si>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</si>
  <si>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</si>
  <si>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</si>
  <si>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</si>
  <si>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</si>
  <si>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</si>
  <si>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</si>
  <si>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</si>
  <si>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</si>
  <si>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</si>
  <si>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</si>
  <si>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</si>
  <si>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</si>
  <si>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</si>
  <si>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</si>
  <si>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</si>
  <si>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</si>
  <si>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</si>
  <si>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</si>
  <si>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</si>
  <si>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</si>
  <si>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</si>
  <si>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</si>
  <si>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</si>
  <si>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</si>
  <si>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</si>
  <si>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</si>
  <si>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</si>
  <si>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</si>
  <si>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</si>
  <si>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</si>
  <si>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</si>
  <si>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</si>
  <si>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</si>
  <si>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</si>
  <si>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</si>
  <si>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</si>
  <si>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</si>
  <si>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</si>
  <si>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</si>
  <si>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</si>
  <si>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</si>
  <si>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</si>
  <si>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</si>
  <si>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</si>
  <si>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</si>
  <si>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</si>
  <si>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</si>
  <si>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</si>
  <si>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</si>
  <si>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</si>
  <si>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</si>
  <si>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</si>
  <si>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</si>
  <si>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</si>
  <si>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</si>
  <si>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</si>
  <si>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</si>
  <si>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</si>
  <si>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</si>
  <si>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</si>
  <si>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</si>
  <si>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</si>
  <si>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</si>
  <si>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</si>
  <si>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</si>
  <si>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</si>
  <si>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</si>
  <si>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</si>
  <si>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</si>
  <si>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</si>
  <si>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</si>
  <si>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</si>
  <si>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</si>
  <si>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</si>
  <si>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</si>
  <si>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</si>
  <si>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</si>
  <si>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</si>
  <si>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</si>
  <si>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</si>
  <si>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</si>
  <si>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</si>
  <si>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</si>
  <si>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</si>
  <si>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</si>
  <si>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</si>
  <si>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</si>
  <si>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</si>
  <si>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</si>
  <si>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</si>
  <si>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</si>
  <si>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</si>
  <si>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</si>
  <si>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</si>
  <si>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</si>
  <si>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</si>
  <si>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</si>
  <si>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</si>
  <si>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</si>
  <si>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</si>
  <si>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</si>
  <si>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</si>
  <si>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</si>
  <si>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</si>
  <si>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</si>
  <si>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</si>
  <si>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</si>
  <si>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</si>
  <si>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</si>
  <si>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</si>
  <si>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</si>
  <si>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</si>
  <si>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</si>
  <si>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</si>
  <si>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</si>
  <si>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</si>
  <si>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</si>
  <si>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</si>
  <si>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</si>
  <si>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</si>
  <si>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</si>
  <si>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</si>
  <si>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</si>
  <si>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</si>
  <si>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</si>
  <si>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</si>
  <si>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</si>
  <si>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</si>
  <si>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</si>
  <si>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</si>
  <si>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</si>
  <si>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</si>
  <si>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</si>
  <si>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</si>
  <si>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</si>
  <si>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</si>
  <si>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</si>
  <si>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</si>
  <si>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</si>
  <si>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</si>
  <si>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</si>
  <si>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</si>
  <si>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</si>
  <si>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</si>
  <si>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</si>
  <si>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</si>
  <si>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</si>
  <si>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</si>
  <si>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</si>
  <si>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</si>
  <si>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</si>
  <si>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</si>
  <si>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</si>
  <si>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</si>
  <si>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</si>
  <si>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</si>
  <si>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</si>
  <si>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</si>
  <si>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</si>
  <si>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</si>
  <si>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</si>
  <si>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</si>
  <si>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</si>
  <si>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</si>
  <si>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</si>
  <si>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</si>
  <si>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</si>
  <si>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</si>
  <si>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t xml:space="preserve">—</t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</si>
  <si>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</si>
  <si>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</si>
  <si>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</si>
  <si>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</si>
  <si>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</si>
  <si>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</si>
  <si>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</si>
  <si>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</si>
  <si>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</si>
  <si>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</si>
  <si>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</si>
  <si>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</si>
  <si>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</si>
  <si>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</si>
  <si>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</si>
  <si>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</si>
  <si>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</si>
  <si>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</si>
  <si>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</si>
  <si>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</si>
  <si>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</si>
  <si>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</si>
  <si>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</si>
  <si>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</si>
  <si>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</si>
  <si>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</si>
  <si>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</si>
  <si>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</si>
  <si>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</si>
  <si>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</si>
  <si>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</si>
  <si>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</si>
  <si>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</si>
  <si>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</si>
  <si>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</si>
  <si>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</si>
  <si>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</si>
  <si>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</si>
  <si>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</si>
  <si>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</si>
  <si>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</si>
  <si>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</si>
  <si>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</si>
  <si>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</si>
  <si>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</si>
  <si>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</si>
  <si>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</si>
  <si>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</si>
  <si>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</si>
  <si>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</si>
  <si>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</si>
  <si>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</si>
  <si>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t xml:space="preserve">US$B</t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</si>
  <si>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</si>
  <si>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</si>
  <si>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</si>
  <si>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</si>
  <si>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</si>
  <si>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</si>
  <si>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</si>
  <si>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</si>
  <si>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</si>
  <si>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</si>
  <si>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</si>
  <si>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</si>
  <si>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</si>
  <si>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</si>
  <si>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</si>
  <si>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</si>
  <si>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</si>
  <si>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</si>
  <si>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</si>
  <si>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</si>
  <si>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</si>
  <si>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</si>
  <si>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</si>
  <si>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</si>
  <si>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</si>
  <si>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</si>
  <si>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</si>
  <si>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</si>
  <si>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</si>
  <si>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</si>
  <si>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</si>
  <si>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</si>
  <si>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</si>
  <si>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</si>
  <si>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</si>
  <si>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Noto Sans CJK SC"/>
        <family val="2"/>
      </rPr>
      <t xml:space="preserve">本庫只留一組加速器每顆價（</t>
    </r>
    <r>
      <rPr>
        <sz val="11"/>
        <color theme="1"/>
        <rFont val="Calibri"/>
        <family val="2"/>
        <charset val="1"/>
      </rPr>
      <t xml:space="preserve">nvidia 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core_* </t>
    </r>
    <r>
      <rPr>
        <sz val="11"/>
        <color theme="1"/>
        <rFont val="Noto Sans CJK SC"/>
        <family val="2"/>
      </rPr>
      <t xml:space="preserve">合併為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每顆規格），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份額由同一顆數層推導；候選母體文字更新</t>
    </r>
  </si>
  <si>
    <t xml:space="preserve">v0.2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</si>
  <si>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</si>
  <si>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</si>
  <si>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</si>
  <si>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</si>
  <si>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</si>
  <si>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</si>
  <si>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</si>
  <si>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</si>
  <si>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</si>
  <si>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每顆規格分列核心售價與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代購比例，兩家依各自是否轉手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讀同一組數；差異應只剩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</si>
  <si>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</si>
  <si>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</si>
  <si>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</si>
  <si>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</si>
  <si>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</si>
  <si>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</si>
  <si>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</si>
  <si>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</si>
  <si>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</si>
  <si>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</si>
  <si>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</si>
  <si>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</si>
  <si>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</si>
  <si>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</si>
  <si>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</si>
  <si>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</si>
  <si>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</si>
  <si>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</si>
  <si>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</si>
  <si>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</si>
  <si>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</si>
  <si>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</si>
  <si>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</si>
  <si>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</si>
  <si>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</si>
  <si>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</si>
  <si>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</si>
  <si>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</si>
  <si>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</si>
  <si>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</si>
  <si>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本庫已用 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（基準值不變，只影響敏感度欄）</t>
    </r>
  </si>
  <si>
    <t xml:space="preserve">v0.3</t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</si>
  <si>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</si>
  <si>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</si>
  <si>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</si>
  <si>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</si>
  <si>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</si>
  <si>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</si>
  <si>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</si>
  <si>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</si>
  <si>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</si>
  <si>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</si>
  <si>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</si>
  <si>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</si>
  <si>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</si>
  <si>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</si>
  <si>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</si>
  <si>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</si>
  <si>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</si>
  <si>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</si>
  <si>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</si>
  <si>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</si>
  <si>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設計服務份額表（合計＝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，加總檢查）；預設維持模型路徑（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為主），賣方 </t>
    </r>
    <r>
      <rPr>
        <sz val="11"/>
        <color theme="1"/>
        <rFont val="Calibri"/>
        <family val="2"/>
        <charset val="1"/>
      </rPr>
      <t xml:space="preserve">51% </t>
    </r>
    <r>
      <rPr>
        <sz val="11"/>
        <color theme="1"/>
        <rFont val="Noto Sans CJK SC"/>
        <family val="2"/>
      </rPr>
      <t xml:space="preserve">列為聯發科高情境證據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</si>
  <si>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</si>
  <si>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</si>
  <si>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</si>
  <si>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</si>
  <si>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</si>
  <si>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</si>
  <si>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</si>
  <si>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</si>
  <si>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</si>
  <si>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</si>
  <si>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</si>
  <si>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</si>
  <si>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</si>
  <si>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</si>
  <si>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</si>
  <si>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</si>
  <si>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</si>
  <si>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</si>
  <si>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</si>
  <si>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</si>
  <si>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</si>
  <si>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</si>
  <si>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</si>
  <si>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</si>
  <si>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</si>
  <si>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</si>
  <si>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</si>
  <si>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</si>
  <si>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</si>
  <si>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Noto Sans CJK SC"/>
        <family val="2"/>
      </rPr>
      <t xml:space="preserve">本庫設單一部署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路徑（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上線前以 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算法為準），各模型改讀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</si>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</sst>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%"/>
    <numFmt numFmtId="168" formatCode="0"/>
    <numFmt numFmtId="169" formatCode="0.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17.15" hidden="false" customHeight="false" outlineLevel="0" collapsed="false">
      <c r="A6" s="2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2" t="s">
        <v>7</v>
      </c>
    </row>
    <row r="9" customFormat="false" ht="17.15" hidden="false" customHeight="false" outlineLevel="0" collapsed="false">
      <c r="A9" s="3" t="s">
        <v>8</v>
      </c>
    </row>
    <row r="10" customFormat="false" ht="17.15" hidden="false" customHeight="false" outlineLevel="0" collapsed="false">
      <c r="A10" s="2" t="s">
        <v>9</v>
      </c>
    </row>
    <row r="11" customFormat="false" ht="32.8" hidden="false" customHeight="false" outlineLevel="0" collapsed="false">
      <c r="A1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11</v>
      </c>
    </row>
    <row r="3" customFormat="false" ht="17.1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17</v>
      </c>
      <c r="G3" s="5" t="s">
        <v>18</v>
      </c>
    </row>
    <row r="4" customFormat="false" ht="17.15" hidden="false" customHeight="false" outlineLevel="0" collapsed="false">
      <c r="A4" s="0" t="s">
        <v>19</v>
      </c>
      <c r="B4" s="6" t="s">
        <v>20</v>
      </c>
      <c r="C4" s="6" t="s">
        <v>21</v>
      </c>
      <c r="D4" s="0" t="s">
        <v>22</v>
      </c>
      <c r="E4" s="7" t="n">
        <f aca="false">um28_A</f>
        <v>1</v>
      </c>
      <c r="F4" s="7" t="n">
        <f aca="false">um29_A</f>
        <v>1</v>
      </c>
      <c r="G4" s="8" t="s">
        <v>23</v>
      </c>
    </row>
    <row r="5" customFormat="false" ht="17.15" hidden="false" customHeight="false" outlineLevel="0" collapsed="false">
      <c r="A5" s="0" t="s">
        <v>24</v>
      </c>
      <c r="B5" s="6" t="s">
        <v>25</v>
      </c>
      <c r="C5" s="0" t="s">
        <v>26</v>
      </c>
      <c r="D5" s="0" t="s">
        <v>27</v>
      </c>
      <c r="E5" s="7" t="n">
        <f aca="false">um28_B</f>
        <v>0.8</v>
      </c>
      <c r="F5" s="7" t="n">
        <f aca="false">um29_B</f>
        <v>0.85</v>
      </c>
      <c r="G5" s="8" t="s">
        <v>23</v>
      </c>
    </row>
    <row r="6" customFormat="false" ht="17.15" hidden="false" customHeight="false" outlineLevel="0" collapsed="false">
      <c r="A6" s="0" t="s">
        <v>28</v>
      </c>
      <c r="B6" s="6" t="s">
        <v>29</v>
      </c>
      <c r="C6" s="6" t="s">
        <v>30</v>
      </c>
      <c r="D6" s="0" t="s">
        <v>31</v>
      </c>
      <c r="E6" s="7" t="n">
        <f aca="false">um28_C</f>
        <v>0.6</v>
      </c>
      <c r="F6" s="7" t="n">
        <f aca="false">um29_C</f>
        <v>0.6</v>
      </c>
      <c r="G6" s="8" t="s">
        <v>23</v>
      </c>
    </row>
    <row r="9" customFormat="false" ht="15" hidden="false" customHeight="false" outlineLevel="0" collapsed="false">
      <c r="A9" s="9" t="s">
        <v>32</v>
      </c>
    </row>
    <row r="10" customFormat="false" ht="17.15" hidden="false" customHeight="false" outlineLevel="0" collapsed="false">
      <c r="A10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</cols>
  <sheetData>
    <row r="1" customFormat="false" ht="17.15" hidden="false" customHeight="false" outlineLevel="0" collapsed="false">
      <c r="A1" s="0" t="s">
        <v>34</v>
      </c>
    </row>
    <row r="2" customFormat="false" ht="17.15" hidden="false" customHeight="false" outlineLevel="0" collapsed="false">
      <c r="A2" s="6" t="s">
        <v>35</v>
      </c>
    </row>
    <row r="4" customFormat="false" ht="17.15" hidden="false" customHeight="fals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5" t="s">
        <v>44</v>
      </c>
    </row>
    <row r="5" customFormat="false" ht="17.15" hidden="false" customHeight="false" outlineLevel="0" collapsed="false">
      <c r="A5" s="10" t="s">
        <v>45</v>
      </c>
    </row>
    <row r="6" customFormat="false" ht="17.15" hidden="false" customHeight="false" outlineLevel="0" collapsed="false">
      <c r="A6" s="0" t="s">
        <v>46</v>
      </c>
      <c r="B6" s="6" t="s">
        <v>47</v>
      </c>
      <c r="C6" s="0" t="s">
        <v>48</v>
      </c>
      <c r="E6" s="11" t="n">
        <v>-0.025</v>
      </c>
      <c r="G6" s="12" t="s">
        <v>49</v>
      </c>
      <c r="H6" s="12" t="s">
        <v>50</v>
      </c>
      <c r="I6" s="12" t="s">
        <v>51</v>
      </c>
    </row>
    <row r="7" customFormat="false" ht="17.15" hidden="false" customHeight="false" outlineLevel="0" collapsed="false">
      <c r="A7" s="0" t="s">
        <v>52</v>
      </c>
      <c r="B7" s="6" t="s">
        <v>53</v>
      </c>
      <c r="C7" s="0" t="s">
        <v>48</v>
      </c>
      <c r="E7" s="11" t="n">
        <v>0.125</v>
      </c>
      <c r="G7" s="12" t="s">
        <v>49</v>
      </c>
      <c r="H7" s="6" t="s">
        <v>54</v>
      </c>
      <c r="I7" s="12" t="s">
        <v>55</v>
      </c>
    </row>
    <row r="8" customFormat="false" ht="17.15" hidden="false" customHeight="false" outlineLevel="0" collapsed="false">
      <c r="A8" s="0" t="s">
        <v>56</v>
      </c>
      <c r="B8" s="6" t="s">
        <v>57</v>
      </c>
      <c r="C8" s="0" t="s">
        <v>48</v>
      </c>
      <c r="E8" s="11" t="n">
        <v>0.475</v>
      </c>
      <c r="G8" s="12" t="s">
        <v>49</v>
      </c>
      <c r="H8" s="6" t="s">
        <v>54</v>
      </c>
      <c r="I8" s="12" t="s">
        <v>58</v>
      </c>
    </row>
    <row r="9" customFormat="false" ht="17.15" hidden="false" customHeight="false" outlineLevel="0" collapsed="false">
      <c r="A9" s="0" t="s">
        <v>59</v>
      </c>
      <c r="B9" s="6" t="s">
        <v>60</v>
      </c>
      <c r="C9" s="0" t="s">
        <v>48</v>
      </c>
      <c r="E9" s="11" t="n">
        <v>0.95</v>
      </c>
      <c r="G9" s="12" t="s">
        <v>49</v>
      </c>
      <c r="H9" s="6" t="s">
        <v>54</v>
      </c>
      <c r="I9" s="12" t="s">
        <v>61</v>
      </c>
    </row>
    <row r="10" customFormat="false" ht="17.15" hidden="false" customHeight="false" outlineLevel="0" collapsed="false">
      <c r="A10" s="0" t="s">
        <v>62</v>
      </c>
      <c r="B10" s="6" t="s">
        <v>63</v>
      </c>
      <c r="C10" s="0" t="s">
        <v>48</v>
      </c>
      <c r="E10" s="11" t="n">
        <v>0.605</v>
      </c>
      <c r="G10" s="12" t="s">
        <v>49</v>
      </c>
      <c r="H10" s="6" t="s">
        <v>54</v>
      </c>
      <c r="I10" s="12" t="s">
        <v>64</v>
      </c>
    </row>
    <row r="11" customFormat="false" ht="17.15" hidden="false" customHeight="false" outlineLevel="0" collapsed="false">
      <c r="A11" s="0" t="s">
        <v>65</v>
      </c>
      <c r="B11" s="6" t="s">
        <v>66</v>
      </c>
      <c r="C11" s="0" t="s">
        <v>48</v>
      </c>
      <c r="E11" s="11" t="n">
        <v>0.155</v>
      </c>
      <c r="G11" s="12" t="s">
        <v>49</v>
      </c>
      <c r="H11" s="6" t="s">
        <v>54</v>
      </c>
      <c r="I11" s="12" t="s">
        <v>67</v>
      </c>
    </row>
    <row r="12" customFormat="false" ht="17.15" hidden="false" customHeight="false" outlineLevel="0" collapsed="false">
      <c r="A12" s="0" t="s">
        <v>68</v>
      </c>
      <c r="B12" s="6" t="s">
        <v>69</v>
      </c>
      <c r="C12" s="0" t="s">
        <v>48</v>
      </c>
      <c r="E12" s="11" t="n">
        <v>0.125</v>
      </c>
      <c r="G12" s="12" t="s">
        <v>49</v>
      </c>
      <c r="H12" s="6" t="s">
        <v>54</v>
      </c>
      <c r="I12" s="12" t="s">
        <v>70</v>
      </c>
    </row>
    <row r="13" customFormat="false" ht="17.15" hidden="false" customHeight="false" outlineLevel="0" collapsed="false">
      <c r="A13" s="0" t="s">
        <v>71</v>
      </c>
      <c r="B13" s="6" t="s">
        <v>72</v>
      </c>
      <c r="C13" s="0" t="s">
        <v>48</v>
      </c>
      <c r="E13" s="11" t="n">
        <v>0.03</v>
      </c>
      <c r="G13" s="12" t="s">
        <v>49</v>
      </c>
      <c r="H13" s="12" t="s">
        <v>73</v>
      </c>
      <c r="I13" s="12" t="s">
        <v>74</v>
      </c>
    </row>
    <row r="14" customFormat="false" ht="17.15" hidden="false" customHeight="false" outlineLevel="0" collapsed="false">
      <c r="A14" s="0" t="s">
        <v>75</v>
      </c>
      <c r="B14" s="6" t="s">
        <v>76</v>
      </c>
      <c r="C14" s="0" t="s">
        <v>48</v>
      </c>
      <c r="E14" s="11" t="n">
        <v>0</v>
      </c>
      <c r="G14" s="12" t="s">
        <v>49</v>
      </c>
      <c r="H14" s="6" t="s">
        <v>54</v>
      </c>
      <c r="I14" s="12" t="s">
        <v>77</v>
      </c>
    </row>
    <row r="15" customFormat="false" ht="17.15" hidden="false" customHeight="false" outlineLevel="0" collapsed="false">
      <c r="A15" s="0" t="s">
        <v>78</v>
      </c>
      <c r="B15" s="6" t="s">
        <v>79</v>
      </c>
      <c r="C15" s="0" t="s">
        <v>48</v>
      </c>
      <c r="E15" s="11" t="n">
        <v>-0.02</v>
      </c>
      <c r="G15" s="12" t="s">
        <v>49</v>
      </c>
      <c r="H15" s="6" t="s">
        <v>54</v>
      </c>
      <c r="I15" s="12" t="s">
        <v>80</v>
      </c>
    </row>
    <row r="16" customFormat="false" ht="17.15" hidden="false" customHeight="false" outlineLevel="0" collapsed="false">
      <c r="A16" s="0" t="s">
        <v>81</v>
      </c>
      <c r="B16" s="6" t="s">
        <v>82</v>
      </c>
      <c r="C16" s="0" t="s">
        <v>48</v>
      </c>
      <c r="E16" s="11" t="n">
        <v>-0.03</v>
      </c>
      <c r="G16" s="12" t="s">
        <v>49</v>
      </c>
      <c r="H16" s="6" t="s">
        <v>54</v>
      </c>
      <c r="I16" s="12" t="s">
        <v>83</v>
      </c>
    </row>
    <row r="17" customFormat="false" ht="17.15" hidden="false" customHeight="false" outlineLevel="0" collapsed="false">
      <c r="A17" s="0" t="s">
        <v>84</v>
      </c>
      <c r="B17" s="6" t="s">
        <v>85</v>
      </c>
      <c r="C17" s="0" t="s">
        <v>48</v>
      </c>
      <c r="E17" s="11" t="n">
        <v>-0.03</v>
      </c>
      <c r="G17" s="12" t="s">
        <v>49</v>
      </c>
      <c r="H17" s="6" t="s">
        <v>54</v>
      </c>
      <c r="I17" s="12" t="s">
        <v>86</v>
      </c>
    </row>
    <row r="18" customFormat="false" ht="17.15" hidden="false" customHeight="false" outlineLevel="0" collapsed="false">
      <c r="A18" s="0" t="s">
        <v>87</v>
      </c>
      <c r="B18" s="6" t="s">
        <v>88</v>
      </c>
      <c r="C18" s="0" t="s">
        <v>48</v>
      </c>
      <c r="E18" s="11" t="n">
        <v>-0.03</v>
      </c>
      <c r="G18" s="12" t="s">
        <v>49</v>
      </c>
      <c r="H18" s="6" t="s">
        <v>54</v>
      </c>
      <c r="I18" s="12" t="s">
        <v>89</v>
      </c>
    </row>
    <row r="19" customFormat="false" ht="17.15" hidden="false" customHeight="false" outlineLevel="0" collapsed="false">
      <c r="A19" s="0" t="s">
        <v>90</v>
      </c>
      <c r="B19" s="6" t="s">
        <v>91</v>
      </c>
      <c r="C19" s="0" t="s">
        <v>48</v>
      </c>
      <c r="E19" s="11" t="n">
        <v>-0.02</v>
      </c>
      <c r="G19" s="12" t="s">
        <v>49</v>
      </c>
      <c r="H19" s="6" t="s">
        <v>54</v>
      </c>
      <c r="I19" s="12" t="s">
        <v>92</v>
      </c>
    </row>
    <row r="20" customFormat="false" ht="17.15" hidden="false" customHeight="false" outlineLevel="0" collapsed="false">
      <c r="A20" s="0" t="s">
        <v>93</v>
      </c>
      <c r="B20" s="6" t="s">
        <v>94</v>
      </c>
      <c r="C20" s="0" t="s">
        <v>48</v>
      </c>
      <c r="E20" s="11" t="n">
        <v>-0.02</v>
      </c>
      <c r="G20" s="12" t="s">
        <v>49</v>
      </c>
      <c r="H20" s="6" t="s">
        <v>54</v>
      </c>
      <c r="I20" s="12" t="s">
        <v>95</v>
      </c>
    </row>
    <row r="21" customFormat="false" ht="17.15" hidden="false" customHeight="false" outlineLevel="0" collapsed="false">
      <c r="A21" s="0" t="s">
        <v>96</v>
      </c>
      <c r="B21" s="6" t="s">
        <v>97</v>
      </c>
      <c r="C21" s="0" t="s">
        <v>48</v>
      </c>
      <c r="E21" s="11" t="n">
        <v>-0.03</v>
      </c>
      <c r="G21" s="12" t="s">
        <v>49</v>
      </c>
      <c r="H21" s="6" t="s">
        <v>54</v>
      </c>
      <c r="I21" s="12" t="s">
        <v>98</v>
      </c>
    </row>
    <row r="22" customFormat="false" ht="17.15" hidden="false" customHeight="false" outlineLevel="0" collapsed="false">
      <c r="A22" s="0" t="s">
        <v>99</v>
      </c>
      <c r="B22" s="6" t="s">
        <v>100</v>
      </c>
      <c r="C22" s="0" t="s">
        <v>48</v>
      </c>
      <c r="E22" s="11" t="n">
        <v>-0.03</v>
      </c>
      <c r="G22" s="12" t="s">
        <v>49</v>
      </c>
      <c r="H22" s="6" t="s">
        <v>54</v>
      </c>
      <c r="I22" s="12" t="s">
        <v>101</v>
      </c>
    </row>
    <row r="23" customFormat="false" ht="17.15" hidden="false" customHeight="false" outlineLevel="0" collapsed="false">
      <c r="A23" s="0" t="s">
        <v>102</v>
      </c>
      <c r="B23" s="6" t="s">
        <v>103</v>
      </c>
      <c r="C23" s="0" t="s">
        <v>48</v>
      </c>
      <c r="E23" s="11" t="n">
        <v>-0.02</v>
      </c>
      <c r="G23" s="12" t="s">
        <v>49</v>
      </c>
      <c r="H23" s="6" t="s">
        <v>54</v>
      </c>
      <c r="I23" s="12" t="s">
        <v>104</v>
      </c>
    </row>
    <row r="24" customFormat="false" ht="17.15" hidden="false" customHeight="false" outlineLevel="0" collapsed="false">
      <c r="A24" s="0" t="s">
        <v>105</v>
      </c>
      <c r="B24" s="6" t="s">
        <v>106</v>
      </c>
      <c r="C24" s="0" t="s">
        <v>48</v>
      </c>
      <c r="E24" s="11" t="n">
        <v>-0.02</v>
      </c>
      <c r="G24" s="12" t="s">
        <v>49</v>
      </c>
      <c r="H24" s="6" t="s">
        <v>54</v>
      </c>
      <c r="I24" s="12" t="s">
        <v>107</v>
      </c>
    </row>
    <row r="25" customFormat="false" ht="17.15" hidden="false" customHeight="false" outlineLevel="0" collapsed="false">
      <c r="A25" s="0" t="s">
        <v>108</v>
      </c>
      <c r="B25" s="6" t="s">
        <v>109</v>
      </c>
      <c r="C25" s="0" t="s">
        <v>48</v>
      </c>
      <c r="E25" s="11" t="n">
        <v>0.05</v>
      </c>
      <c r="G25" s="12" t="s">
        <v>49</v>
      </c>
      <c r="H25" s="12" t="s">
        <v>110</v>
      </c>
      <c r="I25" s="12" t="s">
        <v>111</v>
      </c>
    </row>
    <row r="26" customFormat="false" ht="17.15" hidden="false" customHeight="false" outlineLevel="0" collapsed="false">
      <c r="A26" s="0" t="s">
        <v>112</v>
      </c>
      <c r="B26" s="6" t="s">
        <v>113</v>
      </c>
      <c r="C26" s="0" t="s">
        <v>48</v>
      </c>
      <c r="E26" s="11" t="n">
        <v>0.02</v>
      </c>
      <c r="G26" s="12" t="s">
        <v>49</v>
      </c>
      <c r="H26" s="6" t="s">
        <v>54</v>
      </c>
      <c r="I26" s="12" t="s">
        <v>114</v>
      </c>
    </row>
    <row r="27" customFormat="false" ht="17.15" hidden="false" customHeight="false" outlineLevel="0" collapsed="false">
      <c r="A27" s="0" t="s">
        <v>115</v>
      </c>
      <c r="B27" s="6" t="s">
        <v>116</v>
      </c>
      <c r="C27" s="0" t="s">
        <v>48</v>
      </c>
      <c r="E27" s="11" t="n">
        <v>-0.08</v>
      </c>
      <c r="G27" s="12" t="s">
        <v>49</v>
      </c>
      <c r="H27" s="6" t="s">
        <v>54</v>
      </c>
      <c r="I27" s="12" t="s">
        <v>117</v>
      </c>
    </row>
    <row r="28" customFormat="false" ht="17.15" hidden="false" customHeight="false" outlineLevel="0" collapsed="false">
      <c r="A28" s="0" t="s">
        <v>118</v>
      </c>
      <c r="B28" s="6" t="s">
        <v>119</v>
      </c>
      <c r="C28" s="0" t="s">
        <v>48</v>
      </c>
      <c r="E28" s="11" t="n">
        <v>-0.15</v>
      </c>
      <c r="G28" s="12" t="s">
        <v>49</v>
      </c>
      <c r="H28" s="6" t="s">
        <v>54</v>
      </c>
      <c r="I28" s="12" t="s">
        <v>120</v>
      </c>
    </row>
    <row r="29" customFormat="false" ht="17.15" hidden="false" customHeight="false" outlineLevel="0" collapsed="false">
      <c r="A29" s="0" t="s">
        <v>121</v>
      </c>
      <c r="B29" s="6" t="s">
        <v>122</v>
      </c>
      <c r="C29" s="0" t="s">
        <v>48</v>
      </c>
      <c r="E29" s="11" t="n">
        <v>-0.25</v>
      </c>
      <c r="G29" s="12" t="s">
        <v>49</v>
      </c>
      <c r="H29" s="6" t="s">
        <v>54</v>
      </c>
      <c r="I29" s="12" t="s">
        <v>123</v>
      </c>
    </row>
    <row r="30" customFormat="false" ht="17.15" hidden="false" customHeight="false" outlineLevel="0" collapsed="false">
      <c r="A30" s="0" t="s">
        <v>124</v>
      </c>
      <c r="B30" s="6" t="s">
        <v>125</v>
      </c>
      <c r="C30" s="0" t="s">
        <v>48</v>
      </c>
      <c r="E30" s="11" t="n">
        <v>-0.15</v>
      </c>
      <c r="G30" s="12" t="s">
        <v>49</v>
      </c>
      <c r="H30" s="6" t="s">
        <v>54</v>
      </c>
      <c r="I30" s="12" t="s">
        <v>126</v>
      </c>
    </row>
    <row r="31" customFormat="false" ht="17.15" hidden="false" customHeight="false" outlineLevel="0" collapsed="false">
      <c r="A31" s="0" t="s">
        <v>127</v>
      </c>
      <c r="B31" s="6" t="s">
        <v>128</v>
      </c>
      <c r="C31" s="0" t="s">
        <v>48</v>
      </c>
      <c r="E31" s="11" t="n">
        <v>-0.1</v>
      </c>
      <c r="G31" s="12" t="s">
        <v>49</v>
      </c>
      <c r="H31" s="6" t="s">
        <v>54</v>
      </c>
      <c r="I31" s="12" t="s">
        <v>129</v>
      </c>
    </row>
    <row r="32" customFormat="false" ht="17.15" hidden="false" customHeight="false" outlineLevel="0" collapsed="false">
      <c r="A32" s="0" t="s">
        <v>130</v>
      </c>
      <c r="B32" s="6" t="s">
        <v>131</v>
      </c>
      <c r="C32" s="0" t="s">
        <v>48</v>
      </c>
      <c r="E32" s="11" t="n">
        <v>-0.05</v>
      </c>
      <c r="G32" s="12" t="s">
        <v>49</v>
      </c>
      <c r="H32" s="6" t="s">
        <v>54</v>
      </c>
      <c r="I32" s="12" t="s">
        <v>132</v>
      </c>
    </row>
    <row r="33" customFormat="false" ht="17.15" hidden="false" customHeight="false" outlineLevel="0" collapsed="false">
      <c r="A33" s="0" t="s">
        <v>133</v>
      </c>
      <c r="B33" s="6" t="s">
        <v>134</v>
      </c>
      <c r="C33" s="0" t="s">
        <v>48</v>
      </c>
      <c r="E33" s="11" t="n">
        <v>0.05</v>
      </c>
      <c r="G33" s="12" t="s">
        <v>49</v>
      </c>
      <c r="H33" s="6" t="s">
        <v>54</v>
      </c>
      <c r="I33" s="12" t="s">
        <v>135</v>
      </c>
    </row>
    <row r="34" customFormat="false" ht="17.15" hidden="false" customHeight="false" outlineLevel="0" collapsed="false">
      <c r="A34" s="0" t="s">
        <v>136</v>
      </c>
      <c r="B34" s="6" t="s">
        <v>137</v>
      </c>
      <c r="C34" s="0" t="s">
        <v>48</v>
      </c>
      <c r="E34" s="11" t="n">
        <v>0.05</v>
      </c>
      <c r="G34" s="12" t="s">
        <v>49</v>
      </c>
      <c r="H34" s="6" t="s">
        <v>54</v>
      </c>
      <c r="I34" s="12" t="s">
        <v>138</v>
      </c>
    </row>
    <row r="35" customFormat="false" ht="17.15" hidden="false" customHeight="false" outlineLevel="0" collapsed="false">
      <c r="A35" s="0" t="s">
        <v>139</v>
      </c>
      <c r="B35" s="6" t="s">
        <v>140</v>
      </c>
      <c r="C35" s="0" t="s">
        <v>48</v>
      </c>
      <c r="E35" s="11" t="n">
        <v>0.03</v>
      </c>
      <c r="G35" s="12" t="s">
        <v>49</v>
      </c>
      <c r="H35" s="6" t="s">
        <v>54</v>
      </c>
      <c r="I35" s="12" t="s">
        <v>141</v>
      </c>
    </row>
    <row r="36" customFormat="false" ht="17.15" hidden="false" customHeight="false" outlineLevel="0" collapsed="false">
      <c r="A36" s="0" t="s">
        <v>142</v>
      </c>
      <c r="B36" s="6" t="s">
        <v>143</v>
      </c>
      <c r="C36" s="0" t="s">
        <v>48</v>
      </c>
      <c r="E36" s="11" t="n">
        <v>0.03</v>
      </c>
      <c r="G36" s="12" t="s">
        <v>49</v>
      </c>
      <c r="H36" s="6" t="s">
        <v>54</v>
      </c>
      <c r="I36" s="12" t="s">
        <v>144</v>
      </c>
    </row>
    <row r="37" customFormat="false" ht="17.15" hidden="false" customHeight="false" outlineLevel="0" collapsed="false">
      <c r="A37" s="0" t="s">
        <v>145</v>
      </c>
      <c r="B37" s="6" t="s">
        <v>146</v>
      </c>
      <c r="C37" s="0" t="s">
        <v>48</v>
      </c>
      <c r="D37" s="11" t="n">
        <v>0</v>
      </c>
      <c r="E37" s="11" t="n">
        <v>0.05</v>
      </c>
      <c r="F37" s="11" t="n">
        <v>0.1</v>
      </c>
      <c r="G37" s="12" t="s">
        <v>147</v>
      </c>
      <c r="H37" s="12" t="s">
        <v>148</v>
      </c>
      <c r="I37" s="12" t="s">
        <v>149</v>
      </c>
    </row>
    <row r="38" customFormat="false" ht="17.15" hidden="false" customHeight="false" outlineLevel="0" collapsed="false">
      <c r="A38" s="0" t="s">
        <v>150</v>
      </c>
      <c r="B38" s="6" t="s">
        <v>151</v>
      </c>
      <c r="C38" s="0" t="s">
        <v>48</v>
      </c>
      <c r="D38" s="11" t="n">
        <v>-0.03</v>
      </c>
      <c r="E38" s="11" t="n">
        <v>0.02</v>
      </c>
      <c r="F38" s="11" t="n">
        <v>0.07</v>
      </c>
      <c r="G38" s="12" t="s">
        <v>147</v>
      </c>
      <c r="H38" s="6" t="s">
        <v>54</v>
      </c>
      <c r="I38" s="12" t="s">
        <v>152</v>
      </c>
    </row>
    <row r="39" customFormat="false" ht="17.15" hidden="false" customHeight="false" outlineLevel="0" collapsed="false">
      <c r="A39" s="0" t="s">
        <v>153</v>
      </c>
      <c r="B39" s="6" t="s">
        <v>154</v>
      </c>
      <c r="C39" s="0" t="s">
        <v>48</v>
      </c>
      <c r="D39" s="11" t="n">
        <v>-0.13</v>
      </c>
      <c r="E39" s="11" t="n">
        <v>-0.08</v>
      </c>
      <c r="F39" s="11" t="n">
        <v>-0.03</v>
      </c>
      <c r="G39" s="12" t="s">
        <v>147</v>
      </c>
      <c r="H39" s="6" t="s">
        <v>54</v>
      </c>
      <c r="I39" s="12" t="s">
        <v>155</v>
      </c>
    </row>
    <row r="40" customFormat="false" ht="17.15" hidden="false" customHeight="false" outlineLevel="0" collapsed="false">
      <c r="A40" s="0" t="s">
        <v>156</v>
      </c>
      <c r="B40" s="6" t="s">
        <v>157</v>
      </c>
      <c r="C40" s="0" t="s">
        <v>48</v>
      </c>
      <c r="D40" s="11" t="n">
        <v>-0.2</v>
      </c>
      <c r="E40" s="11" t="n">
        <v>-0.15</v>
      </c>
      <c r="F40" s="11" t="n">
        <v>-0.1</v>
      </c>
      <c r="G40" s="12" t="s">
        <v>147</v>
      </c>
      <c r="H40" s="6" t="s">
        <v>54</v>
      </c>
      <c r="I40" s="12" t="s">
        <v>158</v>
      </c>
    </row>
    <row r="41" customFormat="false" ht="17.15" hidden="false" customHeight="false" outlineLevel="0" collapsed="false">
      <c r="A41" s="0" t="s">
        <v>159</v>
      </c>
      <c r="B41" s="6" t="s">
        <v>160</v>
      </c>
      <c r="C41" s="0" t="s">
        <v>48</v>
      </c>
      <c r="D41" s="11" t="n">
        <v>-0.45</v>
      </c>
      <c r="E41" s="11" t="n">
        <v>-0.35</v>
      </c>
      <c r="F41" s="11" t="n">
        <v>-0.25</v>
      </c>
      <c r="G41" s="12" t="s">
        <v>147</v>
      </c>
      <c r="H41" s="6" t="s">
        <v>54</v>
      </c>
      <c r="I41" s="12" t="s">
        <v>161</v>
      </c>
    </row>
    <row r="42" customFormat="false" ht="17.15" hidden="false" customHeight="false" outlineLevel="0" collapsed="false">
      <c r="A42" s="0" t="s">
        <v>162</v>
      </c>
      <c r="B42" s="6" t="s">
        <v>163</v>
      </c>
      <c r="C42" s="0" t="s">
        <v>48</v>
      </c>
      <c r="D42" s="11" t="n">
        <v>-0.4</v>
      </c>
      <c r="E42" s="11" t="n">
        <v>-0.3</v>
      </c>
      <c r="F42" s="11" t="n">
        <v>-0.2</v>
      </c>
      <c r="G42" s="12" t="s">
        <v>147</v>
      </c>
      <c r="H42" s="6" t="s">
        <v>54</v>
      </c>
      <c r="I42" s="12" t="s">
        <v>164</v>
      </c>
    </row>
    <row r="43" customFormat="false" ht="17.15" hidden="false" customHeight="false" outlineLevel="0" collapsed="false">
      <c r="A43" s="0" t="s">
        <v>165</v>
      </c>
      <c r="B43" s="6" t="s">
        <v>166</v>
      </c>
      <c r="C43" s="0" t="s">
        <v>48</v>
      </c>
      <c r="D43" s="11" t="n">
        <v>-0.35</v>
      </c>
      <c r="E43" s="11" t="n">
        <v>-0.25</v>
      </c>
      <c r="F43" s="11" t="n">
        <v>-0.15</v>
      </c>
      <c r="G43" s="12" t="s">
        <v>147</v>
      </c>
      <c r="H43" s="6" t="s">
        <v>54</v>
      </c>
      <c r="I43" s="12" t="s">
        <v>167</v>
      </c>
    </row>
    <row r="44" customFormat="false" ht="17.15" hidden="false" customHeight="false" outlineLevel="0" collapsed="false">
      <c r="A44" s="0" t="s">
        <v>168</v>
      </c>
      <c r="B44" s="6" t="s">
        <v>169</v>
      </c>
      <c r="C44" s="0" t="s">
        <v>48</v>
      </c>
      <c r="D44" s="11" t="n">
        <v>-0.3</v>
      </c>
      <c r="E44" s="11" t="n">
        <v>-0.2</v>
      </c>
      <c r="F44" s="11" t="n">
        <v>-0.1</v>
      </c>
      <c r="G44" s="12" t="s">
        <v>147</v>
      </c>
      <c r="H44" s="6" t="s">
        <v>54</v>
      </c>
      <c r="I44" s="12" t="s">
        <v>170</v>
      </c>
    </row>
    <row r="45" customFormat="false" ht="17.15" hidden="false" customHeight="false" outlineLevel="0" collapsed="false">
      <c r="A45" s="0" t="s">
        <v>171</v>
      </c>
      <c r="B45" s="6" t="s">
        <v>172</v>
      </c>
      <c r="C45" s="0" t="s">
        <v>48</v>
      </c>
      <c r="D45" s="11" t="n">
        <v>-0.1</v>
      </c>
      <c r="E45" s="11" t="n">
        <v>0</v>
      </c>
      <c r="F45" s="11" t="n">
        <v>0.1</v>
      </c>
      <c r="G45" s="12" t="s">
        <v>147</v>
      </c>
      <c r="H45" s="6" t="s">
        <v>54</v>
      </c>
      <c r="I45" s="12" t="s">
        <v>173</v>
      </c>
    </row>
    <row r="46" customFormat="false" ht="17.15" hidden="false" customHeight="false" outlineLevel="0" collapsed="false">
      <c r="A46" s="0" t="s">
        <v>174</v>
      </c>
      <c r="B46" s="6" t="s">
        <v>175</v>
      </c>
      <c r="C46" s="0" t="s">
        <v>48</v>
      </c>
      <c r="D46" s="11" t="n">
        <v>-0.05</v>
      </c>
      <c r="E46" s="11" t="n">
        <v>0.05</v>
      </c>
      <c r="F46" s="11" t="n">
        <v>0.15</v>
      </c>
      <c r="G46" s="12" t="s">
        <v>147</v>
      </c>
      <c r="H46" s="6" t="s">
        <v>54</v>
      </c>
      <c r="I46" s="12" t="s">
        <v>176</v>
      </c>
    </row>
    <row r="47" customFormat="false" ht="17.15" hidden="false" customHeight="false" outlineLevel="0" collapsed="false">
      <c r="A47" s="0" t="s">
        <v>177</v>
      </c>
      <c r="B47" s="6" t="s">
        <v>178</v>
      </c>
      <c r="C47" s="0" t="s">
        <v>48</v>
      </c>
      <c r="D47" s="11" t="n">
        <v>-0.02</v>
      </c>
      <c r="E47" s="11" t="n">
        <v>0.08</v>
      </c>
      <c r="F47" s="11" t="n">
        <v>0.18</v>
      </c>
      <c r="G47" s="12" t="s">
        <v>147</v>
      </c>
      <c r="H47" s="6" t="s">
        <v>54</v>
      </c>
      <c r="I47" s="12" t="s">
        <v>179</v>
      </c>
    </row>
    <row r="48" customFormat="false" ht="17.15" hidden="false" customHeight="false" outlineLevel="0" collapsed="false">
      <c r="A48" s="0" t="s">
        <v>180</v>
      </c>
      <c r="B48" s="6" t="s">
        <v>181</v>
      </c>
      <c r="C48" s="0" t="s">
        <v>48</v>
      </c>
      <c r="D48" s="11" t="n">
        <v>0</v>
      </c>
      <c r="E48" s="11" t="n">
        <v>0.1</v>
      </c>
      <c r="F48" s="11" t="n">
        <v>0.2</v>
      </c>
      <c r="G48" s="12" t="s">
        <v>147</v>
      </c>
      <c r="H48" s="6" t="s">
        <v>54</v>
      </c>
      <c r="I48" s="12" t="s">
        <v>182</v>
      </c>
    </row>
    <row r="49" customFormat="false" ht="17.15" hidden="false" customHeight="false" outlineLevel="0" collapsed="false">
      <c r="A49" s="0" t="s">
        <v>183</v>
      </c>
      <c r="B49" s="0" t="s">
        <v>184</v>
      </c>
      <c r="C49" s="0" t="s">
        <v>48</v>
      </c>
      <c r="E49" s="11" t="n">
        <v>0</v>
      </c>
      <c r="G49" s="12" t="s">
        <v>49</v>
      </c>
      <c r="H49" s="12" t="s">
        <v>185</v>
      </c>
      <c r="I49" s="12" t="s">
        <v>186</v>
      </c>
    </row>
    <row r="50" customFormat="false" ht="17.15" hidden="false" customHeight="false" outlineLevel="0" collapsed="false">
      <c r="A50" s="0" t="s">
        <v>187</v>
      </c>
      <c r="B50" s="0" t="s">
        <v>188</v>
      </c>
      <c r="C50" s="0" t="s">
        <v>48</v>
      </c>
      <c r="E50" s="11" t="n">
        <v>0.05</v>
      </c>
      <c r="G50" s="12" t="s">
        <v>49</v>
      </c>
      <c r="H50" s="6" t="s">
        <v>54</v>
      </c>
      <c r="I50" s="12" t="s">
        <v>189</v>
      </c>
    </row>
    <row r="51" customFormat="false" ht="17.15" hidden="false" customHeight="false" outlineLevel="0" collapsed="false">
      <c r="A51" s="0" t="s">
        <v>190</v>
      </c>
      <c r="B51" s="0" t="s">
        <v>191</v>
      </c>
      <c r="C51" s="0" t="s">
        <v>48</v>
      </c>
      <c r="E51" s="11" t="n">
        <v>0.3</v>
      </c>
      <c r="G51" s="12" t="s">
        <v>49</v>
      </c>
      <c r="H51" s="6" t="s">
        <v>54</v>
      </c>
      <c r="I51" s="12" t="s">
        <v>192</v>
      </c>
    </row>
    <row r="52" customFormat="false" ht="17.15" hidden="false" customHeight="false" outlineLevel="0" collapsed="false">
      <c r="A52" s="0" t="s">
        <v>193</v>
      </c>
      <c r="B52" s="0" t="s">
        <v>194</v>
      </c>
      <c r="C52" s="0" t="s">
        <v>48</v>
      </c>
      <c r="E52" s="11" t="n">
        <v>0.875</v>
      </c>
      <c r="G52" s="12" t="s">
        <v>49</v>
      </c>
      <c r="H52" s="6" t="s">
        <v>54</v>
      </c>
      <c r="I52" s="12" t="s">
        <v>195</v>
      </c>
    </row>
    <row r="53" customFormat="false" ht="17.15" hidden="false" customHeight="false" outlineLevel="0" collapsed="false">
      <c r="A53" s="0" t="s">
        <v>196</v>
      </c>
      <c r="B53" s="0" t="s">
        <v>197</v>
      </c>
      <c r="C53" s="0" t="s">
        <v>48</v>
      </c>
      <c r="E53" s="11" t="n">
        <v>0.725</v>
      </c>
      <c r="G53" s="12" t="s">
        <v>49</v>
      </c>
      <c r="H53" s="6" t="s">
        <v>54</v>
      </c>
      <c r="I53" s="12" t="s">
        <v>198</v>
      </c>
    </row>
    <row r="54" customFormat="false" ht="17.15" hidden="false" customHeight="false" outlineLevel="0" collapsed="false">
      <c r="A54" s="0" t="s">
        <v>199</v>
      </c>
      <c r="B54" s="0" t="s">
        <v>200</v>
      </c>
      <c r="C54" s="0" t="s">
        <v>48</v>
      </c>
      <c r="E54" s="11" t="n">
        <v>0.15</v>
      </c>
      <c r="G54" s="12" t="s">
        <v>49</v>
      </c>
      <c r="H54" s="6" t="s">
        <v>54</v>
      </c>
      <c r="I54" s="12" t="s">
        <v>201</v>
      </c>
    </row>
    <row r="55" customFormat="false" ht="17.15" hidden="false" customHeight="false" outlineLevel="0" collapsed="false">
      <c r="A55" s="0" t="s">
        <v>202</v>
      </c>
      <c r="B55" s="0" t="s">
        <v>203</v>
      </c>
      <c r="C55" s="0" t="s">
        <v>48</v>
      </c>
      <c r="E55" s="11" t="n">
        <v>0.175</v>
      </c>
      <c r="G55" s="12" t="s">
        <v>49</v>
      </c>
      <c r="H55" s="6" t="s">
        <v>54</v>
      </c>
      <c r="I55" s="12" t="s">
        <v>204</v>
      </c>
    </row>
    <row r="56" customFormat="false" ht="17.15" hidden="false" customHeight="false" outlineLevel="0" collapsed="false">
      <c r="A56" s="0" t="s">
        <v>205</v>
      </c>
      <c r="B56" s="0" t="s">
        <v>206</v>
      </c>
      <c r="C56" s="0" t="s">
        <v>48</v>
      </c>
      <c r="E56" s="11" t="n">
        <v>0.03</v>
      </c>
      <c r="G56" s="12" t="s">
        <v>49</v>
      </c>
      <c r="H56" s="12" t="s">
        <v>207</v>
      </c>
      <c r="I56" s="12" t="s">
        <v>208</v>
      </c>
    </row>
    <row r="57" customFormat="false" ht="17.15" hidden="false" customHeight="false" outlineLevel="0" collapsed="false">
      <c r="A57" s="0" t="s">
        <v>209</v>
      </c>
      <c r="B57" s="0" t="s">
        <v>210</v>
      </c>
      <c r="C57" s="0" t="s">
        <v>48</v>
      </c>
      <c r="E57" s="11" t="n">
        <v>0</v>
      </c>
      <c r="G57" s="12" t="s">
        <v>49</v>
      </c>
      <c r="H57" s="6" t="s">
        <v>54</v>
      </c>
      <c r="I57" s="12" t="s">
        <v>211</v>
      </c>
    </row>
    <row r="58" customFormat="false" ht="17.15" hidden="false" customHeight="false" outlineLevel="0" collapsed="false">
      <c r="A58" s="0" t="s">
        <v>212</v>
      </c>
      <c r="B58" s="0" t="s">
        <v>213</v>
      </c>
      <c r="C58" s="0" t="s">
        <v>48</v>
      </c>
      <c r="E58" s="11" t="n">
        <v>-0.05</v>
      </c>
      <c r="G58" s="12" t="s">
        <v>49</v>
      </c>
      <c r="H58" s="6" t="s">
        <v>54</v>
      </c>
      <c r="I58" s="12" t="s">
        <v>214</v>
      </c>
    </row>
    <row r="59" customFormat="false" ht="17.15" hidden="false" customHeight="false" outlineLevel="0" collapsed="false">
      <c r="A59" s="0" t="s">
        <v>215</v>
      </c>
      <c r="B59" s="0" t="s">
        <v>216</v>
      </c>
      <c r="C59" s="0" t="s">
        <v>48</v>
      </c>
      <c r="E59" s="11" t="n">
        <v>-0.07</v>
      </c>
      <c r="G59" s="12" t="s">
        <v>49</v>
      </c>
      <c r="H59" s="6" t="s">
        <v>54</v>
      </c>
      <c r="I59" s="12" t="s">
        <v>217</v>
      </c>
    </row>
    <row r="60" customFormat="false" ht="17.15" hidden="false" customHeight="false" outlineLevel="0" collapsed="false">
      <c r="A60" s="0" t="s">
        <v>218</v>
      </c>
      <c r="B60" s="0" t="s">
        <v>219</v>
      </c>
      <c r="C60" s="0" t="s">
        <v>48</v>
      </c>
      <c r="E60" s="11" t="n">
        <v>-0.05</v>
      </c>
      <c r="G60" s="12" t="s">
        <v>49</v>
      </c>
      <c r="H60" s="6" t="s">
        <v>54</v>
      </c>
      <c r="I60" s="12" t="s">
        <v>220</v>
      </c>
    </row>
    <row r="61" customFormat="false" ht="17.15" hidden="false" customHeight="false" outlineLevel="0" collapsed="false">
      <c r="A61" s="0" t="s">
        <v>221</v>
      </c>
      <c r="B61" s="0" t="s">
        <v>222</v>
      </c>
      <c r="C61" s="0" t="s">
        <v>48</v>
      </c>
      <c r="E61" s="11" t="n">
        <v>-0.05</v>
      </c>
      <c r="G61" s="12" t="s">
        <v>49</v>
      </c>
      <c r="H61" s="6" t="s">
        <v>54</v>
      </c>
      <c r="I61" s="12" t="s">
        <v>223</v>
      </c>
    </row>
    <row r="62" customFormat="false" ht="17.15" hidden="false" customHeight="false" outlineLevel="0" collapsed="false">
      <c r="A62" s="0" t="s">
        <v>224</v>
      </c>
      <c r="B62" s="0" t="s">
        <v>225</v>
      </c>
      <c r="C62" s="0" t="s">
        <v>48</v>
      </c>
      <c r="E62" s="11" t="n">
        <v>-0.05</v>
      </c>
      <c r="G62" s="12" t="s">
        <v>49</v>
      </c>
      <c r="H62" s="6" t="s">
        <v>54</v>
      </c>
      <c r="I62" s="12" t="s">
        <v>226</v>
      </c>
    </row>
    <row r="63" customFormat="false" ht="17.15" hidden="false" customHeight="false" outlineLevel="0" collapsed="false">
      <c r="A63" s="0" t="s">
        <v>227</v>
      </c>
      <c r="B63" s="0" t="s">
        <v>228</v>
      </c>
      <c r="C63" s="0" t="s">
        <v>48</v>
      </c>
      <c r="E63" s="11" t="n">
        <v>-0.05</v>
      </c>
      <c r="G63" s="12" t="s">
        <v>49</v>
      </c>
      <c r="H63" s="6" t="s">
        <v>54</v>
      </c>
      <c r="I63" s="12" t="s">
        <v>229</v>
      </c>
    </row>
    <row r="64" customFormat="false" ht="17.15" hidden="false" customHeight="false" outlineLevel="0" collapsed="false">
      <c r="A64" s="0" t="s">
        <v>230</v>
      </c>
      <c r="B64" s="0" t="s">
        <v>231</v>
      </c>
      <c r="C64" s="0" t="s">
        <v>48</v>
      </c>
      <c r="E64" s="11" t="n">
        <v>-0.03</v>
      </c>
      <c r="G64" s="12" t="s">
        <v>49</v>
      </c>
      <c r="H64" s="6" t="s">
        <v>54</v>
      </c>
      <c r="I64" s="12" t="s">
        <v>232</v>
      </c>
    </row>
    <row r="65" customFormat="false" ht="17.15" hidden="false" customHeight="false" outlineLevel="0" collapsed="false">
      <c r="A65" s="0" t="s">
        <v>233</v>
      </c>
      <c r="B65" s="0" t="s">
        <v>234</v>
      </c>
      <c r="C65" s="0" t="s">
        <v>48</v>
      </c>
      <c r="E65" s="11" t="n">
        <v>-0.03</v>
      </c>
      <c r="G65" s="12" t="s">
        <v>49</v>
      </c>
      <c r="H65" s="6" t="s">
        <v>54</v>
      </c>
      <c r="I65" s="12" t="s">
        <v>235</v>
      </c>
    </row>
    <row r="66" customFormat="false" ht="17.15" hidden="false" customHeight="false" outlineLevel="0" collapsed="false">
      <c r="A66" s="0" t="s">
        <v>236</v>
      </c>
      <c r="B66" s="0" t="s">
        <v>237</v>
      </c>
      <c r="C66" s="0" t="s">
        <v>48</v>
      </c>
      <c r="E66" s="11" t="n">
        <v>-0.03</v>
      </c>
      <c r="G66" s="12" t="s">
        <v>49</v>
      </c>
      <c r="H66" s="6" t="s">
        <v>54</v>
      </c>
      <c r="I66" s="12" t="s">
        <v>238</v>
      </c>
    </row>
    <row r="67" customFormat="false" ht="17.15" hidden="false" customHeight="false" outlineLevel="0" collapsed="false">
      <c r="A67" s="0" t="s">
        <v>239</v>
      </c>
      <c r="B67" s="0" t="s">
        <v>240</v>
      </c>
      <c r="C67" s="0" t="s">
        <v>48</v>
      </c>
      <c r="E67" s="11" t="n">
        <v>-0.03</v>
      </c>
      <c r="G67" s="12" t="s">
        <v>49</v>
      </c>
      <c r="H67" s="6" t="s">
        <v>54</v>
      </c>
      <c r="I67" s="12" t="s">
        <v>241</v>
      </c>
    </row>
    <row r="68" customFormat="false" ht="17.15" hidden="false" customHeight="false" outlineLevel="0" collapsed="false">
      <c r="A68" s="0" t="s">
        <v>242</v>
      </c>
      <c r="B68" s="0" t="s">
        <v>243</v>
      </c>
      <c r="C68" s="0" t="s">
        <v>48</v>
      </c>
      <c r="E68" s="11" t="n">
        <v>0.05</v>
      </c>
      <c r="G68" s="12" t="s">
        <v>49</v>
      </c>
      <c r="H68" s="12" t="s">
        <v>244</v>
      </c>
      <c r="I68" s="12" t="s">
        <v>245</v>
      </c>
    </row>
    <row r="69" customFormat="false" ht="17.15" hidden="false" customHeight="false" outlineLevel="0" collapsed="false">
      <c r="A69" s="0" t="s">
        <v>246</v>
      </c>
      <c r="B69" s="0" t="s">
        <v>247</v>
      </c>
      <c r="C69" s="0" t="s">
        <v>48</v>
      </c>
      <c r="E69" s="11" t="n">
        <v>0.02</v>
      </c>
      <c r="G69" s="12" t="s">
        <v>49</v>
      </c>
      <c r="H69" s="6" t="s">
        <v>54</v>
      </c>
      <c r="I69" s="12" t="s">
        <v>248</v>
      </c>
    </row>
    <row r="70" customFormat="false" ht="17.15" hidden="false" customHeight="false" outlineLevel="0" collapsed="false">
      <c r="A70" s="0" t="s">
        <v>249</v>
      </c>
      <c r="B70" s="0" t="s">
        <v>250</v>
      </c>
      <c r="C70" s="0" t="s">
        <v>48</v>
      </c>
      <c r="E70" s="11" t="n">
        <v>-0.1</v>
      </c>
      <c r="G70" s="12" t="s">
        <v>49</v>
      </c>
      <c r="H70" s="6" t="s">
        <v>54</v>
      </c>
      <c r="I70" s="12" t="s">
        <v>251</v>
      </c>
    </row>
    <row r="71" customFormat="false" ht="17.15" hidden="false" customHeight="false" outlineLevel="0" collapsed="false">
      <c r="A71" s="0" t="s">
        <v>252</v>
      </c>
      <c r="B71" s="0" t="s">
        <v>253</v>
      </c>
      <c r="C71" s="0" t="s">
        <v>48</v>
      </c>
      <c r="E71" s="11" t="n">
        <v>-0.2</v>
      </c>
      <c r="G71" s="12" t="s">
        <v>49</v>
      </c>
      <c r="H71" s="6" t="s">
        <v>54</v>
      </c>
      <c r="I71" s="12" t="s">
        <v>254</v>
      </c>
    </row>
    <row r="72" customFormat="false" ht="17.15" hidden="false" customHeight="false" outlineLevel="0" collapsed="false">
      <c r="A72" s="0" t="s">
        <v>255</v>
      </c>
      <c r="B72" s="0" t="s">
        <v>256</v>
      </c>
      <c r="C72" s="0" t="s">
        <v>48</v>
      </c>
      <c r="E72" s="11" t="n">
        <v>-0.3</v>
      </c>
      <c r="G72" s="12" t="s">
        <v>49</v>
      </c>
      <c r="H72" s="6" t="s">
        <v>54</v>
      </c>
      <c r="I72" s="12" t="s">
        <v>257</v>
      </c>
    </row>
    <row r="73" customFormat="false" ht="17.15" hidden="false" customHeight="false" outlineLevel="0" collapsed="false">
      <c r="A73" s="0" t="s">
        <v>258</v>
      </c>
      <c r="B73" s="0" t="s">
        <v>259</v>
      </c>
      <c r="C73" s="0" t="s">
        <v>48</v>
      </c>
      <c r="E73" s="11" t="n">
        <v>-0.25</v>
      </c>
      <c r="G73" s="12" t="s">
        <v>49</v>
      </c>
      <c r="H73" s="6" t="s">
        <v>54</v>
      </c>
      <c r="I73" s="12" t="s">
        <v>260</v>
      </c>
    </row>
    <row r="74" customFormat="false" ht="17.15" hidden="false" customHeight="false" outlineLevel="0" collapsed="false">
      <c r="A74" s="0" t="s">
        <v>261</v>
      </c>
      <c r="B74" s="0" t="s">
        <v>262</v>
      </c>
      <c r="C74" s="0" t="s">
        <v>48</v>
      </c>
      <c r="E74" s="11" t="n">
        <v>-0.2</v>
      </c>
      <c r="G74" s="12" t="s">
        <v>49</v>
      </c>
      <c r="H74" s="6" t="s">
        <v>54</v>
      </c>
      <c r="I74" s="12" t="s">
        <v>263</v>
      </c>
    </row>
    <row r="75" customFormat="false" ht="17.15" hidden="false" customHeight="false" outlineLevel="0" collapsed="false">
      <c r="A75" s="0" t="s">
        <v>264</v>
      </c>
      <c r="B75" s="0" t="s">
        <v>265</v>
      </c>
      <c r="C75" s="0" t="s">
        <v>48</v>
      </c>
      <c r="E75" s="11" t="n">
        <v>-0.1</v>
      </c>
      <c r="G75" s="12" t="s">
        <v>49</v>
      </c>
      <c r="H75" s="6" t="s">
        <v>54</v>
      </c>
      <c r="I75" s="12" t="s">
        <v>266</v>
      </c>
    </row>
    <row r="76" customFormat="false" ht="17.15" hidden="false" customHeight="false" outlineLevel="0" collapsed="false">
      <c r="A76" s="0" t="s">
        <v>267</v>
      </c>
      <c r="B76" s="0" t="s">
        <v>268</v>
      </c>
      <c r="C76" s="0" t="s">
        <v>48</v>
      </c>
      <c r="E76" s="11" t="n">
        <v>0.05</v>
      </c>
      <c r="G76" s="12" t="s">
        <v>49</v>
      </c>
      <c r="H76" s="6" t="s">
        <v>54</v>
      </c>
      <c r="I76" s="12" t="s">
        <v>269</v>
      </c>
    </row>
    <row r="77" customFormat="false" ht="17.15" hidden="false" customHeight="false" outlineLevel="0" collapsed="false">
      <c r="A77" s="0" t="s">
        <v>270</v>
      </c>
      <c r="B77" s="0" t="s">
        <v>271</v>
      </c>
      <c r="C77" s="0" t="s">
        <v>48</v>
      </c>
      <c r="E77" s="11" t="n">
        <v>0.05</v>
      </c>
      <c r="G77" s="12" t="s">
        <v>49</v>
      </c>
      <c r="H77" s="6" t="s">
        <v>54</v>
      </c>
      <c r="I77" s="12" t="s">
        <v>272</v>
      </c>
    </row>
    <row r="78" customFormat="false" ht="17.15" hidden="false" customHeight="false" outlineLevel="0" collapsed="false">
      <c r="A78" s="0" t="s">
        <v>273</v>
      </c>
      <c r="B78" s="0" t="s">
        <v>274</v>
      </c>
      <c r="C78" s="0" t="s">
        <v>48</v>
      </c>
      <c r="E78" s="11" t="n">
        <v>0.03</v>
      </c>
      <c r="G78" s="12" t="s">
        <v>49</v>
      </c>
      <c r="H78" s="6" t="s">
        <v>54</v>
      </c>
      <c r="I78" s="12" t="s">
        <v>275</v>
      </c>
    </row>
    <row r="79" customFormat="false" ht="17.15" hidden="false" customHeight="false" outlineLevel="0" collapsed="false">
      <c r="A79" s="0" t="s">
        <v>276</v>
      </c>
      <c r="B79" s="0" t="s">
        <v>277</v>
      </c>
      <c r="C79" s="0" t="s">
        <v>48</v>
      </c>
      <c r="E79" s="11" t="n">
        <v>0.03</v>
      </c>
      <c r="G79" s="12" t="s">
        <v>49</v>
      </c>
      <c r="H79" s="6" t="s">
        <v>54</v>
      </c>
      <c r="I79" s="12" t="s">
        <v>278</v>
      </c>
    </row>
    <row r="80" customFormat="false" ht="17.15" hidden="false" customHeight="false" outlineLevel="0" collapsed="false">
      <c r="A80" s="0" t="s">
        <v>279</v>
      </c>
      <c r="B80" s="0" t="s">
        <v>280</v>
      </c>
      <c r="C80" s="0" t="s">
        <v>48</v>
      </c>
      <c r="D80" s="11" t="n">
        <v>0</v>
      </c>
      <c r="E80" s="11" t="n">
        <v>0.05</v>
      </c>
      <c r="F80" s="11" t="n">
        <v>0.1</v>
      </c>
      <c r="G80" s="12" t="s">
        <v>147</v>
      </c>
      <c r="H80" s="12" t="s">
        <v>281</v>
      </c>
      <c r="I80" s="12" t="s">
        <v>282</v>
      </c>
    </row>
    <row r="81" customFormat="false" ht="17.15" hidden="false" customHeight="false" outlineLevel="0" collapsed="false">
      <c r="A81" s="0" t="s">
        <v>283</v>
      </c>
      <c r="B81" s="0" t="s">
        <v>284</v>
      </c>
      <c r="C81" s="0" t="s">
        <v>48</v>
      </c>
      <c r="D81" s="11" t="n">
        <v>-0.03</v>
      </c>
      <c r="E81" s="11" t="n">
        <v>0.02</v>
      </c>
      <c r="F81" s="11" t="n">
        <v>0.07</v>
      </c>
      <c r="G81" s="12" t="s">
        <v>147</v>
      </c>
      <c r="H81" s="6" t="s">
        <v>54</v>
      </c>
      <c r="I81" s="12" t="s">
        <v>285</v>
      </c>
    </row>
    <row r="82" customFormat="false" ht="17.15" hidden="false" customHeight="false" outlineLevel="0" collapsed="false">
      <c r="A82" s="0" t="s">
        <v>286</v>
      </c>
      <c r="B82" s="0" t="s">
        <v>287</v>
      </c>
      <c r="C82" s="0" t="s">
        <v>48</v>
      </c>
      <c r="D82" s="11" t="n">
        <v>-0.15</v>
      </c>
      <c r="E82" s="11" t="n">
        <v>-0.1</v>
      </c>
      <c r="F82" s="11" t="n">
        <v>-0.05</v>
      </c>
      <c r="G82" s="12" t="s">
        <v>147</v>
      </c>
      <c r="H82" s="6" t="s">
        <v>54</v>
      </c>
      <c r="I82" s="12" t="s">
        <v>288</v>
      </c>
    </row>
    <row r="83" customFormat="false" ht="17.15" hidden="false" customHeight="false" outlineLevel="0" collapsed="false">
      <c r="A83" s="0" t="s">
        <v>289</v>
      </c>
      <c r="B83" s="0" t="s">
        <v>290</v>
      </c>
      <c r="C83" s="0" t="s">
        <v>48</v>
      </c>
      <c r="D83" s="11" t="n">
        <v>-0.25</v>
      </c>
      <c r="E83" s="11" t="n">
        <v>-0.2</v>
      </c>
      <c r="F83" s="11" t="n">
        <v>-0.15</v>
      </c>
      <c r="G83" s="12" t="s">
        <v>147</v>
      </c>
      <c r="H83" s="6" t="s">
        <v>54</v>
      </c>
      <c r="I83" s="12" t="s">
        <v>291</v>
      </c>
    </row>
    <row r="84" customFormat="false" ht="17.15" hidden="false" customHeight="false" outlineLevel="0" collapsed="false">
      <c r="A84" s="0" t="s">
        <v>292</v>
      </c>
      <c r="B84" s="0" t="s">
        <v>293</v>
      </c>
      <c r="C84" s="0" t="s">
        <v>48</v>
      </c>
      <c r="D84" s="11" t="n">
        <v>-0.45</v>
      </c>
      <c r="E84" s="11" t="n">
        <v>-0.35</v>
      </c>
      <c r="F84" s="11" t="n">
        <v>-0.25</v>
      </c>
      <c r="G84" s="12" t="s">
        <v>147</v>
      </c>
      <c r="H84" s="6" t="s">
        <v>54</v>
      </c>
      <c r="I84" s="12" t="s">
        <v>294</v>
      </c>
    </row>
    <row r="85" customFormat="false" ht="17.15" hidden="false" customHeight="false" outlineLevel="0" collapsed="false">
      <c r="A85" s="0" t="s">
        <v>295</v>
      </c>
      <c r="B85" s="0" t="s">
        <v>296</v>
      </c>
      <c r="C85" s="0" t="s">
        <v>48</v>
      </c>
      <c r="D85" s="11" t="n">
        <v>-0.45</v>
      </c>
      <c r="E85" s="11" t="n">
        <v>-0.35</v>
      </c>
      <c r="F85" s="11" t="n">
        <v>-0.25</v>
      </c>
      <c r="G85" s="12" t="s">
        <v>147</v>
      </c>
      <c r="H85" s="6" t="s">
        <v>54</v>
      </c>
      <c r="I85" s="12" t="s">
        <v>297</v>
      </c>
    </row>
    <row r="86" customFormat="false" ht="17.15" hidden="false" customHeight="false" outlineLevel="0" collapsed="false">
      <c r="A86" s="0" t="s">
        <v>298</v>
      </c>
      <c r="B86" s="0" t="s">
        <v>299</v>
      </c>
      <c r="C86" s="0" t="s">
        <v>48</v>
      </c>
      <c r="D86" s="11" t="n">
        <v>-0.35</v>
      </c>
      <c r="E86" s="11" t="n">
        <v>-0.25</v>
      </c>
      <c r="F86" s="11" t="n">
        <v>-0.15</v>
      </c>
      <c r="G86" s="12" t="s">
        <v>147</v>
      </c>
      <c r="H86" s="6" t="s">
        <v>54</v>
      </c>
      <c r="I86" s="12" t="s">
        <v>300</v>
      </c>
    </row>
    <row r="87" customFormat="false" ht="17.15" hidden="false" customHeight="false" outlineLevel="0" collapsed="false">
      <c r="A87" s="0" t="s">
        <v>301</v>
      </c>
      <c r="B87" s="0" t="s">
        <v>302</v>
      </c>
      <c r="C87" s="0" t="s">
        <v>48</v>
      </c>
      <c r="D87" s="11" t="n">
        <v>-0.3</v>
      </c>
      <c r="E87" s="11" t="n">
        <v>-0.2</v>
      </c>
      <c r="F87" s="11" t="n">
        <v>-0.1</v>
      </c>
      <c r="G87" s="12" t="s">
        <v>147</v>
      </c>
      <c r="H87" s="6" t="s">
        <v>54</v>
      </c>
      <c r="I87" s="12" t="s">
        <v>303</v>
      </c>
    </row>
    <row r="88" customFormat="false" ht="17.15" hidden="false" customHeight="false" outlineLevel="0" collapsed="false">
      <c r="A88" s="0" t="s">
        <v>304</v>
      </c>
      <c r="B88" s="0" t="s">
        <v>305</v>
      </c>
      <c r="C88" s="0" t="s">
        <v>48</v>
      </c>
      <c r="D88" s="11" t="n">
        <v>-0.1</v>
      </c>
      <c r="E88" s="11" t="n">
        <v>0</v>
      </c>
      <c r="F88" s="11" t="n">
        <v>0.1</v>
      </c>
      <c r="G88" s="12" t="s">
        <v>147</v>
      </c>
      <c r="H88" s="6" t="s">
        <v>54</v>
      </c>
      <c r="I88" s="12" t="s">
        <v>306</v>
      </c>
    </row>
    <row r="89" customFormat="false" ht="17.15" hidden="false" customHeight="false" outlineLevel="0" collapsed="false">
      <c r="A89" s="0" t="s">
        <v>307</v>
      </c>
      <c r="B89" s="0" t="s">
        <v>308</v>
      </c>
      <c r="C89" s="0" t="s">
        <v>48</v>
      </c>
      <c r="D89" s="11" t="n">
        <v>-0.05</v>
      </c>
      <c r="E89" s="11" t="n">
        <v>0.05</v>
      </c>
      <c r="F89" s="11" t="n">
        <v>0.15</v>
      </c>
      <c r="G89" s="12" t="s">
        <v>147</v>
      </c>
      <c r="H89" s="6" t="s">
        <v>54</v>
      </c>
      <c r="I89" s="12" t="s">
        <v>309</v>
      </c>
    </row>
    <row r="90" customFormat="false" ht="17.15" hidden="false" customHeight="false" outlineLevel="0" collapsed="false">
      <c r="A90" s="0" t="s">
        <v>310</v>
      </c>
      <c r="B90" s="0" t="s">
        <v>311</v>
      </c>
      <c r="C90" s="0" t="s">
        <v>48</v>
      </c>
      <c r="D90" s="11" t="n">
        <v>-0.02</v>
      </c>
      <c r="E90" s="11" t="n">
        <v>0.08</v>
      </c>
      <c r="F90" s="11" t="n">
        <v>0.18</v>
      </c>
      <c r="G90" s="12" t="s">
        <v>147</v>
      </c>
      <c r="H90" s="6" t="s">
        <v>54</v>
      </c>
      <c r="I90" s="12" t="s">
        <v>312</v>
      </c>
    </row>
    <row r="91" customFormat="false" ht="17.15" hidden="false" customHeight="false" outlineLevel="0" collapsed="false">
      <c r="A91" s="0" t="s">
        <v>313</v>
      </c>
      <c r="B91" s="0" t="s">
        <v>314</v>
      </c>
      <c r="C91" s="0" t="s">
        <v>48</v>
      </c>
      <c r="D91" s="11" t="n">
        <v>0</v>
      </c>
      <c r="E91" s="11" t="n">
        <v>0.1</v>
      </c>
      <c r="F91" s="11" t="n">
        <v>0.2</v>
      </c>
      <c r="G91" s="12" t="s">
        <v>147</v>
      </c>
      <c r="H91" s="6" t="s">
        <v>54</v>
      </c>
      <c r="I91" s="12" t="s">
        <v>315</v>
      </c>
    </row>
    <row r="92" customFormat="false" ht="17.15" hidden="false" customHeight="false" outlineLevel="0" collapsed="false">
      <c r="A92" s="10" t="s">
        <v>316</v>
      </c>
    </row>
    <row r="93" customFormat="false" ht="17.15" hidden="false" customHeight="false" outlineLevel="0" collapsed="false">
      <c r="A93" s="0" t="s">
        <v>317</v>
      </c>
      <c r="B93" s="0" t="s">
        <v>318</v>
      </c>
      <c r="C93" s="6" t="s">
        <v>319</v>
      </c>
      <c r="E93" s="13" t="n">
        <v>5.4</v>
      </c>
      <c r="G93" s="12" t="s">
        <v>49</v>
      </c>
      <c r="H93" s="6" t="s">
        <v>320</v>
      </c>
      <c r="I93" s="12" t="s">
        <v>321</v>
      </c>
    </row>
    <row r="94" customFormat="false" ht="17.15" hidden="false" customHeight="false" outlineLevel="0" collapsed="false">
      <c r="A94" s="0" t="s">
        <v>322</v>
      </c>
      <c r="B94" s="0" t="s">
        <v>323</v>
      </c>
      <c r="C94" s="6" t="s">
        <v>319</v>
      </c>
      <c r="E94" s="13" t="n">
        <v>2.4</v>
      </c>
      <c r="G94" s="12" t="s">
        <v>49</v>
      </c>
      <c r="H94" s="6" t="s">
        <v>54</v>
      </c>
      <c r="I94" s="12" t="s">
        <v>324</v>
      </c>
    </row>
    <row r="95" customFormat="false" ht="17.15" hidden="false" customHeight="false" outlineLevel="0" collapsed="false">
      <c r="A95" s="0" t="s">
        <v>325</v>
      </c>
      <c r="B95" s="0" t="s">
        <v>326</v>
      </c>
      <c r="C95" s="6" t="s">
        <v>319</v>
      </c>
      <c r="E95" s="13" t="n">
        <v>0.5</v>
      </c>
      <c r="G95" s="12" t="s">
        <v>49</v>
      </c>
      <c r="H95" s="6" t="s">
        <v>54</v>
      </c>
      <c r="I95" s="12" t="s">
        <v>327</v>
      </c>
    </row>
    <row r="96" customFormat="false" ht="17.15" hidden="false" customHeight="false" outlineLevel="0" collapsed="false">
      <c r="A96" s="0" t="s">
        <v>328</v>
      </c>
      <c r="B96" s="0" t="s">
        <v>329</v>
      </c>
      <c r="C96" s="0" t="s">
        <v>330</v>
      </c>
      <c r="E96" s="13" t="n">
        <v>260</v>
      </c>
      <c r="G96" s="12" t="s">
        <v>49</v>
      </c>
      <c r="H96" s="6" t="s">
        <v>54</v>
      </c>
      <c r="I96" s="12" t="s">
        <v>331</v>
      </c>
    </row>
    <row r="97" customFormat="false" ht="17.15" hidden="false" customHeight="false" outlineLevel="0" collapsed="false">
      <c r="A97" s="0" t="s">
        <v>332</v>
      </c>
      <c r="B97" s="0" t="s">
        <v>333</v>
      </c>
      <c r="C97" s="0" t="s">
        <v>330</v>
      </c>
      <c r="E97" s="13" t="n">
        <v>280</v>
      </c>
      <c r="G97" s="12" t="s">
        <v>49</v>
      </c>
      <c r="H97" s="6" t="s">
        <v>54</v>
      </c>
      <c r="I97" s="12" t="s">
        <v>334</v>
      </c>
    </row>
    <row r="98" customFormat="false" ht="17.15" hidden="false" customHeight="false" outlineLevel="0" collapsed="false">
      <c r="A98" s="0" t="s">
        <v>335</v>
      </c>
      <c r="B98" s="0" t="s">
        <v>336</v>
      </c>
      <c r="C98" s="0" t="s">
        <v>330</v>
      </c>
      <c r="E98" s="13" t="n">
        <v>288</v>
      </c>
      <c r="G98" s="12" t="s">
        <v>49</v>
      </c>
      <c r="H98" s="6" t="s">
        <v>54</v>
      </c>
      <c r="I98" s="12" t="s">
        <v>337</v>
      </c>
    </row>
    <row r="99" customFormat="false" ht="17.15" hidden="false" customHeight="false" outlineLevel="0" collapsed="false">
      <c r="A99" s="0" t="s">
        <v>338</v>
      </c>
      <c r="B99" s="0" t="s">
        <v>339</v>
      </c>
      <c r="C99" s="6" t="s">
        <v>319</v>
      </c>
      <c r="E99" s="13" t="n">
        <v>1.7</v>
      </c>
      <c r="G99" s="12" t="s">
        <v>49</v>
      </c>
      <c r="H99" s="12" t="s">
        <v>340</v>
      </c>
      <c r="I99" s="12" t="s">
        <v>341</v>
      </c>
    </row>
    <row r="100" customFormat="false" ht="17.15" hidden="false" customHeight="false" outlineLevel="0" collapsed="false">
      <c r="A100" s="0" t="s">
        <v>342</v>
      </c>
      <c r="B100" s="0" t="s">
        <v>343</v>
      </c>
      <c r="C100" s="6" t="s">
        <v>319</v>
      </c>
      <c r="E100" s="13" t="n">
        <v>7</v>
      </c>
      <c r="G100" s="12" t="s">
        <v>49</v>
      </c>
      <c r="H100" s="6" t="s">
        <v>54</v>
      </c>
      <c r="I100" s="12" t="s">
        <v>344</v>
      </c>
    </row>
    <row r="101" customFormat="false" ht="17.15" hidden="false" customHeight="false" outlineLevel="0" collapsed="false">
      <c r="A101" s="0" t="s">
        <v>345</v>
      </c>
      <c r="B101" s="0" t="s">
        <v>346</v>
      </c>
      <c r="C101" s="6" t="s">
        <v>319</v>
      </c>
      <c r="E101" s="13" t="n">
        <v>7</v>
      </c>
      <c r="G101" s="12" t="s">
        <v>49</v>
      </c>
      <c r="H101" s="6" t="s">
        <v>54</v>
      </c>
      <c r="I101" s="12" t="s">
        <v>347</v>
      </c>
    </row>
    <row r="102" customFormat="false" ht="17.15" hidden="false" customHeight="false" outlineLevel="0" collapsed="false">
      <c r="A102" s="0" t="s">
        <v>348</v>
      </c>
      <c r="B102" s="0" t="s">
        <v>349</v>
      </c>
      <c r="C102" s="0" t="s">
        <v>330</v>
      </c>
      <c r="E102" s="13" t="n">
        <v>288</v>
      </c>
      <c r="G102" s="12" t="s">
        <v>49</v>
      </c>
      <c r="H102" s="6" t="s">
        <v>54</v>
      </c>
      <c r="I102" s="12" t="s">
        <v>350</v>
      </c>
    </row>
    <row r="103" customFormat="false" ht="17.15" hidden="false" customHeight="false" outlineLevel="0" collapsed="false">
      <c r="A103" s="0" t="s">
        <v>351</v>
      </c>
      <c r="B103" s="0" t="s">
        <v>352</v>
      </c>
      <c r="C103" s="0" t="s">
        <v>330</v>
      </c>
      <c r="E103" s="13" t="n">
        <v>288</v>
      </c>
      <c r="G103" s="12" t="s">
        <v>49</v>
      </c>
      <c r="H103" s="6" t="s">
        <v>54</v>
      </c>
      <c r="I103" s="12" t="s">
        <v>353</v>
      </c>
    </row>
    <row r="104" customFormat="false" ht="17.15" hidden="false" customHeight="false" outlineLevel="0" collapsed="false">
      <c r="A104" s="0" t="s">
        <v>354</v>
      </c>
      <c r="B104" s="0" t="s">
        <v>355</v>
      </c>
      <c r="C104" s="0" t="s">
        <v>330</v>
      </c>
      <c r="E104" s="13" t="n">
        <v>288</v>
      </c>
      <c r="G104" s="12" t="s">
        <v>49</v>
      </c>
      <c r="H104" s="6" t="s">
        <v>54</v>
      </c>
      <c r="I104" s="12" t="s">
        <v>356</v>
      </c>
    </row>
    <row r="105" customFormat="false" ht="17.15" hidden="false" customHeight="false" outlineLevel="0" collapsed="false">
      <c r="A105" s="0" t="s">
        <v>357</v>
      </c>
      <c r="B105" s="0" t="s">
        <v>358</v>
      </c>
      <c r="C105" s="6" t="s">
        <v>319</v>
      </c>
      <c r="D105" s="13" t="n">
        <v>0</v>
      </c>
      <c r="E105" s="13" t="n">
        <v>0</v>
      </c>
      <c r="F105" s="13" t="n">
        <v>0</v>
      </c>
      <c r="G105" s="12" t="s">
        <v>147</v>
      </c>
      <c r="H105" s="6" t="s">
        <v>359</v>
      </c>
      <c r="I105" s="12" t="s">
        <v>360</v>
      </c>
    </row>
    <row r="106" customFormat="false" ht="17.15" hidden="false" customHeight="false" outlineLevel="0" collapsed="false">
      <c r="A106" s="0" t="s">
        <v>361</v>
      </c>
      <c r="B106" s="0" t="s">
        <v>362</v>
      </c>
      <c r="C106" s="6" t="s">
        <v>319</v>
      </c>
      <c r="D106" s="13" t="n">
        <v>0</v>
      </c>
      <c r="E106" s="13" t="n">
        <v>0.3</v>
      </c>
      <c r="F106" s="13" t="n">
        <v>0.6</v>
      </c>
      <c r="G106" s="12" t="s">
        <v>147</v>
      </c>
      <c r="H106" s="6" t="s">
        <v>54</v>
      </c>
      <c r="I106" s="12" t="s">
        <v>363</v>
      </c>
    </row>
    <row r="107" customFormat="false" ht="17.15" hidden="false" customHeight="false" outlineLevel="0" collapsed="false">
      <c r="A107" s="0" t="s">
        <v>364</v>
      </c>
      <c r="B107" s="0" t="s">
        <v>365</v>
      </c>
      <c r="C107" s="6" t="s">
        <v>319</v>
      </c>
      <c r="D107" s="13" t="n">
        <v>1</v>
      </c>
      <c r="E107" s="13" t="n">
        <v>2</v>
      </c>
      <c r="F107" s="13" t="n">
        <v>3</v>
      </c>
      <c r="G107" s="12" t="s">
        <v>147</v>
      </c>
      <c r="H107" s="6" t="s">
        <v>54</v>
      </c>
      <c r="I107" s="12" t="s">
        <v>366</v>
      </c>
    </row>
    <row r="108" customFormat="false" ht="17.15" hidden="false" customHeight="false" outlineLevel="0" collapsed="false">
      <c r="A108" s="0" t="s">
        <v>367</v>
      </c>
      <c r="B108" s="0" t="s">
        <v>368</v>
      </c>
      <c r="C108" s="0" t="s">
        <v>330</v>
      </c>
      <c r="E108" s="13" t="n">
        <v>1024</v>
      </c>
      <c r="G108" s="12" t="s">
        <v>49</v>
      </c>
      <c r="H108" s="12" t="s">
        <v>369</v>
      </c>
      <c r="I108" s="12" t="s">
        <v>370</v>
      </c>
    </row>
    <row r="109" customFormat="false" ht="17.15" hidden="false" customHeight="false" outlineLevel="0" collapsed="false">
      <c r="A109" s="0" t="s">
        <v>371</v>
      </c>
      <c r="B109" s="0" t="s">
        <v>372</v>
      </c>
      <c r="C109" s="0" t="s">
        <v>330</v>
      </c>
      <c r="E109" s="13" t="n">
        <v>1024</v>
      </c>
      <c r="G109" s="12" t="s">
        <v>49</v>
      </c>
      <c r="H109" s="6" t="s">
        <v>54</v>
      </c>
      <c r="I109" s="12" t="s">
        <v>373</v>
      </c>
    </row>
    <row r="110" customFormat="false" ht="17.15" hidden="false" customHeight="false" outlineLevel="0" collapsed="false">
      <c r="A110" s="0" t="s">
        <v>374</v>
      </c>
      <c r="B110" s="0" t="s">
        <v>375</v>
      </c>
      <c r="C110" s="0" t="s">
        <v>330</v>
      </c>
      <c r="E110" s="13" t="n">
        <v>1024</v>
      </c>
      <c r="G110" s="12" t="s">
        <v>49</v>
      </c>
      <c r="H110" s="6" t="s">
        <v>54</v>
      </c>
      <c r="I110" s="12" t="s">
        <v>376</v>
      </c>
    </row>
    <row r="111" customFormat="false" ht="17.15" hidden="false" customHeight="false" outlineLevel="0" collapsed="false">
      <c r="A111" s="0" t="s">
        <v>377</v>
      </c>
      <c r="B111" s="0" t="s">
        <v>378</v>
      </c>
      <c r="C111" s="6" t="s">
        <v>319</v>
      </c>
      <c r="E111" s="13" t="n">
        <v>0.5</v>
      </c>
      <c r="G111" s="12" t="s">
        <v>49</v>
      </c>
      <c r="H111" s="12" t="s">
        <v>379</v>
      </c>
      <c r="I111" s="12" t="s">
        <v>380</v>
      </c>
    </row>
    <row r="112" customFormat="false" ht="17.15" hidden="false" customHeight="false" outlineLevel="0" collapsed="false">
      <c r="A112" s="0" t="s">
        <v>381</v>
      </c>
      <c r="B112" s="0" t="s">
        <v>382</v>
      </c>
      <c r="C112" s="6" t="s">
        <v>319</v>
      </c>
      <c r="E112" s="13" t="n">
        <v>0</v>
      </c>
      <c r="G112" s="12" t="s">
        <v>49</v>
      </c>
      <c r="H112" s="6" t="s">
        <v>54</v>
      </c>
      <c r="I112" s="12" t="s">
        <v>383</v>
      </c>
    </row>
    <row r="113" customFormat="false" ht="17.15" hidden="false" customHeight="false" outlineLevel="0" collapsed="false">
      <c r="A113" s="0" t="s">
        <v>384</v>
      </c>
      <c r="B113" s="0" t="s">
        <v>385</v>
      </c>
      <c r="C113" s="6" t="s">
        <v>319</v>
      </c>
      <c r="E113" s="13" t="n">
        <v>0</v>
      </c>
      <c r="G113" s="12" t="s">
        <v>49</v>
      </c>
      <c r="H113" s="6" t="s">
        <v>54</v>
      </c>
      <c r="I113" s="12" t="s">
        <v>386</v>
      </c>
    </row>
    <row r="114" customFormat="false" ht="17.15" hidden="false" customHeight="false" outlineLevel="0" collapsed="false">
      <c r="A114" s="0" t="s">
        <v>387</v>
      </c>
      <c r="B114" s="0" t="s">
        <v>388</v>
      </c>
      <c r="C114" s="0" t="s">
        <v>330</v>
      </c>
      <c r="E114" s="13" t="n">
        <v>141</v>
      </c>
      <c r="G114" s="12" t="s">
        <v>49</v>
      </c>
      <c r="H114" s="6" t="s">
        <v>54</v>
      </c>
      <c r="I114" s="12" t="s">
        <v>389</v>
      </c>
    </row>
    <row r="115" customFormat="false" ht="17.15" hidden="false" customHeight="false" outlineLevel="0" collapsed="false">
      <c r="A115" s="0" t="s">
        <v>390</v>
      </c>
      <c r="B115" s="0" t="s">
        <v>391</v>
      </c>
      <c r="C115" s="0" t="s">
        <v>330</v>
      </c>
      <c r="E115" s="13" t="n">
        <v>141</v>
      </c>
      <c r="G115" s="12" t="s">
        <v>49</v>
      </c>
      <c r="H115" s="6" t="s">
        <v>54</v>
      </c>
      <c r="I115" s="12" t="s">
        <v>392</v>
      </c>
    </row>
    <row r="116" customFormat="false" ht="17.15" hidden="false" customHeight="false" outlineLevel="0" collapsed="false">
      <c r="A116" s="0" t="s">
        <v>393</v>
      </c>
      <c r="B116" s="0" t="s">
        <v>394</v>
      </c>
      <c r="C116" s="0" t="s">
        <v>330</v>
      </c>
      <c r="E116" s="13" t="n">
        <v>141</v>
      </c>
      <c r="G116" s="12" t="s">
        <v>49</v>
      </c>
      <c r="H116" s="6" t="s">
        <v>54</v>
      </c>
      <c r="I116" s="12" t="s">
        <v>395</v>
      </c>
    </row>
    <row r="117" customFormat="false" ht="17.15" hidden="false" customHeight="false" outlineLevel="0" collapsed="false">
      <c r="A117" s="0" t="s">
        <v>396</v>
      </c>
      <c r="B117" s="0" t="s">
        <v>397</v>
      </c>
      <c r="C117" s="6" t="s">
        <v>319</v>
      </c>
      <c r="D117" s="13" t="n">
        <v>0.6</v>
      </c>
      <c r="E117" s="13" t="n">
        <v>0.75</v>
      </c>
      <c r="F117" s="13" t="n">
        <v>0.9</v>
      </c>
      <c r="G117" s="12" t="s">
        <v>398</v>
      </c>
      <c r="H117" s="12" t="s">
        <v>399</v>
      </c>
      <c r="I117" s="12" t="s">
        <v>400</v>
      </c>
    </row>
    <row r="118" customFormat="false" ht="17.15" hidden="false" customHeight="false" outlineLevel="0" collapsed="false">
      <c r="A118" s="0" t="s">
        <v>401</v>
      </c>
      <c r="B118" s="0" t="s">
        <v>402</v>
      </c>
      <c r="C118" s="6" t="s">
        <v>319</v>
      </c>
      <c r="D118" s="13" t="n">
        <v>1.2</v>
      </c>
      <c r="E118" s="13" t="n">
        <v>1.5</v>
      </c>
      <c r="F118" s="13" t="n">
        <v>1.8</v>
      </c>
      <c r="G118" s="12" t="s">
        <v>398</v>
      </c>
      <c r="H118" s="6" t="s">
        <v>54</v>
      </c>
      <c r="I118" s="12" t="s">
        <v>403</v>
      </c>
    </row>
    <row r="119" customFormat="false" ht="17.15" hidden="false" customHeight="false" outlineLevel="0" collapsed="false">
      <c r="A119" s="0" t="s">
        <v>404</v>
      </c>
      <c r="B119" s="0" t="s">
        <v>405</v>
      </c>
      <c r="C119" s="6" t="s">
        <v>319</v>
      </c>
      <c r="D119" s="13" t="n">
        <v>1.5</v>
      </c>
      <c r="E119" s="13" t="n">
        <v>2</v>
      </c>
      <c r="F119" s="13" t="n">
        <v>2.5</v>
      </c>
      <c r="G119" s="12" t="s">
        <v>398</v>
      </c>
      <c r="H119" s="6" t="s">
        <v>54</v>
      </c>
      <c r="I119" s="12" t="s">
        <v>406</v>
      </c>
    </row>
    <row r="120" customFormat="false" ht="17.15" hidden="false" customHeight="false" outlineLevel="0" collapsed="false">
      <c r="A120" s="0" t="s">
        <v>407</v>
      </c>
      <c r="B120" s="0" t="s">
        <v>408</v>
      </c>
      <c r="C120" s="0" t="s">
        <v>330</v>
      </c>
      <c r="D120" s="13" t="n">
        <v>288</v>
      </c>
      <c r="E120" s="13" t="n">
        <v>288</v>
      </c>
      <c r="F120" s="13" t="n">
        <v>288</v>
      </c>
      <c r="G120" s="12" t="s">
        <v>398</v>
      </c>
      <c r="H120" s="6" t="s">
        <v>54</v>
      </c>
      <c r="I120" s="12" t="s">
        <v>409</v>
      </c>
    </row>
    <row r="121" customFormat="false" ht="17.15" hidden="false" customHeight="false" outlineLevel="0" collapsed="false">
      <c r="A121" s="0" t="s">
        <v>410</v>
      </c>
      <c r="B121" s="0" t="s">
        <v>411</v>
      </c>
      <c r="C121" s="0" t="s">
        <v>330</v>
      </c>
      <c r="D121" s="13" t="n">
        <v>288</v>
      </c>
      <c r="E121" s="13" t="n">
        <v>360</v>
      </c>
      <c r="F121" s="13" t="n">
        <v>432</v>
      </c>
      <c r="G121" s="12" t="s">
        <v>398</v>
      </c>
      <c r="H121" s="6" t="s">
        <v>54</v>
      </c>
      <c r="I121" s="12" t="s">
        <v>412</v>
      </c>
    </row>
    <row r="122" customFormat="false" ht="17.15" hidden="false" customHeight="false" outlineLevel="0" collapsed="false">
      <c r="A122" s="0" t="s">
        <v>413</v>
      </c>
      <c r="B122" s="0" t="s">
        <v>414</v>
      </c>
      <c r="C122" s="0" t="s">
        <v>330</v>
      </c>
      <c r="D122" s="13" t="n">
        <v>432</v>
      </c>
      <c r="E122" s="13" t="n">
        <v>432</v>
      </c>
      <c r="F122" s="13" t="n">
        <v>432</v>
      </c>
      <c r="G122" s="12" t="s">
        <v>398</v>
      </c>
      <c r="H122" s="6" t="s">
        <v>54</v>
      </c>
      <c r="I122" s="12" t="s">
        <v>415</v>
      </c>
    </row>
    <row r="123" customFormat="false" ht="17.15" hidden="false" customHeight="false" outlineLevel="0" collapsed="false">
      <c r="A123" s="0" t="s">
        <v>416</v>
      </c>
      <c r="B123" s="0" t="s">
        <v>417</v>
      </c>
      <c r="C123" s="6" t="s">
        <v>319</v>
      </c>
      <c r="E123" s="13" t="n">
        <v>3.85</v>
      </c>
      <c r="G123" s="12" t="s">
        <v>49</v>
      </c>
      <c r="H123" s="12" t="s">
        <v>418</v>
      </c>
      <c r="I123" s="12" t="s">
        <v>419</v>
      </c>
    </row>
    <row r="124" customFormat="false" ht="17.15" hidden="false" customHeight="false" outlineLevel="0" collapsed="false">
      <c r="A124" s="0" t="s">
        <v>420</v>
      </c>
      <c r="B124" s="0" t="s">
        <v>421</v>
      </c>
      <c r="C124" s="6" t="s">
        <v>319</v>
      </c>
      <c r="E124" s="13" t="n">
        <v>5.5</v>
      </c>
      <c r="G124" s="12" t="s">
        <v>49</v>
      </c>
      <c r="H124" s="6" t="s">
        <v>54</v>
      </c>
      <c r="I124" s="12" t="s">
        <v>422</v>
      </c>
    </row>
    <row r="125" customFormat="false" ht="17.15" hidden="false" customHeight="false" outlineLevel="0" collapsed="false">
      <c r="A125" s="0" t="s">
        <v>423</v>
      </c>
      <c r="B125" s="0" t="s">
        <v>424</v>
      </c>
      <c r="C125" s="6" t="s">
        <v>319</v>
      </c>
      <c r="E125" s="13" t="n">
        <v>7</v>
      </c>
      <c r="G125" s="12" t="s">
        <v>49</v>
      </c>
      <c r="H125" s="6" t="s">
        <v>54</v>
      </c>
      <c r="I125" s="12" t="s">
        <v>425</v>
      </c>
    </row>
    <row r="126" customFormat="false" ht="17.15" hidden="false" customHeight="false" outlineLevel="0" collapsed="false">
      <c r="A126" s="0" t="s">
        <v>426</v>
      </c>
      <c r="B126" s="0" t="s">
        <v>427</v>
      </c>
      <c r="C126" s="0" t="s">
        <v>330</v>
      </c>
      <c r="E126" s="13" t="n">
        <v>192</v>
      </c>
      <c r="G126" s="12" t="s">
        <v>49</v>
      </c>
      <c r="H126" s="6" t="s">
        <v>54</v>
      </c>
      <c r="I126" s="12" t="s">
        <v>428</v>
      </c>
    </row>
    <row r="127" customFormat="false" ht="17.15" hidden="false" customHeight="false" outlineLevel="0" collapsed="false">
      <c r="A127" s="0" t="s">
        <v>429</v>
      </c>
      <c r="B127" s="0" t="s">
        <v>430</v>
      </c>
      <c r="C127" s="0" t="s">
        <v>330</v>
      </c>
      <c r="E127" s="13" t="n">
        <v>250</v>
      </c>
      <c r="G127" s="12" t="s">
        <v>49</v>
      </c>
      <c r="H127" s="6" t="s">
        <v>54</v>
      </c>
      <c r="I127" s="12" t="s">
        <v>431</v>
      </c>
    </row>
    <row r="128" customFormat="false" ht="17.15" hidden="false" customHeight="false" outlineLevel="0" collapsed="false">
      <c r="A128" s="0" t="s">
        <v>432</v>
      </c>
      <c r="B128" s="0" t="s">
        <v>433</v>
      </c>
      <c r="C128" s="0" t="s">
        <v>330</v>
      </c>
      <c r="E128" s="13" t="n">
        <v>288</v>
      </c>
      <c r="G128" s="12" t="s">
        <v>49</v>
      </c>
      <c r="H128" s="6" t="s">
        <v>54</v>
      </c>
      <c r="I128" s="12" t="s">
        <v>434</v>
      </c>
    </row>
    <row r="129" customFormat="false" ht="17.15" hidden="false" customHeight="false" outlineLevel="0" collapsed="false">
      <c r="A129" s="0" t="s">
        <v>435</v>
      </c>
      <c r="B129" s="0" t="s">
        <v>436</v>
      </c>
      <c r="C129" s="6" t="s">
        <v>319</v>
      </c>
      <c r="D129" s="13" t="n">
        <v>1.5</v>
      </c>
      <c r="E129" s="13" t="n">
        <v>2</v>
      </c>
      <c r="F129" s="13" t="n">
        <v>2.5</v>
      </c>
      <c r="G129" s="12" t="s">
        <v>147</v>
      </c>
      <c r="H129" s="6" t="s">
        <v>437</v>
      </c>
      <c r="I129" s="12" t="s">
        <v>438</v>
      </c>
    </row>
    <row r="130" customFormat="false" ht="17.15" hidden="false" customHeight="false" outlineLevel="0" collapsed="false">
      <c r="A130" s="0" t="s">
        <v>439</v>
      </c>
      <c r="B130" s="0" t="s">
        <v>440</v>
      </c>
      <c r="C130" s="6" t="s">
        <v>319</v>
      </c>
      <c r="D130" s="13" t="n">
        <v>2</v>
      </c>
      <c r="E130" s="13" t="n">
        <v>2.5</v>
      </c>
      <c r="F130" s="13" t="n">
        <v>3.5</v>
      </c>
      <c r="G130" s="12" t="s">
        <v>147</v>
      </c>
      <c r="H130" s="6" t="s">
        <v>54</v>
      </c>
      <c r="I130" s="12" t="s">
        <v>441</v>
      </c>
    </row>
    <row r="131" customFormat="false" ht="17.15" hidden="false" customHeight="false" outlineLevel="0" collapsed="false">
      <c r="A131" s="0" t="s">
        <v>442</v>
      </c>
      <c r="B131" s="0" t="s">
        <v>443</v>
      </c>
      <c r="C131" s="6" t="s">
        <v>319</v>
      </c>
      <c r="D131" s="13" t="n">
        <v>2</v>
      </c>
      <c r="E131" s="13" t="n">
        <v>3</v>
      </c>
      <c r="F131" s="13" t="n">
        <v>4</v>
      </c>
      <c r="G131" s="12" t="s">
        <v>147</v>
      </c>
      <c r="H131" s="6" t="s">
        <v>54</v>
      </c>
      <c r="I131" s="12" t="s">
        <v>444</v>
      </c>
    </row>
    <row r="132" customFormat="false" ht="17.15" hidden="false" customHeight="false" outlineLevel="0" collapsed="false">
      <c r="A132" s="0" t="s">
        <v>445</v>
      </c>
      <c r="B132" s="0" t="s">
        <v>446</v>
      </c>
      <c r="C132" s="0" t="s">
        <v>330</v>
      </c>
      <c r="D132" s="13" t="n">
        <v>96</v>
      </c>
      <c r="E132" s="13" t="n">
        <v>110</v>
      </c>
      <c r="F132" s="13" t="n">
        <v>144</v>
      </c>
      <c r="G132" s="12" t="s">
        <v>147</v>
      </c>
      <c r="H132" s="6" t="s">
        <v>54</v>
      </c>
      <c r="I132" s="12" t="s">
        <v>447</v>
      </c>
    </row>
    <row r="133" customFormat="false" ht="17.15" hidden="false" customHeight="false" outlineLevel="0" collapsed="false">
      <c r="A133" s="0" t="s">
        <v>448</v>
      </c>
      <c r="B133" s="0" t="s">
        <v>449</v>
      </c>
      <c r="C133" s="0" t="s">
        <v>330</v>
      </c>
      <c r="D133" s="13" t="n">
        <v>120</v>
      </c>
      <c r="E133" s="13" t="n">
        <v>144</v>
      </c>
      <c r="F133" s="13" t="n">
        <v>144</v>
      </c>
      <c r="G133" s="12" t="s">
        <v>147</v>
      </c>
      <c r="H133" s="6" t="s">
        <v>54</v>
      </c>
      <c r="I133" s="12" t="s">
        <v>450</v>
      </c>
    </row>
    <row r="134" customFormat="false" ht="17.15" hidden="false" customHeight="false" outlineLevel="0" collapsed="false">
      <c r="A134" s="0" t="s">
        <v>451</v>
      </c>
      <c r="B134" s="0" t="s">
        <v>452</v>
      </c>
      <c r="C134" s="0" t="s">
        <v>330</v>
      </c>
      <c r="D134" s="13" t="n">
        <v>144</v>
      </c>
      <c r="E134" s="13" t="n">
        <v>200</v>
      </c>
      <c r="F134" s="13" t="n">
        <v>256</v>
      </c>
      <c r="G134" s="12" t="s">
        <v>147</v>
      </c>
      <c r="H134" s="6" t="s">
        <v>54</v>
      </c>
      <c r="I134" s="12" t="s">
        <v>453</v>
      </c>
    </row>
    <row r="135" customFormat="false" ht="17.15" hidden="false" customHeight="false" outlineLevel="0" collapsed="false">
      <c r="A135" s="0" t="s">
        <v>454</v>
      </c>
      <c r="B135" s="6" t="s">
        <v>455</v>
      </c>
      <c r="C135" s="6" t="s">
        <v>319</v>
      </c>
      <c r="D135" s="13" t="n">
        <v>0.5</v>
      </c>
      <c r="E135" s="13" t="n">
        <v>1</v>
      </c>
      <c r="F135" s="13" t="n">
        <v>1.5</v>
      </c>
      <c r="G135" s="12" t="s">
        <v>456</v>
      </c>
      <c r="H135" s="12" t="s">
        <v>457</v>
      </c>
      <c r="I135" s="12" t="s">
        <v>458</v>
      </c>
    </row>
    <row r="136" customFormat="false" ht="17.15" hidden="false" customHeight="false" outlineLevel="0" collapsed="false">
      <c r="A136" s="0" t="s">
        <v>459</v>
      </c>
      <c r="B136" s="6" t="s">
        <v>460</v>
      </c>
      <c r="C136" s="6" t="s">
        <v>319</v>
      </c>
      <c r="D136" s="13" t="n">
        <v>3</v>
      </c>
      <c r="E136" s="13" t="n">
        <v>4.5</v>
      </c>
      <c r="F136" s="13" t="n">
        <v>6</v>
      </c>
      <c r="G136" s="12" t="s">
        <v>456</v>
      </c>
      <c r="H136" s="6" t="s">
        <v>54</v>
      </c>
      <c r="I136" s="12" t="s">
        <v>461</v>
      </c>
    </row>
    <row r="137" customFormat="false" ht="17.15" hidden="false" customHeight="false" outlineLevel="0" collapsed="false">
      <c r="A137" s="0" t="s">
        <v>462</v>
      </c>
      <c r="B137" s="6" t="s">
        <v>463</v>
      </c>
      <c r="C137" s="6" t="s">
        <v>319</v>
      </c>
      <c r="D137" s="13" t="n">
        <v>3.5</v>
      </c>
      <c r="E137" s="13" t="n">
        <v>5</v>
      </c>
      <c r="F137" s="13" t="n">
        <v>7</v>
      </c>
      <c r="G137" s="12" t="s">
        <v>456</v>
      </c>
      <c r="H137" s="6" t="s">
        <v>54</v>
      </c>
      <c r="I137" s="12" t="s">
        <v>464</v>
      </c>
    </row>
    <row r="138" customFormat="false" ht="17.15" hidden="false" customHeight="false" outlineLevel="0" collapsed="false">
      <c r="A138" s="0" t="s">
        <v>465</v>
      </c>
      <c r="B138" s="6" t="s">
        <v>466</v>
      </c>
      <c r="C138" s="0" t="s">
        <v>330</v>
      </c>
      <c r="D138" s="13" t="n">
        <v>100</v>
      </c>
      <c r="E138" s="13" t="n">
        <v>150</v>
      </c>
      <c r="F138" s="13" t="n">
        <v>200</v>
      </c>
      <c r="G138" s="12" t="s">
        <v>456</v>
      </c>
      <c r="H138" s="6" t="s">
        <v>54</v>
      </c>
      <c r="I138" s="12" t="s">
        <v>467</v>
      </c>
    </row>
    <row r="139" customFormat="false" ht="17.15" hidden="false" customHeight="false" outlineLevel="0" collapsed="false">
      <c r="A139" s="0" t="s">
        <v>468</v>
      </c>
      <c r="B139" s="6" t="s">
        <v>469</v>
      </c>
      <c r="C139" s="0" t="s">
        <v>330</v>
      </c>
      <c r="D139" s="13" t="n">
        <v>150</v>
      </c>
      <c r="E139" s="13" t="n">
        <v>200</v>
      </c>
      <c r="F139" s="13" t="n">
        <v>250</v>
      </c>
      <c r="G139" s="12" t="s">
        <v>456</v>
      </c>
      <c r="H139" s="6" t="s">
        <v>54</v>
      </c>
      <c r="I139" s="12" t="s">
        <v>470</v>
      </c>
    </row>
    <row r="140" customFormat="false" ht="17.15" hidden="false" customHeight="false" outlineLevel="0" collapsed="false">
      <c r="A140" s="0" t="s">
        <v>471</v>
      </c>
      <c r="B140" s="6" t="s">
        <v>472</v>
      </c>
      <c r="C140" s="0" t="s">
        <v>330</v>
      </c>
      <c r="D140" s="13" t="n">
        <v>200</v>
      </c>
      <c r="E140" s="13" t="n">
        <v>250</v>
      </c>
      <c r="F140" s="13" t="n">
        <v>300</v>
      </c>
      <c r="G140" s="12" t="s">
        <v>456</v>
      </c>
      <c r="H140" s="6" t="s">
        <v>54</v>
      </c>
      <c r="I140" s="12" t="s">
        <v>473</v>
      </c>
    </row>
    <row r="141" customFormat="false" ht="17.15" hidden="false" customHeight="false" outlineLevel="0" collapsed="false">
      <c r="A141" s="10" t="s">
        <v>474</v>
      </c>
    </row>
    <row r="142" customFormat="false" ht="17.15" hidden="false" customHeight="false" outlineLevel="0" collapsed="false">
      <c r="A142" s="0" t="s">
        <v>475</v>
      </c>
      <c r="B142" s="6" t="s">
        <v>476</v>
      </c>
      <c r="C142" s="0" t="s">
        <v>477</v>
      </c>
      <c r="E142" s="13" t="n">
        <v>1</v>
      </c>
      <c r="G142" s="12" t="s">
        <v>478</v>
      </c>
      <c r="H142" s="12" t="s">
        <v>479</v>
      </c>
      <c r="I142" s="12" t="s">
        <v>480</v>
      </c>
    </row>
    <row r="143" customFormat="false" ht="17.15" hidden="false" customHeight="false" outlineLevel="0" collapsed="false">
      <c r="A143" s="0" t="s">
        <v>481</v>
      </c>
      <c r="B143" s="6" t="s">
        <v>482</v>
      </c>
      <c r="C143" s="0" t="s">
        <v>477</v>
      </c>
      <c r="E143" s="13" t="n">
        <v>1</v>
      </c>
      <c r="G143" s="12" t="s">
        <v>478</v>
      </c>
      <c r="H143" s="6" t="s">
        <v>54</v>
      </c>
      <c r="I143" s="12" t="s">
        <v>483</v>
      </c>
    </row>
    <row r="144" customFormat="false" ht="17.15" hidden="false" customHeight="false" outlineLevel="0" collapsed="false">
      <c r="A144" s="0" t="s">
        <v>484</v>
      </c>
      <c r="B144" s="6" t="s">
        <v>485</v>
      </c>
      <c r="C144" s="0" t="s">
        <v>477</v>
      </c>
      <c r="D144" s="13" t="n">
        <v>0.7</v>
      </c>
      <c r="E144" s="13" t="n">
        <v>0.8</v>
      </c>
      <c r="F144" s="13" t="n">
        <v>0.9</v>
      </c>
      <c r="G144" s="12" t="s">
        <v>147</v>
      </c>
      <c r="H144" s="6" t="s">
        <v>54</v>
      </c>
      <c r="I144" s="12" t="s">
        <v>486</v>
      </c>
    </row>
    <row r="145" customFormat="false" ht="17.15" hidden="false" customHeight="false" outlineLevel="0" collapsed="false">
      <c r="A145" s="0" t="s">
        <v>487</v>
      </c>
      <c r="B145" s="6" t="s">
        <v>488</v>
      </c>
      <c r="C145" s="0" t="s">
        <v>477</v>
      </c>
      <c r="D145" s="13" t="n">
        <v>0.75</v>
      </c>
      <c r="E145" s="13" t="n">
        <v>0.85</v>
      </c>
      <c r="F145" s="13" t="n">
        <v>0.95</v>
      </c>
      <c r="G145" s="12" t="s">
        <v>147</v>
      </c>
      <c r="H145" s="6" t="s">
        <v>54</v>
      </c>
      <c r="I145" s="12" t="s">
        <v>489</v>
      </c>
    </row>
    <row r="146" customFormat="false" ht="17.15" hidden="false" customHeight="false" outlineLevel="0" collapsed="false">
      <c r="A146" s="0" t="s">
        <v>490</v>
      </c>
      <c r="B146" s="6" t="s">
        <v>491</v>
      </c>
      <c r="C146" s="0" t="s">
        <v>477</v>
      </c>
      <c r="D146" s="13" t="n">
        <v>0.5</v>
      </c>
      <c r="E146" s="13" t="n">
        <v>0.6</v>
      </c>
      <c r="F146" s="13" t="n">
        <v>0.7</v>
      </c>
      <c r="G146" s="12" t="s">
        <v>147</v>
      </c>
      <c r="H146" s="6" t="s">
        <v>54</v>
      </c>
      <c r="I146" s="12" t="s">
        <v>492</v>
      </c>
    </row>
    <row r="147" customFormat="false" ht="17.15" hidden="false" customHeight="false" outlineLevel="0" collapsed="false">
      <c r="A147" s="0" t="s">
        <v>493</v>
      </c>
      <c r="B147" s="6" t="s">
        <v>494</v>
      </c>
      <c r="C147" s="0" t="s">
        <v>477</v>
      </c>
      <c r="D147" s="13" t="n">
        <v>0.5</v>
      </c>
      <c r="E147" s="13" t="n">
        <v>0.6</v>
      </c>
      <c r="F147" s="13" t="n">
        <v>0.7</v>
      </c>
      <c r="G147" s="12" t="s">
        <v>147</v>
      </c>
      <c r="H147" s="6" t="s">
        <v>54</v>
      </c>
      <c r="I147" s="12" t="s">
        <v>495</v>
      </c>
    </row>
    <row r="148" customFormat="false" ht="17.15" hidden="false" customHeight="false" outlineLevel="0" collapsed="false">
      <c r="A148" s="10" t="s">
        <v>496</v>
      </c>
    </row>
    <row r="149" customFormat="false" ht="17.15" hidden="false" customHeight="false" outlineLevel="0" collapsed="false">
      <c r="A149" s="0" t="s">
        <v>497</v>
      </c>
      <c r="B149" s="0" t="s">
        <v>498</v>
      </c>
      <c r="C149" s="0" t="s">
        <v>499</v>
      </c>
      <c r="D149" s="13" t="n">
        <v>34</v>
      </c>
      <c r="E149" s="13" t="n">
        <v>35</v>
      </c>
      <c r="F149" s="13" t="n">
        <v>35</v>
      </c>
      <c r="G149" s="12" t="s">
        <v>500</v>
      </c>
      <c r="H149" s="12" t="s">
        <v>501</v>
      </c>
      <c r="I149" s="12" t="s">
        <v>502</v>
      </c>
    </row>
    <row r="150" customFormat="false" ht="17.15" hidden="false" customHeight="false" outlineLevel="0" collapsed="false">
      <c r="A150" s="0" t="s">
        <v>503</v>
      </c>
      <c r="B150" s="0" t="s">
        <v>504</v>
      </c>
      <c r="C150" s="0" t="s">
        <v>48</v>
      </c>
      <c r="D150" s="11" t="n">
        <v>0.6</v>
      </c>
      <c r="E150" s="11" t="n">
        <v>0.7</v>
      </c>
      <c r="F150" s="11" t="n">
        <v>0.8</v>
      </c>
      <c r="G150" s="12" t="s">
        <v>49</v>
      </c>
      <c r="H150" s="12" t="s">
        <v>505</v>
      </c>
      <c r="I150" s="12" t="s">
        <v>506</v>
      </c>
    </row>
    <row r="151" customFormat="false" ht="17.15" hidden="false" customHeight="false" outlineLevel="0" collapsed="false">
      <c r="A151" s="0" t="s">
        <v>507</v>
      </c>
      <c r="B151" s="6" t="s">
        <v>508</v>
      </c>
      <c r="C151" s="0" t="s">
        <v>477</v>
      </c>
      <c r="D151" s="13" t="n">
        <v>1</v>
      </c>
      <c r="E151" s="13" t="n">
        <v>1.15</v>
      </c>
      <c r="F151" s="13" t="n">
        <v>1.3</v>
      </c>
      <c r="G151" s="12" t="s">
        <v>147</v>
      </c>
      <c r="H151" s="6" t="s">
        <v>509</v>
      </c>
      <c r="I151" s="12" t="s">
        <v>510</v>
      </c>
    </row>
    <row r="152" customFormat="false" ht="17.15" hidden="false" customHeight="false" outlineLevel="0" collapsed="false">
      <c r="A152" s="0" t="s">
        <v>511</v>
      </c>
      <c r="B152" s="0" t="s">
        <v>512</v>
      </c>
      <c r="C152" s="0" t="s">
        <v>48</v>
      </c>
      <c r="D152" s="11" t="n">
        <v>0.5</v>
      </c>
      <c r="E152" s="11" t="n">
        <v>0.55</v>
      </c>
      <c r="F152" s="11" t="n">
        <v>0.63</v>
      </c>
      <c r="G152" s="12" t="s">
        <v>49</v>
      </c>
      <c r="H152" s="12" t="s">
        <v>513</v>
      </c>
      <c r="I152" s="12" t="s">
        <v>514</v>
      </c>
    </row>
    <row r="153" customFormat="false" ht="17.15" hidden="false" customHeight="false" outlineLevel="0" collapsed="false">
      <c r="A153" s="0" t="s">
        <v>515</v>
      </c>
      <c r="B153" s="0" t="s">
        <v>516</v>
      </c>
      <c r="C153" s="0" t="s">
        <v>48</v>
      </c>
      <c r="D153" s="11" t="n">
        <v>0.3</v>
      </c>
      <c r="E153" s="11" t="n">
        <v>0.45</v>
      </c>
      <c r="F153" s="11" t="n">
        <v>0.63</v>
      </c>
      <c r="G153" s="12" t="s">
        <v>147</v>
      </c>
      <c r="H153" s="6" t="s">
        <v>517</v>
      </c>
      <c r="I153" s="12" t="s">
        <v>518</v>
      </c>
    </row>
    <row r="154" customFormat="false" ht="17.15" hidden="false" customHeight="false" outlineLevel="0" collapsed="false">
      <c r="A154" s="0" t="s">
        <v>519</v>
      </c>
      <c r="B154" s="0" t="s">
        <v>520</v>
      </c>
      <c r="C154" s="0" t="s">
        <v>521</v>
      </c>
      <c r="D154" s="13" t="n">
        <v>12.5</v>
      </c>
      <c r="E154" s="13" t="n">
        <v>14.6</v>
      </c>
      <c r="F154" s="13" t="n">
        <v>16</v>
      </c>
      <c r="G154" s="12" t="s">
        <v>49</v>
      </c>
      <c r="H154" s="12" t="s">
        <v>522</v>
      </c>
      <c r="I154" s="12" t="s">
        <v>523</v>
      </c>
    </row>
    <row r="155" customFormat="false" ht="17.15" hidden="false" customHeight="false" outlineLevel="0" collapsed="false">
      <c r="A155" s="0" t="s">
        <v>524</v>
      </c>
      <c r="B155" s="0" t="s">
        <v>525</v>
      </c>
      <c r="C155" s="0" t="s">
        <v>48</v>
      </c>
      <c r="D155" s="11" t="n">
        <v>0.38</v>
      </c>
      <c r="E155" s="11" t="n">
        <v>0.8</v>
      </c>
      <c r="F155" s="11" t="n">
        <v>1.21</v>
      </c>
      <c r="G155" s="12" t="s">
        <v>49</v>
      </c>
      <c r="H155" s="12" t="s">
        <v>526</v>
      </c>
      <c r="I155" s="12" t="s">
        <v>527</v>
      </c>
    </row>
    <row r="156" customFormat="false" ht="17.15" hidden="false" customHeight="false" outlineLevel="0" collapsed="false">
      <c r="A156" s="0" t="s">
        <v>528</v>
      </c>
      <c r="B156" s="0" t="s">
        <v>529</v>
      </c>
      <c r="C156" s="0" t="s">
        <v>48</v>
      </c>
      <c r="D156" s="11" t="n">
        <v>0</v>
      </c>
      <c r="E156" s="11" t="n">
        <v>0.1</v>
      </c>
      <c r="F156" s="11" t="n">
        <v>0.25</v>
      </c>
      <c r="G156" s="12" t="s">
        <v>49</v>
      </c>
      <c r="H156" s="12" t="s">
        <v>530</v>
      </c>
      <c r="I156" s="12" t="s">
        <v>531</v>
      </c>
    </row>
    <row r="157" customFormat="false" ht="17.15" hidden="false" customHeight="false" outlineLevel="0" collapsed="false">
      <c r="A157" s="0" t="s">
        <v>532</v>
      </c>
      <c r="B157" s="0" t="s">
        <v>533</v>
      </c>
      <c r="C157" s="0" t="s">
        <v>48</v>
      </c>
      <c r="D157" s="11" t="n">
        <v>-0.4</v>
      </c>
      <c r="E157" s="11" t="n">
        <v>-0.25</v>
      </c>
      <c r="F157" s="11" t="n">
        <v>-0.1</v>
      </c>
      <c r="G157" s="12" t="s">
        <v>147</v>
      </c>
      <c r="H157" s="6" t="s">
        <v>534</v>
      </c>
      <c r="I157" s="12" t="s">
        <v>535</v>
      </c>
    </row>
    <row r="158" customFormat="false" ht="17.15" hidden="false" customHeight="false" outlineLevel="0" collapsed="false">
      <c r="A158" s="0" t="s">
        <v>536</v>
      </c>
      <c r="B158" s="0" t="s">
        <v>537</v>
      </c>
      <c r="C158" s="0" t="s">
        <v>48</v>
      </c>
      <c r="D158" s="11" t="n">
        <v>-0.55</v>
      </c>
      <c r="E158" s="11" t="n">
        <v>-0.4</v>
      </c>
      <c r="F158" s="11" t="n">
        <v>-0.25</v>
      </c>
      <c r="G158" s="12" t="s">
        <v>147</v>
      </c>
      <c r="H158" s="6" t="s">
        <v>538</v>
      </c>
      <c r="I158" s="12" t="s">
        <v>539</v>
      </c>
    </row>
    <row r="159" customFormat="false" ht="17.15" hidden="false" customHeight="false" outlineLevel="0" collapsed="false">
      <c r="A159" s="0" t="s">
        <v>540</v>
      </c>
      <c r="B159" s="0" t="s">
        <v>541</v>
      </c>
      <c r="C159" s="0" t="s">
        <v>48</v>
      </c>
      <c r="D159" s="11" t="n">
        <v>0.2</v>
      </c>
      <c r="E159" s="11" t="n">
        <v>0.3</v>
      </c>
      <c r="F159" s="11" t="n">
        <v>0.45</v>
      </c>
      <c r="G159" s="12" t="s">
        <v>147</v>
      </c>
      <c r="H159" s="12" t="s">
        <v>542</v>
      </c>
      <c r="I159" s="12" t="s">
        <v>543</v>
      </c>
    </row>
    <row r="160" customFormat="false" ht="17.15" hidden="false" customHeight="false" outlineLevel="0" collapsed="false">
      <c r="A160" s="0" t="s">
        <v>544</v>
      </c>
      <c r="B160" s="0" t="s">
        <v>545</v>
      </c>
      <c r="C160" s="0" t="s">
        <v>48</v>
      </c>
      <c r="D160" s="11" t="n">
        <v>0.25</v>
      </c>
      <c r="E160" s="11" t="n">
        <v>0.35</v>
      </c>
      <c r="F160" s="11" t="n">
        <v>0.5</v>
      </c>
      <c r="G160" s="12" t="s">
        <v>147</v>
      </c>
      <c r="H160" s="12" t="s">
        <v>546</v>
      </c>
      <c r="I160" s="12" t="s">
        <v>547</v>
      </c>
    </row>
    <row r="161" customFormat="false" ht="17.15" hidden="false" customHeight="false" outlineLevel="0" collapsed="false">
      <c r="A161" s="0" t="s">
        <v>548</v>
      </c>
      <c r="B161" s="0" t="s">
        <v>549</v>
      </c>
      <c r="C161" s="0" t="s">
        <v>48</v>
      </c>
      <c r="D161" s="11" t="n">
        <v>-0.15</v>
      </c>
      <c r="E161" s="11" t="n">
        <v>-0.05</v>
      </c>
      <c r="F161" s="11" t="n">
        <v>0.05</v>
      </c>
      <c r="G161" s="12" t="s">
        <v>147</v>
      </c>
      <c r="H161" s="12" t="s">
        <v>550</v>
      </c>
      <c r="I161" s="12" t="s">
        <v>551</v>
      </c>
    </row>
    <row r="162" customFormat="false" ht="17.15" hidden="false" customHeight="false" outlineLevel="0" collapsed="false">
      <c r="A162" s="0" t="s">
        <v>552</v>
      </c>
      <c r="B162" s="0" t="s">
        <v>553</v>
      </c>
      <c r="C162" s="0" t="s">
        <v>48</v>
      </c>
      <c r="D162" s="11" t="n">
        <v>-0.1</v>
      </c>
      <c r="E162" s="11" t="n">
        <v>0</v>
      </c>
      <c r="F162" s="11" t="n">
        <v>0.1</v>
      </c>
      <c r="G162" s="12" t="s">
        <v>147</v>
      </c>
      <c r="H162" s="12" t="s">
        <v>554</v>
      </c>
      <c r="I162" s="12" t="s">
        <v>555</v>
      </c>
    </row>
    <row r="163" customFormat="false" ht="17.15" hidden="false" customHeight="false" outlineLevel="0" collapsed="false">
      <c r="A163" s="0" t="s">
        <v>556</v>
      </c>
      <c r="B163" s="0" t="s">
        <v>557</v>
      </c>
      <c r="C163" s="0" t="s">
        <v>48</v>
      </c>
      <c r="D163" s="11" t="n">
        <v>-0.1</v>
      </c>
      <c r="E163" s="11" t="n">
        <v>0.05</v>
      </c>
      <c r="F163" s="11" t="n">
        <v>0.15</v>
      </c>
      <c r="G163" s="12" t="s">
        <v>147</v>
      </c>
      <c r="H163" s="6" t="s">
        <v>558</v>
      </c>
      <c r="I163" s="12" t="s">
        <v>559</v>
      </c>
    </row>
    <row r="164" customFormat="false" ht="17.15" hidden="false" customHeight="false" outlineLevel="0" collapsed="false">
      <c r="A164" s="10" t="s">
        <v>560</v>
      </c>
    </row>
    <row r="165" customFormat="false" ht="17.15" hidden="false" customHeight="false" outlineLevel="0" collapsed="false">
      <c r="A165" s="0" t="s">
        <v>561</v>
      </c>
      <c r="B165" s="0" t="s">
        <v>562</v>
      </c>
      <c r="C165" s="0" t="s">
        <v>499</v>
      </c>
      <c r="D165" s="13" t="n">
        <v>340</v>
      </c>
      <c r="E165" s="13" t="n">
        <v>374</v>
      </c>
      <c r="F165" s="13" t="n">
        <v>400</v>
      </c>
      <c r="G165" s="12" t="s">
        <v>563</v>
      </c>
      <c r="H165" s="12" t="s">
        <v>564</v>
      </c>
      <c r="I165" s="12" t="s">
        <v>565</v>
      </c>
    </row>
    <row r="166" customFormat="false" ht="17.15" hidden="false" customHeight="false" outlineLevel="0" collapsed="false">
      <c r="A166" s="0" t="s">
        <v>566</v>
      </c>
      <c r="B166" s="6" t="s">
        <v>567</v>
      </c>
      <c r="C166" s="0" t="s">
        <v>568</v>
      </c>
      <c r="D166" s="13" t="n">
        <v>38</v>
      </c>
      <c r="E166" s="13" t="n">
        <v>42.8</v>
      </c>
      <c r="F166" s="13" t="n">
        <v>48</v>
      </c>
      <c r="G166" s="12" t="s">
        <v>478</v>
      </c>
      <c r="H166" s="12" t="s">
        <v>569</v>
      </c>
      <c r="I166" s="12" t="s">
        <v>570</v>
      </c>
    </row>
    <row r="167" customFormat="false" ht="17.15" hidden="false" customHeight="false" outlineLevel="0" collapsed="false">
      <c r="A167" s="0" t="s">
        <v>571</v>
      </c>
      <c r="B167" s="6" t="s">
        <v>572</v>
      </c>
      <c r="C167" s="0" t="s">
        <v>568</v>
      </c>
      <c r="D167" s="13" t="n">
        <v>3.5</v>
      </c>
      <c r="E167" s="13" t="n">
        <v>4.46</v>
      </c>
      <c r="F167" s="13" t="n">
        <v>4.9</v>
      </c>
      <c r="G167" s="12" t="s">
        <v>478</v>
      </c>
      <c r="H167" s="12" t="s">
        <v>573</v>
      </c>
      <c r="I167" s="12" t="s">
        <v>574</v>
      </c>
    </row>
    <row r="168" customFormat="false" ht="17.15" hidden="false" customHeight="false" outlineLevel="0" collapsed="false">
      <c r="A168" s="0" t="s">
        <v>575</v>
      </c>
      <c r="B168" s="6" t="s">
        <v>576</v>
      </c>
      <c r="C168" s="0" t="s">
        <v>499</v>
      </c>
      <c r="E168" s="13" t="n">
        <v>54.6</v>
      </c>
      <c r="G168" s="12" t="s">
        <v>49</v>
      </c>
      <c r="H168" s="12" t="s">
        <v>577</v>
      </c>
      <c r="I168" s="12" t="s">
        <v>578</v>
      </c>
    </row>
    <row r="169" customFormat="false" ht="17.15" hidden="false" customHeight="false" outlineLevel="0" collapsed="false">
      <c r="A169" s="0" t="s">
        <v>579</v>
      </c>
      <c r="B169" s="6" t="s">
        <v>580</v>
      </c>
      <c r="C169" s="0" t="s">
        <v>499</v>
      </c>
      <c r="E169" s="13" t="n">
        <v>77.4</v>
      </c>
      <c r="G169" s="12" t="s">
        <v>49</v>
      </c>
      <c r="H169" s="12" t="s">
        <v>581</v>
      </c>
      <c r="I169" s="12" t="s">
        <v>582</v>
      </c>
    </row>
    <row r="170" customFormat="false" ht="17.15" hidden="false" customHeight="false" outlineLevel="0" collapsed="false">
      <c r="A170" s="0" t="s">
        <v>583</v>
      </c>
      <c r="B170" s="6" t="s">
        <v>584</v>
      </c>
      <c r="C170" s="0" t="s">
        <v>499</v>
      </c>
      <c r="E170" s="13" t="n">
        <v>152.8</v>
      </c>
      <c r="G170" s="12" t="s">
        <v>49</v>
      </c>
      <c r="H170" s="12" t="s">
        <v>585</v>
      </c>
      <c r="I170" s="12" t="s">
        <v>586</v>
      </c>
    </row>
    <row r="171" customFormat="false" ht="17.15" hidden="false" customHeight="false" outlineLevel="0" collapsed="false">
      <c r="A171" s="10" t="s">
        <v>587</v>
      </c>
    </row>
    <row r="172" customFormat="false" ht="17.15" hidden="false" customHeight="false" outlineLevel="0" collapsed="false">
      <c r="A172" s="0" t="s">
        <v>588</v>
      </c>
      <c r="B172" s="0" t="s">
        <v>589</v>
      </c>
      <c r="C172" s="0" t="s">
        <v>48</v>
      </c>
      <c r="D172" s="11" t="n">
        <v>-0.7</v>
      </c>
      <c r="E172" s="11" t="n">
        <v>-0.5</v>
      </c>
      <c r="F172" s="11" t="n">
        <v>-0.3</v>
      </c>
      <c r="G172" s="12" t="s">
        <v>147</v>
      </c>
      <c r="H172" s="12" t="s">
        <v>590</v>
      </c>
      <c r="I172" s="12" t="s">
        <v>591</v>
      </c>
    </row>
    <row r="173" customFormat="false" ht="17.15" hidden="false" customHeight="false" outlineLevel="0" collapsed="false">
      <c r="A173" s="0" t="s">
        <v>592</v>
      </c>
      <c r="B173" s="0" t="s">
        <v>593</v>
      </c>
      <c r="C173" s="0" t="s">
        <v>48</v>
      </c>
      <c r="D173" s="11" t="n">
        <v>0.05</v>
      </c>
      <c r="E173" s="11" t="n">
        <v>0.15</v>
      </c>
      <c r="F173" s="11" t="n">
        <v>0.25</v>
      </c>
      <c r="G173" s="12" t="s">
        <v>147</v>
      </c>
      <c r="H173" s="6" t="s">
        <v>54</v>
      </c>
      <c r="I173" s="12" t="s">
        <v>594</v>
      </c>
    </row>
    <row r="174" customFormat="false" ht="17.15" hidden="false" customHeight="false" outlineLevel="0" collapsed="false">
      <c r="A174" s="0" t="s">
        <v>595</v>
      </c>
      <c r="B174" s="0" t="s">
        <v>596</v>
      </c>
      <c r="C174" s="0" t="s">
        <v>48</v>
      </c>
      <c r="D174" s="11" t="n">
        <v>0.05</v>
      </c>
      <c r="E174" s="11" t="n">
        <v>0.15</v>
      </c>
      <c r="F174" s="11" t="n">
        <v>0.25</v>
      </c>
      <c r="G174" s="12" t="s">
        <v>147</v>
      </c>
      <c r="H174" s="6" t="s">
        <v>54</v>
      </c>
      <c r="I174" s="12" t="s">
        <v>597</v>
      </c>
    </row>
    <row r="175" customFormat="false" ht="17.15" hidden="false" customHeight="false" outlineLevel="0" collapsed="false">
      <c r="A175" s="0" t="s">
        <v>598</v>
      </c>
      <c r="B175" s="0" t="s">
        <v>599</v>
      </c>
      <c r="C175" s="0" t="s">
        <v>48</v>
      </c>
      <c r="D175" s="11" t="n">
        <v>0</v>
      </c>
      <c r="E175" s="11" t="n">
        <v>0</v>
      </c>
      <c r="F175" s="11" t="n">
        <v>0</v>
      </c>
      <c r="G175" s="12" t="s">
        <v>147</v>
      </c>
      <c r="H175" s="6" t="s">
        <v>54</v>
      </c>
      <c r="I175" s="12" t="s">
        <v>600</v>
      </c>
    </row>
    <row r="176" customFormat="false" ht="17.15" hidden="false" customHeight="false" outlineLevel="0" collapsed="false">
      <c r="A176" s="0" t="s">
        <v>601</v>
      </c>
      <c r="B176" s="0" t="s">
        <v>602</v>
      </c>
      <c r="C176" s="0" t="s">
        <v>48</v>
      </c>
      <c r="D176" s="11" t="n">
        <v>0.05</v>
      </c>
      <c r="E176" s="11" t="n">
        <v>0.15</v>
      </c>
      <c r="F176" s="11" t="n">
        <v>0.25</v>
      </c>
      <c r="G176" s="12" t="s">
        <v>147</v>
      </c>
      <c r="H176" s="6" t="s">
        <v>54</v>
      </c>
      <c r="I176" s="12" t="s">
        <v>603</v>
      </c>
    </row>
    <row r="177" customFormat="false" ht="17.15" hidden="false" customHeight="false" outlineLevel="0" collapsed="false">
      <c r="A177" s="0" t="s">
        <v>604</v>
      </c>
      <c r="B177" s="0" t="s">
        <v>605</v>
      </c>
      <c r="C177" s="0" t="s">
        <v>48</v>
      </c>
      <c r="D177" s="11" t="n">
        <v>0.05</v>
      </c>
      <c r="E177" s="11" t="n">
        <v>0.15</v>
      </c>
      <c r="F177" s="11" t="n">
        <v>0.25</v>
      </c>
      <c r="G177" s="12" t="s">
        <v>147</v>
      </c>
      <c r="H177" s="6" t="s">
        <v>54</v>
      </c>
      <c r="I177" s="12" t="s">
        <v>606</v>
      </c>
    </row>
    <row r="178" customFormat="false" ht="17.15" hidden="false" customHeight="false" outlineLevel="0" collapsed="false">
      <c r="A178" s="0" t="s">
        <v>607</v>
      </c>
      <c r="B178" s="0" t="s">
        <v>608</v>
      </c>
      <c r="C178" s="0" t="s">
        <v>48</v>
      </c>
      <c r="D178" s="11" t="n">
        <v>0.05</v>
      </c>
      <c r="E178" s="11" t="n">
        <v>0.15</v>
      </c>
      <c r="F178" s="11" t="n">
        <v>0.25</v>
      </c>
      <c r="G178" s="12" t="s">
        <v>147</v>
      </c>
      <c r="H178" s="6" t="s">
        <v>54</v>
      </c>
      <c r="I178" s="12" t="s">
        <v>609</v>
      </c>
    </row>
    <row r="179" customFormat="false" ht="17.15" hidden="false" customHeight="false" outlineLevel="0" collapsed="false">
      <c r="A179" s="0" t="s">
        <v>610</v>
      </c>
      <c r="B179" s="6" t="s">
        <v>611</v>
      </c>
      <c r="C179" s="0" t="s">
        <v>48</v>
      </c>
      <c r="D179" s="11" t="n">
        <v>0.05</v>
      </c>
      <c r="E179" s="11" t="n">
        <v>0.15</v>
      </c>
      <c r="F179" s="11" t="n">
        <v>0.25</v>
      </c>
      <c r="G179" s="12" t="s">
        <v>147</v>
      </c>
      <c r="H179" s="6" t="s">
        <v>54</v>
      </c>
      <c r="I179" s="12" t="s">
        <v>612</v>
      </c>
    </row>
    <row r="181" customFormat="false" ht="17.15" hidden="false" customHeight="false" outlineLevel="0" collapsed="false">
      <c r="A181" s="10" t="s">
        <v>613</v>
      </c>
    </row>
    <row r="182" customFormat="false" ht="15" hidden="false" customHeight="false" outlineLevel="0" collapsed="false">
      <c r="A182" s="4" t="s">
        <v>614</v>
      </c>
      <c r="B182" s="4" t="s">
        <v>615</v>
      </c>
      <c r="C182" s="4"/>
      <c r="D182" s="4"/>
      <c r="E182" s="4"/>
      <c r="F182" s="4"/>
      <c r="G182" s="4" t="s">
        <v>42</v>
      </c>
      <c r="H182" s="4" t="s">
        <v>43</v>
      </c>
    </row>
    <row r="183" customFormat="false" ht="17.15" hidden="false" customHeight="false" outlineLevel="0" collapsed="false">
      <c r="A183" s="0" t="s">
        <v>616</v>
      </c>
      <c r="B183" s="0" t="s">
        <v>617</v>
      </c>
      <c r="G183" s="0" t="s">
        <v>49</v>
      </c>
      <c r="H183" s="6" t="s">
        <v>320</v>
      </c>
    </row>
    <row r="184" customFormat="false" ht="17.15" hidden="false" customHeight="false" outlineLevel="0" collapsed="false">
      <c r="A184" s="0" t="s">
        <v>618</v>
      </c>
      <c r="B184" s="0" t="s">
        <v>619</v>
      </c>
      <c r="G184" s="0" t="s">
        <v>49</v>
      </c>
      <c r="H184" s="0" t="s">
        <v>340</v>
      </c>
    </row>
    <row r="185" customFormat="false" ht="17.15" hidden="false" customHeight="false" outlineLevel="0" collapsed="false">
      <c r="A185" s="0" t="s">
        <v>620</v>
      </c>
      <c r="B185" s="0" t="s">
        <v>621</v>
      </c>
      <c r="G185" s="0" t="s">
        <v>147</v>
      </c>
      <c r="H185" s="6" t="s">
        <v>622</v>
      </c>
    </row>
    <row r="186" customFormat="false" ht="17.15" hidden="false" customHeight="false" outlineLevel="0" collapsed="false">
      <c r="A186" s="0" t="s">
        <v>623</v>
      </c>
      <c r="B186" s="0" t="s">
        <v>624</v>
      </c>
      <c r="G186" s="0" t="s">
        <v>49</v>
      </c>
      <c r="H186" s="0" t="s">
        <v>379</v>
      </c>
    </row>
    <row r="187" customFormat="false" ht="17.15" hidden="false" customHeight="false" outlineLevel="0" collapsed="false">
      <c r="A187" s="0" t="s">
        <v>625</v>
      </c>
      <c r="B187" s="0" t="s">
        <v>626</v>
      </c>
      <c r="G187" s="0" t="s">
        <v>398</v>
      </c>
      <c r="H187" s="0" t="s">
        <v>627</v>
      </c>
    </row>
    <row r="188" customFormat="false" ht="17.15" hidden="false" customHeight="false" outlineLevel="0" collapsed="false">
      <c r="A188" s="0" t="s">
        <v>628</v>
      </c>
      <c r="B188" s="0" t="s">
        <v>629</v>
      </c>
      <c r="G188" s="0" t="s">
        <v>49</v>
      </c>
      <c r="H188" s="0" t="s">
        <v>418</v>
      </c>
    </row>
    <row r="189" customFormat="false" ht="17.15" hidden="false" customHeight="false" outlineLevel="0" collapsed="false">
      <c r="A189" s="0" t="s">
        <v>630</v>
      </c>
      <c r="B189" s="0" t="s">
        <v>631</v>
      </c>
      <c r="G189" s="0" t="s">
        <v>147</v>
      </c>
      <c r="H189" s="6" t="s">
        <v>632</v>
      </c>
    </row>
    <row r="190" customFormat="false" ht="17.15" hidden="false" customHeight="false" outlineLevel="0" collapsed="false">
      <c r="A190" s="0" t="s">
        <v>633</v>
      </c>
      <c r="B190" s="6" t="s">
        <v>634</v>
      </c>
      <c r="G190" s="0" t="s">
        <v>456</v>
      </c>
      <c r="H190" s="0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636</v>
      </c>
    </row>
    <row r="3" customFormat="false" ht="17.15" hidden="false" customHeight="false" outlineLevel="0" collapsed="false">
      <c r="A3" s="4" t="s">
        <v>637</v>
      </c>
      <c r="B3" s="4" t="s">
        <v>36</v>
      </c>
      <c r="C3" s="5" t="s">
        <v>638</v>
      </c>
      <c r="D3" s="5" t="s">
        <v>639</v>
      </c>
      <c r="E3" s="5" t="s">
        <v>640</v>
      </c>
      <c r="F3" s="5" t="s">
        <v>641</v>
      </c>
      <c r="G3" s="5" t="s">
        <v>642</v>
      </c>
    </row>
    <row r="4" customFormat="false" ht="17.15" hidden="false" customHeight="false" outlineLevel="0" collapsed="false">
      <c r="A4" s="0" t="s">
        <v>617</v>
      </c>
      <c r="B4" s="0" t="s">
        <v>643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619</v>
      </c>
      <c r="B5" s="0" t="s">
        <v>644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621</v>
      </c>
      <c r="B6" s="0" t="s">
        <v>645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624</v>
      </c>
      <c r="B7" s="0" t="s">
        <v>646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626</v>
      </c>
      <c r="B8" s="0" t="s">
        <v>647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629</v>
      </c>
      <c r="B9" s="0" t="s">
        <v>648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631</v>
      </c>
      <c r="B10" s="0" t="s">
        <v>649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634</v>
      </c>
      <c r="B11" s="0" t="s">
        <v>650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651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652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653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654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655</v>
      </c>
    </row>
    <row r="3" customFormat="false" ht="15" hidden="false" customHeight="false" outlineLevel="0" collapsed="false">
      <c r="A3" s="4" t="s">
        <v>656</v>
      </c>
      <c r="B3" s="4" t="s">
        <v>12</v>
      </c>
      <c r="C3" s="5" t="s">
        <v>657</v>
      </c>
      <c r="D3" s="5" t="s">
        <v>658</v>
      </c>
      <c r="E3" s="5" t="s">
        <v>659</v>
      </c>
      <c r="F3" s="5" t="s">
        <v>660</v>
      </c>
      <c r="G3" s="5" t="s">
        <v>661</v>
      </c>
      <c r="H3" s="5" t="s">
        <v>662</v>
      </c>
      <c r="I3" s="5" t="s">
        <v>663</v>
      </c>
      <c r="J3" s="5" t="s">
        <v>664</v>
      </c>
      <c r="K3" s="5" t="s">
        <v>665</v>
      </c>
      <c r="L3" s="5" t="s">
        <v>666</v>
      </c>
      <c r="M3" s="5" t="s">
        <v>667</v>
      </c>
      <c r="N3" s="5" t="s">
        <v>668</v>
      </c>
      <c r="O3" s="5" t="s">
        <v>669</v>
      </c>
      <c r="P3" s="5" t="s">
        <v>670</v>
      </c>
      <c r="Q3" s="5" t="s">
        <v>671</v>
      </c>
      <c r="R3" s="5" t="s">
        <v>672</v>
      </c>
      <c r="S3" s="5" t="s">
        <v>673</v>
      </c>
      <c r="T3" s="5" t="s">
        <v>674</v>
      </c>
      <c r="U3" s="5" t="s">
        <v>675</v>
      </c>
      <c r="V3" s="5" t="s">
        <v>676</v>
      </c>
    </row>
    <row r="4" customFormat="false" ht="17.15" hidden="false" customHeight="false" outlineLevel="0" collapsed="false">
      <c r="A4" s="6" t="s">
        <v>677</v>
      </c>
      <c r="B4" s="0" t="s">
        <v>19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677</v>
      </c>
      <c r="B5" s="0" t="s">
        <v>24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677</v>
      </c>
      <c r="B6" s="0" t="s">
        <v>28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678</v>
      </c>
      <c r="B8" s="0" t="s">
        <v>19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678</v>
      </c>
      <c r="B9" s="0" t="s">
        <v>24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678</v>
      </c>
      <c r="B10" s="0" t="s">
        <v>28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679</v>
      </c>
    </row>
    <row r="13" customFormat="false" ht="15" hidden="false" customHeight="false" outlineLevel="0" collapsed="false">
      <c r="A13" s="4" t="s">
        <v>656</v>
      </c>
      <c r="B13" s="4" t="s">
        <v>12</v>
      </c>
      <c r="C13" s="5" t="s">
        <v>680</v>
      </c>
      <c r="D13" s="5" t="s">
        <v>638</v>
      </c>
      <c r="E13" s="5" t="s">
        <v>639</v>
      </c>
      <c r="F13" s="5" t="s">
        <v>640</v>
      </c>
      <c r="G13" s="5" t="s">
        <v>641</v>
      </c>
      <c r="H13" s="5" t="s">
        <v>681</v>
      </c>
      <c r="I13" s="5" t="s">
        <v>682</v>
      </c>
      <c r="J13" s="5" t="s">
        <v>683</v>
      </c>
      <c r="K13" s="5" t="s">
        <v>684</v>
      </c>
    </row>
    <row r="14" customFormat="false" ht="17.15" hidden="false" customHeight="false" outlineLevel="0" collapsed="false">
      <c r="A14" s="6" t="s">
        <v>677</v>
      </c>
      <c r="B14" s="0" t="s">
        <v>19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677</v>
      </c>
      <c r="B15" s="0" t="s">
        <v>24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677</v>
      </c>
      <c r="B16" s="0" t="s">
        <v>28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678</v>
      </c>
      <c r="B17" s="0" t="s">
        <v>19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678</v>
      </c>
      <c r="B18" s="0" t="s">
        <v>24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678</v>
      </c>
      <c r="B19" s="0" t="s">
        <v>28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685</v>
      </c>
    </row>
    <row r="2" customFormat="false" ht="17.15" hidden="false" customHeight="false" outlineLevel="0" collapsed="false">
      <c r="A2" s="6" t="s">
        <v>686</v>
      </c>
    </row>
    <row r="3" customFormat="false" ht="15" hidden="false" customHeight="false" outlineLevel="0" collapsed="false">
      <c r="A3" s="4" t="s">
        <v>37</v>
      </c>
      <c r="B3" s="4" t="s">
        <v>38</v>
      </c>
      <c r="C3" s="5" t="s">
        <v>680</v>
      </c>
      <c r="D3" s="5" t="s">
        <v>638</v>
      </c>
      <c r="E3" s="5" t="s">
        <v>639</v>
      </c>
      <c r="F3" s="5" t="s">
        <v>640</v>
      </c>
      <c r="G3" s="5" t="s">
        <v>641</v>
      </c>
      <c r="H3" s="4" t="s">
        <v>32</v>
      </c>
    </row>
    <row r="4" customFormat="false" ht="17.15" hidden="false" customHeight="false" outlineLevel="0" collapsed="false">
      <c r="A4" s="9" t="s">
        <v>687</v>
      </c>
    </row>
    <row r="5" customFormat="false" ht="17.15" hidden="false" customHeight="false" outlineLevel="0" collapsed="false">
      <c r="A5" s="0" t="s">
        <v>688</v>
      </c>
      <c r="B5" s="0" t="s">
        <v>689</v>
      </c>
      <c r="D5" s="18" t="n">
        <f aca="false">u_bw_26*g_bw_26</f>
        <v>1404</v>
      </c>
      <c r="E5" s="18" t="n">
        <f aca="false">u_bw_27*g_bw_27</f>
        <v>672</v>
      </c>
      <c r="F5" s="18" t="n">
        <f aca="false">u_bw_28*g_bw_28</f>
        <v>144</v>
      </c>
    </row>
    <row r="6" customFormat="false" ht="15" hidden="false" customHeight="false" outlineLevel="0" collapsed="false">
      <c r="A6" s="0" t="s">
        <v>690</v>
      </c>
      <c r="B6" s="0" t="s">
        <v>689</v>
      </c>
      <c r="D6" s="18" t="n">
        <f aca="false">u_rb_26*g_rb_26</f>
        <v>489.6</v>
      </c>
      <c r="E6" s="18" t="n">
        <f aca="false">u_rb_27*g_rb_27</f>
        <v>2016</v>
      </c>
      <c r="F6" s="18" t="n">
        <f aca="false">u_rb_28*g_rb_28</f>
        <v>2016</v>
      </c>
    </row>
    <row r="7" customFormat="false" ht="15" hidden="false" customHeight="false" outlineLevel="0" collapsed="false">
      <c r="A7" s="0" t="s">
        <v>691</v>
      </c>
      <c r="B7" s="0" t="s">
        <v>689</v>
      </c>
      <c r="D7" s="18" t="n">
        <f aca="false">u_ru_26*g_ru_26</f>
        <v>0</v>
      </c>
      <c r="E7" s="18" t="n">
        <f aca="false">u_ru_27*g_ru_27</f>
        <v>307.2</v>
      </c>
      <c r="F7" s="18" t="n">
        <f aca="false">u_ru_28*g_ru_28</f>
        <v>2048</v>
      </c>
    </row>
    <row r="8" customFormat="false" ht="17.15" hidden="false" customHeight="false" outlineLevel="0" collapsed="false">
      <c r="A8" s="0" t="s">
        <v>692</v>
      </c>
      <c r="B8" s="0" t="s">
        <v>689</v>
      </c>
      <c r="D8" s="18" t="n">
        <f aca="false">u_hp_26*g_hp_26</f>
        <v>70.5</v>
      </c>
      <c r="E8" s="18" t="n">
        <f aca="false">u_hp_27*g_hp_27</f>
        <v>0</v>
      </c>
      <c r="F8" s="18" t="n">
        <f aca="false">u_hp_28*g_hp_28</f>
        <v>0</v>
      </c>
    </row>
    <row r="9" customFormat="false" ht="15" hidden="false" customHeight="false" outlineLevel="0" collapsed="false">
      <c r="A9" s="0" t="s">
        <v>693</v>
      </c>
      <c r="B9" s="0" t="s">
        <v>689</v>
      </c>
      <c r="D9" s="18" t="n">
        <f aca="false">u_amd_26*g_amd_26</f>
        <v>216</v>
      </c>
      <c r="E9" s="18" t="n">
        <f aca="false">u_amd_27*g_amd_27</f>
        <v>540</v>
      </c>
      <c r="F9" s="18" t="n">
        <f aca="false">u_amd_28*g_amd_28</f>
        <v>864</v>
      </c>
    </row>
    <row r="10" customFormat="false" ht="15" hidden="false" customHeight="false" outlineLevel="0" collapsed="false">
      <c r="A10" s="0" t="s">
        <v>694</v>
      </c>
      <c r="B10" s="0" t="s">
        <v>689</v>
      </c>
      <c r="D10" s="18" t="n">
        <f aca="false">u_tpu_26*g_tpu_26</f>
        <v>739.2</v>
      </c>
      <c r="E10" s="18" t="n">
        <f aca="false">u_tpu_27*g_tpu_27</f>
        <v>1375</v>
      </c>
      <c r="F10" s="18" t="n">
        <f aca="false">u_tpu_28*g_tpu_28</f>
        <v>2016</v>
      </c>
    </row>
    <row r="11" customFormat="false" ht="15" hidden="false" customHeight="false" outlineLevel="0" collapsed="false">
      <c r="A11" s="0" t="s">
        <v>695</v>
      </c>
      <c r="B11" s="0" t="s">
        <v>689</v>
      </c>
      <c r="D11" s="18" t="n">
        <f aca="false">u_trn_26*g_trn_26</f>
        <v>220</v>
      </c>
      <c r="E11" s="18" t="n">
        <f aca="false">u_trn_27*g_trn_27</f>
        <v>360</v>
      </c>
      <c r="F11" s="18" t="n">
        <f aca="false">u_trn_28*g_trn_28</f>
        <v>600</v>
      </c>
    </row>
    <row r="12" customFormat="false" ht="17.15" hidden="false" customHeight="false" outlineLevel="0" collapsed="false">
      <c r="A12" s="6" t="s">
        <v>696</v>
      </c>
      <c r="B12" s="0" t="s">
        <v>689</v>
      </c>
      <c r="D12" s="18" t="n">
        <f aca="false">u_oth_26*g_oth_26</f>
        <v>150</v>
      </c>
      <c r="E12" s="18" t="n">
        <f aca="false">u_oth_27*g_oth_27</f>
        <v>900</v>
      </c>
      <c r="F12" s="18" t="n">
        <f aca="false">u_oth_28*g_oth_28</f>
        <v>1250</v>
      </c>
    </row>
    <row r="13" customFormat="false" ht="15" hidden="false" customHeight="false" outlineLevel="0" collapsed="false">
      <c r="A13" s="6" t="s">
        <v>697</v>
      </c>
      <c r="B13" s="0" t="s">
        <v>698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699</v>
      </c>
      <c r="B14" s="0" t="s">
        <v>698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700</v>
      </c>
      <c r="B15" s="6" t="s">
        <v>319</v>
      </c>
      <c r="D15" s="19" t="n">
        <f aca="false">u_bw_26+u_rb_26+u_ru_26+u_hp_26+u_amd_26+u_tpu_26+u_trn_26+u_oth_26</f>
        <v>15.2</v>
      </c>
      <c r="E15" s="19" t="n">
        <f aca="false">u_bw_27+u_rb_27+u_ru_27+u_hp_27+u_amd_27+u_tpu_27+u_trn_27+u_oth_27</f>
        <v>23.7</v>
      </c>
      <c r="F15" s="19" t="n">
        <f aca="false">u_bw_28+u_rb_28+u_ru_28+u_hp_28+u_amd_28+u_tpu_28+u_trn_28+u_oth_28</f>
        <v>26.5</v>
      </c>
      <c r="H15" s="12" t="s">
        <v>701</v>
      </c>
    </row>
    <row r="16" customFormat="false" ht="17.15" hidden="false" customHeight="false" outlineLevel="0" collapsed="false">
      <c r="A16" s="6" t="s">
        <v>702</v>
      </c>
      <c r="B16" s="0" t="s">
        <v>330</v>
      </c>
      <c r="D16" s="18" t="n">
        <f aca="false">D13*1000/D15</f>
        <v>216.401315789474</v>
      </c>
      <c r="E16" s="18" t="n">
        <f aca="false">E13*1000/E15</f>
        <v>260.345991561181</v>
      </c>
      <c r="F16" s="18" t="n">
        <f aca="false">F13*1000/F15</f>
        <v>337.283018867925</v>
      </c>
    </row>
    <row r="17" customFormat="false" ht="17.15" hidden="false" customHeight="false" outlineLevel="0" collapsed="false">
      <c r="A17" s="6" t="s">
        <v>703</v>
      </c>
      <c r="B17" s="0" t="s">
        <v>698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704</v>
      </c>
    </row>
    <row r="18" customFormat="false" ht="17.15" hidden="false" customHeight="false" outlineLevel="0" collapsed="false">
      <c r="A18" s="6" t="s">
        <v>705</v>
      </c>
      <c r="B18" s="0" t="s">
        <v>477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706</v>
      </c>
    </row>
    <row r="19" customFormat="false" ht="17.15" hidden="false" customHeight="false" outlineLevel="0" collapsed="false">
      <c r="A19" s="6" t="s">
        <v>707</v>
      </c>
      <c r="B19" s="0" t="s">
        <v>477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706</v>
      </c>
    </row>
    <row r="20" customFormat="false" ht="17.15" hidden="false" customHeight="false" outlineLevel="0" collapsed="false">
      <c r="A20" s="6" t="s">
        <v>708</v>
      </c>
      <c r="B20" s="0" t="s">
        <v>477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706</v>
      </c>
    </row>
    <row r="21" customFormat="false" ht="17.15" hidden="false" customHeight="false" outlineLevel="0" collapsed="false">
      <c r="A21" s="6" t="s">
        <v>709</v>
      </c>
      <c r="B21" s="0" t="s">
        <v>698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710</v>
      </c>
      <c r="B22" s="0" t="s">
        <v>698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711</v>
      </c>
      <c r="B23" s="0" t="s">
        <v>698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712</v>
      </c>
      <c r="B24" s="0" t="s">
        <v>698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713</v>
      </c>
    </row>
    <row r="25" customFormat="false" ht="17.15" hidden="false" customHeight="false" outlineLevel="0" collapsed="false">
      <c r="A25" s="6" t="s">
        <v>714</v>
      </c>
      <c r="B25" s="0" t="s">
        <v>698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715</v>
      </c>
      <c r="B26" s="0" t="s">
        <v>698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716</v>
      </c>
      <c r="B27" s="0" t="s">
        <v>698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717</v>
      </c>
      <c r="B28" s="0" t="s">
        <v>698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718</v>
      </c>
      <c r="B29" s="0" t="s">
        <v>698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719</v>
      </c>
      <c r="B30" s="0" t="s">
        <v>521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720</v>
      </c>
      <c r="B31" s="0" t="s">
        <v>521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721</v>
      </c>
      <c r="B32" s="0" t="s">
        <v>521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722</v>
      </c>
      <c r="B33" s="0" t="s">
        <v>499</v>
      </c>
      <c r="C33" s="19" t="n">
        <f aca="false">C24*C30</f>
        <v>35</v>
      </c>
      <c r="D33" s="19" t="n">
        <f aca="false">D24*D30</f>
        <v>55.227347</v>
      </c>
      <c r="E33" s="19" t="n">
        <f aca="false">E24*E30</f>
        <v>154.08429813</v>
      </c>
      <c r="F33" s="19" t="n">
        <f aca="false">F24*F30</f>
        <v>245.76445551735</v>
      </c>
      <c r="G33" s="19" t="n">
        <f aca="false">G24*G30</f>
        <v>315.192914201001</v>
      </c>
    </row>
    <row r="34" customFormat="false" ht="17.15" hidden="false" customHeight="false" outlineLevel="0" collapsed="false">
      <c r="A34" s="0" t="s">
        <v>723</v>
      </c>
      <c r="B34" s="0" t="s">
        <v>499</v>
      </c>
      <c r="C34" s="19" t="n">
        <f aca="false">C25*C31</f>
        <v>35</v>
      </c>
      <c r="D34" s="19" t="n">
        <f aca="false">D25*D31</f>
        <v>55.227347</v>
      </c>
      <c r="E34" s="19" t="n">
        <f aca="false">E25*E31</f>
        <v>154.08429813</v>
      </c>
      <c r="F34" s="19" t="n">
        <f aca="false">F25*F31</f>
        <v>162.0745416</v>
      </c>
      <c r="G34" s="19" t="n">
        <f aca="false">G25*G31</f>
        <v>223.865460585</v>
      </c>
    </row>
    <row r="35" customFormat="false" ht="17.15" hidden="false" customHeight="false" outlineLevel="0" collapsed="false">
      <c r="A35" s="0" t="s">
        <v>724</v>
      </c>
      <c r="B35" s="0" t="s">
        <v>499</v>
      </c>
      <c r="C35" s="19" t="n">
        <f aca="false">C26*C32</f>
        <v>35</v>
      </c>
      <c r="D35" s="19" t="n">
        <f aca="false">D26*D32</f>
        <v>55.227347</v>
      </c>
      <c r="E35" s="19" t="n">
        <f aca="false">E26*E32</f>
        <v>154.08429813</v>
      </c>
      <c r="F35" s="19" t="n">
        <f aca="false">F26*F32</f>
        <v>97.24472496</v>
      </c>
      <c r="G35" s="19" t="n">
        <f aca="false">G26*G32</f>
        <v>132.7390495704</v>
      </c>
    </row>
    <row r="37" customFormat="false" ht="17.15" hidden="false" customHeight="false" outlineLevel="0" collapsed="false">
      <c r="A37" s="9" t="s">
        <v>725</v>
      </c>
    </row>
    <row r="38" customFormat="false" ht="17.15" hidden="false" customHeight="false" outlineLevel="0" collapsed="false">
      <c r="A38" s="6" t="s">
        <v>726</v>
      </c>
      <c r="B38" s="0" t="s">
        <v>499</v>
      </c>
      <c r="D38" s="19" t="n">
        <f aca="false">(D5+D6+D7+D8)/1000*hbm_p26</f>
        <v>28.67586</v>
      </c>
    </row>
    <row r="39" customFormat="false" ht="17.15" hidden="false" customHeight="false" outlineLevel="0" collapsed="false">
      <c r="A39" s="6" t="s">
        <v>727</v>
      </c>
      <c r="B39" s="0" t="s">
        <v>499</v>
      </c>
      <c r="D39" s="19" t="n">
        <f aca="false">nv_dc26*nv_hbm/nv_content</f>
        <v>38.9728971962617</v>
      </c>
      <c r="H39" s="6" t="s">
        <v>728</v>
      </c>
    </row>
    <row r="40" customFormat="false" ht="15" hidden="false" customHeight="false" outlineLevel="0" collapsed="false">
      <c r="A40" s="6" t="s">
        <v>729</v>
      </c>
      <c r="B40" s="0" t="s">
        <v>48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730</v>
      </c>
      <c r="B41" s="6" t="s">
        <v>319</v>
      </c>
      <c r="D41" s="19" t="n">
        <f aca="false">nv_dc26/nv_content</f>
        <v>8.73831775700935</v>
      </c>
      <c r="E41" s="19" t="n">
        <f aca="false">u_bw_26+u_rb_26+u_hp_26</f>
        <v>7.6</v>
      </c>
      <c r="H41" s="12" t="s">
        <v>731</v>
      </c>
    </row>
    <row r="42" customFormat="false" ht="17.15" hidden="false" customHeight="false" outlineLevel="0" collapsed="false">
      <c r="A42" s="6" t="s">
        <v>732</v>
      </c>
      <c r="B42" s="0" t="s">
        <v>499</v>
      </c>
      <c r="D42" s="19" t="n">
        <f aca="false">pub26_lo</f>
        <v>54.6</v>
      </c>
      <c r="E42" s="19" t="n">
        <f aca="false">pub26_hi</f>
        <v>77.4</v>
      </c>
      <c r="F42" s="19" t="n">
        <f aca="false">pub27</f>
        <v>152.8</v>
      </c>
    </row>
    <row r="43" customFormat="false" ht="17.15" hidden="false" customHeight="false" outlineLevel="0" collapsed="false">
      <c r="A43" s="6" t="s">
        <v>733</v>
      </c>
      <c r="B43" s="0" t="s">
        <v>48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734</v>
      </c>
    </row>
    <row r="2" customFormat="false" ht="17.15" hidden="false" customHeight="false" outlineLevel="0" collapsed="false">
      <c r="A2" s="6" t="s">
        <v>735</v>
      </c>
    </row>
    <row r="4" customFormat="false" ht="17.15" hidden="false" customHeight="false" outlineLevel="0" collapsed="false">
      <c r="A4" s="4" t="s">
        <v>736</v>
      </c>
      <c r="B4" s="4" t="s">
        <v>737</v>
      </c>
      <c r="C4" s="4" t="s">
        <v>738</v>
      </c>
      <c r="D4" s="4" t="s">
        <v>39</v>
      </c>
      <c r="E4" s="4" t="s">
        <v>40</v>
      </c>
      <c r="F4" s="4" t="s">
        <v>41</v>
      </c>
      <c r="G4" s="4" t="s">
        <v>38</v>
      </c>
      <c r="H4" s="5" t="s">
        <v>739</v>
      </c>
      <c r="I4" s="4" t="s">
        <v>740</v>
      </c>
      <c r="J4" s="4" t="s">
        <v>741</v>
      </c>
      <c r="K4" s="4" t="s">
        <v>742</v>
      </c>
      <c r="L4" s="4" t="s">
        <v>743</v>
      </c>
      <c r="M4" s="4" t="s">
        <v>744</v>
      </c>
    </row>
    <row r="5" customFormat="false" ht="17.15" hidden="false" customHeight="false" outlineLevel="0" collapsed="false">
      <c r="A5" s="0" t="s">
        <v>745</v>
      </c>
      <c r="B5" s="0" t="s">
        <v>746</v>
      </c>
      <c r="C5" s="0" t="s">
        <v>747</v>
      </c>
      <c r="D5" s="20" t="n">
        <v>22439</v>
      </c>
      <c r="E5" s="20" t="n">
        <v>22439</v>
      </c>
      <c r="F5" s="20" t="n">
        <v>22439</v>
      </c>
      <c r="G5" s="6" t="s">
        <v>748</v>
      </c>
      <c r="H5" s="12" t="s">
        <v>749</v>
      </c>
      <c r="I5" s="12" t="s">
        <v>750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745</v>
      </c>
      <c r="B6" s="0" t="s">
        <v>751</v>
      </c>
      <c r="C6" s="0" t="s">
        <v>752</v>
      </c>
      <c r="D6" s="20" t="n">
        <v>6969</v>
      </c>
      <c r="E6" s="20" t="n">
        <v>6969</v>
      </c>
      <c r="F6" s="20" t="n">
        <v>6969</v>
      </c>
      <c r="G6" s="6" t="s">
        <v>748</v>
      </c>
      <c r="H6" s="12" t="s">
        <v>749</v>
      </c>
      <c r="I6" s="12" t="s">
        <v>750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745</v>
      </c>
      <c r="B7" s="0" t="s">
        <v>753</v>
      </c>
      <c r="C7" s="0" t="s">
        <v>754</v>
      </c>
      <c r="D7" s="20" t="n">
        <v>6764</v>
      </c>
      <c r="E7" s="20" t="n">
        <v>6764</v>
      </c>
      <c r="F7" s="20" t="n">
        <v>6764</v>
      </c>
      <c r="G7" s="6" t="s">
        <v>748</v>
      </c>
      <c r="H7" s="12" t="s">
        <v>749</v>
      </c>
      <c r="I7" s="12" t="s">
        <v>750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745</v>
      </c>
      <c r="B8" s="0" t="s">
        <v>755</v>
      </c>
      <c r="C8" s="0" t="s">
        <v>756</v>
      </c>
      <c r="D8" s="20" t="n">
        <v>4052</v>
      </c>
      <c r="E8" s="20" t="n">
        <v>4052</v>
      </c>
      <c r="F8" s="20" t="n">
        <v>4052</v>
      </c>
      <c r="G8" s="6" t="s">
        <v>748</v>
      </c>
      <c r="H8" s="12" t="s">
        <v>749</v>
      </c>
      <c r="I8" s="12" t="s">
        <v>750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745</v>
      </c>
      <c r="B9" s="0" t="s">
        <v>757</v>
      </c>
      <c r="C9" s="0" t="s">
        <v>758</v>
      </c>
      <c r="D9" s="20" t="n">
        <v>2705</v>
      </c>
      <c r="E9" s="20" t="n">
        <v>2705</v>
      </c>
      <c r="F9" s="20" t="n">
        <v>2705</v>
      </c>
      <c r="G9" s="6" t="s">
        <v>748</v>
      </c>
      <c r="H9" s="12" t="s">
        <v>749</v>
      </c>
      <c r="I9" s="12" t="s">
        <v>750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759</v>
      </c>
      <c r="B10" s="0" t="s">
        <v>746</v>
      </c>
      <c r="C10" s="0" t="s">
        <v>760</v>
      </c>
      <c r="D10" s="20" t="n">
        <v>718048</v>
      </c>
      <c r="E10" s="20" t="n">
        <v>718048</v>
      </c>
      <c r="F10" s="20" t="n">
        <v>718048</v>
      </c>
      <c r="G10" s="6" t="s">
        <v>761</v>
      </c>
      <c r="H10" s="12" t="s">
        <v>762</v>
      </c>
      <c r="I10" s="12" t="s">
        <v>763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759</v>
      </c>
      <c r="B11" s="0" t="s">
        <v>751</v>
      </c>
      <c r="C11" s="0" t="s">
        <v>764</v>
      </c>
      <c r="D11" s="20" t="n">
        <v>501768</v>
      </c>
      <c r="E11" s="20" t="n">
        <v>501768</v>
      </c>
      <c r="F11" s="20" t="n">
        <v>501768</v>
      </c>
      <c r="G11" s="6" t="s">
        <v>761</v>
      </c>
      <c r="H11" s="12" t="s">
        <v>762</v>
      </c>
      <c r="I11" s="12" t="s">
        <v>763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759</v>
      </c>
      <c r="B12" s="0" t="s">
        <v>753</v>
      </c>
      <c r="C12" s="0" t="s">
        <v>765</v>
      </c>
      <c r="D12" s="20" t="n">
        <v>487008</v>
      </c>
      <c r="E12" s="20" t="n">
        <v>487008</v>
      </c>
      <c r="F12" s="20" t="n">
        <v>487008</v>
      </c>
      <c r="G12" s="6" t="s">
        <v>761</v>
      </c>
      <c r="H12" s="12" t="s">
        <v>762</v>
      </c>
      <c r="I12" s="12" t="s">
        <v>763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759</v>
      </c>
      <c r="B13" s="0" t="s">
        <v>755</v>
      </c>
      <c r="C13" s="0" t="s">
        <v>766</v>
      </c>
      <c r="D13" s="20" t="n">
        <v>291744</v>
      </c>
      <c r="E13" s="20" t="n">
        <v>291744</v>
      </c>
      <c r="F13" s="20" t="n">
        <v>291744</v>
      </c>
      <c r="G13" s="6" t="s">
        <v>761</v>
      </c>
      <c r="H13" s="12" t="s">
        <v>762</v>
      </c>
      <c r="I13" s="12" t="s">
        <v>763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759</v>
      </c>
      <c r="B14" s="0" t="s">
        <v>757</v>
      </c>
      <c r="C14" s="0" t="s">
        <v>767</v>
      </c>
      <c r="D14" s="20" t="n">
        <v>194760</v>
      </c>
      <c r="E14" s="20" t="n">
        <v>194760</v>
      </c>
      <c r="F14" s="20" t="n">
        <v>194760</v>
      </c>
      <c r="G14" s="6" t="s">
        <v>761</v>
      </c>
      <c r="H14" s="12" t="s">
        <v>762</v>
      </c>
      <c r="I14" s="12" t="s">
        <v>763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768</v>
      </c>
      <c r="B15" s="0" t="s">
        <v>746</v>
      </c>
      <c r="C15" s="0" t="s">
        <v>769</v>
      </c>
      <c r="D15" s="20" t="n">
        <v>21.4202694</v>
      </c>
      <c r="E15" s="20" t="n">
        <v>27.510214</v>
      </c>
      <c r="F15" s="20" t="n">
        <v>34.1207434</v>
      </c>
      <c r="G15" s="12" t="s">
        <v>499</v>
      </c>
      <c r="H15" s="12" t="s">
        <v>770</v>
      </c>
      <c r="I15" s="12" t="s">
        <v>771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768</v>
      </c>
      <c r="B16" s="0" t="s">
        <v>751</v>
      </c>
      <c r="C16" s="0" t="s">
        <v>772</v>
      </c>
      <c r="D16" s="20" t="n">
        <v>20.6393904</v>
      </c>
      <c r="E16" s="20" t="n">
        <v>24.015174</v>
      </c>
      <c r="F16" s="20" t="n">
        <v>27.6502044</v>
      </c>
      <c r="G16" s="12" t="s">
        <v>499</v>
      </c>
      <c r="H16" s="12" t="s">
        <v>770</v>
      </c>
      <c r="I16" s="12" t="s">
        <v>771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768</v>
      </c>
      <c r="B17" s="0" t="s">
        <v>753</v>
      </c>
      <c r="C17" s="0" t="s">
        <v>773</v>
      </c>
      <c r="D17" s="20" t="n">
        <v>28.5549024</v>
      </c>
      <c r="E17" s="20" t="n">
        <v>32.237224</v>
      </c>
      <c r="F17" s="20" t="n">
        <v>39.2826064</v>
      </c>
      <c r="G17" s="12" t="s">
        <v>499</v>
      </c>
      <c r="H17" s="12" t="s">
        <v>770</v>
      </c>
      <c r="I17" s="12" t="s">
        <v>771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768</v>
      </c>
      <c r="B18" s="0" t="s">
        <v>755</v>
      </c>
      <c r="C18" s="0" t="s">
        <v>774</v>
      </c>
      <c r="D18" s="20" t="n">
        <v>31.9970232</v>
      </c>
      <c r="E18" s="20" t="n">
        <v>37.586352</v>
      </c>
      <c r="F18" s="20" t="n">
        <v>42.6375752</v>
      </c>
      <c r="G18" s="12" t="s">
        <v>499</v>
      </c>
      <c r="H18" s="12" t="s">
        <v>770</v>
      </c>
      <c r="I18" s="12" t="s">
        <v>771</v>
      </c>
      <c r="J18" s="0" t="n">
        <v>33.2734032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1</v>
      </c>
    </row>
    <row r="19" customFormat="false" ht="17.15" hidden="false" customHeight="false" outlineLevel="0" collapsed="false">
      <c r="A19" s="0" t="s">
        <v>768</v>
      </c>
      <c r="B19" s="0" t="s">
        <v>757</v>
      </c>
      <c r="C19" s="0" t="s">
        <v>775</v>
      </c>
      <c r="D19" s="20" t="n">
        <v>35.845578</v>
      </c>
      <c r="E19" s="20" t="n">
        <v>50.08578</v>
      </c>
      <c r="F19" s="20" t="n">
        <v>65.481558</v>
      </c>
      <c r="G19" s="12" t="s">
        <v>499</v>
      </c>
      <c r="H19" s="12" t="s">
        <v>770</v>
      </c>
      <c r="I19" s="12" t="s">
        <v>771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776</v>
      </c>
      <c r="B20" s="0" t="s">
        <v>746</v>
      </c>
      <c r="C20" s="0" t="s">
        <v>777</v>
      </c>
      <c r="D20" s="20" t="n">
        <v>10.212</v>
      </c>
      <c r="E20" s="20" t="n">
        <v>12.67</v>
      </c>
      <c r="F20" s="20" t="n">
        <v>16.186</v>
      </c>
      <c r="G20" s="12" t="s">
        <v>499</v>
      </c>
      <c r="H20" s="12" t="s">
        <v>778</v>
      </c>
      <c r="I20" s="12" t="s">
        <v>763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776</v>
      </c>
      <c r="B21" s="0" t="s">
        <v>751</v>
      </c>
      <c r="C21" s="0" t="s">
        <v>779</v>
      </c>
      <c r="D21" s="20" t="n">
        <v>10.212</v>
      </c>
      <c r="E21" s="20" t="n">
        <v>12.67</v>
      </c>
      <c r="F21" s="20" t="n">
        <v>16.186</v>
      </c>
      <c r="G21" s="12" t="s">
        <v>499</v>
      </c>
      <c r="H21" s="12" t="s">
        <v>778</v>
      </c>
      <c r="I21" s="12" t="s">
        <v>763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776</v>
      </c>
      <c r="B22" s="0" t="s">
        <v>753</v>
      </c>
      <c r="C22" s="0" t="s">
        <v>780</v>
      </c>
      <c r="D22" s="20" t="n">
        <v>10.212</v>
      </c>
      <c r="E22" s="20" t="n">
        <v>12.67</v>
      </c>
      <c r="F22" s="20" t="n">
        <v>16.186</v>
      </c>
      <c r="G22" s="12" t="s">
        <v>499</v>
      </c>
      <c r="H22" s="12" t="s">
        <v>778</v>
      </c>
      <c r="I22" s="12" t="s">
        <v>763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776</v>
      </c>
      <c r="B23" s="0" t="s">
        <v>755</v>
      </c>
      <c r="C23" s="0" t="s">
        <v>781</v>
      </c>
      <c r="D23" s="20" t="n">
        <v>10.212</v>
      </c>
      <c r="E23" s="20" t="n">
        <v>12.67</v>
      </c>
      <c r="F23" s="20" t="n">
        <v>16.186</v>
      </c>
      <c r="G23" s="12" t="s">
        <v>499</v>
      </c>
      <c r="H23" s="12" t="s">
        <v>778</v>
      </c>
      <c r="I23" s="12" t="s">
        <v>763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776</v>
      </c>
      <c r="B24" s="0" t="s">
        <v>757</v>
      </c>
      <c r="C24" s="0" t="s">
        <v>782</v>
      </c>
      <c r="D24" s="20" t="n">
        <v>10.212</v>
      </c>
      <c r="E24" s="20" t="n">
        <v>12.67</v>
      </c>
      <c r="F24" s="20" t="n">
        <v>16.186</v>
      </c>
      <c r="G24" s="12" t="s">
        <v>499</v>
      </c>
      <c r="H24" s="12" t="s">
        <v>778</v>
      </c>
      <c r="I24" s="12" t="s">
        <v>763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783</v>
      </c>
      <c r="B25" s="0" t="s">
        <v>746</v>
      </c>
      <c r="C25" s="0" t="s">
        <v>784</v>
      </c>
      <c r="D25" s="20" t="n">
        <v>31.6322694</v>
      </c>
      <c r="E25" s="20" t="n">
        <v>40.180214</v>
      </c>
      <c r="F25" s="20" t="n">
        <v>50.3067434</v>
      </c>
      <c r="G25" s="12" t="s">
        <v>499</v>
      </c>
      <c r="H25" s="12" t="s">
        <v>785</v>
      </c>
      <c r="I25" s="12" t="s">
        <v>763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783</v>
      </c>
      <c r="B26" s="0" t="s">
        <v>751</v>
      </c>
      <c r="C26" s="0" t="s">
        <v>786</v>
      </c>
      <c r="D26" s="20" t="n">
        <v>30.8513904</v>
      </c>
      <c r="E26" s="20" t="n">
        <v>36.685174</v>
      </c>
      <c r="F26" s="20" t="n">
        <v>43.8362044</v>
      </c>
      <c r="G26" s="12" t="s">
        <v>499</v>
      </c>
      <c r="H26" s="12" t="s">
        <v>785</v>
      </c>
      <c r="I26" s="12" t="s">
        <v>763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783</v>
      </c>
      <c r="B27" s="0" t="s">
        <v>753</v>
      </c>
      <c r="C27" s="0" t="s">
        <v>787</v>
      </c>
      <c r="D27" s="20" t="n">
        <v>38.7669024</v>
      </c>
      <c r="E27" s="20" t="n">
        <v>44.907224</v>
      </c>
      <c r="F27" s="20" t="n">
        <v>55.4686064</v>
      </c>
      <c r="G27" s="12" t="s">
        <v>499</v>
      </c>
      <c r="H27" s="12" t="s">
        <v>785</v>
      </c>
      <c r="I27" s="12" t="s">
        <v>763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783</v>
      </c>
      <c r="B28" s="0" t="s">
        <v>755</v>
      </c>
      <c r="C28" s="0" t="s">
        <v>788</v>
      </c>
      <c r="D28" s="20" t="n">
        <v>42.2090232</v>
      </c>
      <c r="E28" s="20" t="n">
        <v>50.256352</v>
      </c>
      <c r="F28" s="20" t="n">
        <v>58.8235752</v>
      </c>
      <c r="G28" s="12" t="s">
        <v>499</v>
      </c>
      <c r="H28" s="12" t="s">
        <v>785</v>
      </c>
      <c r="I28" s="12" t="s">
        <v>763</v>
      </c>
      <c r="J28" s="0" t="n">
        <v>43.4854032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1</v>
      </c>
    </row>
    <row r="29" customFormat="false" ht="17.15" hidden="false" customHeight="false" outlineLevel="0" collapsed="false">
      <c r="A29" s="0" t="s">
        <v>783</v>
      </c>
      <c r="B29" s="0" t="s">
        <v>757</v>
      </c>
      <c r="C29" s="0" t="s">
        <v>789</v>
      </c>
      <c r="D29" s="20" t="n">
        <v>46.057578</v>
      </c>
      <c r="E29" s="20" t="n">
        <v>62.75578</v>
      </c>
      <c r="F29" s="20" t="n">
        <v>81.667558</v>
      </c>
      <c r="G29" s="12" t="s">
        <v>499</v>
      </c>
      <c r="H29" s="12" t="s">
        <v>785</v>
      </c>
      <c r="I29" s="12" t="s">
        <v>763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790</v>
      </c>
      <c r="B30" s="0" t="s">
        <v>746</v>
      </c>
      <c r="C30" s="0" t="s">
        <v>791</v>
      </c>
      <c r="D30" s="20" t="n">
        <v>0.9</v>
      </c>
      <c r="E30" s="20" t="n">
        <v>1.1</v>
      </c>
      <c r="F30" s="20" t="n">
        <v>1.3</v>
      </c>
      <c r="G30" s="12" t="s">
        <v>792</v>
      </c>
      <c r="H30" s="12" t="s">
        <v>793</v>
      </c>
      <c r="I30" s="12" t="s">
        <v>794</v>
      </c>
    </row>
    <row r="31" customFormat="false" ht="17.15" hidden="false" customHeight="false" outlineLevel="0" collapsed="false">
      <c r="A31" s="0" t="s">
        <v>790</v>
      </c>
      <c r="B31" s="0" t="s">
        <v>751</v>
      </c>
      <c r="C31" s="0" t="s">
        <v>795</v>
      </c>
      <c r="D31" s="20" t="n">
        <v>2.8</v>
      </c>
      <c r="E31" s="20" t="n">
        <v>3.1</v>
      </c>
      <c r="F31" s="20" t="n">
        <v>3.4</v>
      </c>
      <c r="G31" s="12" t="s">
        <v>792</v>
      </c>
      <c r="H31" s="12" t="s">
        <v>793</v>
      </c>
      <c r="I31" s="12" t="s">
        <v>794</v>
      </c>
    </row>
    <row r="32" customFormat="false" ht="17.15" hidden="false" customHeight="false" outlineLevel="0" collapsed="false">
      <c r="A32" s="0" t="s">
        <v>790</v>
      </c>
      <c r="B32" s="0" t="s">
        <v>753</v>
      </c>
      <c r="C32" s="0" t="s">
        <v>796</v>
      </c>
      <c r="D32" s="20" t="n">
        <v>4</v>
      </c>
      <c r="E32" s="20" t="n">
        <v>4.3</v>
      </c>
      <c r="F32" s="20" t="n">
        <v>5</v>
      </c>
      <c r="G32" s="12" t="s">
        <v>792</v>
      </c>
      <c r="H32" s="12" t="s">
        <v>793</v>
      </c>
      <c r="I32" s="12" t="s">
        <v>794</v>
      </c>
    </row>
    <row r="33" customFormat="false" ht="17.15" hidden="false" customHeight="false" outlineLevel="0" collapsed="false">
      <c r="A33" s="0" t="s">
        <v>790</v>
      </c>
      <c r="B33" s="0" t="s">
        <v>755</v>
      </c>
      <c r="C33" s="0" t="s">
        <v>797</v>
      </c>
      <c r="D33" s="20" t="n">
        <v>7.5</v>
      </c>
      <c r="E33" s="20" t="n">
        <v>8.4</v>
      </c>
      <c r="F33" s="20" t="n">
        <v>9.1</v>
      </c>
      <c r="G33" s="12" t="s">
        <v>792</v>
      </c>
      <c r="H33" s="12" t="s">
        <v>793</v>
      </c>
      <c r="I33" s="12" t="s">
        <v>794</v>
      </c>
    </row>
    <row r="34" customFormat="false" ht="17.15" hidden="false" customHeight="false" outlineLevel="0" collapsed="false">
      <c r="A34" s="0" t="s">
        <v>790</v>
      </c>
      <c r="B34" s="0" t="s">
        <v>757</v>
      </c>
      <c r="C34" s="0" t="s">
        <v>798</v>
      </c>
      <c r="D34" s="20" t="n">
        <v>12.6</v>
      </c>
      <c r="E34" s="20" t="n">
        <v>16.8</v>
      </c>
      <c r="F34" s="20" t="n">
        <v>21</v>
      </c>
      <c r="G34" s="12" t="s">
        <v>792</v>
      </c>
      <c r="H34" s="12" t="s">
        <v>793</v>
      </c>
      <c r="I34" s="12" t="s">
        <v>794</v>
      </c>
    </row>
    <row r="35" customFormat="false" ht="17.15" hidden="false" customHeight="false" outlineLevel="0" collapsed="false">
      <c r="A35" s="0" t="s">
        <v>799</v>
      </c>
      <c r="B35" s="0" t="s">
        <v>746</v>
      </c>
      <c r="C35" s="0" t="s">
        <v>800</v>
      </c>
      <c r="D35" s="20" t="n">
        <v>0.05</v>
      </c>
      <c r="E35" s="20" t="n">
        <v>0.1</v>
      </c>
      <c r="F35" s="20" t="n">
        <v>0.15</v>
      </c>
      <c r="G35" s="6" t="s">
        <v>801</v>
      </c>
      <c r="H35" s="12" t="s">
        <v>802</v>
      </c>
      <c r="I35" s="12" t="s">
        <v>803</v>
      </c>
    </row>
    <row r="36" customFormat="false" ht="17.15" hidden="false" customHeight="false" outlineLevel="0" collapsed="false">
      <c r="A36" s="0" t="s">
        <v>799</v>
      </c>
      <c r="B36" s="0" t="s">
        <v>751</v>
      </c>
      <c r="C36" s="0" t="s">
        <v>804</v>
      </c>
      <c r="D36" s="20" t="n">
        <v>0.05</v>
      </c>
      <c r="E36" s="20" t="n">
        <v>0.1</v>
      </c>
      <c r="F36" s="20" t="n">
        <v>0.15</v>
      </c>
      <c r="G36" s="6" t="s">
        <v>801</v>
      </c>
      <c r="H36" s="12" t="s">
        <v>802</v>
      </c>
      <c r="I36" s="12" t="s">
        <v>803</v>
      </c>
    </row>
    <row r="37" customFormat="false" ht="17.15" hidden="false" customHeight="false" outlineLevel="0" collapsed="false">
      <c r="A37" s="0" t="s">
        <v>799</v>
      </c>
      <c r="B37" s="0" t="s">
        <v>753</v>
      </c>
      <c r="C37" s="0" t="s">
        <v>805</v>
      </c>
      <c r="D37" s="20" t="n">
        <v>0.05</v>
      </c>
      <c r="E37" s="20" t="n">
        <v>0.1</v>
      </c>
      <c r="F37" s="20" t="n">
        <v>0.15</v>
      </c>
      <c r="G37" s="6" t="s">
        <v>801</v>
      </c>
      <c r="H37" s="12" t="s">
        <v>802</v>
      </c>
      <c r="I37" s="12" t="s">
        <v>803</v>
      </c>
    </row>
    <row r="38" customFormat="false" ht="17.15" hidden="false" customHeight="false" outlineLevel="0" collapsed="false">
      <c r="A38" s="0" t="s">
        <v>799</v>
      </c>
      <c r="B38" s="0" t="s">
        <v>755</v>
      </c>
      <c r="C38" s="0" t="s">
        <v>806</v>
      </c>
      <c r="D38" s="20" t="n">
        <v>0.05</v>
      </c>
      <c r="E38" s="20" t="n">
        <v>0.1</v>
      </c>
      <c r="F38" s="20" t="n">
        <v>0.15</v>
      </c>
      <c r="G38" s="6" t="s">
        <v>801</v>
      </c>
      <c r="H38" s="12" t="s">
        <v>802</v>
      </c>
      <c r="I38" s="12" t="s">
        <v>803</v>
      </c>
    </row>
    <row r="39" customFormat="false" ht="17.15" hidden="false" customHeight="false" outlineLevel="0" collapsed="false">
      <c r="A39" s="0" t="s">
        <v>799</v>
      </c>
      <c r="B39" s="0" t="s">
        <v>757</v>
      </c>
      <c r="C39" s="0" t="s">
        <v>807</v>
      </c>
      <c r="D39" s="20" t="n">
        <v>0.05</v>
      </c>
      <c r="E39" s="20" t="n">
        <v>0.1</v>
      </c>
      <c r="F39" s="20" t="n">
        <v>0.15</v>
      </c>
      <c r="G39" s="6" t="s">
        <v>801</v>
      </c>
      <c r="H39" s="12" t="s">
        <v>802</v>
      </c>
      <c r="I39" s="12" t="s">
        <v>803</v>
      </c>
    </row>
    <row r="40" customFormat="false" ht="17.15" hidden="false" customHeight="false" outlineLevel="0" collapsed="false">
      <c r="A40" s="0" t="s">
        <v>808</v>
      </c>
      <c r="B40" s="0" t="s">
        <v>746</v>
      </c>
      <c r="C40" s="0" t="s">
        <v>809</v>
      </c>
      <c r="D40" s="20" t="n">
        <v>300</v>
      </c>
      <c r="E40" s="20" t="n">
        <v>500</v>
      </c>
      <c r="F40" s="20" t="n">
        <v>800</v>
      </c>
      <c r="G40" s="12" t="s">
        <v>810</v>
      </c>
      <c r="H40" s="12" t="s">
        <v>811</v>
      </c>
      <c r="I40" s="12" t="s">
        <v>803</v>
      </c>
    </row>
    <row r="41" customFormat="false" ht="17.15" hidden="false" customHeight="false" outlineLevel="0" collapsed="false">
      <c r="A41" s="0" t="s">
        <v>808</v>
      </c>
      <c r="B41" s="0" t="s">
        <v>751</v>
      </c>
      <c r="C41" s="0" t="s">
        <v>812</v>
      </c>
      <c r="D41" s="20" t="n">
        <v>300</v>
      </c>
      <c r="E41" s="20" t="n">
        <v>500</v>
      </c>
      <c r="F41" s="20" t="n">
        <v>800</v>
      </c>
      <c r="G41" s="12" t="s">
        <v>810</v>
      </c>
      <c r="H41" s="12" t="s">
        <v>811</v>
      </c>
      <c r="I41" s="12" t="s">
        <v>803</v>
      </c>
    </row>
    <row r="42" customFormat="false" ht="17.15" hidden="false" customHeight="false" outlineLevel="0" collapsed="false">
      <c r="A42" s="0" t="s">
        <v>808</v>
      </c>
      <c r="B42" s="0" t="s">
        <v>753</v>
      </c>
      <c r="C42" s="0" t="s">
        <v>813</v>
      </c>
      <c r="D42" s="20" t="n">
        <v>300</v>
      </c>
      <c r="E42" s="20" t="n">
        <v>500</v>
      </c>
      <c r="F42" s="20" t="n">
        <v>800</v>
      </c>
      <c r="G42" s="12" t="s">
        <v>810</v>
      </c>
      <c r="H42" s="12" t="s">
        <v>811</v>
      </c>
      <c r="I42" s="12" t="s">
        <v>803</v>
      </c>
    </row>
    <row r="43" customFormat="false" ht="17.15" hidden="false" customHeight="false" outlineLevel="0" collapsed="false">
      <c r="A43" s="0" t="s">
        <v>808</v>
      </c>
      <c r="B43" s="0" t="s">
        <v>755</v>
      </c>
      <c r="C43" s="0" t="s">
        <v>814</v>
      </c>
      <c r="D43" s="20" t="n">
        <v>300</v>
      </c>
      <c r="E43" s="20" t="n">
        <v>500</v>
      </c>
      <c r="F43" s="20" t="n">
        <v>800</v>
      </c>
      <c r="G43" s="12" t="s">
        <v>810</v>
      </c>
      <c r="H43" s="12" t="s">
        <v>811</v>
      </c>
      <c r="I43" s="12" t="s">
        <v>803</v>
      </c>
    </row>
    <row r="44" customFormat="false" ht="17.15" hidden="false" customHeight="false" outlineLevel="0" collapsed="false">
      <c r="A44" s="0" t="s">
        <v>808</v>
      </c>
      <c r="B44" s="0" t="s">
        <v>757</v>
      </c>
      <c r="C44" s="0" t="s">
        <v>815</v>
      </c>
      <c r="D44" s="20" t="n">
        <v>300</v>
      </c>
      <c r="E44" s="20" t="n">
        <v>500</v>
      </c>
      <c r="F44" s="20" t="n">
        <v>800</v>
      </c>
      <c r="G44" s="12" t="s">
        <v>810</v>
      </c>
      <c r="H44" s="12" t="s">
        <v>811</v>
      </c>
      <c r="I44" s="12" t="s">
        <v>803</v>
      </c>
    </row>
    <row r="45" customFormat="false" ht="17.15" hidden="false" customHeight="false" outlineLevel="0" collapsed="false">
      <c r="A45" s="0" t="s">
        <v>816</v>
      </c>
      <c r="B45" s="0" t="s">
        <v>817</v>
      </c>
      <c r="C45" s="0" t="s">
        <v>818</v>
      </c>
      <c r="D45" s="20" t="n">
        <v>0.7</v>
      </c>
      <c r="E45" s="20" t="n">
        <v>0.8</v>
      </c>
      <c r="F45" s="20" t="n">
        <v>1.15</v>
      </c>
      <c r="G45" s="6" t="s">
        <v>819</v>
      </c>
      <c r="H45" s="12" t="s">
        <v>820</v>
      </c>
      <c r="I45" s="12" t="s">
        <v>821</v>
      </c>
    </row>
    <row r="46" customFormat="false" ht="17.15" hidden="false" customHeight="false" outlineLevel="0" collapsed="false">
      <c r="A46" s="0" t="s">
        <v>822</v>
      </c>
      <c r="B46" s="0" t="s">
        <v>823</v>
      </c>
      <c r="C46" s="0" t="s">
        <v>824</v>
      </c>
      <c r="D46" s="20" t="n">
        <v>0.6</v>
      </c>
      <c r="E46" s="20" t="n">
        <v>0.8</v>
      </c>
      <c r="F46" s="20" t="n">
        <v>1.1</v>
      </c>
      <c r="G46" s="6" t="s">
        <v>819</v>
      </c>
      <c r="H46" s="12" t="s">
        <v>825</v>
      </c>
      <c r="I46" s="12" t="s">
        <v>821</v>
      </c>
    </row>
    <row r="47" customFormat="false" ht="17.15" hidden="false" customHeight="false" outlineLevel="0" collapsed="false">
      <c r="A47" s="0" t="s">
        <v>826</v>
      </c>
      <c r="B47" s="0" t="s">
        <v>827</v>
      </c>
      <c r="C47" s="0" t="s">
        <v>828</v>
      </c>
      <c r="D47" s="20" t="n">
        <v>0.3</v>
      </c>
      <c r="E47" s="20" t="n">
        <v>0.5</v>
      </c>
      <c r="F47" s="20" t="n">
        <v>0.8</v>
      </c>
      <c r="G47" s="6" t="s">
        <v>819</v>
      </c>
      <c r="H47" s="12" t="s">
        <v>829</v>
      </c>
      <c r="I47" s="12" t="s">
        <v>821</v>
      </c>
    </row>
    <row r="48" customFormat="false" ht="17.15" hidden="false" customHeight="false" outlineLevel="0" collapsed="false">
      <c r="A48" s="0" t="s">
        <v>830</v>
      </c>
      <c r="B48" s="0" t="s">
        <v>831</v>
      </c>
      <c r="C48" s="0" t="s">
        <v>832</v>
      </c>
      <c r="D48" s="20" t="n">
        <v>0.2</v>
      </c>
      <c r="E48" s="20" t="n">
        <v>0.4</v>
      </c>
      <c r="F48" s="20" t="n">
        <v>0.8</v>
      </c>
      <c r="G48" s="6" t="s">
        <v>819</v>
      </c>
      <c r="H48" s="12" t="s">
        <v>833</v>
      </c>
      <c r="I48" s="12" t="s">
        <v>821</v>
      </c>
    </row>
    <row r="49" customFormat="false" ht="17.15" hidden="false" customHeight="false" outlineLevel="0" collapsed="false">
      <c r="A49" s="0" t="s">
        <v>834</v>
      </c>
      <c r="B49" s="0" t="s">
        <v>835</v>
      </c>
      <c r="C49" s="0" t="s">
        <v>836</v>
      </c>
      <c r="D49" s="20" t="n">
        <v>0.4</v>
      </c>
      <c r="E49" s="20" t="n">
        <v>0.6</v>
      </c>
      <c r="F49" s="20" t="n">
        <v>0.9</v>
      </c>
      <c r="G49" s="6" t="s">
        <v>819</v>
      </c>
      <c r="H49" s="12" t="s">
        <v>837</v>
      </c>
      <c r="I49" s="12" t="s">
        <v>821</v>
      </c>
    </row>
    <row r="50" customFormat="false" ht="17.15" hidden="false" customHeight="false" outlineLevel="0" collapsed="false">
      <c r="A50" s="0" t="s">
        <v>838</v>
      </c>
      <c r="B50" s="6" t="s">
        <v>839</v>
      </c>
      <c r="C50" s="0" t="s">
        <v>840</v>
      </c>
      <c r="D50" s="20" t="n">
        <v>0.05</v>
      </c>
      <c r="E50" s="20" t="n">
        <v>0.08</v>
      </c>
      <c r="F50" s="20" t="n">
        <v>0.15</v>
      </c>
      <c r="G50" s="6" t="s">
        <v>819</v>
      </c>
      <c r="H50" s="12" t="s">
        <v>841</v>
      </c>
      <c r="I50" s="12" t="s">
        <v>821</v>
      </c>
    </row>
    <row r="51" customFormat="false" ht="17.15" hidden="false" customHeight="false" outlineLevel="0" collapsed="false">
      <c r="A51" s="0" t="s">
        <v>842</v>
      </c>
      <c r="B51" s="0" t="s">
        <v>843</v>
      </c>
      <c r="C51" s="0" t="s">
        <v>844</v>
      </c>
      <c r="D51" s="20" t="n">
        <v>0.25</v>
      </c>
      <c r="E51" s="20" t="n">
        <v>0.55</v>
      </c>
      <c r="F51" s="20" t="n">
        <v>0.75</v>
      </c>
      <c r="G51" s="6" t="s">
        <v>819</v>
      </c>
      <c r="H51" s="12" t="s">
        <v>845</v>
      </c>
      <c r="I51" s="12" t="s">
        <v>821</v>
      </c>
    </row>
    <row r="52" customFormat="false" ht="17.15" hidden="false" customHeight="false" outlineLevel="0" collapsed="false">
      <c r="A52" s="0" t="s">
        <v>846</v>
      </c>
      <c r="B52" s="0" t="s">
        <v>847</v>
      </c>
      <c r="C52" s="0" t="s">
        <v>848</v>
      </c>
      <c r="D52" s="20" t="n">
        <v>0.67</v>
      </c>
      <c r="E52" s="20" t="n">
        <v>0.85</v>
      </c>
      <c r="F52" s="20" t="n">
        <v>1.12</v>
      </c>
      <c r="G52" s="6" t="s">
        <v>819</v>
      </c>
      <c r="H52" s="12" t="s">
        <v>849</v>
      </c>
      <c r="I52" s="12" t="s">
        <v>821</v>
      </c>
    </row>
    <row r="53" customFormat="false" ht="17.15" hidden="false" customHeight="false" outlineLevel="0" collapsed="false">
      <c r="A53" s="0" t="s">
        <v>850</v>
      </c>
      <c r="B53" s="0" t="s">
        <v>851</v>
      </c>
      <c r="C53" s="0" t="s">
        <v>852</v>
      </c>
      <c r="D53" s="20" t="n">
        <v>0.65</v>
      </c>
      <c r="E53" s="20" t="n">
        <v>0.7</v>
      </c>
      <c r="F53" s="20" t="n">
        <v>0.9</v>
      </c>
      <c r="G53" s="6" t="s">
        <v>819</v>
      </c>
      <c r="H53" s="12" t="s">
        <v>853</v>
      </c>
      <c r="I53" s="12" t="s">
        <v>821</v>
      </c>
    </row>
    <row r="54" customFormat="false" ht="17.15" hidden="false" customHeight="false" outlineLevel="0" collapsed="false">
      <c r="A54" s="0" t="s">
        <v>854</v>
      </c>
      <c r="B54" s="0" t="s">
        <v>855</v>
      </c>
      <c r="C54" s="0" t="s">
        <v>856</v>
      </c>
      <c r="D54" s="20" t="n">
        <v>0.45</v>
      </c>
      <c r="E54" s="20" t="n">
        <v>0.61</v>
      </c>
      <c r="F54" s="20" t="n">
        <v>0.7</v>
      </c>
      <c r="G54" s="6" t="s">
        <v>819</v>
      </c>
      <c r="H54" s="12" t="s">
        <v>857</v>
      </c>
      <c r="I54" s="12" t="s">
        <v>821</v>
      </c>
    </row>
    <row r="55" customFormat="false" ht="17.15" hidden="false" customHeight="false" outlineLevel="0" collapsed="false">
      <c r="A55" s="0" t="s">
        <v>858</v>
      </c>
      <c r="B55" s="0" t="s">
        <v>859</v>
      </c>
      <c r="C55" s="0" t="s">
        <v>860</v>
      </c>
      <c r="D55" s="20" t="n">
        <v>0.8</v>
      </c>
      <c r="E55" s="20" t="n">
        <v>1</v>
      </c>
      <c r="F55" s="20" t="n">
        <v>1.2</v>
      </c>
      <c r="G55" s="6" t="s">
        <v>819</v>
      </c>
      <c r="H55" s="12" t="s">
        <v>861</v>
      </c>
      <c r="I55" s="12" t="s">
        <v>821</v>
      </c>
    </row>
    <row r="56" customFormat="false" ht="17.15" hidden="false" customHeight="false" outlineLevel="0" collapsed="false">
      <c r="A56" s="0" t="s">
        <v>862</v>
      </c>
      <c r="B56" s="0" t="s">
        <v>863</v>
      </c>
      <c r="C56" s="0" t="s">
        <v>864</v>
      </c>
      <c r="D56" s="20" t="n">
        <v>0.7</v>
      </c>
      <c r="E56" s="20" t="n">
        <v>0.8</v>
      </c>
      <c r="F56" s="20" t="n">
        <v>1</v>
      </c>
      <c r="G56" s="6" t="s">
        <v>819</v>
      </c>
      <c r="H56" s="12" t="s">
        <v>865</v>
      </c>
      <c r="I56" s="12" t="s">
        <v>821</v>
      </c>
    </row>
    <row r="57" customFormat="false" ht="17.15" hidden="false" customHeight="false" outlineLevel="0" collapsed="false">
      <c r="A57" s="0" t="s">
        <v>866</v>
      </c>
      <c r="B57" s="6" t="s">
        <v>867</v>
      </c>
      <c r="C57" s="0" t="s">
        <v>868</v>
      </c>
      <c r="D57" s="20" t="n">
        <v>0.45</v>
      </c>
      <c r="E57" s="20" t="n">
        <v>0.55</v>
      </c>
      <c r="F57" s="20" t="n">
        <v>0.7</v>
      </c>
      <c r="G57" s="6" t="s">
        <v>819</v>
      </c>
      <c r="H57" s="12" t="s">
        <v>869</v>
      </c>
      <c r="I57" s="12" t="s">
        <v>821</v>
      </c>
    </row>
    <row r="58" customFormat="false" ht="17.15" hidden="false" customHeight="false" outlineLevel="0" collapsed="false">
      <c r="A58" s="0" t="s">
        <v>870</v>
      </c>
      <c r="B58" s="0" t="s">
        <v>871</v>
      </c>
      <c r="C58" s="0" t="s">
        <v>872</v>
      </c>
      <c r="D58" s="20" t="n">
        <v>0.4</v>
      </c>
      <c r="E58" s="20" t="n">
        <v>0.5</v>
      </c>
      <c r="F58" s="20" t="n">
        <v>0.6</v>
      </c>
      <c r="G58" s="6" t="s">
        <v>819</v>
      </c>
      <c r="H58" s="12" t="s">
        <v>873</v>
      </c>
      <c r="I58" s="12" t="s">
        <v>821</v>
      </c>
    </row>
    <row r="60" customFormat="false" ht="17.15" hidden="false" customHeight="false" outlineLevel="0" collapsed="false">
      <c r="A60" s="9" t="s">
        <v>874</v>
      </c>
      <c r="M60" s="21" t="n">
        <f aca="false">SUM(M5:M58)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875</v>
      </c>
    </row>
    <row r="3" customFormat="false" ht="15" hidden="false" customHeight="false" outlineLevel="0" collapsed="false">
      <c r="A3" s="5" t="s">
        <v>876</v>
      </c>
      <c r="B3" s="4" t="s">
        <v>877</v>
      </c>
      <c r="C3" s="4" t="s">
        <v>878</v>
      </c>
      <c r="D3" s="4" t="s">
        <v>38</v>
      </c>
      <c r="E3" s="4" t="s">
        <v>879</v>
      </c>
      <c r="F3" s="4" t="s">
        <v>880</v>
      </c>
      <c r="G3" s="4" t="s">
        <v>881</v>
      </c>
      <c r="H3" s="4" t="s">
        <v>882</v>
      </c>
      <c r="I3" s="4" t="s">
        <v>883</v>
      </c>
      <c r="J3" s="4" t="s">
        <v>884</v>
      </c>
      <c r="K3" s="4" t="s">
        <v>885</v>
      </c>
      <c r="L3" s="4" t="s">
        <v>886</v>
      </c>
      <c r="M3" s="4" t="s">
        <v>887</v>
      </c>
    </row>
    <row r="4" customFormat="false" ht="32.8" hidden="false" customHeight="false" outlineLevel="0" collapsed="false">
      <c r="A4" s="3" t="s">
        <v>888</v>
      </c>
      <c r="B4" s="2" t="s">
        <v>889</v>
      </c>
      <c r="C4" s="2" t="s">
        <v>890</v>
      </c>
      <c r="D4" s="3" t="s">
        <v>891</v>
      </c>
      <c r="E4" s="3" t="s">
        <v>892</v>
      </c>
      <c r="F4" s="3" t="s">
        <v>893</v>
      </c>
      <c r="G4" s="2" t="s">
        <v>894</v>
      </c>
      <c r="H4" s="2" t="s">
        <v>895</v>
      </c>
      <c r="I4" s="2" t="s">
        <v>896</v>
      </c>
      <c r="J4" s="2" t="s">
        <v>897</v>
      </c>
      <c r="K4" s="2" t="s">
        <v>898</v>
      </c>
      <c r="L4" s="2" t="s">
        <v>899</v>
      </c>
      <c r="M4" s="2" t="s">
        <v>900</v>
      </c>
    </row>
    <row r="5" customFormat="false" ht="32.8" hidden="false" customHeight="false" outlineLevel="0" collapsed="false">
      <c r="A5" s="3" t="s">
        <v>901</v>
      </c>
      <c r="B5" s="2" t="s">
        <v>889</v>
      </c>
      <c r="C5" s="2" t="s">
        <v>902</v>
      </c>
      <c r="D5" s="3" t="s">
        <v>891</v>
      </c>
      <c r="E5" s="3" t="s">
        <v>903</v>
      </c>
      <c r="F5" s="3" t="s">
        <v>904</v>
      </c>
      <c r="G5" s="3" t="s">
        <v>905</v>
      </c>
      <c r="H5" s="3" t="s">
        <v>906</v>
      </c>
      <c r="I5" s="2" t="s">
        <v>907</v>
      </c>
      <c r="J5" s="2" t="s">
        <v>908</v>
      </c>
      <c r="K5" s="3" t="s">
        <v>909</v>
      </c>
      <c r="L5" s="2" t="s">
        <v>899</v>
      </c>
      <c r="M5" s="2" t="s">
        <v>910</v>
      </c>
    </row>
    <row r="6" customFormat="false" ht="48.5" hidden="false" customHeight="false" outlineLevel="0" collapsed="false">
      <c r="A6" s="3" t="s">
        <v>911</v>
      </c>
      <c r="B6" s="2" t="s">
        <v>889</v>
      </c>
      <c r="C6" s="3" t="s">
        <v>912</v>
      </c>
      <c r="D6" s="3" t="s">
        <v>48</v>
      </c>
      <c r="E6" s="3" t="s">
        <v>913</v>
      </c>
      <c r="F6" s="3" t="s">
        <v>914</v>
      </c>
      <c r="G6" s="3" t="s">
        <v>915</v>
      </c>
      <c r="H6" s="2" t="s">
        <v>916</v>
      </c>
      <c r="I6" s="2" t="s">
        <v>917</v>
      </c>
      <c r="J6" s="2" t="s">
        <v>918</v>
      </c>
      <c r="K6" s="3" t="s">
        <v>909</v>
      </c>
      <c r="L6" s="2" t="s">
        <v>899</v>
      </c>
      <c r="M6" s="2" t="s">
        <v>919</v>
      </c>
    </row>
    <row r="7" customFormat="false" ht="32.8" hidden="false" customHeight="false" outlineLevel="0" collapsed="false">
      <c r="A7" s="3" t="s">
        <v>920</v>
      </c>
      <c r="B7" s="2" t="s">
        <v>921</v>
      </c>
      <c r="C7" s="2" t="s">
        <v>922</v>
      </c>
      <c r="D7" s="3" t="s">
        <v>48</v>
      </c>
      <c r="E7" s="3" t="s">
        <v>923</v>
      </c>
      <c r="F7" s="2" t="s">
        <v>924</v>
      </c>
      <c r="G7" s="3" t="s">
        <v>925</v>
      </c>
      <c r="H7" s="3" t="s">
        <v>926</v>
      </c>
      <c r="I7" s="2" t="s">
        <v>927</v>
      </c>
      <c r="J7" s="2" t="s">
        <v>928</v>
      </c>
      <c r="K7" s="3" t="s">
        <v>929</v>
      </c>
      <c r="L7" s="2" t="s">
        <v>899</v>
      </c>
      <c r="M7" s="2" t="s">
        <v>930</v>
      </c>
    </row>
    <row r="8" customFormat="false" ht="32.8" hidden="false" customHeight="false" outlineLevel="0" collapsed="false">
      <c r="A8" s="3" t="s">
        <v>931</v>
      </c>
      <c r="B8" s="2" t="s">
        <v>932</v>
      </c>
      <c r="C8" s="3" t="s">
        <v>933</v>
      </c>
      <c r="D8" s="3" t="s">
        <v>934</v>
      </c>
      <c r="E8" s="3" t="s">
        <v>935</v>
      </c>
      <c r="F8" s="3" t="s">
        <v>936</v>
      </c>
      <c r="G8" s="3" t="s">
        <v>937</v>
      </c>
      <c r="H8" s="3" t="s">
        <v>938</v>
      </c>
      <c r="I8" s="2" t="s">
        <v>939</v>
      </c>
      <c r="J8" s="3" t="s">
        <v>940</v>
      </c>
      <c r="K8" s="3" t="s">
        <v>941</v>
      </c>
      <c r="L8" s="2" t="s">
        <v>899</v>
      </c>
      <c r="M8" s="2" t="s">
        <v>942</v>
      </c>
    </row>
    <row r="9" customFormat="false" ht="64.15" hidden="false" customHeight="false" outlineLevel="0" collapsed="false">
      <c r="A9" s="3" t="s">
        <v>943</v>
      </c>
      <c r="B9" s="2" t="s">
        <v>944</v>
      </c>
      <c r="C9" s="3" t="s">
        <v>945</v>
      </c>
      <c r="D9" s="3" t="s">
        <v>934</v>
      </c>
      <c r="E9" s="3" t="s">
        <v>946</v>
      </c>
      <c r="F9" s="3" t="s">
        <v>947</v>
      </c>
      <c r="G9" s="3" t="s">
        <v>948</v>
      </c>
      <c r="H9" s="3" t="s">
        <v>949</v>
      </c>
      <c r="I9" s="2" t="s">
        <v>950</v>
      </c>
      <c r="J9" s="3" t="s">
        <v>951</v>
      </c>
      <c r="K9" s="3" t="s">
        <v>952</v>
      </c>
      <c r="L9" s="2" t="s">
        <v>899</v>
      </c>
      <c r="M9" s="2" t="s">
        <v>953</v>
      </c>
    </row>
    <row r="10" customFormat="false" ht="32.8" hidden="false" customHeight="false" outlineLevel="0" collapsed="false">
      <c r="A10" s="3" t="s">
        <v>954</v>
      </c>
      <c r="B10" s="2" t="s">
        <v>944</v>
      </c>
      <c r="C10" s="3" t="s">
        <v>955</v>
      </c>
      <c r="D10" s="3" t="s">
        <v>934</v>
      </c>
      <c r="E10" s="3" t="s">
        <v>956</v>
      </c>
      <c r="F10" s="3" t="s">
        <v>957</v>
      </c>
      <c r="G10" s="3" t="s">
        <v>958</v>
      </c>
      <c r="H10" s="2" t="s">
        <v>959</v>
      </c>
      <c r="I10" s="2" t="s">
        <v>960</v>
      </c>
      <c r="J10" s="3" t="s">
        <v>961</v>
      </c>
      <c r="K10" s="3" t="s">
        <v>962</v>
      </c>
      <c r="L10" s="2" t="s">
        <v>899</v>
      </c>
      <c r="M10" s="2" t="s">
        <v>963</v>
      </c>
    </row>
    <row r="11" customFormat="false" ht="17.15" hidden="false" customHeight="false" outlineLevel="0" collapsed="false">
      <c r="A11" s="3" t="s">
        <v>964</v>
      </c>
      <c r="B11" s="2" t="s">
        <v>944</v>
      </c>
      <c r="C11" s="3" t="s">
        <v>965</v>
      </c>
      <c r="D11" s="3" t="s">
        <v>477</v>
      </c>
      <c r="E11" s="3" t="s">
        <v>966</v>
      </c>
      <c r="F11" s="2" t="s">
        <v>967</v>
      </c>
      <c r="G11" s="3" t="s">
        <v>968</v>
      </c>
      <c r="H11" s="2" t="s">
        <v>969</v>
      </c>
      <c r="I11" s="2" t="s">
        <v>970</v>
      </c>
      <c r="J11" s="2" t="s">
        <v>971</v>
      </c>
      <c r="K11" s="3" t="s">
        <v>972</v>
      </c>
      <c r="L11" s="2" t="s">
        <v>899</v>
      </c>
      <c r="M11" s="2" t="s">
        <v>973</v>
      </c>
    </row>
    <row r="12" customFormat="false" ht="48.5" hidden="false" customHeight="false" outlineLevel="0" collapsed="false">
      <c r="A12" s="3" t="s">
        <v>974</v>
      </c>
      <c r="B12" s="2" t="s">
        <v>975</v>
      </c>
      <c r="C12" s="2" t="s">
        <v>976</v>
      </c>
      <c r="D12" s="3" t="s">
        <v>977</v>
      </c>
      <c r="E12" s="3" t="s">
        <v>978</v>
      </c>
      <c r="F12" s="3" t="s">
        <v>979</v>
      </c>
      <c r="G12" s="3" t="s">
        <v>980</v>
      </c>
      <c r="H12" s="3" t="s">
        <v>981</v>
      </c>
      <c r="I12" s="2" t="s">
        <v>982</v>
      </c>
      <c r="J12" s="2" t="s">
        <v>983</v>
      </c>
      <c r="K12" s="3" t="s">
        <v>929</v>
      </c>
      <c r="L12" s="2" t="s">
        <v>899</v>
      </c>
      <c r="M12" s="2" t="s">
        <v>984</v>
      </c>
    </row>
    <row r="13" customFormat="false" ht="48.5" hidden="false" customHeight="false" outlineLevel="0" collapsed="false">
      <c r="A13" s="3" t="s">
        <v>985</v>
      </c>
      <c r="B13" s="2" t="s">
        <v>975</v>
      </c>
      <c r="C13" s="3" t="s">
        <v>986</v>
      </c>
      <c r="D13" s="3" t="s">
        <v>987</v>
      </c>
      <c r="E13" s="3" t="s">
        <v>988</v>
      </c>
      <c r="F13" s="3" t="s">
        <v>989</v>
      </c>
      <c r="G13" s="3" t="s">
        <v>990</v>
      </c>
      <c r="H13" s="3" t="s">
        <v>991</v>
      </c>
      <c r="I13" s="2" t="s">
        <v>992</v>
      </c>
      <c r="J13" s="2" t="s">
        <v>993</v>
      </c>
      <c r="K13" s="3" t="s">
        <v>929</v>
      </c>
      <c r="L13" s="2" t="s">
        <v>899</v>
      </c>
      <c r="M13" s="2" t="s">
        <v>994</v>
      </c>
    </row>
    <row r="14" customFormat="false" ht="48.5" hidden="false" customHeight="false" outlineLevel="0" collapsed="false">
      <c r="A14" s="22" t="s">
        <v>995</v>
      </c>
      <c r="B14" s="23" t="s">
        <v>996</v>
      </c>
      <c r="C14" s="23" t="s">
        <v>997</v>
      </c>
      <c r="D14" s="22" t="s">
        <v>48</v>
      </c>
      <c r="E14" s="22" t="s">
        <v>998</v>
      </c>
      <c r="F14" s="23" t="s">
        <v>999</v>
      </c>
      <c r="G14" s="22" t="s">
        <v>1000</v>
      </c>
      <c r="H14" s="22" t="s">
        <v>1001</v>
      </c>
      <c r="I14" s="23" t="s">
        <v>1002</v>
      </c>
      <c r="J14" s="23" t="s">
        <v>1003</v>
      </c>
      <c r="K14" s="22" t="s">
        <v>929</v>
      </c>
      <c r="L14" s="23" t="s">
        <v>1004</v>
      </c>
      <c r="M14" s="23" t="s">
        <v>1005</v>
      </c>
    </row>
    <row r="15" customFormat="false" ht="46.25" hidden="false" customHeight="false" outlineLevel="0" collapsed="false">
      <c r="A15" s="3" t="s">
        <v>1006</v>
      </c>
      <c r="B15" s="2" t="s">
        <v>921</v>
      </c>
      <c r="C15" s="2" t="s">
        <v>1007</v>
      </c>
      <c r="D15" s="3" t="s">
        <v>1008</v>
      </c>
      <c r="E15" s="2" t="s">
        <v>1009</v>
      </c>
      <c r="F15" s="3" t="s">
        <v>1010</v>
      </c>
      <c r="G15" s="3" t="s">
        <v>1011</v>
      </c>
      <c r="H15" s="3" t="s">
        <v>1012</v>
      </c>
      <c r="I15" s="2" t="s">
        <v>1013</v>
      </c>
      <c r="J15" s="2" t="s">
        <v>1014</v>
      </c>
      <c r="K15" s="3" t="s">
        <v>929</v>
      </c>
      <c r="L15" s="2" t="s">
        <v>899</v>
      </c>
      <c r="M15" s="2" t="s">
        <v>1015</v>
      </c>
    </row>
    <row r="16" customFormat="false" ht="48.5" hidden="false" customHeight="false" outlineLevel="0" collapsed="false">
      <c r="A16" s="3" t="s">
        <v>1016</v>
      </c>
      <c r="B16" s="2" t="s">
        <v>932</v>
      </c>
      <c r="C16" s="3" t="s">
        <v>1017</v>
      </c>
      <c r="D16" s="3" t="s">
        <v>48</v>
      </c>
      <c r="E16" s="3" t="s">
        <v>1018</v>
      </c>
      <c r="F16" s="3" t="s">
        <v>1019</v>
      </c>
      <c r="G16" s="3" t="s">
        <v>1020</v>
      </c>
      <c r="H16" s="3" t="s">
        <v>1021</v>
      </c>
      <c r="I16" s="2" t="s">
        <v>1022</v>
      </c>
      <c r="J16" s="2" t="s">
        <v>1023</v>
      </c>
      <c r="K16" s="3" t="s">
        <v>1024</v>
      </c>
      <c r="L16" s="2" t="s">
        <v>899</v>
      </c>
      <c r="M16" s="2" t="s">
        <v>1025</v>
      </c>
    </row>
    <row r="17" customFormat="false" ht="32.8" hidden="false" customHeight="false" outlineLevel="0" collapsed="false">
      <c r="A17" s="3" t="s">
        <v>1026</v>
      </c>
      <c r="B17" s="2" t="s">
        <v>932</v>
      </c>
      <c r="C17" s="3" t="s">
        <v>1027</v>
      </c>
      <c r="D17" s="3" t="s">
        <v>1028</v>
      </c>
      <c r="E17" s="3" t="s">
        <v>1029</v>
      </c>
      <c r="F17" s="3" t="s">
        <v>1030</v>
      </c>
      <c r="G17" s="3" t="s">
        <v>1031</v>
      </c>
      <c r="H17" s="3" t="s">
        <v>1032</v>
      </c>
      <c r="I17" s="2" t="s">
        <v>1033</v>
      </c>
      <c r="J17" s="2" t="s">
        <v>1034</v>
      </c>
      <c r="K17" s="3" t="s">
        <v>1024</v>
      </c>
      <c r="L17" s="2" t="s">
        <v>899</v>
      </c>
      <c r="M17" s="2" t="s">
        <v>1035</v>
      </c>
    </row>
    <row r="18" customFormat="false" ht="32.8" hidden="false" customHeight="false" outlineLevel="0" collapsed="false">
      <c r="A18" s="3" t="s">
        <v>1036</v>
      </c>
      <c r="B18" s="2" t="s">
        <v>944</v>
      </c>
      <c r="C18" s="2" t="s">
        <v>1037</v>
      </c>
      <c r="D18" s="3" t="s">
        <v>48</v>
      </c>
      <c r="E18" s="3" t="s">
        <v>1038</v>
      </c>
      <c r="F18" s="3" t="s">
        <v>1039</v>
      </c>
      <c r="G18" s="2" t="s">
        <v>1040</v>
      </c>
      <c r="H18" s="3" t="s">
        <v>1041</v>
      </c>
      <c r="I18" s="2" t="s">
        <v>1042</v>
      </c>
      <c r="J18" s="2" t="s">
        <v>1043</v>
      </c>
      <c r="K18" s="3" t="s">
        <v>1044</v>
      </c>
      <c r="L18" s="2" t="s">
        <v>899</v>
      </c>
      <c r="M18" s="2" t="s">
        <v>1045</v>
      </c>
    </row>
    <row r="19" customFormat="false" ht="30.55" hidden="false" customHeight="false" outlineLevel="0" collapsed="false">
      <c r="A19" s="3" t="s">
        <v>1046</v>
      </c>
      <c r="B19" s="2" t="s">
        <v>1047</v>
      </c>
      <c r="C19" s="2" t="s">
        <v>1048</v>
      </c>
      <c r="D19" s="3" t="s">
        <v>934</v>
      </c>
      <c r="E19" s="2" t="s">
        <v>1049</v>
      </c>
      <c r="F19" s="3" t="s">
        <v>1050</v>
      </c>
      <c r="G19" s="3" t="s">
        <v>1051</v>
      </c>
      <c r="H19" s="2" t="s">
        <v>1052</v>
      </c>
      <c r="I19" s="2" t="s">
        <v>960</v>
      </c>
      <c r="J19" s="2" t="s">
        <v>1053</v>
      </c>
      <c r="K19" s="2" t="s">
        <v>1054</v>
      </c>
      <c r="L19" s="2" t="s">
        <v>899</v>
      </c>
      <c r="M19" s="2" t="s">
        <v>1055</v>
      </c>
    </row>
    <row r="20" customFormat="false" ht="32.8" hidden="false" customHeight="false" outlineLevel="0" collapsed="false">
      <c r="A20" s="3" t="s">
        <v>1056</v>
      </c>
      <c r="B20" s="3" t="s">
        <v>1057</v>
      </c>
      <c r="C20" s="3" t="s">
        <v>1058</v>
      </c>
      <c r="D20" s="3" t="s">
        <v>1059</v>
      </c>
      <c r="E20" s="3" t="s">
        <v>1060</v>
      </c>
      <c r="F20" s="3" t="s">
        <v>1061</v>
      </c>
      <c r="G20" s="3" t="s">
        <v>1062</v>
      </c>
      <c r="H20" s="3" t="s">
        <v>1063</v>
      </c>
      <c r="I20" s="3" t="s">
        <v>1064</v>
      </c>
      <c r="J20" s="2" t="s">
        <v>1065</v>
      </c>
      <c r="K20" s="3" t="s">
        <v>1066</v>
      </c>
      <c r="L20" s="2" t="s">
        <v>899</v>
      </c>
      <c r="M20" s="3" t="s">
        <v>1067</v>
      </c>
    </row>
    <row r="21" customFormat="false" ht="75.35" hidden="false" customHeight="false" outlineLevel="0" collapsed="false">
      <c r="A21" s="3" t="s">
        <v>1068</v>
      </c>
      <c r="B21" s="2" t="s">
        <v>1069</v>
      </c>
      <c r="C21" s="3" t="s">
        <v>1070</v>
      </c>
      <c r="D21" s="3" t="s">
        <v>48</v>
      </c>
      <c r="E21" s="3" t="s">
        <v>1071</v>
      </c>
      <c r="F21" s="3" t="s">
        <v>1072</v>
      </c>
      <c r="G21" s="3" t="s">
        <v>1073</v>
      </c>
      <c r="H21" s="3" t="s">
        <v>1074</v>
      </c>
      <c r="I21" s="2" t="s">
        <v>1075</v>
      </c>
      <c r="J21" s="3" t="s">
        <v>1076</v>
      </c>
      <c r="K21" s="3" t="s">
        <v>1024</v>
      </c>
      <c r="L21" s="2" t="s">
        <v>1077</v>
      </c>
      <c r="M21" s="3" t="s">
        <v>1078</v>
      </c>
    </row>
    <row r="22" customFormat="false" ht="48.5" hidden="false" customHeight="false" outlineLevel="0" collapsed="false">
      <c r="A22" s="22" t="s">
        <v>1079</v>
      </c>
      <c r="B22" s="23" t="s">
        <v>1080</v>
      </c>
      <c r="C22" s="22" t="s">
        <v>1081</v>
      </c>
      <c r="D22" s="22" t="s">
        <v>48</v>
      </c>
      <c r="E22" s="22" t="s">
        <v>1082</v>
      </c>
      <c r="F22" s="23" t="s">
        <v>1083</v>
      </c>
      <c r="G22" s="23" t="s">
        <v>1084</v>
      </c>
      <c r="H22" s="23" t="s">
        <v>1085</v>
      </c>
      <c r="I22" s="23" t="s">
        <v>1086</v>
      </c>
      <c r="J22" s="23" t="s">
        <v>1087</v>
      </c>
      <c r="K22" s="22" t="s">
        <v>1024</v>
      </c>
      <c r="L22" s="23" t="s">
        <v>1004</v>
      </c>
      <c r="M22" s="22" t="s">
        <v>1088</v>
      </c>
    </row>
    <row r="23" customFormat="false" ht="155.95" hidden="false" customHeight="false" outlineLevel="0" collapsed="false">
      <c r="A23" s="22" t="s">
        <v>1089</v>
      </c>
      <c r="B23" s="23" t="s">
        <v>889</v>
      </c>
      <c r="C23" s="22" t="s">
        <v>1090</v>
      </c>
      <c r="D23" s="22" t="s">
        <v>48</v>
      </c>
      <c r="E23" s="22" t="s">
        <v>1091</v>
      </c>
      <c r="F23" s="22" t="s">
        <v>1092</v>
      </c>
      <c r="G23" s="22" t="s">
        <v>1093</v>
      </c>
      <c r="H23" s="23" t="s">
        <v>1094</v>
      </c>
      <c r="I23" s="23" t="s">
        <v>1095</v>
      </c>
      <c r="J23" s="23" t="s">
        <v>1096</v>
      </c>
      <c r="K23" s="22" t="s">
        <v>909</v>
      </c>
      <c r="L23" s="23" t="s">
        <v>1004</v>
      </c>
      <c r="M23" s="22" t="s">
        <v>1097</v>
      </c>
    </row>
    <row r="24" customFormat="false" ht="64.15" hidden="false" customHeight="false" outlineLevel="0" collapsed="false">
      <c r="A24" s="3" t="s">
        <v>1098</v>
      </c>
      <c r="B24" s="2" t="s">
        <v>1099</v>
      </c>
      <c r="C24" s="3" t="s">
        <v>1100</v>
      </c>
      <c r="D24" s="3" t="s">
        <v>48</v>
      </c>
      <c r="E24" s="3" t="s">
        <v>1101</v>
      </c>
      <c r="F24" s="2" t="s">
        <v>1102</v>
      </c>
      <c r="G24" s="3" t="s">
        <v>1103</v>
      </c>
      <c r="H24" s="3" t="s">
        <v>1104</v>
      </c>
      <c r="I24" s="2" t="s">
        <v>1105</v>
      </c>
      <c r="J24" s="2" t="s">
        <v>1106</v>
      </c>
      <c r="K24" s="3" t="s">
        <v>1066</v>
      </c>
      <c r="L24" s="2" t="s">
        <v>899</v>
      </c>
      <c r="M24" s="3" t="s">
        <v>1107</v>
      </c>
    </row>
    <row r="25" customFormat="false" ht="48.5" hidden="false" customHeight="false" outlineLevel="0" collapsed="false">
      <c r="A25" s="3" t="s">
        <v>1108</v>
      </c>
      <c r="B25" s="2" t="s">
        <v>1109</v>
      </c>
      <c r="C25" s="3" t="s">
        <v>1110</v>
      </c>
      <c r="D25" s="3" t="s">
        <v>1111</v>
      </c>
      <c r="E25" s="3" t="s">
        <v>1112</v>
      </c>
      <c r="F25" s="3" t="s">
        <v>1113</v>
      </c>
      <c r="G25" s="3" t="s">
        <v>1114</v>
      </c>
      <c r="H25" s="3" t="s">
        <v>1115</v>
      </c>
      <c r="I25" s="2" t="s">
        <v>1116</v>
      </c>
      <c r="J25" s="2" t="s">
        <v>1117</v>
      </c>
      <c r="K25" s="3" t="s">
        <v>1024</v>
      </c>
      <c r="L25" s="2" t="s">
        <v>899</v>
      </c>
      <c r="M25" s="3" t="s">
        <v>1078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1118</v>
      </c>
    </row>
    <row r="2" customFormat="false" ht="17.15" hidden="false" customHeight="false" outlineLevel="0" collapsed="false">
      <c r="A2" s="6" t="s">
        <v>1119</v>
      </c>
    </row>
    <row r="4" customFormat="false" ht="15" hidden="false" customHeight="false" outlineLevel="0" collapsed="false">
      <c r="A4" s="4" t="s">
        <v>13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1120</v>
      </c>
    </row>
    <row r="5" customFormat="false" ht="17.15" hidden="false" customHeight="false" outlineLevel="0" collapsed="false">
      <c r="A5" s="10" t="s">
        <v>1121</v>
      </c>
    </row>
    <row r="6" customFormat="false" ht="17.15" hidden="false" customHeight="false" outlineLevel="0" collapsed="false">
      <c r="A6" s="0" t="s">
        <v>51</v>
      </c>
      <c r="B6" s="6" t="s">
        <v>47</v>
      </c>
      <c r="C6" s="0" t="s">
        <v>48</v>
      </c>
      <c r="E6" s="24" t="n">
        <f aca="false">In!E6</f>
        <v>-0.025</v>
      </c>
      <c r="G6" s="0" t="str">
        <f aca="false">In!G6</f>
        <v>Interested-party</v>
      </c>
      <c r="H6" s="12" t="s">
        <v>1122</v>
      </c>
    </row>
    <row r="7" customFormat="false" ht="17.15" hidden="false" customHeight="false" outlineLevel="0" collapsed="false">
      <c r="A7" s="0" t="s">
        <v>55</v>
      </c>
      <c r="B7" s="6" t="s">
        <v>53</v>
      </c>
      <c r="C7" s="0" t="s">
        <v>48</v>
      </c>
      <c r="E7" s="24" t="n">
        <f aca="false">In!E7</f>
        <v>0.125</v>
      </c>
      <c r="G7" s="0" t="str">
        <f aca="false">In!G7</f>
        <v>Interested-party</v>
      </c>
      <c r="H7" s="12" t="s">
        <v>1123</v>
      </c>
    </row>
    <row r="8" customFormat="false" ht="17.15" hidden="false" customHeight="false" outlineLevel="0" collapsed="false">
      <c r="A8" s="0" t="s">
        <v>58</v>
      </c>
      <c r="B8" s="6" t="s">
        <v>57</v>
      </c>
      <c r="C8" s="0" t="s">
        <v>48</v>
      </c>
      <c r="E8" s="24" t="n">
        <f aca="false">In!E8</f>
        <v>0.475</v>
      </c>
      <c r="G8" s="0" t="str">
        <f aca="false">In!G8</f>
        <v>Interested-party</v>
      </c>
      <c r="H8" s="12" t="s">
        <v>1124</v>
      </c>
    </row>
    <row r="9" customFormat="false" ht="17.15" hidden="false" customHeight="false" outlineLevel="0" collapsed="false">
      <c r="A9" s="0" t="s">
        <v>61</v>
      </c>
      <c r="B9" s="6" t="s">
        <v>60</v>
      </c>
      <c r="C9" s="0" t="s">
        <v>48</v>
      </c>
      <c r="E9" s="24" t="n">
        <f aca="false">In!E9</f>
        <v>0.95</v>
      </c>
      <c r="G9" s="0" t="str">
        <f aca="false">In!G9</f>
        <v>Interested-party</v>
      </c>
      <c r="H9" s="12" t="s">
        <v>1125</v>
      </c>
    </row>
    <row r="10" customFormat="false" ht="17.15" hidden="false" customHeight="false" outlineLevel="0" collapsed="false">
      <c r="A10" s="0" t="s">
        <v>64</v>
      </c>
      <c r="B10" s="6" t="s">
        <v>63</v>
      </c>
      <c r="C10" s="0" t="s">
        <v>48</v>
      </c>
      <c r="E10" s="24" t="n">
        <f aca="false">In!E10</f>
        <v>0.605</v>
      </c>
      <c r="G10" s="0" t="str">
        <f aca="false">In!G10</f>
        <v>Interested-party</v>
      </c>
      <c r="H10" s="12" t="s">
        <v>1126</v>
      </c>
    </row>
    <row r="11" customFormat="false" ht="17.15" hidden="false" customHeight="false" outlineLevel="0" collapsed="false">
      <c r="A11" s="0" t="s">
        <v>67</v>
      </c>
      <c r="B11" s="6" t="s">
        <v>66</v>
      </c>
      <c r="C11" s="0" t="s">
        <v>48</v>
      </c>
      <c r="E11" s="24" t="n">
        <f aca="false">In!E11</f>
        <v>0.155</v>
      </c>
      <c r="G11" s="0" t="str">
        <f aca="false">In!G11</f>
        <v>Interested-party</v>
      </c>
      <c r="H11" s="12" t="s">
        <v>1127</v>
      </c>
    </row>
    <row r="12" customFormat="false" ht="17.15" hidden="false" customHeight="false" outlineLevel="0" collapsed="false">
      <c r="A12" s="0" t="s">
        <v>70</v>
      </c>
      <c r="B12" s="6" t="s">
        <v>69</v>
      </c>
      <c r="C12" s="0" t="s">
        <v>48</v>
      </c>
      <c r="E12" s="24" t="n">
        <f aca="false">In!E12</f>
        <v>0.125</v>
      </c>
      <c r="G12" s="0" t="str">
        <f aca="false">In!G12</f>
        <v>Interested-party</v>
      </c>
      <c r="H12" s="12" t="s">
        <v>1128</v>
      </c>
    </row>
    <row r="13" customFormat="false" ht="17.15" hidden="false" customHeight="false" outlineLevel="0" collapsed="false">
      <c r="A13" s="0" t="s">
        <v>74</v>
      </c>
      <c r="B13" s="6" t="s">
        <v>72</v>
      </c>
      <c r="C13" s="0" t="s">
        <v>48</v>
      </c>
      <c r="E13" s="24" t="n">
        <f aca="false">In!E13</f>
        <v>0.03</v>
      </c>
      <c r="G13" s="0" t="str">
        <f aca="false">In!G13</f>
        <v>Interested-party</v>
      </c>
      <c r="H13" s="12" t="s">
        <v>1129</v>
      </c>
    </row>
    <row r="14" customFormat="false" ht="17.15" hidden="false" customHeight="false" outlineLevel="0" collapsed="false">
      <c r="A14" s="0" t="s">
        <v>77</v>
      </c>
      <c r="B14" s="6" t="s">
        <v>76</v>
      </c>
      <c r="C14" s="0" t="s">
        <v>48</v>
      </c>
      <c r="E14" s="24" t="n">
        <f aca="false">In!E14</f>
        <v>0</v>
      </c>
      <c r="G14" s="0" t="str">
        <f aca="false">In!G14</f>
        <v>Interested-party</v>
      </c>
      <c r="H14" s="12" t="s">
        <v>1130</v>
      </c>
    </row>
    <row r="15" customFormat="false" ht="17.15" hidden="false" customHeight="false" outlineLevel="0" collapsed="false">
      <c r="A15" s="0" t="s">
        <v>80</v>
      </c>
      <c r="B15" s="6" t="s">
        <v>79</v>
      </c>
      <c r="C15" s="0" t="s">
        <v>48</v>
      </c>
      <c r="E15" s="24" t="n">
        <f aca="false">In!E15</f>
        <v>-0.02</v>
      </c>
      <c r="G15" s="0" t="str">
        <f aca="false">In!G15</f>
        <v>Interested-party</v>
      </c>
      <c r="H15" s="12" t="s">
        <v>1131</v>
      </c>
    </row>
    <row r="16" customFormat="false" ht="17.15" hidden="false" customHeight="false" outlineLevel="0" collapsed="false">
      <c r="A16" s="0" t="s">
        <v>83</v>
      </c>
      <c r="B16" s="6" t="s">
        <v>82</v>
      </c>
      <c r="C16" s="0" t="s">
        <v>48</v>
      </c>
      <c r="E16" s="24" t="n">
        <f aca="false">In!E16</f>
        <v>-0.03</v>
      </c>
      <c r="G16" s="0" t="str">
        <f aca="false">In!G16</f>
        <v>Interested-party</v>
      </c>
      <c r="H16" s="12" t="s">
        <v>1132</v>
      </c>
    </row>
    <row r="17" customFormat="false" ht="17.15" hidden="false" customHeight="false" outlineLevel="0" collapsed="false">
      <c r="A17" s="0" t="s">
        <v>86</v>
      </c>
      <c r="B17" s="6" t="s">
        <v>85</v>
      </c>
      <c r="C17" s="0" t="s">
        <v>48</v>
      </c>
      <c r="E17" s="24" t="n">
        <f aca="false">In!E17</f>
        <v>-0.03</v>
      </c>
      <c r="G17" s="0" t="str">
        <f aca="false">In!G17</f>
        <v>Interested-party</v>
      </c>
      <c r="H17" s="12" t="s">
        <v>1133</v>
      </c>
    </row>
    <row r="18" customFormat="false" ht="17.15" hidden="false" customHeight="false" outlineLevel="0" collapsed="false">
      <c r="A18" s="0" t="s">
        <v>89</v>
      </c>
      <c r="B18" s="6" t="s">
        <v>88</v>
      </c>
      <c r="C18" s="0" t="s">
        <v>48</v>
      </c>
      <c r="E18" s="24" t="n">
        <f aca="false">In!E18</f>
        <v>-0.03</v>
      </c>
      <c r="G18" s="0" t="str">
        <f aca="false">In!G18</f>
        <v>Interested-party</v>
      </c>
      <c r="H18" s="12" t="s">
        <v>1134</v>
      </c>
    </row>
    <row r="19" customFormat="false" ht="17.15" hidden="false" customHeight="false" outlineLevel="0" collapsed="false">
      <c r="A19" s="0" t="s">
        <v>92</v>
      </c>
      <c r="B19" s="6" t="s">
        <v>91</v>
      </c>
      <c r="C19" s="0" t="s">
        <v>48</v>
      </c>
      <c r="E19" s="24" t="n">
        <f aca="false">In!E19</f>
        <v>-0.02</v>
      </c>
      <c r="G19" s="0" t="str">
        <f aca="false">In!G19</f>
        <v>Interested-party</v>
      </c>
      <c r="H19" s="12" t="s">
        <v>1135</v>
      </c>
    </row>
    <row r="20" customFormat="false" ht="17.15" hidden="false" customHeight="false" outlineLevel="0" collapsed="false">
      <c r="A20" s="0" t="s">
        <v>95</v>
      </c>
      <c r="B20" s="6" t="s">
        <v>94</v>
      </c>
      <c r="C20" s="0" t="s">
        <v>48</v>
      </c>
      <c r="E20" s="24" t="n">
        <f aca="false">In!E20</f>
        <v>-0.02</v>
      </c>
      <c r="G20" s="0" t="str">
        <f aca="false">In!G20</f>
        <v>Interested-party</v>
      </c>
      <c r="H20" s="12" t="s">
        <v>1136</v>
      </c>
    </row>
    <row r="21" customFormat="false" ht="17.15" hidden="false" customHeight="false" outlineLevel="0" collapsed="false">
      <c r="A21" s="0" t="s">
        <v>98</v>
      </c>
      <c r="B21" s="6" t="s">
        <v>97</v>
      </c>
      <c r="C21" s="0" t="s">
        <v>48</v>
      </c>
      <c r="E21" s="24" t="n">
        <f aca="false">In!E21</f>
        <v>-0.03</v>
      </c>
      <c r="G21" s="0" t="str">
        <f aca="false">In!G21</f>
        <v>Interested-party</v>
      </c>
      <c r="H21" s="12" t="s">
        <v>1137</v>
      </c>
    </row>
    <row r="22" customFormat="false" ht="17.15" hidden="false" customHeight="false" outlineLevel="0" collapsed="false">
      <c r="A22" s="0" t="s">
        <v>101</v>
      </c>
      <c r="B22" s="6" t="s">
        <v>100</v>
      </c>
      <c r="C22" s="0" t="s">
        <v>48</v>
      </c>
      <c r="E22" s="24" t="n">
        <f aca="false">In!E22</f>
        <v>-0.03</v>
      </c>
      <c r="G22" s="0" t="str">
        <f aca="false">In!G22</f>
        <v>Interested-party</v>
      </c>
      <c r="H22" s="12" t="s">
        <v>1138</v>
      </c>
    </row>
    <row r="23" customFormat="false" ht="17.15" hidden="false" customHeight="false" outlineLevel="0" collapsed="false">
      <c r="A23" s="0" t="s">
        <v>104</v>
      </c>
      <c r="B23" s="6" t="s">
        <v>103</v>
      </c>
      <c r="C23" s="0" t="s">
        <v>48</v>
      </c>
      <c r="E23" s="24" t="n">
        <f aca="false">In!E23</f>
        <v>-0.02</v>
      </c>
      <c r="G23" s="0" t="str">
        <f aca="false">In!G23</f>
        <v>Interested-party</v>
      </c>
      <c r="H23" s="12" t="s">
        <v>1139</v>
      </c>
    </row>
    <row r="24" customFormat="false" ht="17.15" hidden="false" customHeight="false" outlineLevel="0" collapsed="false">
      <c r="A24" s="0" t="s">
        <v>107</v>
      </c>
      <c r="B24" s="6" t="s">
        <v>106</v>
      </c>
      <c r="C24" s="0" t="s">
        <v>48</v>
      </c>
      <c r="E24" s="24" t="n">
        <f aca="false">In!E24</f>
        <v>-0.02</v>
      </c>
      <c r="G24" s="0" t="str">
        <f aca="false">In!G24</f>
        <v>Interested-party</v>
      </c>
      <c r="H24" s="12" t="s">
        <v>1140</v>
      </c>
    </row>
    <row r="25" customFormat="false" ht="17.15" hidden="false" customHeight="false" outlineLevel="0" collapsed="false">
      <c r="A25" s="0" t="s">
        <v>111</v>
      </c>
      <c r="B25" s="6" t="s">
        <v>109</v>
      </c>
      <c r="C25" s="0" t="s">
        <v>48</v>
      </c>
      <c r="E25" s="24" t="n">
        <f aca="false">In!E25</f>
        <v>0.05</v>
      </c>
      <c r="G25" s="0" t="str">
        <f aca="false">In!G25</f>
        <v>Interested-party</v>
      </c>
      <c r="H25" s="12" t="s">
        <v>1141</v>
      </c>
    </row>
    <row r="26" customFormat="false" ht="17.15" hidden="false" customHeight="false" outlineLevel="0" collapsed="false">
      <c r="A26" s="0" t="s">
        <v>114</v>
      </c>
      <c r="B26" s="6" t="s">
        <v>113</v>
      </c>
      <c r="C26" s="0" t="s">
        <v>48</v>
      </c>
      <c r="E26" s="24" t="n">
        <f aca="false">In!E26</f>
        <v>0.02</v>
      </c>
      <c r="G26" s="0" t="str">
        <f aca="false">In!G26</f>
        <v>Interested-party</v>
      </c>
      <c r="H26" s="12" t="s">
        <v>1142</v>
      </c>
    </row>
    <row r="27" customFormat="false" ht="17.15" hidden="false" customHeight="false" outlineLevel="0" collapsed="false">
      <c r="A27" s="0" t="s">
        <v>117</v>
      </c>
      <c r="B27" s="6" t="s">
        <v>116</v>
      </c>
      <c r="C27" s="0" t="s">
        <v>48</v>
      </c>
      <c r="E27" s="24" t="n">
        <f aca="false">In!E27</f>
        <v>-0.08</v>
      </c>
      <c r="G27" s="0" t="str">
        <f aca="false">In!G27</f>
        <v>Interested-party</v>
      </c>
      <c r="H27" s="12" t="s">
        <v>1143</v>
      </c>
    </row>
    <row r="28" customFormat="false" ht="17.15" hidden="false" customHeight="false" outlineLevel="0" collapsed="false">
      <c r="A28" s="0" t="s">
        <v>120</v>
      </c>
      <c r="B28" s="6" t="s">
        <v>119</v>
      </c>
      <c r="C28" s="0" t="s">
        <v>48</v>
      </c>
      <c r="E28" s="24" t="n">
        <f aca="false">In!E28</f>
        <v>-0.15</v>
      </c>
      <c r="G28" s="0" t="str">
        <f aca="false">In!G28</f>
        <v>Interested-party</v>
      </c>
      <c r="H28" s="12" t="s">
        <v>1144</v>
      </c>
    </row>
    <row r="29" customFormat="false" ht="17.15" hidden="false" customHeight="false" outlineLevel="0" collapsed="false">
      <c r="A29" s="0" t="s">
        <v>123</v>
      </c>
      <c r="B29" s="6" t="s">
        <v>122</v>
      </c>
      <c r="C29" s="0" t="s">
        <v>48</v>
      </c>
      <c r="E29" s="24" t="n">
        <f aca="false">In!E29</f>
        <v>-0.25</v>
      </c>
      <c r="G29" s="0" t="str">
        <f aca="false">In!G29</f>
        <v>Interested-party</v>
      </c>
      <c r="H29" s="12" t="s">
        <v>1145</v>
      </c>
    </row>
    <row r="30" customFormat="false" ht="17.15" hidden="false" customHeight="false" outlineLevel="0" collapsed="false">
      <c r="A30" s="0" t="s">
        <v>126</v>
      </c>
      <c r="B30" s="6" t="s">
        <v>125</v>
      </c>
      <c r="C30" s="0" t="s">
        <v>48</v>
      </c>
      <c r="E30" s="24" t="n">
        <f aca="false">In!E30</f>
        <v>-0.15</v>
      </c>
      <c r="G30" s="0" t="str">
        <f aca="false">In!G30</f>
        <v>Interested-party</v>
      </c>
      <c r="H30" s="12" t="s">
        <v>1146</v>
      </c>
    </row>
    <row r="31" customFormat="false" ht="17.15" hidden="false" customHeight="false" outlineLevel="0" collapsed="false">
      <c r="A31" s="0" t="s">
        <v>129</v>
      </c>
      <c r="B31" s="6" t="s">
        <v>128</v>
      </c>
      <c r="C31" s="0" t="s">
        <v>48</v>
      </c>
      <c r="E31" s="24" t="n">
        <f aca="false">In!E31</f>
        <v>-0.1</v>
      </c>
      <c r="G31" s="0" t="str">
        <f aca="false">In!G31</f>
        <v>Interested-party</v>
      </c>
      <c r="H31" s="12" t="s">
        <v>1147</v>
      </c>
    </row>
    <row r="32" customFormat="false" ht="17.15" hidden="false" customHeight="false" outlineLevel="0" collapsed="false">
      <c r="A32" s="0" t="s">
        <v>132</v>
      </c>
      <c r="B32" s="6" t="s">
        <v>131</v>
      </c>
      <c r="C32" s="0" t="s">
        <v>48</v>
      </c>
      <c r="E32" s="24" t="n">
        <f aca="false">In!E32</f>
        <v>-0.05</v>
      </c>
      <c r="G32" s="0" t="str">
        <f aca="false">In!G32</f>
        <v>Interested-party</v>
      </c>
      <c r="H32" s="12" t="s">
        <v>1148</v>
      </c>
    </row>
    <row r="33" customFormat="false" ht="17.15" hidden="false" customHeight="false" outlineLevel="0" collapsed="false">
      <c r="A33" s="0" t="s">
        <v>135</v>
      </c>
      <c r="B33" s="6" t="s">
        <v>134</v>
      </c>
      <c r="C33" s="0" t="s">
        <v>48</v>
      </c>
      <c r="E33" s="24" t="n">
        <f aca="false">In!E33</f>
        <v>0.05</v>
      </c>
      <c r="G33" s="0" t="str">
        <f aca="false">In!G33</f>
        <v>Interested-party</v>
      </c>
      <c r="H33" s="12" t="s">
        <v>1149</v>
      </c>
    </row>
    <row r="34" customFormat="false" ht="17.15" hidden="false" customHeight="false" outlineLevel="0" collapsed="false">
      <c r="A34" s="0" t="s">
        <v>138</v>
      </c>
      <c r="B34" s="6" t="s">
        <v>137</v>
      </c>
      <c r="C34" s="0" t="s">
        <v>48</v>
      </c>
      <c r="E34" s="24" t="n">
        <f aca="false">In!E34</f>
        <v>0.05</v>
      </c>
      <c r="G34" s="0" t="str">
        <f aca="false">In!G34</f>
        <v>Interested-party</v>
      </c>
      <c r="H34" s="12" t="s">
        <v>1150</v>
      </c>
    </row>
    <row r="35" customFormat="false" ht="17.15" hidden="false" customHeight="false" outlineLevel="0" collapsed="false">
      <c r="A35" s="0" t="s">
        <v>141</v>
      </c>
      <c r="B35" s="6" t="s">
        <v>140</v>
      </c>
      <c r="C35" s="0" t="s">
        <v>48</v>
      </c>
      <c r="E35" s="24" t="n">
        <f aca="false">In!E35</f>
        <v>0.03</v>
      </c>
      <c r="G35" s="0" t="str">
        <f aca="false">In!G35</f>
        <v>Interested-party</v>
      </c>
      <c r="H35" s="12" t="s">
        <v>1151</v>
      </c>
    </row>
    <row r="36" customFormat="false" ht="17.15" hidden="false" customHeight="false" outlineLevel="0" collapsed="false">
      <c r="A36" s="0" t="s">
        <v>144</v>
      </c>
      <c r="B36" s="6" t="s">
        <v>143</v>
      </c>
      <c r="C36" s="0" t="s">
        <v>48</v>
      </c>
      <c r="E36" s="24" t="n">
        <f aca="false">In!E36</f>
        <v>0.03</v>
      </c>
      <c r="G36" s="0" t="str">
        <f aca="false">In!G36</f>
        <v>Interested-party</v>
      </c>
      <c r="H36" s="12" t="s">
        <v>1152</v>
      </c>
    </row>
    <row r="37" customFormat="false" ht="17.15" hidden="false" customHeight="false" outlineLevel="0" collapsed="false">
      <c r="A37" s="0" t="s">
        <v>149</v>
      </c>
      <c r="B37" s="6" t="s">
        <v>146</v>
      </c>
      <c r="C37" s="0" t="s">
        <v>48</v>
      </c>
      <c r="D37" s="24" t="n">
        <f aca="false">In!D37</f>
        <v>0</v>
      </c>
      <c r="E37" s="24" t="n">
        <f aca="false">In!E37</f>
        <v>0.05</v>
      </c>
      <c r="F37" s="24" t="n">
        <f aca="false">In!F37</f>
        <v>0.1</v>
      </c>
      <c r="G37" s="0" t="str">
        <f aca="false">In!G37</f>
        <v>Assumed</v>
      </c>
      <c r="H37" s="12" t="s">
        <v>1153</v>
      </c>
    </row>
    <row r="38" customFormat="false" ht="17.15" hidden="false" customHeight="false" outlineLevel="0" collapsed="false">
      <c r="A38" s="0" t="s">
        <v>152</v>
      </c>
      <c r="B38" s="6" t="s">
        <v>151</v>
      </c>
      <c r="C38" s="0" t="s">
        <v>48</v>
      </c>
      <c r="D38" s="24" t="n">
        <f aca="false">In!D38</f>
        <v>-0.03</v>
      </c>
      <c r="E38" s="24" t="n">
        <f aca="false">In!E38</f>
        <v>0.02</v>
      </c>
      <c r="F38" s="24" t="n">
        <f aca="false">In!F38</f>
        <v>0.07</v>
      </c>
      <c r="G38" s="0" t="str">
        <f aca="false">In!G38</f>
        <v>Assumed</v>
      </c>
      <c r="H38" s="12" t="s">
        <v>1154</v>
      </c>
    </row>
    <row r="39" customFormat="false" ht="17.15" hidden="false" customHeight="false" outlineLevel="0" collapsed="false">
      <c r="A39" s="0" t="s">
        <v>155</v>
      </c>
      <c r="B39" s="6" t="s">
        <v>154</v>
      </c>
      <c r="C39" s="0" t="s">
        <v>48</v>
      </c>
      <c r="D39" s="24" t="n">
        <f aca="false">In!D39</f>
        <v>-0.13</v>
      </c>
      <c r="E39" s="24" t="n">
        <f aca="false">In!E39</f>
        <v>-0.08</v>
      </c>
      <c r="F39" s="24" t="n">
        <f aca="false">In!F39</f>
        <v>-0.03</v>
      </c>
      <c r="G39" s="0" t="str">
        <f aca="false">In!G39</f>
        <v>Assumed</v>
      </c>
      <c r="H39" s="12" t="s">
        <v>1155</v>
      </c>
    </row>
    <row r="40" customFormat="false" ht="17.15" hidden="false" customHeight="false" outlineLevel="0" collapsed="false">
      <c r="A40" s="0" t="s">
        <v>158</v>
      </c>
      <c r="B40" s="6" t="s">
        <v>157</v>
      </c>
      <c r="C40" s="0" t="s">
        <v>48</v>
      </c>
      <c r="D40" s="24" t="n">
        <f aca="false">In!D40</f>
        <v>-0.2</v>
      </c>
      <c r="E40" s="24" t="n">
        <f aca="false">In!E40</f>
        <v>-0.15</v>
      </c>
      <c r="F40" s="24" t="n">
        <f aca="false">In!F40</f>
        <v>-0.1</v>
      </c>
      <c r="G40" s="0" t="str">
        <f aca="false">In!G40</f>
        <v>Assumed</v>
      </c>
      <c r="H40" s="12" t="s">
        <v>1156</v>
      </c>
    </row>
    <row r="41" customFormat="false" ht="17.15" hidden="false" customHeight="false" outlineLevel="0" collapsed="false">
      <c r="A41" s="0" t="s">
        <v>161</v>
      </c>
      <c r="B41" s="6" t="s">
        <v>160</v>
      </c>
      <c r="C41" s="0" t="s">
        <v>48</v>
      </c>
      <c r="D41" s="24" t="n">
        <f aca="false">In!D41</f>
        <v>-0.45</v>
      </c>
      <c r="E41" s="24" t="n">
        <f aca="false">In!E41</f>
        <v>-0.35</v>
      </c>
      <c r="F41" s="24" t="n">
        <f aca="false">In!F41</f>
        <v>-0.25</v>
      </c>
      <c r="G41" s="0" t="str">
        <f aca="false">In!G41</f>
        <v>Assumed</v>
      </c>
      <c r="H41" s="12" t="s">
        <v>1157</v>
      </c>
    </row>
    <row r="42" customFormat="false" ht="17.15" hidden="false" customHeight="false" outlineLevel="0" collapsed="false">
      <c r="A42" s="0" t="s">
        <v>164</v>
      </c>
      <c r="B42" s="6" t="s">
        <v>163</v>
      </c>
      <c r="C42" s="0" t="s">
        <v>48</v>
      </c>
      <c r="D42" s="24" t="n">
        <f aca="false">In!D42</f>
        <v>-0.4</v>
      </c>
      <c r="E42" s="24" t="n">
        <f aca="false">In!E42</f>
        <v>-0.3</v>
      </c>
      <c r="F42" s="24" t="n">
        <f aca="false">In!F42</f>
        <v>-0.2</v>
      </c>
      <c r="G42" s="0" t="str">
        <f aca="false">In!G42</f>
        <v>Assumed</v>
      </c>
      <c r="H42" s="12" t="s">
        <v>1158</v>
      </c>
    </row>
    <row r="43" customFormat="false" ht="17.15" hidden="false" customHeight="false" outlineLevel="0" collapsed="false">
      <c r="A43" s="0" t="s">
        <v>167</v>
      </c>
      <c r="B43" s="6" t="s">
        <v>166</v>
      </c>
      <c r="C43" s="0" t="s">
        <v>48</v>
      </c>
      <c r="D43" s="24" t="n">
        <f aca="false">In!D43</f>
        <v>-0.35</v>
      </c>
      <c r="E43" s="24" t="n">
        <f aca="false">In!E43</f>
        <v>-0.25</v>
      </c>
      <c r="F43" s="24" t="n">
        <f aca="false">In!F43</f>
        <v>-0.15</v>
      </c>
      <c r="G43" s="0" t="str">
        <f aca="false">In!G43</f>
        <v>Assumed</v>
      </c>
      <c r="H43" s="12" t="s">
        <v>1159</v>
      </c>
    </row>
    <row r="44" customFormat="false" ht="17.15" hidden="false" customHeight="false" outlineLevel="0" collapsed="false">
      <c r="A44" s="0" t="s">
        <v>170</v>
      </c>
      <c r="B44" s="6" t="s">
        <v>169</v>
      </c>
      <c r="C44" s="0" t="s">
        <v>48</v>
      </c>
      <c r="D44" s="24" t="n">
        <f aca="false">In!D44</f>
        <v>-0.3</v>
      </c>
      <c r="E44" s="24" t="n">
        <f aca="false">In!E44</f>
        <v>-0.2</v>
      </c>
      <c r="F44" s="24" t="n">
        <f aca="false">In!F44</f>
        <v>-0.1</v>
      </c>
      <c r="G44" s="0" t="str">
        <f aca="false">In!G44</f>
        <v>Assumed</v>
      </c>
      <c r="H44" s="12" t="s">
        <v>1160</v>
      </c>
    </row>
    <row r="45" customFormat="false" ht="17.15" hidden="false" customHeight="false" outlineLevel="0" collapsed="false">
      <c r="A45" s="0" t="s">
        <v>173</v>
      </c>
      <c r="B45" s="6" t="s">
        <v>172</v>
      </c>
      <c r="C45" s="0" t="s">
        <v>48</v>
      </c>
      <c r="D45" s="24" t="n">
        <f aca="false">In!D45</f>
        <v>-0.1</v>
      </c>
      <c r="E45" s="24" t="n">
        <f aca="false">In!E45</f>
        <v>0</v>
      </c>
      <c r="F45" s="24" t="n">
        <f aca="false">In!F45</f>
        <v>0.1</v>
      </c>
      <c r="G45" s="0" t="str">
        <f aca="false">In!G45</f>
        <v>Assumed</v>
      </c>
      <c r="H45" s="12" t="s">
        <v>1161</v>
      </c>
    </row>
    <row r="46" customFormat="false" ht="17.15" hidden="false" customHeight="false" outlineLevel="0" collapsed="false">
      <c r="A46" s="0" t="s">
        <v>176</v>
      </c>
      <c r="B46" s="6" t="s">
        <v>175</v>
      </c>
      <c r="C46" s="0" t="s">
        <v>48</v>
      </c>
      <c r="D46" s="24" t="n">
        <f aca="false">In!D46</f>
        <v>-0.05</v>
      </c>
      <c r="E46" s="24" t="n">
        <f aca="false">In!E46</f>
        <v>0.05</v>
      </c>
      <c r="F46" s="24" t="n">
        <f aca="false">In!F46</f>
        <v>0.15</v>
      </c>
      <c r="G46" s="0" t="str">
        <f aca="false">In!G46</f>
        <v>Assumed</v>
      </c>
      <c r="H46" s="12" t="s">
        <v>1162</v>
      </c>
    </row>
    <row r="47" customFormat="false" ht="17.15" hidden="false" customHeight="false" outlineLevel="0" collapsed="false">
      <c r="A47" s="0" t="s">
        <v>179</v>
      </c>
      <c r="B47" s="6" t="s">
        <v>178</v>
      </c>
      <c r="C47" s="0" t="s">
        <v>48</v>
      </c>
      <c r="D47" s="24" t="n">
        <f aca="false">In!D47</f>
        <v>-0.02</v>
      </c>
      <c r="E47" s="24" t="n">
        <f aca="false">In!E47</f>
        <v>0.08</v>
      </c>
      <c r="F47" s="24" t="n">
        <f aca="false">In!F47</f>
        <v>0.18</v>
      </c>
      <c r="G47" s="0" t="str">
        <f aca="false">In!G47</f>
        <v>Assumed</v>
      </c>
      <c r="H47" s="12" t="s">
        <v>1163</v>
      </c>
    </row>
    <row r="48" customFormat="false" ht="17.15" hidden="false" customHeight="false" outlineLevel="0" collapsed="false">
      <c r="A48" s="0" t="s">
        <v>182</v>
      </c>
      <c r="B48" s="6" t="s">
        <v>181</v>
      </c>
      <c r="C48" s="0" t="s">
        <v>48</v>
      </c>
      <c r="D48" s="24" t="n">
        <f aca="false">In!D48</f>
        <v>0</v>
      </c>
      <c r="E48" s="24" t="n">
        <f aca="false">In!E48</f>
        <v>0.1</v>
      </c>
      <c r="F48" s="24" t="n">
        <f aca="false">In!F48</f>
        <v>0.2</v>
      </c>
      <c r="G48" s="0" t="str">
        <f aca="false">In!G48</f>
        <v>Assumed</v>
      </c>
      <c r="H48" s="12" t="s">
        <v>1164</v>
      </c>
    </row>
    <row r="49" customFormat="false" ht="17.15" hidden="false" customHeight="false" outlineLevel="0" collapsed="false">
      <c r="A49" s="0" t="s">
        <v>186</v>
      </c>
      <c r="B49" s="0" t="s">
        <v>184</v>
      </c>
      <c r="C49" s="0" t="s">
        <v>48</v>
      </c>
      <c r="E49" s="24" t="n">
        <f aca="false">In!E49</f>
        <v>0</v>
      </c>
      <c r="G49" s="0" t="str">
        <f aca="false">In!G49</f>
        <v>Interested-party</v>
      </c>
      <c r="H49" s="12" t="s">
        <v>1165</v>
      </c>
    </row>
    <row r="50" customFormat="false" ht="17.15" hidden="false" customHeight="false" outlineLevel="0" collapsed="false">
      <c r="A50" s="0" t="s">
        <v>189</v>
      </c>
      <c r="B50" s="0" t="s">
        <v>188</v>
      </c>
      <c r="C50" s="0" t="s">
        <v>48</v>
      </c>
      <c r="E50" s="24" t="n">
        <f aca="false">In!E50</f>
        <v>0.05</v>
      </c>
      <c r="G50" s="0" t="str">
        <f aca="false">In!G50</f>
        <v>Interested-party</v>
      </c>
      <c r="H50" s="12" t="s">
        <v>1166</v>
      </c>
    </row>
    <row r="51" customFormat="false" ht="17.15" hidden="false" customHeight="false" outlineLevel="0" collapsed="false">
      <c r="A51" s="0" t="s">
        <v>192</v>
      </c>
      <c r="B51" s="0" t="s">
        <v>191</v>
      </c>
      <c r="C51" s="0" t="s">
        <v>48</v>
      </c>
      <c r="E51" s="24" t="n">
        <f aca="false">In!E51</f>
        <v>0.3</v>
      </c>
      <c r="G51" s="0" t="str">
        <f aca="false">In!G51</f>
        <v>Interested-party</v>
      </c>
      <c r="H51" s="12" t="s">
        <v>1167</v>
      </c>
    </row>
    <row r="52" customFormat="false" ht="17.15" hidden="false" customHeight="false" outlineLevel="0" collapsed="false">
      <c r="A52" s="0" t="s">
        <v>195</v>
      </c>
      <c r="B52" s="0" t="s">
        <v>194</v>
      </c>
      <c r="C52" s="0" t="s">
        <v>48</v>
      </c>
      <c r="E52" s="24" t="n">
        <f aca="false">In!E52</f>
        <v>0.875</v>
      </c>
      <c r="G52" s="0" t="str">
        <f aca="false">In!G52</f>
        <v>Interested-party</v>
      </c>
      <c r="H52" s="12" t="s">
        <v>1168</v>
      </c>
    </row>
    <row r="53" customFormat="false" ht="17.15" hidden="false" customHeight="false" outlineLevel="0" collapsed="false">
      <c r="A53" s="0" t="s">
        <v>198</v>
      </c>
      <c r="B53" s="0" t="s">
        <v>197</v>
      </c>
      <c r="C53" s="0" t="s">
        <v>48</v>
      </c>
      <c r="E53" s="24" t="n">
        <f aca="false">In!E53</f>
        <v>0.725</v>
      </c>
      <c r="G53" s="0" t="str">
        <f aca="false">In!G53</f>
        <v>Interested-party</v>
      </c>
      <c r="H53" s="12" t="s">
        <v>1169</v>
      </c>
    </row>
    <row r="54" customFormat="false" ht="17.15" hidden="false" customHeight="false" outlineLevel="0" collapsed="false">
      <c r="A54" s="0" t="s">
        <v>201</v>
      </c>
      <c r="B54" s="0" t="s">
        <v>200</v>
      </c>
      <c r="C54" s="0" t="s">
        <v>48</v>
      </c>
      <c r="E54" s="24" t="n">
        <f aca="false">In!E54</f>
        <v>0.15</v>
      </c>
      <c r="G54" s="0" t="str">
        <f aca="false">In!G54</f>
        <v>Interested-party</v>
      </c>
      <c r="H54" s="12" t="s">
        <v>1170</v>
      </c>
    </row>
    <row r="55" customFormat="false" ht="17.15" hidden="false" customHeight="false" outlineLevel="0" collapsed="false">
      <c r="A55" s="0" t="s">
        <v>204</v>
      </c>
      <c r="B55" s="0" t="s">
        <v>203</v>
      </c>
      <c r="C55" s="0" t="s">
        <v>48</v>
      </c>
      <c r="E55" s="24" t="n">
        <f aca="false">In!E55</f>
        <v>0.175</v>
      </c>
      <c r="G55" s="0" t="str">
        <f aca="false">In!G55</f>
        <v>Interested-party</v>
      </c>
      <c r="H55" s="12" t="s">
        <v>1171</v>
      </c>
    </row>
    <row r="56" customFormat="false" ht="17.15" hidden="false" customHeight="false" outlineLevel="0" collapsed="false">
      <c r="A56" s="0" t="s">
        <v>208</v>
      </c>
      <c r="B56" s="0" t="s">
        <v>206</v>
      </c>
      <c r="C56" s="0" t="s">
        <v>48</v>
      </c>
      <c r="E56" s="24" t="n">
        <f aca="false">In!E56</f>
        <v>0.03</v>
      </c>
      <c r="G56" s="0" t="str">
        <f aca="false">In!G56</f>
        <v>Interested-party</v>
      </c>
      <c r="H56" s="12" t="s">
        <v>1172</v>
      </c>
    </row>
    <row r="57" customFormat="false" ht="17.15" hidden="false" customHeight="false" outlineLevel="0" collapsed="false">
      <c r="A57" s="0" t="s">
        <v>211</v>
      </c>
      <c r="B57" s="0" t="s">
        <v>210</v>
      </c>
      <c r="C57" s="0" t="s">
        <v>48</v>
      </c>
      <c r="E57" s="24" t="n">
        <f aca="false">In!E57</f>
        <v>0</v>
      </c>
      <c r="G57" s="0" t="str">
        <f aca="false">In!G57</f>
        <v>Interested-party</v>
      </c>
      <c r="H57" s="12" t="s">
        <v>1173</v>
      </c>
    </row>
    <row r="58" customFormat="false" ht="17.15" hidden="false" customHeight="false" outlineLevel="0" collapsed="false">
      <c r="A58" s="0" t="s">
        <v>214</v>
      </c>
      <c r="B58" s="0" t="s">
        <v>213</v>
      </c>
      <c r="C58" s="0" t="s">
        <v>48</v>
      </c>
      <c r="E58" s="24" t="n">
        <f aca="false">In!E58</f>
        <v>-0.05</v>
      </c>
      <c r="G58" s="0" t="str">
        <f aca="false">In!G58</f>
        <v>Interested-party</v>
      </c>
      <c r="H58" s="12" t="s">
        <v>1174</v>
      </c>
    </row>
    <row r="59" customFormat="false" ht="17.15" hidden="false" customHeight="false" outlineLevel="0" collapsed="false">
      <c r="A59" s="0" t="s">
        <v>217</v>
      </c>
      <c r="B59" s="0" t="s">
        <v>216</v>
      </c>
      <c r="C59" s="0" t="s">
        <v>48</v>
      </c>
      <c r="E59" s="24" t="n">
        <f aca="false">In!E59</f>
        <v>-0.07</v>
      </c>
      <c r="G59" s="0" t="str">
        <f aca="false">In!G59</f>
        <v>Interested-party</v>
      </c>
      <c r="H59" s="12" t="s">
        <v>1175</v>
      </c>
    </row>
    <row r="60" customFormat="false" ht="17.15" hidden="false" customHeight="false" outlineLevel="0" collapsed="false">
      <c r="A60" s="0" t="s">
        <v>220</v>
      </c>
      <c r="B60" s="0" t="s">
        <v>219</v>
      </c>
      <c r="C60" s="0" t="s">
        <v>48</v>
      </c>
      <c r="E60" s="24" t="n">
        <f aca="false">In!E60</f>
        <v>-0.05</v>
      </c>
      <c r="G60" s="0" t="str">
        <f aca="false">In!G60</f>
        <v>Interested-party</v>
      </c>
      <c r="H60" s="12" t="s">
        <v>1176</v>
      </c>
    </row>
    <row r="61" customFormat="false" ht="17.15" hidden="false" customHeight="false" outlineLevel="0" collapsed="false">
      <c r="A61" s="0" t="s">
        <v>223</v>
      </c>
      <c r="B61" s="0" t="s">
        <v>222</v>
      </c>
      <c r="C61" s="0" t="s">
        <v>48</v>
      </c>
      <c r="E61" s="24" t="n">
        <f aca="false">In!E61</f>
        <v>-0.05</v>
      </c>
      <c r="G61" s="0" t="str">
        <f aca="false">In!G61</f>
        <v>Interested-party</v>
      </c>
      <c r="H61" s="12" t="s">
        <v>1177</v>
      </c>
    </row>
    <row r="62" customFormat="false" ht="17.15" hidden="false" customHeight="false" outlineLevel="0" collapsed="false">
      <c r="A62" s="0" t="s">
        <v>226</v>
      </c>
      <c r="B62" s="0" t="s">
        <v>225</v>
      </c>
      <c r="C62" s="0" t="s">
        <v>48</v>
      </c>
      <c r="E62" s="24" t="n">
        <f aca="false">In!E62</f>
        <v>-0.05</v>
      </c>
      <c r="G62" s="0" t="str">
        <f aca="false">In!G62</f>
        <v>Interested-party</v>
      </c>
      <c r="H62" s="12" t="s">
        <v>1178</v>
      </c>
    </row>
    <row r="63" customFormat="false" ht="17.15" hidden="false" customHeight="false" outlineLevel="0" collapsed="false">
      <c r="A63" s="0" t="s">
        <v>229</v>
      </c>
      <c r="B63" s="0" t="s">
        <v>228</v>
      </c>
      <c r="C63" s="0" t="s">
        <v>48</v>
      </c>
      <c r="E63" s="24" t="n">
        <f aca="false">In!E63</f>
        <v>-0.05</v>
      </c>
      <c r="G63" s="0" t="str">
        <f aca="false">In!G63</f>
        <v>Interested-party</v>
      </c>
      <c r="H63" s="12" t="s">
        <v>1179</v>
      </c>
    </row>
    <row r="64" customFormat="false" ht="17.15" hidden="false" customHeight="false" outlineLevel="0" collapsed="false">
      <c r="A64" s="0" t="s">
        <v>232</v>
      </c>
      <c r="B64" s="0" t="s">
        <v>231</v>
      </c>
      <c r="C64" s="0" t="s">
        <v>48</v>
      </c>
      <c r="E64" s="24" t="n">
        <f aca="false">In!E64</f>
        <v>-0.03</v>
      </c>
      <c r="G64" s="0" t="str">
        <f aca="false">In!G64</f>
        <v>Interested-party</v>
      </c>
      <c r="H64" s="12" t="s">
        <v>1180</v>
      </c>
    </row>
    <row r="65" customFormat="false" ht="17.15" hidden="false" customHeight="false" outlineLevel="0" collapsed="false">
      <c r="A65" s="0" t="s">
        <v>235</v>
      </c>
      <c r="B65" s="0" t="s">
        <v>234</v>
      </c>
      <c r="C65" s="0" t="s">
        <v>48</v>
      </c>
      <c r="E65" s="24" t="n">
        <f aca="false">In!E65</f>
        <v>-0.03</v>
      </c>
      <c r="G65" s="0" t="str">
        <f aca="false">In!G65</f>
        <v>Interested-party</v>
      </c>
      <c r="H65" s="12" t="s">
        <v>1181</v>
      </c>
    </row>
    <row r="66" customFormat="false" ht="17.15" hidden="false" customHeight="false" outlineLevel="0" collapsed="false">
      <c r="A66" s="0" t="s">
        <v>238</v>
      </c>
      <c r="B66" s="0" t="s">
        <v>237</v>
      </c>
      <c r="C66" s="0" t="s">
        <v>48</v>
      </c>
      <c r="E66" s="24" t="n">
        <f aca="false">In!E66</f>
        <v>-0.03</v>
      </c>
      <c r="G66" s="0" t="str">
        <f aca="false">In!G66</f>
        <v>Interested-party</v>
      </c>
      <c r="H66" s="12" t="s">
        <v>1182</v>
      </c>
    </row>
    <row r="67" customFormat="false" ht="17.15" hidden="false" customHeight="false" outlineLevel="0" collapsed="false">
      <c r="A67" s="0" t="s">
        <v>241</v>
      </c>
      <c r="B67" s="0" t="s">
        <v>240</v>
      </c>
      <c r="C67" s="0" t="s">
        <v>48</v>
      </c>
      <c r="E67" s="24" t="n">
        <f aca="false">In!E67</f>
        <v>-0.03</v>
      </c>
      <c r="G67" s="0" t="str">
        <f aca="false">In!G67</f>
        <v>Interested-party</v>
      </c>
      <c r="H67" s="12" t="s">
        <v>1183</v>
      </c>
    </row>
    <row r="68" customFormat="false" ht="17.15" hidden="false" customHeight="false" outlineLevel="0" collapsed="false">
      <c r="A68" s="0" t="s">
        <v>245</v>
      </c>
      <c r="B68" s="0" t="s">
        <v>243</v>
      </c>
      <c r="C68" s="0" t="s">
        <v>48</v>
      </c>
      <c r="E68" s="24" t="n">
        <f aca="false">In!E68</f>
        <v>0.05</v>
      </c>
      <c r="G68" s="0" t="str">
        <f aca="false">In!G68</f>
        <v>Interested-party</v>
      </c>
      <c r="H68" s="12" t="s">
        <v>1184</v>
      </c>
    </row>
    <row r="69" customFormat="false" ht="17.15" hidden="false" customHeight="false" outlineLevel="0" collapsed="false">
      <c r="A69" s="0" t="s">
        <v>248</v>
      </c>
      <c r="B69" s="0" t="s">
        <v>247</v>
      </c>
      <c r="C69" s="0" t="s">
        <v>48</v>
      </c>
      <c r="E69" s="24" t="n">
        <f aca="false">In!E69</f>
        <v>0.02</v>
      </c>
      <c r="G69" s="0" t="str">
        <f aca="false">In!G69</f>
        <v>Interested-party</v>
      </c>
      <c r="H69" s="12" t="s">
        <v>1185</v>
      </c>
    </row>
    <row r="70" customFormat="false" ht="17.15" hidden="false" customHeight="false" outlineLevel="0" collapsed="false">
      <c r="A70" s="0" t="s">
        <v>251</v>
      </c>
      <c r="B70" s="0" t="s">
        <v>250</v>
      </c>
      <c r="C70" s="0" t="s">
        <v>48</v>
      </c>
      <c r="E70" s="24" t="n">
        <f aca="false">In!E70</f>
        <v>-0.1</v>
      </c>
      <c r="G70" s="0" t="str">
        <f aca="false">In!G70</f>
        <v>Interested-party</v>
      </c>
      <c r="H70" s="12" t="s">
        <v>1186</v>
      </c>
    </row>
    <row r="71" customFormat="false" ht="17.15" hidden="false" customHeight="false" outlineLevel="0" collapsed="false">
      <c r="A71" s="0" t="s">
        <v>254</v>
      </c>
      <c r="B71" s="0" t="s">
        <v>253</v>
      </c>
      <c r="C71" s="0" t="s">
        <v>48</v>
      </c>
      <c r="E71" s="24" t="n">
        <f aca="false">In!E71</f>
        <v>-0.2</v>
      </c>
      <c r="G71" s="0" t="str">
        <f aca="false">In!G71</f>
        <v>Interested-party</v>
      </c>
      <c r="H71" s="12" t="s">
        <v>1187</v>
      </c>
    </row>
    <row r="72" customFormat="false" ht="17.15" hidden="false" customHeight="false" outlineLevel="0" collapsed="false">
      <c r="A72" s="0" t="s">
        <v>257</v>
      </c>
      <c r="B72" s="0" t="s">
        <v>256</v>
      </c>
      <c r="C72" s="0" t="s">
        <v>48</v>
      </c>
      <c r="E72" s="24" t="n">
        <f aca="false">In!E72</f>
        <v>-0.3</v>
      </c>
      <c r="G72" s="0" t="str">
        <f aca="false">In!G72</f>
        <v>Interested-party</v>
      </c>
      <c r="H72" s="12" t="s">
        <v>1188</v>
      </c>
    </row>
    <row r="73" customFormat="false" ht="17.15" hidden="false" customHeight="false" outlineLevel="0" collapsed="false">
      <c r="A73" s="0" t="s">
        <v>260</v>
      </c>
      <c r="B73" s="0" t="s">
        <v>259</v>
      </c>
      <c r="C73" s="0" t="s">
        <v>48</v>
      </c>
      <c r="E73" s="24" t="n">
        <f aca="false">In!E73</f>
        <v>-0.25</v>
      </c>
      <c r="G73" s="0" t="str">
        <f aca="false">In!G73</f>
        <v>Interested-party</v>
      </c>
      <c r="H73" s="12" t="s">
        <v>1189</v>
      </c>
    </row>
    <row r="74" customFormat="false" ht="17.15" hidden="false" customHeight="false" outlineLevel="0" collapsed="false">
      <c r="A74" s="0" t="s">
        <v>263</v>
      </c>
      <c r="B74" s="0" t="s">
        <v>262</v>
      </c>
      <c r="C74" s="0" t="s">
        <v>48</v>
      </c>
      <c r="E74" s="24" t="n">
        <f aca="false">In!E74</f>
        <v>-0.2</v>
      </c>
      <c r="G74" s="0" t="str">
        <f aca="false">In!G74</f>
        <v>Interested-party</v>
      </c>
      <c r="H74" s="12" t="s">
        <v>1190</v>
      </c>
    </row>
    <row r="75" customFormat="false" ht="17.15" hidden="false" customHeight="false" outlineLevel="0" collapsed="false">
      <c r="A75" s="0" t="s">
        <v>266</v>
      </c>
      <c r="B75" s="0" t="s">
        <v>265</v>
      </c>
      <c r="C75" s="0" t="s">
        <v>48</v>
      </c>
      <c r="E75" s="24" t="n">
        <f aca="false">In!E75</f>
        <v>-0.1</v>
      </c>
      <c r="G75" s="0" t="str">
        <f aca="false">In!G75</f>
        <v>Interested-party</v>
      </c>
      <c r="H75" s="12" t="s">
        <v>1191</v>
      </c>
    </row>
    <row r="76" customFormat="false" ht="17.15" hidden="false" customHeight="false" outlineLevel="0" collapsed="false">
      <c r="A76" s="0" t="s">
        <v>269</v>
      </c>
      <c r="B76" s="0" t="s">
        <v>268</v>
      </c>
      <c r="C76" s="0" t="s">
        <v>48</v>
      </c>
      <c r="E76" s="24" t="n">
        <f aca="false">In!E76</f>
        <v>0.05</v>
      </c>
      <c r="G76" s="0" t="str">
        <f aca="false">In!G76</f>
        <v>Interested-party</v>
      </c>
      <c r="H76" s="12" t="s">
        <v>1192</v>
      </c>
    </row>
    <row r="77" customFormat="false" ht="17.15" hidden="false" customHeight="false" outlineLevel="0" collapsed="false">
      <c r="A77" s="0" t="s">
        <v>272</v>
      </c>
      <c r="B77" s="0" t="s">
        <v>271</v>
      </c>
      <c r="C77" s="0" t="s">
        <v>48</v>
      </c>
      <c r="E77" s="24" t="n">
        <f aca="false">In!E77</f>
        <v>0.05</v>
      </c>
      <c r="G77" s="0" t="str">
        <f aca="false">In!G77</f>
        <v>Interested-party</v>
      </c>
      <c r="H77" s="12" t="s">
        <v>1193</v>
      </c>
    </row>
    <row r="78" customFormat="false" ht="17.15" hidden="false" customHeight="false" outlineLevel="0" collapsed="false">
      <c r="A78" s="0" t="s">
        <v>275</v>
      </c>
      <c r="B78" s="0" t="s">
        <v>274</v>
      </c>
      <c r="C78" s="0" t="s">
        <v>48</v>
      </c>
      <c r="E78" s="24" t="n">
        <f aca="false">In!E78</f>
        <v>0.03</v>
      </c>
      <c r="G78" s="0" t="str">
        <f aca="false">In!G78</f>
        <v>Interested-party</v>
      </c>
      <c r="H78" s="12" t="s">
        <v>1194</v>
      </c>
    </row>
    <row r="79" customFormat="false" ht="17.15" hidden="false" customHeight="false" outlineLevel="0" collapsed="false">
      <c r="A79" s="0" t="s">
        <v>278</v>
      </c>
      <c r="B79" s="0" t="s">
        <v>277</v>
      </c>
      <c r="C79" s="0" t="s">
        <v>48</v>
      </c>
      <c r="E79" s="24" t="n">
        <f aca="false">In!E79</f>
        <v>0.03</v>
      </c>
      <c r="G79" s="0" t="str">
        <f aca="false">In!G79</f>
        <v>Interested-party</v>
      </c>
      <c r="H79" s="12" t="s">
        <v>1195</v>
      </c>
    </row>
    <row r="80" customFormat="false" ht="17.15" hidden="false" customHeight="false" outlineLevel="0" collapsed="false">
      <c r="A80" s="0" t="s">
        <v>282</v>
      </c>
      <c r="B80" s="0" t="s">
        <v>280</v>
      </c>
      <c r="C80" s="0" t="s">
        <v>48</v>
      </c>
      <c r="D80" s="24" t="n">
        <f aca="false">In!D80</f>
        <v>0</v>
      </c>
      <c r="E80" s="24" t="n">
        <f aca="false">In!E80</f>
        <v>0.05</v>
      </c>
      <c r="F80" s="24" t="n">
        <f aca="false">In!F80</f>
        <v>0.1</v>
      </c>
      <c r="G80" s="0" t="str">
        <f aca="false">In!G80</f>
        <v>Assumed</v>
      </c>
      <c r="H80" s="12" t="s">
        <v>1196</v>
      </c>
    </row>
    <row r="81" customFormat="false" ht="17.15" hidden="false" customHeight="false" outlineLevel="0" collapsed="false">
      <c r="A81" s="0" t="s">
        <v>285</v>
      </c>
      <c r="B81" s="0" t="s">
        <v>284</v>
      </c>
      <c r="C81" s="0" t="s">
        <v>48</v>
      </c>
      <c r="D81" s="24" t="n">
        <f aca="false">In!D81</f>
        <v>-0.03</v>
      </c>
      <c r="E81" s="24" t="n">
        <f aca="false">In!E81</f>
        <v>0.02</v>
      </c>
      <c r="F81" s="24" t="n">
        <f aca="false">In!F81</f>
        <v>0.07</v>
      </c>
      <c r="G81" s="0" t="str">
        <f aca="false">In!G81</f>
        <v>Assumed</v>
      </c>
      <c r="H81" s="12" t="s">
        <v>1197</v>
      </c>
    </row>
    <row r="82" customFormat="false" ht="17.15" hidden="false" customHeight="false" outlineLevel="0" collapsed="false">
      <c r="A82" s="0" t="s">
        <v>288</v>
      </c>
      <c r="B82" s="0" t="s">
        <v>287</v>
      </c>
      <c r="C82" s="0" t="s">
        <v>48</v>
      </c>
      <c r="D82" s="24" t="n">
        <f aca="false">In!D82</f>
        <v>-0.15</v>
      </c>
      <c r="E82" s="24" t="n">
        <f aca="false">In!E82</f>
        <v>-0.1</v>
      </c>
      <c r="F82" s="24" t="n">
        <f aca="false">In!F82</f>
        <v>-0.05</v>
      </c>
      <c r="G82" s="0" t="str">
        <f aca="false">In!G82</f>
        <v>Assumed</v>
      </c>
      <c r="H82" s="12" t="s">
        <v>1198</v>
      </c>
    </row>
    <row r="83" customFormat="false" ht="17.15" hidden="false" customHeight="false" outlineLevel="0" collapsed="false">
      <c r="A83" s="0" t="s">
        <v>291</v>
      </c>
      <c r="B83" s="0" t="s">
        <v>290</v>
      </c>
      <c r="C83" s="0" t="s">
        <v>48</v>
      </c>
      <c r="D83" s="24" t="n">
        <f aca="false">In!D83</f>
        <v>-0.25</v>
      </c>
      <c r="E83" s="24" t="n">
        <f aca="false">In!E83</f>
        <v>-0.2</v>
      </c>
      <c r="F83" s="24" t="n">
        <f aca="false">In!F83</f>
        <v>-0.15</v>
      </c>
      <c r="G83" s="0" t="str">
        <f aca="false">In!G83</f>
        <v>Assumed</v>
      </c>
      <c r="H83" s="12" t="s">
        <v>1199</v>
      </c>
    </row>
    <row r="84" customFormat="false" ht="17.15" hidden="false" customHeight="false" outlineLevel="0" collapsed="false">
      <c r="A84" s="0" t="s">
        <v>294</v>
      </c>
      <c r="B84" s="0" t="s">
        <v>293</v>
      </c>
      <c r="C84" s="0" t="s">
        <v>48</v>
      </c>
      <c r="D84" s="24" t="n">
        <f aca="false">In!D84</f>
        <v>-0.45</v>
      </c>
      <c r="E84" s="24" t="n">
        <f aca="false">In!E84</f>
        <v>-0.35</v>
      </c>
      <c r="F84" s="24" t="n">
        <f aca="false">In!F84</f>
        <v>-0.25</v>
      </c>
      <c r="G84" s="0" t="str">
        <f aca="false">In!G84</f>
        <v>Assumed</v>
      </c>
      <c r="H84" s="12" t="s">
        <v>1200</v>
      </c>
    </row>
    <row r="85" customFormat="false" ht="17.15" hidden="false" customHeight="false" outlineLevel="0" collapsed="false">
      <c r="A85" s="0" t="s">
        <v>297</v>
      </c>
      <c r="B85" s="0" t="s">
        <v>296</v>
      </c>
      <c r="C85" s="0" t="s">
        <v>48</v>
      </c>
      <c r="D85" s="24" t="n">
        <f aca="false">In!D85</f>
        <v>-0.45</v>
      </c>
      <c r="E85" s="24" t="n">
        <f aca="false">In!E85</f>
        <v>-0.35</v>
      </c>
      <c r="F85" s="24" t="n">
        <f aca="false">In!F85</f>
        <v>-0.25</v>
      </c>
      <c r="G85" s="0" t="str">
        <f aca="false">In!G85</f>
        <v>Assumed</v>
      </c>
      <c r="H85" s="12" t="s">
        <v>1201</v>
      </c>
    </row>
    <row r="86" customFormat="false" ht="17.15" hidden="false" customHeight="false" outlineLevel="0" collapsed="false">
      <c r="A86" s="0" t="s">
        <v>300</v>
      </c>
      <c r="B86" s="0" t="s">
        <v>299</v>
      </c>
      <c r="C86" s="0" t="s">
        <v>48</v>
      </c>
      <c r="D86" s="24" t="n">
        <f aca="false">In!D86</f>
        <v>-0.35</v>
      </c>
      <c r="E86" s="24" t="n">
        <f aca="false">In!E86</f>
        <v>-0.25</v>
      </c>
      <c r="F86" s="24" t="n">
        <f aca="false">In!F86</f>
        <v>-0.15</v>
      </c>
      <c r="G86" s="0" t="str">
        <f aca="false">In!G86</f>
        <v>Assumed</v>
      </c>
      <c r="H86" s="12" t="s">
        <v>1202</v>
      </c>
    </row>
    <row r="87" customFormat="false" ht="17.15" hidden="false" customHeight="false" outlineLevel="0" collapsed="false">
      <c r="A87" s="0" t="s">
        <v>303</v>
      </c>
      <c r="B87" s="0" t="s">
        <v>302</v>
      </c>
      <c r="C87" s="0" t="s">
        <v>48</v>
      </c>
      <c r="D87" s="24" t="n">
        <f aca="false">In!D87</f>
        <v>-0.3</v>
      </c>
      <c r="E87" s="24" t="n">
        <f aca="false">In!E87</f>
        <v>-0.2</v>
      </c>
      <c r="F87" s="24" t="n">
        <f aca="false">In!F87</f>
        <v>-0.1</v>
      </c>
      <c r="G87" s="0" t="str">
        <f aca="false">In!G87</f>
        <v>Assumed</v>
      </c>
      <c r="H87" s="12" t="s">
        <v>1203</v>
      </c>
    </row>
    <row r="88" customFormat="false" ht="17.15" hidden="false" customHeight="false" outlineLevel="0" collapsed="false">
      <c r="A88" s="0" t="s">
        <v>306</v>
      </c>
      <c r="B88" s="0" t="s">
        <v>305</v>
      </c>
      <c r="C88" s="0" t="s">
        <v>48</v>
      </c>
      <c r="D88" s="24" t="n">
        <f aca="false">In!D88</f>
        <v>-0.1</v>
      </c>
      <c r="E88" s="24" t="n">
        <f aca="false">In!E88</f>
        <v>0</v>
      </c>
      <c r="F88" s="24" t="n">
        <f aca="false">In!F88</f>
        <v>0.1</v>
      </c>
      <c r="G88" s="0" t="str">
        <f aca="false">In!G88</f>
        <v>Assumed</v>
      </c>
      <c r="H88" s="12" t="s">
        <v>1204</v>
      </c>
    </row>
    <row r="89" customFormat="false" ht="17.15" hidden="false" customHeight="false" outlineLevel="0" collapsed="false">
      <c r="A89" s="0" t="s">
        <v>309</v>
      </c>
      <c r="B89" s="0" t="s">
        <v>308</v>
      </c>
      <c r="C89" s="0" t="s">
        <v>48</v>
      </c>
      <c r="D89" s="24" t="n">
        <f aca="false">In!D89</f>
        <v>-0.05</v>
      </c>
      <c r="E89" s="24" t="n">
        <f aca="false">In!E89</f>
        <v>0.05</v>
      </c>
      <c r="F89" s="24" t="n">
        <f aca="false">In!F89</f>
        <v>0.15</v>
      </c>
      <c r="G89" s="0" t="str">
        <f aca="false">In!G89</f>
        <v>Assumed</v>
      </c>
      <c r="H89" s="12" t="s">
        <v>1205</v>
      </c>
    </row>
    <row r="90" customFormat="false" ht="17.15" hidden="false" customHeight="false" outlineLevel="0" collapsed="false">
      <c r="A90" s="0" t="s">
        <v>312</v>
      </c>
      <c r="B90" s="0" t="s">
        <v>311</v>
      </c>
      <c r="C90" s="0" t="s">
        <v>48</v>
      </c>
      <c r="D90" s="24" t="n">
        <f aca="false">In!D90</f>
        <v>-0.02</v>
      </c>
      <c r="E90" s="24" t="n">
        <f aca="false">In!E90</f>
        <v>0.08</v>
      </c>
      <c r="F90" s="24" t="n">
        <f aca="false">In!F90</f>
        <v>0.18</v>
      </c>
      <c r="G90" s="0" t="str">
        <f aca="false">In!G90</f>
        <v>Assumed</v>
      </c>
      <c r="H90" s="12" t="s">
        <v>1206</v>
      </c>
    </row>
    <row r="91" customFormat="false" ht="17.15" hidden="false" customHeight="false" outlineLevel="0" collapsed="false">
      <c r="A91" s="0" t="s">
        <v>315</v>
      </c>
      <c r="B91" s="0" t="s">
        <v>314</v>
      </c>
      <c r="C91" s="0" t="s">
        <v>48</v>
      </c>
      <c r="D91" s="24" t="n">
        <f aca="false">In!D91</f>
        <v>0</v>
      </c>
      <c r="E91" s="24" t="n">
        <f aca="false">In!E91</f>
        <v>0.1</v>
      </c>
      <c r="F91" s="24" t="n">
        <f aca="false">In!F91</f>
        <v>0.2</v>
      </c>
      <c r="G91" s="0" t="str">
        <f aca="false">In!G91</f>
        <v>Assumed</v>
      </c>
      <c r="H91" s="12" t="s">
        <v>1207</v>
      </c>
    </row>
    <row r="92" customFormat="false" ht="17.15" hidden="false" customHeight="false" outlineLevel="0" collapsed="false">
      <c r="A92" s="0" t="s">
        <v>321</v>
      </c>
      <c r="B92" s="0" t="s">
        <v>318</v>
      </c>
      <c r="C92" s="6" t="s">
        <v>319</v>
      </c>
      <c r="E92" s="20" t="n">
        <f aca="false">In!E93</f>
        <v>5.4</v>
      </c>
      <c r="G92" s="0" t="str">
        <f aca="false">In!G93</f>
        <v>Interested-party</v>
      </c>
      <c r="H92" s="12" t="s">
        <v>1208</v>
      </c>
    </row>
    <row r="93" customFormat="false" ht="17.15" hidden="false" customHeight="false" outlineLevel="0" collapsed="false">
      <c r="A93" s="0" t="s">
        <v>324</v>
      </c>
      <c r="B93" s="0" t="s">
        <v>323</v>
      </c>
      <c r="C93" s="6" t="s">
        <v>319</v>
      </c>
      <c r="E93" s="20" t="n">
        <f aca="false">In!E94</f>
        <v>2.4</v>
      </c>
      <c r="G93" s="0" t="str">
        <f aca="false">In!G94</f>
        <v>Interested-party</v>
      </c>
      <c r="H93" s="12" t="s">
        <v>1209</v>
      </c>
    </row>
    <row r="94" customFormat="false" ht="17.15" hidden="false" customHeight="false" outlineLevel="0" collapsed="false">
      <c r="A94" s="0" t="s">
        <v>327</v>
      </c>
      <c r="B94" s="0" t="s">
        <v>326</v>
      </c>
      <c r="C94" s="6" t="s">
        <v>319</v>
      </c>
      <c r="E94" s="20" t="n">
        <f aca="false">In!E95</f>
        <v>0.5</v>
      </c>
      <c r="G94" s="0" t="str">
        <f aca="false">In!G95</f>
        <v>Interested-party</v>
      </c>
      <c r="H94" s="12" t="s">
        <v>1210</v>
      </c>
    </row>
    <row r="95" customFormat="false" ht="17.15" hidden="false" customHeight="false" outlineLevel="0" collapsed="false">
      <c r="A95" s="0" t="s">
        <v>331</v>
      </c>
      <c r="B95" s="0" t="s">
        <v>329</v>
      </c>
      <c r="C95" s="0" t="s">
        <v>330</v>
      </c>
      <c r="E95" s="20" t="n">
        <f aca="false">In!E96</f>
        <v>260</v>
      </c>
      <c r="G95" s="0" t="str">
        <f aca="false">In!G96</f>
        <v>Interested-party</v>
      </c>
      <c r="H95" s="12" t="s">
        <v>1211</v>
      </c>
    </row>
    <row r="96" customFormat="false" ht="17.15" hidden="false" customHeight="false" outlineLevel="0" collapsed="false">
      <c r="A96" s="0" t="s">
        <v>334</v>
      </c>
      <c r="B96" s="0" t="s">
        <v>333</v>
      </c>
      <c r="C96" s="0" t="s">
        <v>330</v>
      </c>
      <c r="E96" s="20" t="n">
        <f aca="false">In!E97</f>
        <v>280</v>
      </c>
      <c r="G96" s="0" t="str">
        <f aca="false">In!G97</f>
        <v>Interested-party</v>
      </c>
      <c r="H96" s="12" t="s">
        <v>1212</v>
      </c>
    </row>
    <row r="97" customFormat="false" ht="17.15" hidden="false" customHeight="false" outlineLevel="0" collapsed="false">
      <c r="A97" s="0" t="s">
        <v>337</v>
      </c>
      <c r="B97" s="0" t="s">
        <v>336</v>
      </c>
      <c r="C97" s="0" t="s">
        <v>330</v>
      </c>
      <c r="E97" s="20" t="n">
        <f aca="false">In!E98</f>
        <v>288</v>
      </c>
      <c r="G97" s="0" t="str">
        <f aca="false">In!G98</f>
        <v>Interested-party</v>
      </c>
      <c r="H97" s="12" t="s">
        <v>1213</v>
      </c>
    </row>
    <row r="98" customFormat="false" ht="17.15" hidden="false" customHeight="false" outlineLevel="0" collapsed="false">
      <c r="A98" s="0" t="s">
        <v>341</v>
      </c>
      <c r="B98" s="0" t="s">
        <v>339</v>
      </c>
      <c r="C98" s="6" t="s">
        <v>319</v>
      </c>
      <c r="E98" s="20" t="n">
        <f aca="false">In!E99</f>
        <v>1.7</v>
      </c>
      <c r="G98" s="0" t="str">
        <f aca="false">In!G99</f>
        <v>Interested-party</v>
      </c>
      <c r="H98" s="12" t="s">
        <v>1214</v>
      </c>
    </row>
    <row r="99" customFormat="false" ht="17.15" hidden="false" customHeight="false" outlineLevel="0" collapsed="false">
      <c r="A99" s="0" t="s">
        <v>344</v>
      </c>
      <c r="B99" s="0" t="s">
        <v>343</v>
      </c>
      <c r="C99" s="6" t="s">
        <v>319</v>
      </c>
      <c r="E99" s="20" t="n">
        <f aca="false">In!E100</f>
        <v>7</v>
      </c>
      <c r="G99" s="0" t="str">
        <f aca="false">In!G100</f>
        <v>Interested-party</v>
      </c>
      <c r="H99" s="12" t="s">
        <v>1215</v>
      </c>
    </row>
    <row r="100" customFormat="false" ht="17.15" hidden="false" customHeight="false" outlineLevel="0" collapsed="false">
      <c r="A100" s="0" t="s">
        <v>347</v>
      </c>
      <c r="B100" s="0" t="s">
        <v>346</v>
      </c>
      <c r="C100" s="6" t="s">
        <v>319</v>
      </c>
      <c r="E100" s="20" t="n">
        <f aca="false">In!E101</f>
        <v>7</v>
      </c>
      <c r="G100" s="0" t="str">
        <f aca="false">In!G101</f>
        <v>Interested-party</v>
      </c>
      <c r="H100" s="12" t="s">
        <v>1216</v>
      </c>
    </row>
    <row r="101" customFormat="false" ht="17.15" hidden="false" customHeight="false" outlineLevel="0" collapsed="false">
      <c r="A101" s="0" t="s">
        <v>350</v>
      </c>
      <c r="B101" s="0" t="s">
        <v>349</v>
      </c>
      <c r="C101" s="0" t="s">
        <v>330</v>
      </c>
      <c r="E101" s="20" t="n">
        <f aca="false">In!E102</f>
        <v>288</v>
      </c>
      <c r="G101" s="0" t="str">
        <f aca="false">In!G102</f>
        <v>Interested-party</v>
      </c>
      <c r="H101" s="12" t="s">
        <v>1217</v>
      </c>
    </row>
    <row r="102" customFormat="false" ht="17.15" hidden="false" customHeight="false" outlineLevel="0" collapsed="false">
      <c r="A102" s="0" t="s">
        <v>353</v>
      </c>
      <c r="B102" s="0" t="s">
        <v>352</v>
      </c>
      <c r="C102" s="0" t="s">
        <v>330</v>
      </c>
      <c r="E102" s="20" t="n">
        <f aca="false">In!E103</f>
        <v>288</v>
      </c>
      <c r="G102" s="0" t="str">
        <f aca="false">In!G103</f>
        <v>Interested-party</v>
      </c>
      <c r="H102" s="12" t="s">
        <v>1218</v>
      </c>
    </row>
    <row r="103" customFormat="false" ht="17.15" hidden="false" customHeight="false" outlineLevel="0" collapsed="false">
      <c r="A103" s="0" t="s">
        <v>356</v>
      </c>
      <c r="B103" s="0" t="s">
        <v>355</v>
      </c>
      <c r="C103" s="0" t="s">
        <v>330</v>
      </c>
      <c r="E103" s="20" t="n">
        <f aca="false">In!E104</f>
        <v>288</v>
      </c>
      <c r="G103" s="0" t="str">
        <f aca="false">In!G104</f>
        <v>Interested-party</v>
      </c>
      <c r="H103" s="12" t="s">
        <v>1219</v>
      </c>
    </row>
    <row r="104" customFormat="false" ht="17.15" hidden="false" customHeight="false" outlineLevel="0" collapsed="false">
      <c r="A104" s="0" t="s">
        <v>360</v>
      </c>
      <c r="B104" s="0" t="s">
        <v>358</v>
      </c>
      <c r="C104" s="6" t="s">
        <v>319</v>
      </c>
      <c r="D104" s="20" t="n">
        <f aca="false">In!D105</f>
        <v>0</v>
      </c>
      <c r="E104" s="20" t="n">
        <f aca="false">In!E105</f>
        <v>0</v>
      </c>
      <c r="F104" s="20" t="n">
        <f aca="false">In!F105</f>
        <v>0</v>
      </c>
      <c r="G104" s="0" t="str">
        <f aca="false">In!G105</f>
        <v>Assumed</v>
      </c>
      <c r="H104" s="12" t="s">
        <v>1220</v>
      </c>
    </row>
    <row r="105" customFormat="false" ht="17.15" hidden="false" customHeight="false" outlineLevel="0" collapsed="false">
      <c r="A105" s="0" t="s">
        <v>363</v>
      </c>
      <c r="B105" s="0" t="s">
        <v>362</v>
      </c>
      <c r="C105" s="6" t="s">
        <v>319</v>
      </c>
      <c r="D105" s="20" t="n">
        <f aca="false">In!D106</f>
        <v>0</v>
      </c>
      <c r="E105" s="20" t="n">
        <f aca="false">In!E106</f>
        <v>0.3</v>
      </c>
      <c r="F105" s="20" t="n">
        <f aca="false">In!F106</f>
        <v>0.6</v>
      </c>
      <c r="G105" s="0" t="str">
        <f aca="false">In!G106</f>
        <v>Assumed</v>
      </c>
      <c r="H105" s="12" t="s">
        <v>1221</v>
      </c>
    </row>
    <row r="106" customFormat="false" ht="17.15" hidden="false" customHeight="false" outlineLevel="0" collapsed="false">
      <c r="A106" s="0" t="s">
        <v>366</v>
      </c>
      <c r="B106" s="0" t="s">
        <v>365</v>
      </c>
      <c r="C106" s="6" t="s">
        <v>319</v>
      </c>
      <c r="D106" s="20" t="n">
        <f aca="false">In!D107</f>
        <v>1</v>
      </c>
      <c r="E106" s="20" t="n">
        <f aca="false">In!E107</f>
        <v>2</v>
      </c>
      <c r="F106" s="20" t="n">
        <f aca="false">In!F107</f>
        <v>3</v>
      </c>
      <c r="G106" s="0" t="str">
        <f aca="false">In!G107</f>
        <v>Assumed</v>
      </c>
      <c r="H106" s="12" t="s">
        <v>1222</v>
      </c>
    </row>
    <row r="107" customFormat="false" ht="17.15" hidden="false" customHeight="false" outlineLevel="0" collapsed="false">
      <c r="A107" s="0" t="s">
        <v>370</v>
      </c>
      <c r="B107" s="0" t="s">
        <v>368</v>
      </c>
      <c r="C107" s="0" t="s">
        <v>330</v>
      </c>
      <c r="E107" s="20" t="n">
        <f aca="false">In!E108</f>
        <v>1024</v>
      </c>
      <c r="G107" s="0" t="str">
        <f aca="false">In!G108</f>
        <v>Interested-party</v>
      </c>
      <c r="H107" s="12" t="s">
        <v>1223</v>
      </c>
    </row>
    <row r="108" customFormat="false" ht="17.15" hidden="false" customHeight="false" outlineLevel="0" collapsed="false">
      <c r="A108" s="0" t="s">
        <v>373</v>
      </c>
      <c r="B108" s="0" t="s">
        <v>372</v>
      </c>
      <c r="C108" s="0" t="s">
        <v>330</v>
      </c>
      <c r="E108" s="20" t="n">
        <f aca="false">In!E109</f>
        <v>1024</v>
      </c>
      <c r="G108" s="0" t="str">
        <f aca="false">In!G109</f>
        <v>Interested-party</v>
      </c>
      <c r="H108" s="12" t="s">
        <v>1224</v>
      </c>
    </row>
    <row r="109" customFormat="false" ht="17.15" hidden="false" customHeight="false" outlineLevel="0" collapsed="false">
      <c r="A109" s="0" t="s">
        <v>376</v>
      </c>
      <c r="B109" s="0" t="s">
        <v>375</v>
      </c>
      <c r="C109" s="0" t="s">
        <v>330</v>
      </c>
      <c r="E109" s="20" t="n">
        <f aca="false">In!E110</f>
        <v>1024</v>
      </c>
      <c r="G109" s="0" t="str">
        <f aca="false">In!G110</f>
        <v>Interested-party</v>
      </c>
      <c r="H109" s="12" t="s">
        <v>1225</v>
      </c>
    </row>
    <row r="110" customFormat="false" ht="17.15" hidden="false" customHeight="false" outlineLevel="0" collapsed="false">
      <c r="A110" s="0" t="s">
        <v>380</v>
      </c>
      <c r="B110" s="0" t="s">
        <v>378</v>
      </c>
      <c r="C110" s="6" t="s">
        <v>319</v>
      </c>
      <c r="E110" s="20" t="n">
        <f aca="false">In!E111</f>
        <v>0.5</v>
      </c>
      <c r="G110" s="0" t="str">
        <f aca="false">In!G111</f>
        <v>Interested-party</v>
      </c>
      <c r="H110" s="12" t="s">
        <v>1226</v>
      </c>
    </row>
    <row r="111" customFormat="false" ht="17.15" hidden="false" customHeight="false" outlineLevel="0" collapsed="false">
      <c r="A111" s="0" t="s">
        <v>383</v>
      </c>
      <c r="B111" s="0" t="s">
        <v>382</v>
      </c>
      <c r="C111" s="6" t="s">
        <v>319</v>
      </c>
      <c r="E111" s="20" t="n">
        <f aca="false">In!E112</f>
        <v>0</v>
      </c>
      <c r="G111" s="0" t="str">
        <f aca="false">In!G112</f>
        <v>Interested-party</v>
      </c>
      <c r="H111" s="12" t="s">
        <v>1227</v>
      </c>
    </row>
    <row r="112" customFormat="false" ht="17.15" hidden="false" customHeight="false" outlineLevel="0" collapsed="false">
      <c r="A112" s="0" t="s">
        <v>386</v>
      </c>
      <c r="B112" s="0" t="s">
        <v>385</v>
      </c>
      <c r="C112" s="6" t="s">
        <v>319</v>
      </c>
      <c r="E112" s="20" t="n">
        <f aca="false">In!E113</f>
        <v>0</v>
      </c>
      <c r="G112" s="0" t="str">
        <f aca="false">In!G113</f>
        <v>Interested-party</v>
      </c>
      <c r="H112" s="12" t="s">
        <v>1228</v>
      </c>
    </row>
    <row r="113" customFormat="false" ht="17.15" hidden="false" customHeight="false" outlineLevel="0" collapsed="false">
      <c r="A113" s="0" t="s">
        <v>389</v>
      </c>
      <c r="B113" s="0" t="s">
        <v>388</v>
      </c>
      <c r="C113" s="0" t="s">
        <v>330</v>
      </c>
      <c r="E113" s="20" t="n">
        <f aca="false">In!E114</f>
        <v>141</v>
      </c>
      <c r="G113" s="0" t="str">
        <f aca="false">In!G114</f>
        <v>Interested-party</v>
      </c>
      <c r="H113" s="12" t="s">
        <v>1229</v>
      </c>
    </row>
    <row r="114" customFormat="false" ht="17.15" hidden="false" customHeight="false" outlineLevel="0" collapsed="false">
      <c r="A114" s="0" t="s">
        <v>392</v>
      </c>
      <c r="B114" s="0" t="s">
        <v>391</v>
      </c>
      <c r="C114" s="0" t="s">
        <v>330</v>
      </c>
      <c r="E114" s="20" t="n">
        <f aca="false">In!E115</f>
        <v>141</v>
      </c>
      <c r="G114" s="0" t="str">
        <f aca="false">In!G115</f>
        <v>Interested-party</v>
      </c>
      <c r="H114" s="12" t="s">
        <v>1230</v>
      </c>
    </row>
    <row r="115" customFormat="false" ht="17.15" hidden="false" customHeight="false" outlineLevel="0" collapsed="false">
      <c r="A115" s="0" t="s">
        <v>395</v>
      </c>
      <c r="B115" s="0" t="s">
        <v>394</v>
      </c>
      <c r="C115" s="0" t="s">
        <v>330</v>
      </c>
      <c r="E115" s="20" t="n">
        <f aca="false">In!E116</f>
        <v>141</v>
      </c>
      <c r="G115" s="0" t="str">
        <f aca="false">In!G116</f>
        <v>Interested-party</v>
      </c>
      <c r="H115" s="12" t="s">
        <v>1231</v>
      </c>
    </row>
    <row r="116" customFormat="false" ht="17.15" hidden="false" customHeight="false" outlineLevel="0" collapsed="false">
      <c r="A116" s="0" t="s">
        <v>400</v>
      </c>
      <c r="B116" s="0" t="s">
        <v>397</v>
      </c>
      <c r="C116" s="6" t="s">
        <v>319</v>
      </c>
      <c r="D116" s="20" t="n">
        <f aca="false">In!D117</f>
        <v>0.6</v>
      </c>
      <c r="E116" s="20" t="n">
        <f aca="false">In!E117</f>
        <v>0.75</v>
      </c>
      <c r="F116" s="20" t="n">
        <f aca="false">In!F117</f>
        <v>0.9</v>
      </c>
      <c r="G116" s="0" t="str">
        <f aca="false">In!G117</f>
        <v>Interested-party／Assumed</v>
      </c>
      <c r="H116" s="12" t="s">
        <v>1232</v>
      </c>
    </row>
    <row r="117" customFormat="false" ht="17.15" hidden="false" customHeight="false" outlineLevel="0" collapsed="false">
      <c r="A117" s="0" t="s">
        <v>403</v>
      </c>
      <c r="B117" s="0" t="s">
        <v>402</v>
      </c>
      <c r="C117" s="6" t="s">
        <v>319</v>
      </c>
      <c r="D117" s="20" t="n">
        <f aca="false">In!D118</f>
        <v>1.2</v>
      </c>
      <c r="E117" s="20" t="n">
        <f aca="false">In!E118</f>
        <v>1.5</v>
      </c>
      <c r="F117" s="20" t="n">
        <f aca="false">In!F118</f>
        <v>1.8</v>
      </c>
      <c r="G117" s="0" t="str">
        <f aca="false">In!G118</f>
        <v>Interested-party／Assumed</v>
      </c>
      <c r="H117" s="12" t="s">
        <v>1233</v>
      </c>
    </row>
    <row r="118" customFormat="false" ht="17.15" hidden="false" customHeight="false" outlineLevel="0" collapsed="false">
      <c r="A118" s="0" t="s">
        <v>406</v>
      </c>
      <c r="B118" s="0" t="s">
        <v>405</v>
      </c>
      <c r="C118" s="6" t="s">
        <v>319</v>
      </c>
      <c r="D118" s="20" t="n">
        <f aca="false">In!D119</f>
        <v>1.5</v>
      </c>
      <c r="E118" s="20" t="n">
        <f aca="false">In!E119</f>
        <v>2</v>
      </c>
      <c r="F118" s="20" t="n">
        <f aca="false">In!F119</f>
        <v>2.5</v>
      </c>
      <c r="G118" s="0" t="str">
        <f aca="false">In!G119</f>
        <v>Interested-party／Assumed</v>
      </c>
      <c r="H118" s="12" t="s">
        <v>1234</v>
      </c>
    </row>
    <row r="119" customFormat="false" ht="17.15" hidden="false" customHeight="false" outlineLevel="0" collapsed="false">
      <c r="A119" s="0" t="s">
        <v>409</v>
      </c>
      <c r="B119" s="0" t="s">
        <v>408</v>
      </c>
      <c r="C119" s="0" t="s">
        <v>330</v>
      </c>
      <c r="D119" s="20" t="n">
        <f aca="false">In!D120</f>
        <v>288</v>
      </c>
      <c r="E119" s="20" t="n">
        <f aca="false">In!E120</f>
        <v>288</v>
      </c>
      <c r="F119" s="20" t="n">
        <f aca="false">In!F120</f>
        <v>288</v>
      </c>
      <c r="G119" s="0" t="str">
        <f aca="false">In!G120</f>
        <v>Interested-party／Assumed</v>
      </c>
      <c r="H119" s="12" t="s">
        <v>1235</v>
      </c>
    </row>
    <row r="120" customFormat="false" ht="17.15" hidden="false" customHeight="false" outlineLevel="0" collapsed="false">
      <c r="A120" s="0" t="s">
        <v>412</v>
      </c>
      <c r="B120" s="0" t="s">
        <v>411</v>
      </c>
      <c r="C120" s="0" t="s">
        <v>330</v>
      </c>
      <c r="D120" s="20" t="n">
        <f aca="false">In!D121</f>
        <v>288</v>
      </c>
      <c r="E120" s="20" t="n">
        <f aca="false">In!E121</f>
        <v>360</v>
      </c>
      <c r="F120" s="20" t="n">
        <f aca="false">In!F121</f>
        <v>432</v>
      </c>
      <c r="G120" s="0" t="str">
        <f aca="false">In!G121</f>
        <v>Interested-party／Assumed</v>
      </c>
      <c r="H120" s="12" t="s">
        <v>1236</v>
      </c>
    </row>
    <row r="121" customFormat="false" ht="17.15" hidden="false" customHeight="false" outlineLevel="0" collapsed="false">
      <c r="A121" s="0" t="s">
        <v>415</v>
      </c>
      <c r="B121" s="0" t="s">
        <v>414</v>
      </c>
      <c r="C121" s="0" t="s">
        <v>330</v>
      </c>
      <c r="D121" s="20" t="n">
        <f aca="false">In!D122</f>
        <v>432</v>
      </c>
      <c r="E121" s="20" t="n">
        <f aca="false">In!E122</f>
        <v>432</v>
      </c>
      <c r="F121" s="20" t="n">
        <f aca="false">In!F122</f>
        <v>432</v>
      </c>
      <c r="G121" s="0" t="str">
        <f aca="false">In!G122</f>
        <v>Interested-party／Assumed</v>
      </c>
      <c r="H121" s="12" t="s">
        <v>1237</v>
      </c>
    </row>
    <row r="122" customFormat="false" ht="17.15" hidden="false" customHeight="false" outlineLevel="0" collapsed="false">
      <c r="A122" s="0" t="s">
        <v>419</v>
      </c>
      <c r="B122" s="0" t="s">
        <v>417</v>
      </c>
      <c r="C122" s="6" t="s">
        <v>319</v>
      </c>
      <c r="E122" s="20" t="n">
        <f aca="false">In!E123</f>
        <v>3.85</v>
      </c>
      <c r="G122" s="0" t="str">
        <f aca="false">In!G123</f>
        <v>Interested-party</v>
      </c>
      <c r="H122" s="12" t="s">
        <v>1238</v>
      </c>
    </row>
    <row r="123" customFormat="false" ht="17.15" hidden="false" customHeight="false" outlineLevel="0" collapsed="false">
      <c r="A123" s="0" t="s">
        <v>422</v>
      </c>
      <c r="B123" s="0" t="s">
        <v>421</v>
      </c>
      <c r="C123" s="6" t="s">
        <v>319</v>
      </c>
      <c r="E123" s="20" t="n">
        <f aca="false">In!E124</f>
        <v>5.5</v>
      </c>
      <c r="G123" s="0" t="str">
        <f aca="false">In!G124</f>
        <v>Interested-party</v>
      </c>
      <c r="H123" s="12" t="s">
        <v>1239</v>
      </c>
    </row>
    <row r="124" customFormat="false" ht="17.15" hidden="false" customHeight="false" outlineLevel="0" collapsed="false">
      <c r="A124" s="0" t="s">
        <v>425</v>
      </c>
      <c r="B124" s="0" t="s">
        <v>424</v>
      </c>
      <c r="C124" s="6" t="s">
        <v>319</v>
      </c>
      <c r="E124" s="20" t="n">
        <f aca="false">In!E125</f>
        <v>7</v>
      </c>
      <c r="G124" s="0" t="str">
        <f aca="false">In!G125</f>
        <v>Interested-party</v>
      </c>
      <c r="H124" s="12" t="s">
        <v>1240</v>
      </c>
    </row>
    <row r="125" customFormat="false" ht="17.15" hidden="false" customHeight="false" outlineLevel="0" collapsed="false">
      <c r="A125" s="0" t="s">
        <v>428</v>
      </c>
      <c r="B125" s="0" t="s">
        <v>427</v>
      </c>
      <c r="C125" s="0" t="s">
        <v>330</v>
      </c>
      <c r="E125" s="20" t="n">
        <f aca="false">In!E126</f>
        <v>192</v>
      </c>
      <c r="G125" s="0" t="str">
        <f aca="false">In!G126</f>
        <v>Interested-party</v>
      </c>
      <c r="H125" s="12" t="s">
        <v>1241</v>
      </c>
    </row>
    <row r="126" customFormat="false" ht="17.15" hidden="false" customHeight="false" outlineLevel="0" collapsed="false">
      <c r="A126" s="0" t="s">
        <v>431</v>
      </c>
      <c r="B126" s="0" t="s">
        <v>430</v>
      </c>
      <c r="C126" s="0" t="s">
        <v>330</v>
      </c>
      <c r="E126" s="20" t="n">
        <f aca="false">In!E127</f>
        <v>250</v>
      </c>
      <c r="G126" s="0" t="str">
        <f aca="false">In!G127</f>
        <v>Interested-party</v>
      </c>
      <c r="H126" s="12" t="s">
        <v>1242</v>
      </c>
    </row>
    <row r="127" customFormat="false" ht="17.15" hidden="false" customHeight="false" outlineLevel="0" collapsed="false">
      <c r="A127" s="0" t="s">
        <v>434</v>
      </c>
      <c r="B127" s="0" t="s">
        <v>433</v>
      </c>
      <c r="C127" s="0" t="s">
        <v>330</v>
      </c>
      <c r="E127" s="20" t="n">
        <f aca="false">In!E128</f>
        <v>288</v>
      </c>
      <c r="G127" s="0" t="str">
        <f aca="false">In!G128</f>
        <v>Interested-party</v>
      </c>
      <c r="H127" s="12" t="s">
        <v>1243</v>
      </c>
    </row>
    <row r="128" customFormat="false" ht="17.15" hidden="false" customHeight="false" outlineLevel="0" collapsed="false">
      <c r="A128" s="0" t="s">
        <v>438</v>
      </c>
      <c r="B128" s="0" t="s">
        <v>436</v>
      </c>
      <c r="C128" s="6" t="s">
        <v>319</v>
      </c>
      <c r="D128" s="20" t="n">
        <f aca="false">In!D129</f>
        <v>1.5</v>
      </c>
      <c r="E128" s="20" t="n">
        <f aca="false">In!E129</f>
        <v>2</v>
      </c>
      <c r="F128" s="20" t="n">
        <f aca="false">In!F129</f>
        <v>2.5</v>
      </c>
      <c r="G128" s="0" t="str">
        <f aca="false">In!G129</f>
        <v>Assumed</v>
      </c>
      <c r="H128" s="12" t="s">
        <v>1244</v>
      </c>
    </row>
    <row r="129" customFormat="false" ht="17.15" hidden="false" customHeight="false" outlineLevel="0" collapsed="false">
      <c r="A129" s="0" t="s">
        <v>441</v>
      </c>
      <c r="B129" s="0" t="s">
        <v>440</v>
      </c>
      <c r="C129" s="6" t="s">
        <v>319</v>
      </c>
      <c r="D129" s="20" t="n">
        <f aca="false">In!D130</f>
        <v>2</v>
      </c>
      <c r="E129" s="20" t="n">
        <f aca="false">In!E130</f>
        <v>2.5</v>
      </c>
      <c r="F129" s="20" t="n">
        <f aca="false">In!F130</f>
        <v>3.5</v>
      </c>
      <c r="G129" s="0" t="str">
        <f aca="false">In!G130</f>
        <v>Assumed</v>
      </c>
      <c r="H129" s="12" t="s">
        <v>1245</v>
      </c>
    </row>
    <row r="130" customFormat="false" ht="17.15" hidden="false" customHeight="false" outlineLevel="0" collapsed="false">
      <c r="A130" s="0" t="s">
        <v>444</v>
      </c>
      <c r="B130" s="0" t="s">
        <v>443</v>
      </c>
      <c r="C130" s="6" t="s">
        <v>319</v>
      </c>
      <c r="D130" s="20" t="n">
        <f aca="false">In!D131</f>
        <v>2</v>
      </c>
      <c r="E130" s="20" t="n">
        <f aca="false">In!E131</f>
        <v>3</v>
      </c>
      <c r="F130" s="20" t="n">
        <f aca="false">In!F131</f>
        <v>4</v>
      </c>
      <c r="G130" s="0" t="str">
        <f aca="false">In!G131</f>
        <v>Assumed</v>
      </c>
      <c r="H130" s="12" t="s">
        <v>1246</v>
      </c>
    </row>
    <row r="131" customFormat="false" ht="17.15" hidden="false" customHeight="false" outlineLevel="0" collapsed="false">
      <c r="A131" s="0" t="s">
        <v>447</v>
      </c>
      <c r="B131" s="0" t="s">
        <v>446</v>
      </c>
      <c r="C131" s="0" t="s">
        <v>330</v>
      </c>
      <c r="D131" s="20" t="n">
        <f aca="false">In!D132</f>
        <v>96</v>
      </c>
      <c r="E131" s="20" t="n">
        <f aca="false">In!E132</f>
        <v>110</v>
      </c>
      <c r="F131" s="20" t="n">
        <f aca="false">In!F132</f>
        <v>144</v>
      </c>
      <c r="G131" s="0" t="str">
        <f aca="false">In!G132</f>
        <v>Assumed</v>
      </c>
      <c r="H131" s="12" t="s">
        <v>1247</v>
      </c>
    </row>
    <row r="132" customFormat="false" ht="17.15" hidden="false" customHeight="false" outlineLevel="0" collapsed="false">
      <c r="A132" s="0" t="s">
        <v>450</v>
      </c>
      <c r="B132" s="0" t="s">
        <v>449</v>
      </c>
      <c r="C132" s="0" t="s">
        <v>330</v>
      </c>
      <c r="D132" s="20" t="n">
        <f aca="false">In!D133</f>
        <v>120</v>
      </c>
      <c r="E132" s="20" t="n">
        <f aca="false">In!E133</f>
        <v>144</v>
      </c>
      <c r="F132" s="20" t="n">
        <f aca="false">In!F133</f>
        <v>144</v>
      </c>
      <c r="G132" s="0" t="str">
        <f aca="false">In!G133</f>
        <v>Assumed</v>
      </c>
      <c r="H132" s="12" t="s">
        <v>1248</v>
      </c>
    </row>
    <row r="133" customFormat="false" ht="17.15" hidden="false" customHeight="false" outlineLevel="0" collapsed="false">
      <c r="A133" s="0" t="s">
        <v>453</v>
      </c>
      <c r="B133" s="0" t="s">
        <v>452</v>
      </c>
      <c r="C133" s="0" t="s">
        <v>330</v>
      </c>
      <c r="D133" s="20" t="n">
        <f aca="false">In!D134</f>
        <v>144</v>
      </c>
      <c r="E133" s="20" t="n">
        <f aca="false">In!E134</f>
        <v>200</v>
      </c>
      <c r="F133" s="20" t="n">
        <f aca="false">In!F134</f>
        <v>256</v>
      </c>
      <c r="G133" s="0" t="str">
        <f aca="false">In!G134</f>
        <v>Assumed</v>
      </c>
      <c r="H133" s="12" t="s">
        <v>1249</v>
      </c>
    </row>
    <row r="134" customFormat="false" ht="17.15" hidden="false" customHeight="false" outlineLevel="0" collapsed="false">
      <c r="A134" s="0" t="s">
        <v>458</v>
      </c>
      <c r="B134" s="6" t="s">
        <v>455</v>
      </c>
      <c r="C134" s="6" t="s">
        <v>319</v>
      </c>
      <c r="D134" s="20" t="n">
        <f aca="false">In!D135</f>
        <v>0.5</v>
      </c>
      <c r="E134" s="20" t="n">
        <f aca="false">In!E135</f>
        <v>1</v>
      </c>
      <c r="F134" s="20" t="n">
        <f aca="false">In!F135</f>
        <v>1.5</v>
      </c>
      <c r="G134" s="0" t="str">
        <f aca="false">In!G135</f>
        <v>Derived／Assumed</v>
      </c>
      <c r="H134" s="12" t="s">
        <v>1250</v>
      </c>
    </row>
    <row r="135" customFormat="false" ht="17.15" hidden="false" customHeight="false" outlineLevel="0" collapsed="false">
      <c r="A135" s="0" t="s">
        <v>461</v>
      </c>
      <c r="B135" s="6" t="s">
        <v>460</v>
      </c>
      <c r="C135" s="6" t="s">
        <v>319</v>
      </c>
      <c r="D135" s="20" t="n">
        <f aca="false">In!D136</f>
        <v>3</v>
      </c>
      <c r="E135" s="20" t="n">
        <f aca="false">In!E136</f>
        <v>4.5</v>
      </c>
      <c r="F135" s="20" t="n">
        <f aca="false">In!F136</f>
        <v>6</v>
      </c>
      <c r="G135" s="0" t="str">
        <f aca="false">In!G136</f>
        <v>Derived／Assumed</v>
      </c>
      <c r="H135" s="12" t="s">
        <v>1251</v>
      </c>
    </row>
    <row r="136" customFormat="false" ht="17.15" hidden="false" customHeight="false" outlineLevel="0" collapsed="false">
      <c r="A136" s="0" t="s">
        <v>464</v>
      </c>
      <c r="B136" s="6" t="s">
        <v>463</v>
      </c>
      <c r="C136" s="6" t="s">
        <v>319</v>
      </c>
      <c r="D136" s="20" t="n">
        <f aca="false">In!D137</f>
        <v>3.5</v>
      </c>
      <c r="E136" s="20" t="n">
        <f aca="false">In!E137</f>
        <v>5</v>
      </c>
      <c r="F136" s="20" t="n">
        <f aca="false">In!F137</f>
        <v>7</v>
      </c>
      <c r="G136" s="0" t="str">
        <f aca="false">In!G137</f>
        <v>Derived／Assumed</v>
      </c>
      <c r="H136" s="12" t="s">
        <v>1252</v>
      </c>
    </row>
    <row r="137" customFormat="false" ht="17.15" hidden="false" customHeight="false" outlineLevel="0" collapsed="false">
      <c r="A137" s="0" t="s">
        <v>467</v>
      </c>
      <c r="B137" s="6" t="s">
        <v>466</v>
      </c>
      <c r="C137" s="0" t="s">
        <v>330</v>
      </c>
      <c r="D137" s="20" t="n">
        <f aca="false">In!D138</f>
        <v>100</v>
      </c>
      <c r="E137" s="20" t="n">
        <f aca="false">In!E138</f>
        <v>150</v>
      </c>
      <c r="F137" s="20" t="n">
        <f aca="false">In!F138</f>
        <v>200</v>
      </c>
      <c r="G137" s="0" t="str">
        <f aca="false">In!G138</f>
        <v>Derived／Assumed</v>
      </c>
      <c r="H137" s="12" t="s">
        <v>1253</v>
      </c>
    </row>
    <row r="138" customFormat="false" ht="17.15" hidden="false" customHeight="false" outlineLevel="0" collapsed="false">
      <c r="A138" s="0" t="s">
        <v>470</v>
      </c>
      <c r="B138" s="6" t="s">
        <v>469</v>
      </c>
      <c r="C138" s="0" t="s">
        <v>330</v>
      </c>
      <c r="D138" s="20" t="n">
        <f aca="false">In!D139</f>
        <v>150</v>
      </c>
      <c r="E138" s="20" t="n">
        <f aca="false">In!E139</f>
        <v>200</v>
      </c>
      <c r="F138" s="20" t="n">
        <f aca="false">In!F139</f>
        <v>250</v>
      </c>
      <c r="G138" s="0" t="str">
        <f aca="false">In!G139</f>
        <v>Derived／Assumed</v>
      </c>
      <c r="H138" s="12" t="s">
        <v>1254</v>
      </c>
    </row>
    <row r="139" customFormat="false" ht="17.15" hidden="false" customHeight="false" outlineLevel="0" collapsed="false">
      <c r="A139" s="0" t="s">
        <v>473</v>
      </c>
      <c r="B139" s="6" t="s">
        <v>472</v>
      </c>
      <c r="C139" s="0" t="s">
        <v>330</v>
      </c>
      <c r="D139" s="20" t="n">
        <f aca="false">In!D140</f>
        <v>200</v>
      </c>
      <c r="E139" s="20" t="n">
        <f aca="false">In!E140</f>
        <v>250</v>
      </c>
      <c r="F139" s="20" t="n">
        <f aca="false">In!F140</f>
        <v>300</v>
      </c>
      <c r="G139" s="0" t="str">
        <f aca="false">In!G140</f>
        <v>Derived／Assumed</v>
      </c>
      <c r="H139" s="12" t="s">
        <v>1255</v>
      </c>
    </row>
    <row r="140" customFormat="false" ht="17.15" hidden="false" customHeight="false" outlineLevel="0" collapsed="false">
      <c r="A140" s="0" t="s">
        <v>480</v>
      </c>
      <c r="B140" s="6" t="s">
        <v>476</v>
      </c>
      <c r="C140" s="0" t="s">
        <v>477</v>
      </c>
      <c r="E140" s="20" t="n">
        <f aca="false">In!E142</f>
        <v>1</v>
      </c>
      <c r="G140" s="0" t="str">
        <f aca="false">In!G142</f>
        <v>Derived</v>
      </c>
      <c r="H140" s="12" t="s">
        <v>1256</v>
      </c>
    </row>
    <row r="141" customFormat="false" ht="17.15" hidden="false" customHeight="false" outlineLevel="0" collapsed="false">
      <c r="A141" s="0" t="s">
        <v>483</v>
      </c>
      <c r="B141" s="6" t="s">
        <v>482</v>
      </c>
      <c r="C141" s="0" t="s">
        <v>477</v>
      </c>
      <c r="E141" s="20" t="n">
        <f aca="false">In!E143</f>
        <v>1</v>
      </c>
      <c r="G141" s="0" t="str">
        <f aca="false">In!G143</f>
        <v>Derived</v>
      </c>
      <c r="H141" s="12" t="s">
        <v>1257</v>
      </c>
    </row>
    <row r="142" customFormat="false" ht="17.15" hidden="false" customHeight="false" outlineLevel="0" collapsed="false">
      <c r="A142" s="0" t="s">
        <v>486</v>
      </c>
      <c r="B142" s="6" t="s">
        <v>485</v>
      </c>
      <c r="C142" s="0" t="s">
        <v>477</v>
      </c>
      <c r="D142" s="20" t="n">
        <f aca="false">In!D144</f>
        <v>0.7</v>
      </c>
      <c r="E142" s="20" t="n">
        <f aca="false">In!E144</f>
        <v>0.8</v>
      </c>
      <c r="F142" s="20" t="n">
        <f aca="false">In!F144</f>
        <v>0.9</v>
      </c>
      <c r="G142" s="0" t="str">
        <f aca="false">In!G144</f>
        <v>Assumed</v>
      </c>
      <c r="H142" s="12" t="s">
        <v>1258</v>
      </c>
    </row>
    <row r="143" customFormat="false" ht="17.15" hidden="false" customHeight="false" outlineLevel="0" collapsed="false">
      <c r="A143" s="0" t="s">
        <v>489</v>
      </c>
      <c r="B143" s="6" t="s">
        <v>488</v>
      </c>
      <c r="C143" s="0" t="s">
        <v>477</v>
      </c>
      <c r="D143" s="20" t="n">
        <f aca="false">In!D145</f>
        <v>0.75</v>
      </c>
      <c r="E143" s="20" t="n">
        <f aca="false">In!E145</f>
        <v>0.85</v>
      </c>
      <c r="F143" s="20" t="n">
        <f aca="false">In!F145</f>
        <v>0.95</v>
      </c>
      <c r="G143" s="0" t="str">
        <f aca="false">In!G145</f>
        <v>Assumed</v>
      </c>
      <c r="H143" s="12" t="s">
        <v>1259</v>
      </c>
    </row>
    <row r="144" customFormat="false" ht="17.15" hidden="false" customHeight="false" outlineLevel="0" collapsed="false">
      <c r="A144" s="0" t="s">
        <v>492</v>
      </c>
      <c r="B144" s="6" t="s">
        <v>491</v>
      </c>
      <c r="C144" s="0" t="s">
        <v>477</v>
      </c>
      <c r="D144" s="20" t="n">
        <f aca="false">In!D146</f>
        <v>0.5</v>
      </c>
      <c r="E144" s="20" t="n">
        <f aca="false">In!E146</f>
        <v>0.6</v>
      </c>
      <c r="F144" s="20" t="n">
        <f aca="false">In!F146</f>
        <v>0.7</v>
      </c>
      <c r="G144" s="0" t="str">
        <f aca="false">In!G146</f>
        <v>Assumed</v>
      </c>
      <c r="H144" s="12" t="s">
        <v>1260</v>
      </c>
    </row>
    <row r="145" customFormat="false" ht="17.15" hidden="false" customHeight="false" outlineLevel="0" collapsed="false">
      <c r="A145" s="0" t="s">
        <v>495</v>
      </c>
      <c r="B145" s="6" t="s">
        <v>494</v>
      </c>
      <c r="C145" s="0" t="s">
        <v>477</v>
      </c>
      <c r="D145" s="20" t="n">
        <f aca="false">In!D147</f>
        <v>0.5</v>
      </c>
      <c r="E145" s="20" t="n">
        <f aca="false">In!E147</f>
        <v>0.6</v>
      </c>
      <c r="F145" s="20" t="n">
        <f aca="false">In!F147</f>
        <v>0.7</v>
      </c>
      <c r="G145" s="0" t="str">
        <f aca="false">In!G147</f>
        <v>Assumed</v>
      </c>
      <c r="H145" s="12" t="s">
        <v>1261</v>
      </c>
    </row>
    <row r="146" customFormat="false" ht="17.15" hidden="false" customHeight="false" outlineLevel="0" collapsed="false">
      <c r="A146" s="0" t="s">
        <v>502</v>
      </c>
      <c r="B146" s="0" t="s">
        <v>498</v>
      </c>
      <c r="C146" s="0" t="s">
        <v>499</v>
      </c>
      <c r="D146" s="20" t="n">
        <f aca="false">In!D149</f>
        <v>34</v>
      </c>
      <c r="E146" s="20" t="n">
        <f aca="false">In!E149</f>
        <v>35</v>
      </c>
      <c r="F146" s="20" t="n">
        <f aca="false">In!F149</f>
        <v>35</v>
      </c>
      <c r="G146" s="0" t="str">
        <f aca="false">In!G149</f>
        <v>Verified</v>
      </c>
      <c r="H146" s="12" t="s">
        <v>1262</v>
      </c>
    </row>
    <row r="147" customFormat="false" ht="17.15" hidden="false" customHeight="false" outlineLevel="0" collapsed="false">
      <c r="A147" s="0" t="s">
        <v>506</v>
      </c>
      <c r="B147" s="0" t="s">
        <v>504</v>
      </c>
      <c r="C147" s="0" t="s">
        <v>48</v>
      </c>
      <c r="D147" s="24" t="n">
        <f aca="false">In!D150</f>
        <v>0.6</v>
      </c>
      <c r="E147" s="24" t="n">
        <f aca="false">In!E150</f>
        <v>0.7</v>
      </c>
      <c r="F147" s="24" t="n">
        <f aca="false">In!F150</f>
        <v>0.8</v>
      </c>
      <c r="G147" s="0" t="str">
        <f aca="false">In!G150</f>
        <v>Interested-party</v>
      </c>
      <c r="H147" s="12" t="s">
        <v>1263</v>
      </c>
    </row>
    <row r="148" customFormat="false" ht="17.15" hidden="false" customHeight="false" outlineLevel="0" collapsed="false">
      <c r="A148" s="0" t="s">
        <v>510</v>
      </c>
      <c r="B148" s="6" t="s">
        <v>508</v>
      </c>
      <c r="C148" s="0" t="s">
        <v>477</v>
      </c>
      <c r="D148" s="20" t="n">
        <f aca="false">In!D151</f>
        <v>1</v>
      </c>
      <c r="E148" s="20" t="n">
        <f aca="false">In!E151</f>
        <v>1.15</v>
      </c>
      <c r="F148" s="20" t="n">
        <f aca="false">In!F151</f>
        <v>1.3</v>
      </c>
      <c r="G148" s="0" t="str">
        <f aca="false">In!G151</f>
        <v>Assumed</v>
      </c>
      <c r="H148" s="12" t="s">
        <v>1264</v>
      </c>
    </row>
    <row r="149" customFormat="false" ht="17.15" hidden="false" customHeight="false" outlineLevel="0" collapsed="false">
      <c r="A149" s="0" t="s">
        <v>514</v>
      </c>
      <c r="B149" s="0" t="s">
        <v>512</v>
      </c>
      <c r="C149" s="0" t="s">
        <v>48</v>
      </c>
      <c r="D149" s="24" t="n">
        <f aca="false">In!D152</f>
        <v>0.5</v>
      </c>
      <c r="E149" s="24" t="n">
        <f aca="false">In!E152</f>
        <v>0.55</v>
      </c>
      <c r="F149" s="24" t="n">
        <f aca="false">In!F152</f>
        <v>0.63</v>
      </c>
      <c r="G149" s="0" t="str">
        <f aca="false">In!G152</f>
        <v>Interested-party</v>
      </c>
      <c r="H149" s="12" t="s">
        <v>1265</v>
      </c>
    </row>
    <row r="150" customFormat="false" ht="17.15" hidden="false" customHeight="false" outlineLevel="0" collapsed="false">
      <c r="A150" s="0" t="s">
        <v>518</v>
      </c>
      <c r="B150" s="0" t="s">
        <v>516</v>
      </c>
      <c r="C150" s="0" t="s">
        <v>48</v>
      </c>
      <c r="D150" s="24" t="n">
        <f aca="false">In!D153</f>
        <v>0.3</v>
      </c>
      <c r="E150" s="24" t="n">
        <f aca="false">In!E153</f>
        <v>0.45</v>
      </c>
      <c r="F150" s="24" t="n">
        <f aca="false">In!F153</f>
        <v>0.63</v>
      </c>
      <c r="G150" s="0" t="str">
        <f aca="false">In!G153</f>
        <v>Assumed</v>
      </c>
      <c r="H150" s="12" t="s">
        <v>1266</v>
      </c>
    </row>
    <row r="151" customFormat="false" ht="17.15" hidden="false" customHeight="false" outlineLevel="0" collapsed="false">
      <c r="A151" s="0" t="s">
        <v>523</v>
      </c>
      <c r="B151" s="0" t="s">
        <v>520</v>
      </c>
      <c r="C151" s="0" t="s">
        <v>521</v>
      </c>
      <c r="D151" s="20" t="n">
        <f aca="false">In!D154</f>
        <v>12.5</v>
      </c>
      <c r="E151" s="20" t="n">
        <f aca="false">In!E154</f>
        <v>14.6</v>
      </c>
      <c r="F151" s="20" t="n">
        <f aca="false">In!F154</f>
        <v>16</v>
      </c>
      <c r="G151" s="0" t="str">
        <f aca="false">In!G154</f>
        <v>Interested-party</v>
      </c>
      <c r="H151" s="12" t="s">
        <v>1267</v>
      </c>
    </row>
    <row r="152" customFormat="false" ht="17.15" hidden="false" customHeight="false" outlineLevel="0" collapsed="false">
      <c r="A152" s="0" t="s">
        <v>527</v>
      </c>
      <c r="B152" s="0" t="s">
        <v>525</v>
      </c>
      <c r="C152" s="0" t="s">
        <v>48</v>
      </c>
      <c r="D152" s="24" t="n">
        <f aca="false">In!D155</f>
        <v>0.38</v>
      </c>
      <c r="E152" s="24" t="n">
        <f aca="false">In!E155</f>
        <v>0.8</v>
      </c>
      <c r="F152" s="24" t="n">
        <f aca="false">In!F155</f>
        <v>1.21</v>
      </c>
      <c r="G152" s="0" t="str">
        <f aca="false">In!G155</f>
        <v>Interested-party</v>
      </c>
      <c r="H152" s="12" t="s">
        <v>1268</v>
      </c>
    </row>
    <row r="153" customFormat="false" ht="17.15" hidden="false" customHeight="false" outlineLevel="0" collapsed="false">
      <c r="A153" s="0" t="s">
        <v>531</v>
      </c>
      <c r="B153" s="0" t="s">
        <v>529</v>
      </c>
      <c r="C153" s="0" t="s">
        <v>48</v>
      </c>
      <c r="D153" s="24" t="n">
        <f aca="false">In!D156</f>
        <v>0</v>
      </c>
      <c r="E153" s="24" t="n">
        <f aca="false">In!E156</f>
        <v>0.1</v>
      </c>
      <c r="F153" s="24" t="n">
        <f aca="false">In!F156</f>
        <v>0.25</v>
      </c>
      <c r="G153" s="0" t="str">
        <f aca="false">In!G156</f>
        <v>Interested-party</v>
      </c>
      <c r="H153" s="12" t="s">
        <v>1269</v>
      </c>
    </row>
    <row r="154" customFormat="false" ht="17.15" hidden="false" customHeight="false" outlineLevel="0" collapsed="false">
      <c r="A154" s="0" t="s">
        <v>535</v>
      </c>
      <c r="B154" s="0" t="s">
        <v>533</v>
      </c>
      <c r="C154" s="0" t="s">
        <v>48</v>
      </c>
      <c r="D154" s="24" t="n">
        <f aca="false">In!D157</f>
        <v>-0.4</v>
      </c>
      <c r="E154" s="24" t="n">
        <f aca="false">In!E157</f>
        <v>-0.25</v>
      </c>
      <c r="F154" s="24" t="n">
        <f aca="false">In!F157</f>
        <v>-0.1</v>
      </c>
      <c r="G154" s="0" t="str">
        <f aca="false">In!G157</f>
        <v>Assumed</v>
      </c>
      <c r="H154" s="12" t="s">
        <v>1270</v>
      </c>
    </row>
    <row r="155" customFormat="false" ht="17.15" hidden="false" customHeight="false" outlineLevel="0" collapsed="false">
      <c r="A155" s="0" t="s">
        <v>539</v>
      </c>
      <c r="B155" s="0" t="s">
        <v>537</v>
      </c>
      <c r="C155" s="0" t="s">
        <v>48</v>
      </c>
      <c r="D155" s="24" t="n">
        <f aca="false">In!D158</f>
        <v>-0.55</v>
      </c>
      <c r="E155" s="24" t="n">
        <f aca="false">In!E158</f>
        <v>-0.4</v>
      </c>
      <c r="F155" s="24" t="n">
        <f aca="false">In!F158</f>
        <v>-0.25</v>
      </c>
      <c r="G155" s="0" t="str">
        <f aca="false">In!G158</f>
        <v>Assumed</v>
      </c>
      <c r="H155" s="12" t="s">
        <v>1271</v>
      </c>
    </row>
    <row r="156" customFormat="false" ht="17.15" hidden="false" customHeight="false" outlineLevel="0" collapsed="false">
      <c r="A156" s="0" t="s">
        <v>543</v>
      </c>
      <c r="B156" s="0" t="s">
        <v>541</v>
      </c>
      <c r="C156" s="0" t="s">
        <v>48</v>
      </c>
      <c r="D156" s="24" t="n">
        <f aca="false">In!D159</f>
        <v>0.2</v>
      </c>
      <c r="E156" s="24" t="n">
        <f aca="false">In!E159</f>
        <v>0.3</v>
      </c>
      <c r="F156" s="24" t="n">
        <f aca="false">In!F159</f>
        <v>0.45</v>
      </c>
      <c r="G156" s="0" t="str">
        <f aca="false">In!G159</f>
        <v>Assumed</v>
      </c>
      <c r="H156" s="12" t="s">
        <v>1272</v>
      </c>
    </row>
    <row r="157" customFormat="false" ht="17.15" hidden="false" customHeight="false" outlineLevel="0" collapsed="false">
      <c r="A157" s="0" t="s">
        <v>547</v>
      </c>
      <c r="B157" s="0" t="s">
        <v>545</v>
      </c>
      <c r="C157" s="0" t="s">
        <v>48</v>
      </c>
      <c r="D157" s="24" t="n">
        <f aca="false">In!D160</f>
        <v>0.25</v>
      </c>
      <c r="E157" s="24" t="n">
        <f aca="false">In!E160</f>
        <v>0.35</v>
      </c>
      <c r="F157" s="24" t="n">
        <f aca="false">In!F160</f>
        <v>0.5</v>
      </c>
      <c r="G157" s="0" t="str">
        <f aca="false">In!G160</f>
        <v>Assumed</v>
      </c>
      <c r="H157" s="12" t="s">
        <v>1273</v>
      </c>
    </row>
    <row r="158" customFormat="false" ht="17.15" hidden="false" customHeight="false" outlineLevel="0" collapsed="false">
      <c r="A158" s="0" t="s">
        <v>551</v>
      </c>
      <c r="B158" s="0" t="s">
        <v>549</v>
      </c>
      <c r="C158" s="0" t="s">
        <v>48</v>
      </c>
      <c r="D158" s="24" t="n">
        <f aca="false">In!D161</f>
        <v>-0.15</v>
      </c>
      <c r="E158" s="24" t="n">
        <f aca="false">In!E161</f>
        <v>-0.05</v>
      </c>
      <c r="F158" s="24" t="n">
        <f aca="false">In!F161</f>
        <v>0.05</v>
      </c>
      <c r="G158" s="0" t="str">
        <f aca="false">In!G161</f>
        <v>Assumed</v>
      </c>
      <c r="H158" s="12" t="s">
        <v>1274</v>
      </c>
    </row>
    <row r="159" customFormat="false" ht="17.15" hidden="false" customHeight="false" outlineLevel="0" collapsed="false">
      <c r="A159" s="0" t="s">
        <v>555</v>
      </c>
      <c r="B159" s="0" t="s">
        <v>553</v>
      </c>
      <c r="C159" s="0" t="s">
        <v>48</v>
      </c>
      <c r="D159" s="24" t="n">
        <f aca="false">In!D162</f>
        <v>-0.1</v>
      </c>
      <c r="E159" s="24" t="n">
        <f aca="false">In!E162</f>
        <v>0</v>
      </c>
      <c r="F159" s="24" t="n">
        <f aca="false">In!F162</f>
        <v>0.1</v>
      </c>
      <c r="G159" s="0" t="str">
        <f aca="false">In!G162</f>
        <v>Assumed</v>
      </c>
      <c r="H159" s="12" t="s">
        <v>1275</v>
      </c>
    </row>
    <row r="160" customFormat="false" ht="17.15" hidden="false" customHeight="false" outlineLevel="0" collapsed="false">
      <c r="A160" s="0" t="s">
        <v>559</v>
      </c>
      <c r="B160" s="0" t="s">
        <v>557</v>
      </c>
      <c r="C160" s="0" t="s">
        <v>48</v>
      </c>
      <c r="D160" s="24" t="n">
        <f aca="false">In!D163</f>
        <v>-0.1</v>
      </c>
      <c r="E160" s="24" t="n">
        <f aca="false">In!E163</f>
        <v>0.05</v>
      </c>
      <c r="F160" s="24" t="n">
        <f aca="false">In!F163</f>
        <v>0.15</v>
      </c>
      <c r="G160" s="0" t="str">
        <f aca="false">In!G163</f>
        <v>Assumed</v>
      </c>
      <c r="H160" s="12" t="s">
        <v>1276</v>
      </c>
    </row>
    <row r="161" customFormat="false" ht="17.15" hidden="false" customHeight="false" outlineLevel="0" collapsed="false">
      <c r="A161" s="0" t="s">
        <v>565</v>
      </c>
      <c r="B161" s="0" t="s">
        <v>562</v>
      </c>
      <c r="C161" s="0" t="s">
        <v>499</v>
      </c>
      <c r="D161" s="20" t="n">
        <f aca="false">In!D165</f>
        <v>340</v>
      </c>
      <c r="E161" s="20" t="n">
        <f aca="false">In!E165</f>
        <v>374</v>
      </c>
      <c r="F161" s="20" t="n">
        <f aca="false">In!F165</f>
        <v>400</v>
      </c>
      <c r="G161" s="0" t="str">
        <f aca="false">In!G165</f>
        <v>Verified／Assumed</v>
      </c>
      <c r="H161" s="12" t="s">
        <v>1277</v>
      </c>
    </row>
    <row r="162" customFormat="false" ht="17.15" hidden="false" customHeight="false" outlineLevel="0" collapsed="false">
      <c r="A162" s="0" t="s">
        <v>570</v>
      </c>
      <c r="B162" s="6" t="s">
        <v>567</v>
      </c>
      <c r="C162" s="0" t="s">
        <v>568</v>
      </c>
      <c r="D162" s="20" t="n">
        <f aca="false">In!D166</f>
        <v>38</v>
      </c>
      <c r="E162" s="20" t="n">
        <f aca="false">In!E166</f>
        <v>42.8</v>
      </c>
      <c r="F162" s="20" t="n">
        <f aca="false">In!F166</f>
        <v>48</v>
      </c>
      <c r="G162" s="0" t="str">
        <f aca="false">In!G166</f>
        <v>Derived</v>
      </c>
      <c r="H162" s="12" t="s">
        <v>1278</v>
      </c>
    </row>
    <row r="163" customFormat="false" ht="17.15" hidden="false" customHeight="false" outlineLevel="0" collapsed="false">
      <c r="A163" s="0" t="s">
        <v>574</v>
      </c>
      <c r="B163" s="6" t="s">
        <v>572</v>
      </c>
      <c r="C163" s="0" t="s">
        <v>568</v>
      </c>
      <c r="D163" s="20" t="n">
        <f aca="false">In!D167</f>
        <v>3.5</v>
      </c>
      <c r="E163" s="20" t="n">
        <f aca="false">In!E167</f>
        <v>4.46</v>
      </c>
      <c r="F163" s="20" t="n">
        <f aca="false">In!F167</f>
        <v>4.9</v>
      </c>
      <c r="G163" s="0" t="str">
        <f aca="false">In!G167</f>
        <v>Derived</v>
      </c>
      <c r="H163" s="12" t="s">
        <v>1279</v>
      </c>
    </row>
    <row r="164" customFormat="false" ht="17.15" hidden="false" customHeight="false" outlineLevel="0" collapsed="false">
      <c r="A164" s="0" t="s">
        <v>578</v>
      </c>
      <c r="B164" s="6" t="s">
        <v>576</v>
      </c>
      <c r="C164" s="0" t="s">
        <v>499</v>
      </c>
      <c r="E164" s="20" t="n">
        <f aca="false">In!E168</f>
        <v>54.6</v>
      </c>
      <c r="G164" s="0" t="str">
        <f aca="false">In!G168</f>
        <v>Interested-party</v>
      </c>
      <c r="H164" s="12" t="s">
        <v>1280</v>
      </c>
    </row>
    <row r="165" customFormat="false" ht="17.15" hidden="false" customHeight="false" outlineLevel="0" collapsed="false">
      <c r="A165" s="0" t="s">
        <v>582</v>
      </c>
      <c r="B165" s="6" t="s">
        <v>580</v>
      </c>
      <c r="C165" s="0" t="s">
        <v>499</v>
      </c>
      <c r="E165" s="20" t="n">
        <f aca="false">In!E169</f>
        <v>77.4</v>
      </c>
      <c r="G165" s="0" t="str">
        <f aca="false">In!G169</f>
        <v>Interested-party</v>
      </c>
      <c r="H165" s="12" t="s">
        <v>1281</v>
      </c>
    </row>
    <row r="166" customFormat="false" ht="17.15" hidden="false" customHeight="false" outlineLevel="0" collapsed="false">
      <c r="A166" s="0" t="s">
        <v>586</v>
      </c>
      <c r="B166" s="6" t="s">
        <v>584</v>
      </c>
      <c r="C166" s="0" t="s">
        <v>499</v>
      </c>
      <c r="E166" s="20" t="n">
        <f aca="false">In!E170</f>
        <v>152.8</v>
      </c>
      <c r="G166" s="0" t="str">
        <f aca="false">In!G170</f>
        <v>Interested-party</v>
      </c>
      <c r="H166" s="12" t="s">
        <v>1282</v>
      </c>
    </row>
    <row r="167" customFormat="false" ht="17.15" hidden="false" customHeight="false" outlineLevel="0" collapsed="false">
      <c r="A167" s="0" t="s">
        <v>591</v>
      </c>
      <c r="B167" s="0" t="s">
        <v>589</v>
      </c>
      <c r="C167" s="0" t="s">
        <v>48</v>
      </c>
      <c r="D167" s="24" t="n">
        <f aca="false">In!D172</f>
        <v>-0.7</v>
      </c>
      <c r="E167" s="24" t="n">
        <f aca="false">In!E172</f>
        <v>-0.5</v>
      </c>
      <c r="F167" s="24" t="n">
        <f aca="false">In!F172</f>
        <v>-0.3</v>
      </c>
      <c r="G167" s="0" t="str">
        <f aca="false">In!G172</f>
        <v>Assumed</v>
      </c>
      <c r="H167" s="12" t="s">
        <v>1283</v>
      </c>
    </row>
    <row r="168" customFormat="false" ht="17.15" hidden="false" customHeight="false" outlineLevel="0" collapsed="false">
      <c r="A168" s="0" t="s">
        <v>594</v>
      </c>
      <c r="B168" s="0" t="s">
        <v>593</v>
      </c>
      <c r="C168" s="0" t="s">
        <v>48</v>
      </c>
      <c r="D168" s="24" t="n">
        <f aca="false">In!D173</f>
        <v>0.05</v>
      </c>
      <c r="E168" s="24" t="n">
        <f aca="false">In!E173</f>
        <v>0.15</v>
      </c>
      <c r="F168" s="24" t="n">
        <f aca="false">In!F173</f>
        <v>0.25</v>
      </c>
      <c r="G168" s="0" t="str">
        <f aca="false">In!G173</f>
        <v>Assumed</v>
      </c>
      <c r="H168" s="12" t="s">
        <v>1284</v>
      </c>
    </row>
    <row r="169" customFormat="false" ht="17.15" hidden="false" customHeight="false" outlineLevel="0" collapsed="false">
      <c r="A169" s="0" t="s">
        <v>597</v>
      </c>
      <c r="B169" s="0" t="s">
        <v>596</v>
      </c>
      <c r="C169" s="0" t="s">
        <v>48</v>
      </c>
      <c r="D169" s="24" t="n">
        <f aca="false">In!D174</f>
        <v>0.05</v>
      </c>
      <c r="E169" s="24" t="n">
        <f aca="false">In!E174</f>
        <v>0.15</v>
      </c>
      <c r="F169" s="24" t="n">
        <f aca="false">In!F174</f>
        <v>0.25</v>
      </c>
      <c r="G169" s="0" t="str">
        <f aca="false">In!G174</f>
        <v>Assumed</v>
      </c>
      <c r="H169" s="12" t="s">
        <v>1285</v>
      </c>
    </row>
    <row r="170" customFormat="false" ht="17.15" hidden="false" customHeight="false" outlineLevel="0" collapsed="false">
      <c r="A170" s="0" t="s">
        <v>600</v>
      </c>
      <c r="B170" s="0" t="s">
        <v>599</v>
      </c>
      <c r="C170" s="0" t="s">
        <v>48</v>
      </c>
      <c r="D170" s="24" t="n">
        <f aca="false">In!D175</f>
        <v>0</v>
      </c>
      <c r="E170" s="24" t="n">
        <f aca="false">In!E175</f>
        <v>0</v>
      </c>
      <c r="F170" s="24" t="n">
        <f aca="false">In!F175</f>
        <v>0</v>
      </c>
      <c r="G170" s="0" t="str">
        <f aca="false">In!G175</f>
        <v>Assumed</v>
      </c>
      <c r="H170" s="12" t="s">
        <v>1286</v>
      </c>
    </row>
    <row r="171" customFormat="false" ht="17.15" hidden="false" customHeight="false" outlineLevel="0" collapsed="false">
      <c r="A171" s="0" t="s">
        <v>603</v>
      </c>
      <c r="B171" s="0" t="s">
        <v>602</v>
      </c>
      <c r="C171" s="0" t="s">
        <v>48</v>
      </c>
      <c r="D171" s="24" t="n">
        <f aca="false">In!D176</f>
        <v>0.05</v>
      </c>
      <c r="E171" s="24" t="n">
        <f aca="false">In!E176</f>
        <v>0.15</v>
      </c>
      <c r="F171" s="24" t="n">
        <f aca="false">In!F176</f>
        <v>0.25</v>
      </c>
      <c r="G171" s="0" t="str">
        <f aca="false">In!G176</f>
        <v>Assumed</v>
      </c>
      <c r="H171" s="12" t="s">
        <v>1287</v>
      </c>
    </row>
    <row r="172" customFormat="false" ht="17.15" hidden="false" customHeight="false" outlineLevel="0" collapsed="false">
      <c r="A172" s="0" t="s">
        <v>606</v>
      </c>
      <c r="B172" s="0" t="s">
        <v>605</v>
      </c>
      <c r="C172" s="0" t="s">
        <v>48</v>
      </c>
      <c r="D172" s="24" t="n">
        <f aca="false">In!D177</f>
        <v>0.05</v>
      </c>
      <c r="E172" s="24" t="n">
        <f aca="false">In!E177</f>
        <v>0.15</v>
      </c>
      <c r="F172" s="24" t="n">
        <f aca="false">In!F177</f>
        <v>0.25</v>
      </c>
      <c r="G172" s="0" t="str">
        <f aca="false">In!G177</f>
        <v>Assumed</v>
      </c>
      <c r="H172" s="12" t="s">
        <v>1288</v>
      </c>
    </row>
    <row r="173" customFormat="false" ht="17.15" hidden="false" customHeight="false" outlineLevel="0" collapsed="false">
      <c r="A173" s="0" t="s">
        <v>609</v>
      </c>
      <c r="B173" s="0" t="s">
        <v>608</v>
      </c>
      <c r="C173" s="0" t="s">
        <v>48</v>
      </c>
      <c r="D173" s="24" t="n">
        <f aca="false">In!D178</f>
        <v>0.05</v>
      </c>
      <c r="E173" s="24" t="n">
        <f aca="false">In!E178</f>
        <v>0.15</v>
      </c>
      <c r="F173" s="24" t="n">
        <f aca="false">In!F178</f>
        <v>0.25</v>
      </c>
      <c r="G173" s="0" t="str">
        <f aca="false">In!G178</f>
        <v>Assumed</v>
      </c>
      <c r="H173" s="12" t="s">
        <v>1289</v>
      </c>
    </row>
    <row r="174" customFormat="false" ht="17.15" hidden="false" customHeight="false" outlineLevel="0" collapsed="false">
      <c r="A174" s="0" t="s">
        <v>612</v>
      </c>
      <c r="B174" s="6" t="s">
        <v>611</v>
      </c>
      <c r="C174" s="0" t="s">
        <v>48</v>
      </c>
      <c r="D174" s="24" t="n">
        <f aca="false">In!D179</f>
        <v>0.05</v>
      </c>
      <c r="E174" s="24" t="n">
        <f aca="false">In!E179</f>
        <v>0.15</v>
      </c>
      <c r="F174" s="24" t="n">
        <f aca="false">In!F179</f>
        <v>0.25</v>
      </c>
      <c r="G174" s="0" t="str">
        <f aca="false">In!G179</f>
        <v>Assumed</v>
      </c>
      <c r="H174" s="12" t="s">
        <v>1290</v>
      </c>
    </row>
    <row r="176" customFormat="false" ht="17.15" hidden="false" customHeight="false" outlineLevel="0" collapsed="false">
      <c r="A176" s="10" t="s">
        <v>1291</v>
      </c>
    </row>
    <row r="177" customFormat="false" ht="15" hidden="false" customHeight="false" outlineLevel="0" collapsed="false">
      <c r="A177" s="4" t="s">
        <v>13</v>
      </c>
      <c r="B177" s="4" t="s">
        <v>37</v>
      </c>
      <c r="C177" s="4" t="s">
        <v>38</v>
      </c>
      <c r="D177" s="5" t="s">
        <v>680</v>
      </c>
      <c r="E177" s="5" t="s">
        <v>638</v>
      </c>
      <c r="F177" s="5" t="s">
        <v>639</v>
      </c>
      <c r="G177" s="5" t="s">
        <v>640</v>
      </c>
      <c r="H177" s="5" t="s">
        <v>641</v>
      </c>
      <c r="I177" s="4" t="s">
        <v>1120</v>
      </c>
    </row>
    <row r="178" customFormat="false" ht="17.15" hidden="false" customHeight="false" outlineLevel="0" collapsed="false">
      <c r="A178" s="0" t="s">
        <v>1292</v>
      </c>
      <c r="B178" s="0" t="s">
        <v>1293</v>
      </c>
      <c r="C178" s="0" t="s">
        <v>698</v>
      </c>
      <c r="D178" s="7" t="str">
        <f aca="false">IF(ISBLANK(Mkt!C13),"",Mkt!C13)</f>
        <v/>
      </c>
      <c r="E178" s="7" t="n">
        <f aca="false">IF(ISBLANK(Mkt!D13),"",Mkt!D13)</f>
        <v>3.2893</v>
      </c>
      <c r="F178" s="7" t="n">
        <f aca="false">IF(ISBLANK(Mkt!E13),"",Mkt!E13)</f>
        <v>6.1702</v>
      </c>
      <c r="G178" s="7" t="n">
        <f aca="false">IF(ISBLANK(Mkt!F13),"",Mkt!F13)</f>
        <v>8.938</v>
      </c>
      <c r="H178" s="7" t="n">
        <f aca="false">IF(ISBLANK(Mkt!G13),"",Mkt!G13)</f>
        <v>11.6194</v>
      </c>
      <c r="I178" s="12" t="s">
        <v>1294</v>
      </c>
    </row>
    <row r="179" customFormat="false" ht="17.15" hidden="false" customHeight="false" outlineLevel="0" collapsed="false">
      <c r="A179" s="0" t="s">
        <v>1295</v>
      </c>
      <c r="B179" s="0" t="s">
        <v>1296</v>
      </c>
      <c r="C179" s="0" t="s">
        <v>698</v>
      </c>
      <c r="D179" s="7" t="str">
        <f aca="false">IF(ISBLANK(Mkt!C14),"",Mkt!C14)</f>
        <v/>
      </c>
      <c r="E179" s="7" t="n">
        <f aca="false">IF(ISBLANK(Mkt!D14),"",Mkt!D14)</f>
        <v>3.782695</v>
      </c>
      <c r="F179" s="7" t="n">
        <f aca="false">IF(ISBLANK(Mkt!E14),"",Mkt!E14)</f>
        <v>7.09573</v>
      </c>
      <c r="G179" s="7" t="n">
        <f aca="false">IF(ISBLANK(Mkt!F14),"",Mkt!F14)</f>
        <v>10.2787</v>
      </c>
      <c r="H179" s="7" t="n">
        <f aca="false">IF(ISBLANK(Mkt!G14),"",Mkt!G14)</f>
        <v>13.36231</v>
      </c>
      <c r="I179" s="12" t="s">
        <v>1297</v>
      </c>
    </row>
    <row r="180" customFormat="false" ht="17.15" hidden="false" customHeight="false" outlineLevel="0" collapsed="false">
      <c r="A180" s="0" t="s">
        <v>1298</v>
      </c>
      <c r="B180" s="6" t="s">
        <v>1299</v>
      </c>
      <c r="C180" s="6" t="s">
        <v>319</v>
      </c>
      <c r="D180" s="7" t="str">
        <f aca="false">IF(ISBLANK(Mkt!C15),"",Mkt!C15)</f>
        <v/>
      </c>
      <c r="E180" s="7" t="n">
        <f aca="false">IF(ISBLANK(Mkt!D15),"",Mkt!D15)</f>
        <v>15.2</v>
      </c>
      <c r="F180" s="7" t="n">
        <f aca="false">IF(ISBLANK(Mkt!E15),"",Mkt!E15)</f>
        <v>23.7</v>
      </c>
      <c r="G180" s="7" t="n">
        <f aca="false">IF(ISBLANK(Mkt!F15),"",Mkt!F15)</f>
        <v>26.5</v>
      </c>
      <c r="H180" s="7" t="str">
        <f aca="false">IF(ISBLANK(Mkt!G15),"",Mkt!G15)</f>
        <v/>
      </c>
      <c r="I180" s="12" t="s">
        <v>1300</v>
      </c>
    </row>
    <row r="181" customFormat="false" ht="17.15" hidden="false" customHeight="false" outlineLevel="0" collapsed="false">
      <c r="A181" s="0" t="s">
        <v>1301</v>
      </c>
      <c r="B181" s="6" t="s">
        <v>702</v>
      </c>
      <c r="C181" s="0" t="s">
        <v>330</v>
      </c>
      <c r="D181" s="7" t="str">
        <f aca="false">IF(ISBLANK(Mkt!C16),"",Mkt!C16)</f>
        <v/>
      </c>
      <c r="E181" s="7" t="n">
        <f aca="false">IF(ISBLANK(Mkt!D16),"",Mkt!D16)</f>
        <v>216.401315789474</v>
      </c>
      <c r="F181" s="7" t="n">
        <f aca="false">IF(ISBLANK(Mkt!E16),"",Mkt!E16)</f>
        <v>260.345991561181</v>
      </c>
      <c r="G181" s="7" t="n">
        <f aca="false">IF(ISBLANK(Mkt!F16),"",Mkt!F16)</f>
        <v>337.283018867925</v>
      </c>
      <c r="H181" s="7" t="str">
        <f aca="false">IF(ISBLANK(Mkt!G16),"",Mkt!G16)</f>
        <v/>
      </c>
      <c r="I181" s="12" t="s">
        <v>1302</v>
      </c>
    </row>
    <row r="182" customFormat="false" ht="17.15" hidden="false" customHeight="false" outlineLevel="0" collapsed="false">
      <c r="A182" s="0" t="s">
        <v>1303</v>
      </c>
      <c r="B182" s="0" t="s">
        <v>1304</v>
      </c>
      <c r="C182" s="0" t="s">
        <v>698</v>
      </c>
      <c r="D182" s="7" t="n">
        <f aca="false">IF(ISBLANK(Mkt!C17),"",Mkt!C17)</f>
        <v>2.22511470588235</v>
      </c>
      <c r="E182" s="7" t="n">
        <f aca="false">IF(ISBLANK(Mkt!D17),"",Mkt!D17)</f>
        <v>3.782695</v>
      </c>
      <c r="F182" s="7" t="n">
        <f aca="false">IF(ISBLANK(Mkt!E17),"",Mkt!E17)</f>
        <v>5.86317725</v>
      </c>
      <c r="G182" s="7" t="n">
        <f aca="false">IF(ISBLANK(Mkt!F17),"",Mkt!F17)</f>
        <v>8.5016070125</v>
      </c>
      <c r="H182" s="7" t="n">
        <f aca="false">IF(ISBLANK(Mkt!G17),"",Mkt!G17)</f>
        <v>11.477169466875</v>
      </c>
      <c r="I182" s="12" t="s">
        <v>1305</v>
      </c>
    </row>
    <row r="183" customFormat="false" ht="17.15" hidden="false" customHeight="false" outlineLevel="0" collapsed="false">
      <c r="A183" s="0" t="s">
        <v>1306</v>
      </c>
      <c r="B183" s="6" t="s">
        <v>1307</v>
      </c>
      <c r="C183" s="0" t="s">
        <v>477</v>
      </c>
      <c r="D183" s="7" t="str">
        <f aca="false">IF(ISBLANK(Mkt!C18),"",Mkt!C18)</f>
        <v/>
      </c>
      <c r="E183" s="7" t="n">
        <f aca="false">IF(ISBLANK(Mkt!D18),"",Mkt!D18)</f>
        <v>1</v>
      </c>
      <c r="F183" s="7" t="n">
        <f aca="false">IF(ISBLANK(Mkt!E18),"",Mkt!E18)</f>
        <v>1</v>
      </c>
      <c r="G183" s="7" t="n">
        <f aca="false">IF(ISBLANK(Mkt!F18),"",Mkt!F18)</f>
        <v>1</v>
      </c>
      <c r="H183" s="7" t="n">
        <f aca="false">IF(ISBLANK(Mkt!G18),"",Mkt!G18)</f>
        <v>1</v>
      </c>
      <c r="I183" s="12" t="s">
        <v>1308</v>
      </c>
    </row>
    <row r="184" customFormat="false" ht="17.15" hidden="false" customHeight="false" outlineLevel="0" collapsed="false">
      <c r="A184" s="0" t="s">
        <v>1309</v>
      </c>
      <c r="B184" s="0" t="s">
        <v>1310</v>
      </c>
      <c r="C184" s="0" t="s">
        <v>698</v>
      </c>
      <c r="D184" s="7" t="n">
        <f aca="false">IF(ISBLANK(Mkt!C24),"",Mkt!C24)</f>
        <v>2.22511470588235</v>
      </c>
      <c r="E184" s="7" t="n">
        <f aca="false">IF(ISBLANK(Mkt!D24),"",Mkt!D24)</f>
        <v>3.782695</v>
      </c>
      <c r="F184" s="7" t="n">
        <f aca="false">IF(ISBLANK(Mkt!E24),"",Mkt!E24)</f>
        <v>5.86317725</v>
      </c>
      <c r="G184" s="7" t="n">
        <f aca="false">IF(ISBLANK(Mkt!F24),"",Mkt!F24)</f>
        <v>8.5016070125</v>
      </c>
      <c r="H184" s="7" t="n">
        <f aca="false">IF(ISBLANK(Mkt!G24),"",Mkt!G24)</f>
        <v>11.477169466875</v>
      </c>
      <c r="I184" s="12" t="s">
        <v>1311</v>
      </c>
    </row>
    <row r="185" customFormat="false" ht="17.15" hidden="false" customHeight="false" outlineLevel="0" collapsed="false">
      <c r="A185" s="0" t="s">
        <v>1312</v>
      </c>
      <c r="B185" s="0" t="s">
        <v>1313</v>
      </c>
      <c r="C185" s="0" t="s">
        <v>698</v>
      </c>
      <c r="D185" s="7" t="str">
        <f aca="false">IF(ISBLANK(Mkt!C27),"",Mkt!C27)</f>
        <v/>
      </c>
      <c r="E185" s="7" t="n">
        <f aca="false">IF(ISBLANK(Mkt!D27),"",Mkt!D27)</f>
        <v>0</v>
      </c>
      <c r="F185" s="7" t="n">
        <f aca="false">IF(ISBLANK(Mkt!E27),"",Mkt!E27)</f>
        <v>1.23255275</v>
      </c>
      <c r="G185" s="7" t="n">
        <f aca="false">IF(ISBLANK(Mkt!F27),"",Mkt!F27)</f>
        <v>1.7770929875</v>
      </c>
      <c r="H185" s="7" t="n">
        <f aca="false">IF(ISBLANK(Mkt!G27),"",Mkt!G27)</f>
        <v>1.885140533125</v>
      </c>
      <c r="I185" s="12" t="s">
        <v>1314</v>
      </c>
    </row>
    <row r="186" customFormat="false" ht="17.15" hidden="false" customHeight="false" outlineLevel="0" collapsed="false">
      <c r="A186" s="0" t="s">
        <v>1315</v>
      </c>
      <c r="B186" s="0" t="s">
        <v>719</v>
      </c>
      <c r="C186" s="0" t="s">
        <v>521</v>
      </c>
      <c r="D186" s="7" t="n">
        <f aca="false">IF(ISBLANK(Mkt!C30),"",Mkt!C30)</f>
        <v>15.7295261711557</v>
      </c>
      <c r="E186" s="7" t="n">
        <f aca="false">IF(ISBLANK(Mkt!D30),"",Mkt!D30)</f>
        <v>14.6</v>
      </c>
      <c r="F186" s="7" t="n">
        <f aca="false">IF(ISBLANK(Mkt!E30),"",Mkt!E30)</f>
        <v>26.28</v>
      </c>
      <c r="G186" s="7" t="n">
        <f aca="false">IF(ISBLANK(Mkt!F30),"",Mkt!F30)</f>
        <v>28.908</v>
      </c>
      <c r="H186" s="7" t="n">
        <f aca="false">IF(ISBLANK(Mkt!G30),"",Mkt!G30)</f>
        <v>27.4626</v>
      </c>
      <c r="I186" s="12" t="s">
        <v>1316</v>
      </c>
    </row>
    <row r="187" customFormat="false" ht="17.15" hidden="false" customHeight="false" outlineLevel="0" collapsed="false">
      <c r="A187" s="0" t="s">
        <v>1317</v>
      </c>
      <c r="B187" s="0" t="s">
        <v>722</v>
      </c>
      <c r="C187" s="0" t="s">
        <v>499</v>
      </c>
      <c r="D187" s="7" t="n">
        <f aca="false">IF(ISBLANK(Mkt!C33),"",Mkt!C33)</f>
        <v>35</v>
      </c>
      <c r="E187" s="7" t="n">
        <f aca="false">IF(ISBLANK(Mkt!D33),"",Mkt!D33)</f>
        <v>55.227347</v>
      </c>
      <c r="F187" s="7" t="n">
        <f aca="false">IF(ISBLANK(Mkt!E33),"",Mkt!E33)</f>
        <v>154.08429813</v>
      </c>
      <c r="G187" s="7" t="n">
        <f aca="false">IF(ISBLANK(Mkt!F33),"",Mkt!F33)</f>
        <v>245.76445551735</v>
      </c>
      <c r="H187" s="7" t="n">
        <f aca="false">IF(ISBLANK(Mkt!G33),"",Mkt!G33)</f>
        <v>315.192914201001</v>
      </c>
      <c r="I187" s="12" t="s">
        <v>1318</v>
      </c>
    </row>
    <row r="188" customFormat="false" ht="17.15" hidden="false" customHeight="false" outlineLevel="0" collapsed="false">
      <c r="A188" s="0" t="s">
        <v>1319</v>
      </c>
      <c r="B188" s="6" t="s">
        <v>1320</v>
      </c>
      <c r="C188" s="0" t="s">
        <v>477</v>
      </c>
      <c r="D188" s="7" t="str">
        <f aca="false">IF(ISBLANK(Mkt!C19),"",Mkt!C19)</f>
        <v/>
      </c>
      <c r="E188" s="7" t="n">
        <f aca="false">IF(ISBLANK(Mkt!D19),"",Mkt!D19)</f>
        <v>1</v>
      </c>
      <c r="F188" s="7" t="n">
        <f aca="false">IF(ISBLANK(Mkt!E19),"",Mkt!E19)</f>
        <v>1</v>
      </c>
      <c r="G188" s="7" t="n">
        <f aca="false">IF(ISBLANK(Mkt!F19),"",Mkt!F19)</f>
        <v>0.8</v>
      </c>
      <c r="H188" s="7" t="n">
        <f aca="false">IF(ISBLANK(Mkt!G19),"",Mkt!G19)</f>
        <v>0.85</v>
      </c>
      <c r="I188" s="12" t="s">
        <v>1321</v>
      </c>
    </row>
    <row r="189" customFormat="false" ht="17.15" hidden="false" customHeight="false" outlineLevel="0" collapsed="false">
      <c r="A189" s="0" t="s">
        <v>1322</v>
      </c>
      <c r="B189" s="0" t="s">
        <v>1323</v>
      </c>
      <c r="C189" s="0" t="s">
        <v>698</v>
      </c>
      <c r="D189" s="7" t="n">
        <f aca="false">IF(ISBLANK(Mkt!C25),"",Mkt!C25)</f>
        <v>2.22511470588235</v>
      </c>
      <c r="E189" s="7" t="n">
        <f aca="false">IF(ISBLANK(Mkt!D25),"",Mkt!D25)</f>
        <v>3.782695</v>
      </c>
      <c r="F189" s="7" t="n">
        <f aca="false">IF(ISBLANK(Mkt!E25),"",Mkt!E25)</f>
        <v>5.86317725</v>
      </c>
      <c r="G189" s="7" t="n">
        <f aca="false">IF(ISBLANK(Mkt!F25),"",Mkt!F25)</f>
        <v>8.22296</v>
      </c>
      <c r="H189" s="7" t="n">
        <f aca="false">IF(ISBLANK(Mkt!G25),"",Mkt!G25)</f>
        <v>11.3579635</v>
      </c>
      <c r="I189" s="12" t="s">
        <v>1324</v>
      </c>
    </row>
    <row r="190" customFormat="false" ht="17.15" hidden="false" customHeight="false" outlineLevel="0" collapsed="false">
      <c r="A190" s="0" t="s">
        <v>1325</v>
      </c>
      <c r="B190" s="0" t="s">
        <v>1326</v>
      </c>
      <c r="C190" s="0" t="s">
        <v>698</v>
      </c>
      <c r="D190" s="7" t="str">
        <f aca="false">IF(ISBLANK(Mkt!C28),"",Mkt!C28)</f>
        <v/>
      </c>
      <c r="E190" s="7" t="n">
        <f aca="false">IF(ISBLANK(Mkt!D28),"",Mkt!D28)</f>
        <v>0</v>
      </c>
      <c r="F190" s="7" t="n">
        <f aca="false">IF(ISBLANK(Mkt!E28),"",Mkt!E28)</f>
        <v>1.23255275</v>
      </c>
      <c r="G190" s="7" t="n">
        <f aca="false">IF(ISBLANK(Mkt!F28),"",Mkt!F28)</f>
        <v>-0.278647012499999</v>
      </c>
      <c r="H190" s="7" t="n">
        <f aca="false">IF(ISBLANK(Mkt!G28),"",Mkt!G28)</f>
        <v>-0.119205966875001</v>
      </c>
      <c r="I190" s="12" t="s">
        <v>1327</v>
      </c>
    </row>
    <row r="191" customFormat="false" ht="17.15" hidden="false" customHeight="false" outlineLevel="0" collapsed="false">
      <c r="A191" s="0" t="s">
        <v>1328</v>
      </c>
      <c r="B191" s="0" t="s">
        <v>720</v>
      </c>
      <c r="C191" s="0" t="s">
        <v>521</v>
      </c>
      <c r="D191" s="7" t="n">
        <f aca="false">IF(ISBLANK(Mkt!C31),"",Mkt!C31)</f>
        <v>15.7295261711557</v>
      </c>
      <c r="E191" s="7" t="n">
        <f aca="false">IF(ISBLANK(Mkt!D31),"",Mkt!D31)</f>
        <v>14.6</v>
      </c>
      <c r="F191" s="7" t="n">
        <f aca="false">IF(ISBLANK(Mkt!E31),"",Mkt!E31)</f>
        <v>26.28</v>
      </c>
      <c r="G191" s="7" t="n">
        <f aca="false">IF(ISBLANK(Mkt!F31),"",Mkt!F31)</f>
        <v>19.71</v>
      </c>
      <c r="H191" s="7" t="n">
        <f aca="false">IF(ISBLANK(Mkt!G31),"",Mkt!G31)</f>
        <v>19.71</v>
      </c>
      <c r="I191" s="12" t="s">
        <v>1329</v>
      </c>
    </row>
    <row r="192" customFormat="false" ht="17.15" hidden="false" customHeight="false" outlineLevel="0" collapsed="false">
      <c r="A192" s="0" t="s">
        <v>1330</v>
      </c>
      <c r="B192" s="0" t="s">
        <v>723</v>
      </c>
      <c r="C192" s="0" t="s">
        <v>499</v>
      </c>
      <c r="D192" s="7" t="n">
        <f aca="false">IF(ISBLANK(Mkt!C34),"",Mkt!C34)</f>
        <v>35</v>
      </c>
      <c r="E192" s="7" t="n">
        <f aca="false">IF(ISBLANK(Mkt!D34),"",Mkt!D34)</f>
        <v>55.227347</v>
      </c>
      <c r="F192" s="7" t="n">
        <f aca="false">IF(ISBLANK(Mkt!E34),"",Mkt!E34)</f>
        <v>154.08429813</v>
      </c>
      <c r="G192" s="7" t="n">
        <f aca="false">IF(ISBLANK(Mkt!F34),"",Mkt!F34)</f>
        <v>162.0745416</v>
      </c>
      <c r="H192" s="7" t="n">
        <f aca="false">IF(ISBLANK(Mkt!G34),"",Mkt!G34)</f>
        <v>223.865460585</v>
      </c>
      <c r="I192" s="12" t="s">
        <v>1331</v>
      </c>
    </row>
    <row r="193" customFormat="false" ht="17.15" hidden="false" customHeight="false" outlineLevel="0" collapsed="false">
      <c r="A193" s="0" t="s">
        <v>1332</v>
      </c>
      <c r="B193" s="6" t="s">
        <v>1333</v>
      </c>
      <c r="C193" s="0" t="s">
        <v>477</v>
      </c>
      <c r="D193" s="7" t="str">
        <f aca="false">IF(ISBLANK(Mkt!C20),"",Mkt!C20)</f>
        <v/>
      </c>
      <c r="E193" s="7" t="n">
        <f aca="false">IF(ISBLANK(Mkt!D20),"",Mkt!D20)</f>
        <v>1</v>
      </c>
      <c r="F193" s="7" t="n">
        <f aca="false">IF(ISBLANK(Mkt!E20),"",Mkt!E20)</f>
        <v>1</v>
      </c>
      <c r="G193" s="7" t="n">
        <f aca="false">IF(ISBLANK(Mkt!F20),"",Mkt!F20)</f>
        <v>0.6</v>
      </c>
      <c r="H193" s="7" t="n">
        <f aca="false">IF(ISBLANK(Mkt!G20),"",Mkt!G20)</f>
        <v>0.6</v>
      </c>
      <c r="I193" s="12" t="s">
        <v>1334</v>
      </c>
    </row>
    <row r="194" customFormat="false" ht="17.15" hidden="false" customHeight="false" outlineLevel="0" collapsed="false">
      <c r="A194" s="0" t="s">
        <v>1335</v>
      </c>
      <c r="B194" s="0" t="s">
        <v>1336</v>
      </c>
      <c r="C194" s="0" t="s">
        <v>698</v>
      </c>
      <c r="D194" s="7" t="n">
        <f aca="false">IF(ISBLANK(Mkt!C26),"",Mkt!C26)</f>
        <v>2.22511470588235</v>
      </c>
      <c r="E194" s="7" t="n">
        <f aca="false">IF(ISBLANK(Mkt!D26),"",Mkt!D26)</f>
        <v>3.782695</v>
      </c>
      <c r="F194" s="7" t="n">
        <f aca="false">IF(ISBLANK(Mkt!E26),"",Mkt!E26)</f>
        <v>5.86317725</v>
      </c>
      <c r="G194" s="7" t="n">
        <f aca="false">IF(ISBLANK(Mkt!F26),"",Mkt!F26)</f>
        <v>6.16722</v>
      </c>
      <c r="H194" s="7" t="n">
        <f aca="false">IF(ISBLANK(Mkt!G26),"",Mkt!G26)</f>
        <v>8.017386</v>
      </c>
      <c r="I194" s="12" t="s">
        <v>1337</v>
      </c>
    </row>
    <row r="195" customFormat="false" ht="17.15" hidden="false" customHeight="false" outlineLevel="0" collapsed="false">
      <c r="A195" s="0" t="s">
        <v>1338</v>
      </c>
      <c r="B195" s="0" t="s">
        <v>1339</v>
      </c>
      <c r="C195" s="0" t="s">
        <v>698</v>
      </c>
      <c r="D195" s="7" t="str">
        <f aca="false">IF(ISBLANK(Mkt!C29),"",Mkt!C29)</f>
        <v/>
      </c>
      <c r="E195" s="7" t="n">
        <f aca="false">IF(ISBLANK(Mkt!D29),"",Mkt!D29)</f>
        <v>0</v>
      </c>
      <c r="F195" s="7" t="n">
        <f aca="false">IF(ISBLANK(Mkt!E29),"",Mkt!E29)</f>
        <v>1.23255275</v>
      </c>
      <c r="G195" s="7" t="n">
        <f aca="false">IF(ISBLANK(Mkt!F29),"",Mkt!F29)</f>
        <v>-2.3343870125</v>
      </c>
      <c r="H195" s="7" t="n">
        <f aca="false">IF(ISBLANK(Mkt!G29),"",Mkt!G29)</f>
        <v>-3.459783466875</v>
      </c>
      <c r="I195" s="12" t="s">
        <v>1340</v>
      </c>
    </row>
    <row r="196" customFormat="false" ht="17.15" hidden="false" customHeight="false" outlineLevel="0" collapsed="false">
      <c r="A196" s="0" t="s">
        <v>1341</v>
      </c>
      <c r="B196" s="0" t="s">
        <v>721</v>
      </c>
      <c r="C196" s="0" t="s">
        <v>521</v>
      </c>
      <c r="D196" s="7" t="n">
        <f aca="false">IF(ISBLANK(Mkt!C32),"",Mkt!C32)</f>
        <v>15.7295261711557</v>
      </c>
      <c r="E196" s="7" t="n">
        <f aca="false">IF(ISBLANK(Mkt!D32),"",Mkt!D32)</f>
        <v>14.6</v>
      </c>
      <c r="F196" s="7" t="n">
        <f aca="false">IF(ISBLANK(Mkt!E32),"",Mkt!E32)</f>
        <v>26.28</v>
      </c>
      <c r="G196" s="7" t="n">
        <f aca="false">IF(ISBLANK(Mkt!F32),"",Mkt!F32)</f>
        <v>15.768</v>
      </c>
      <c r="H196" s="7" t="n">
        <f aca="false">IF(ISBLANK(Mkt!G32),"",Mkt!G32)</f>
        <v>16.5564</v>
      </c>
      <c r="I196" s="12" t="s">
        <v>1342</v>
      </c>
    </row>
    <row r="197" customFormat="false" ht="17.15" hidden="false" customHeight="false" outlineLevel="0" collapsed="false">
      <c r="A197" s="0" t="s">
        <v>1343</v>
      </c>
      <c r="B197" s="0" t="s">
        <v>724</v>
      </c>
      <c r="C197" s="0" t="s">
        <v>499</v>
      </c>
      <c r="D197" s="7" t="n">
        <f aca="false">IF(ISBLANK(Mkt!C35),"",Mkt!C35)</f>
        <v>35</v>
      </c>
      <c r="E197" s="7" t="n">
        <f aca="false">IF(ISBLANK(Mkt!D35),"",Mkt!D35)</f>
        <v>55.227347</v>
      </c>
      <c r="F197" s="7" t="n">
        <f aca="false">IF(ISBLANK(Mkt!E35),"",Mkt!E35)</f>
        <v>154.08429813</v>
      </c>
      <c r="G197" s="7" t="n">
        <f aca="false">IF(ISBLANK(Mkt!F35),"",Mkt!F35)</f>
        <v>97.24472496</v>
      </c>
      <c r="H197" s="7" t="n">
        <f aca="false">IF(ISBLANK(Mkt!G35),"",Mkt!G35)</f>
        <v>132.7390495704</v>
      </c>
      <c r="I197" s="12" t="s">
        <v>1344</v>
      </c>
    </row>
    <row r="199" customFormat="false" ht="17.15" hidden="false" customHeight="false" outlineLevel="0" collapsed="false">
      <c r="A199" s="10" t="s">
        <v>1345</v>
      </c>
    </row>
    <row r="200" customFormat="false" ht="17.15" hidden="false" customHeight="false" outlineLevel="0" collapsed="false">
      <c r="A200" s="0" t="s">
        <v>1346</v>
      </c>
      <c r="B200" s="0" t="s">
        <v>1347</v>
      </c>
      <c r="C200" s="6" t="s">
        <v>319</v>
      </c>
      <c r="E200" s="7" t="n">
        <f aca="false">Units!C4</f>
        <v>5.4</v>
      </c>
      <c r="F200" s="7" t="n">
        <f aca="false">Units!D4</f>
        <v>2.4</v>
      </c>
      <c r="G200" s="7" t="n">
        <f aca="false">Units!E4</f>
        <v>0.5</v>
      </c>
      <c r="H200" s="7" t="n">
        <f aca="false">Units!F4</f>
        <v>0.25</v>
      </c>
      <c r="I200" s="12" t="s">
        <v>1348</v>
      </c>
    </row>
    <row r="201" customFormat="false" ht="17.15" hidden="false" customHeight="false" outlineLevel="0" collapsed="false">
      <c r="A201" s="0" t="s">
        <v>1349</v>
      </c>
      <c r="B201" s="0" t="s">
        <v>1350</v>
      </c>
      <c r="C201" s="6" t="s">
        <v>319</v>
      </c>
      <c r="E201" s="7" t="n">
        <f aca="false">Units!C5</f>
        <v>1.7</v>
      </c>
      <c r="F201" s="7" t="n">
        <f aca="false">Units!D5</f>
        <v>7</v>
      </c>
      <c r="G201" s="7" t="n">
        <f aca="false">Units!E5</f>
        <v>7</v>
      </c>
      <c r="H201" s="7" t="n">
        <f aca="false">Units!F5</f>
        <v>8.05</v>
      </c>
      <c r="I201" s="12" t="s">
        <v>1351</v>
      </c>
    </row>
    <row r="202" customFormat="false" ht="17.15" hidden="false" customHeight="false" outlineLevel="0" collapsed="false">
      <c r="A202" s="0" t="s">
        <v>1352</v>
      </c>
      <c r="B202" s="0" t="s">
        <v>1353</v>
      </c>
      <c r="C202" s="6" t="s">
        <v>319</v>
      </c>
      <c r="E202" s="7" t="n">
        <f aca="false">Units!C6</f>
        <v>0</v>
      </c>
      <c r="F202" s="7" t="n">
        <f aca="false">Units!D6</f>
        <v>0.3</v>
      </c>
      <c r="G202" s="7" t="n">
        <f aca="false">Units!E6</f>
        <v>2</v>
      </c>
      <c r="H202" s="7" t="n">
        <f aca="false">Units!F6</f>
        <v>2.3</v>
      </c>
      <c r="I202" s="12" t="s">
        <v>1354</v>
      </c>
    </row>
    <row r="203" customFormat="false" ht="17.15" hidden="false" customHeight="false" outlineLevel="0" collapsed="false">
      <c r="A203" s="0" t="s">
        <v>1355</v>
      </c>
      <c r="B203" s="0" t="s">
        <v>1356</v>
      </c>
      <c r="C203" s="6" t="s">
        <v>319</v>
      </c>
      <c r="E203" s="7" t="n">
        <f aca="false">Units!C7</f>
        <v>0.5</v>
      </c>
      <c r="F203" s="7" t="n">
        <f aca="false">Units!D7</f>
        <v>0</v>
      </c>
      <c r="G203" s="7" t="n">
        <f aca="false">Units!E7</f>
        <v>0</v>
      </c>
      <c r="H203" s="7" t="n">
        <f aca="false">Units!F7</f>
        <v>0</v>
      </c>
      <c r="I203" s="12" t="s">
        <v>1357</v>
      </c>
    </row>
    <row r="204" customFormat="false" ht="17.15" hidden="false" customHeight="false" outlineLevel="0" collapsed="false">
      <c r="A204" s="0" t="s">
        <v>1358</v>
      </c>
      <c r="B204" s="0" t="s">
        <v>1359</v>
      </c>
      <c r="C204" s="6" t="s">
        <v>319</v>
      </c>
      <c r="E204" s="7" t="n">
        <f aca="false">Units!C8</f>
        <v>0.75</v>
      </c>
      <c r="F204" s="7" t="n">
        <f aca="false">Units!D8</f>
        <v>1.5</v>
      </c>
      <c r="G204" s="7" t="n">
        <f aca="false">Units!E8</f>
        <v>2</v>
      </c>
      <c r="H204" s="7" t="n">
        <f aca="false">Units!F8</f>
        <v>2.3</v>
      </c>
      <c r="I204" s="12" t="s">
        <v>1360</v>
      </c>
    </row>
    <row r="205" customFormat="false" ht="17.15" hidden="false" customHeight="false" outlineLevel="0" collapsed="false">
      <c r="A205" s="0" t="s">
        <v>1361</v>
      </c>
      <c r="B205" s="0" t="s">
        <v>1362</v>
      </c>
      <c r="C205" s="6" t="s">
        <v>319</v>
      </c>
      <c r="E205" s="7" t="n">
        <f aca="false">Units!C9</f>
        <v>3.85</v>
      </c>
      <c r="F205" s="7" t="n">
        <f aca="false">Units!D9</f>
        <v>5.5</v>
      </c>
      <c r="G205" s="7" t="n">
        <f aca="false">Units!E9</f>
        <v>7</v>
      </c>
      <c r="H205" s="7" t="n">
        <f aca="false">Units!F9</f>
        <v>8.05</v>
      </c>
      <c r="I205" s="12" t="s">
        <v>1363</v>
      </c>
    </row>
    <row r="206" customFormat="false" ht="17.15" hidden="false" customHeight="false" outlineLevel="0" collapsed="false">
      <c r="A206" s="0" t="s">
        <v>1364</v>
      </c>
      <c r="B206" s="0" t="s">
        <v>1365</v>
      </c>
      <c r="C206" s="6" t="s">
        <v>319</v>
      </c>
      <c r="E206" s="7" t="n">
        <f aca="false">Units!C10</f>
        <v>2</v>
      </c>
      <c r="F206" s="7" t="n">
        <f aca="false">Units!D10</f>
        <v>2.5</v>
      </c>
      <c r="G206" s="7" t="n">
        <f aca="false">Units!E10</f>
        <v>3</v>
      </c>
      <c r="H206" s="7" t="n">
        <f aca="false">Units!F10</f>
        <v>3.45</v>
      </c>
      <c r="I206" s="12" t="s">
        <v>1366</v>
      </c>
    </row>
    <row r="207" customFormat="false" ht="17.15" hidden="false" customHeight="false" outlineLevel="0" collapsed="false">
      <c r="A207" s="0" t="s">
        <v>1367</v>
      </c>
      <c r="B207" s="6" t="s">
        <v>1368</v>
      </c>
      <c r="C207" s="6" t="s">
        <v>319</v>
      </c>
      <c r="E207" s="7" t="n">
        <f aca="false">Units!C11</f>
        <v>1</v>
      </c>
      <c r="F207" s="7" t="n">
        <f aca="false">Units!D11</f>
        <v>4.5</v>
      </c>
      <c r="G207" s="7" t="n">
        <f aca="false">Units!E11</f>
        <v>5</v>
      </c>
      <c r="H207" s="7" t="n">
        <f aca="false">Units!F11</f>
        <v>5.75</v>
      </c>
      <c r="I207" s="12" t="s">
        <v>1369</v>
      </c>
    </row>
    <row r="208" customFormat="false" ht="17.15" hidden="false" customHeight="false" outlineLevel="0" collapsed="false">
      <c r="A208" s="0" t="s">
        <v>1370</v>
      </c>
      <c r="B208" s="6" t="s">
        <v>1371</v>
      </c>
      <c r="C208" s="6" t="s">
        <v>319</v>
      </c>
      <c r="E208" s="7" t="n">
        <f aca="false">Units!C12</f>
        <v>15.2</v>
      </c>
      <c r="F208" s="7" t="n">
        <f aca="false">Units!D12</f>
        <v>23.7</v>
      </c>
      <c r="G208" s="7" t="n">
        <f aca="false">Units!E12</f>
        <v>26.5</v>
      </c>
      <c r="H208" s="7" t="n">
        <f aca="false">Units!F12</f>
        <v>30.15</v>
      </c>
      <c r="I208" s="12" t="s">
        <v>1372</v>
      </c>
    </row>
    <row r="209" customFormat="false" ht="17.15" hidden="false" customHeight="false" outlineLevel="0" collapsed="false">
      <c r="A209" s="0" t="s">
        <v>1373</v>
      </c>
      <c r="B209" s="6" t="s">
        <v>1374</v>
      </c>
      <c r="C209" s="6" t="s">
        <v>319</v>
      </c>
      <c r="E209" s="7" t="n">
        <f aca="false">Units!C13</f>
        <v>15.2</v>
      </c>
      <c r="F209" s="7" t="n">
        <f aca="false">Units!D13</f>
        <v>23.7</v>
      </c>
      <c r="G209" s="7" t="n">
        <f aca="false">Units!E13</f>
        <v>26.5</v>
      </c>
      <c r="H209" s="7" t="n">
        <f aca="false">Units!F13</f>
        <v>30.15</v>
      </c>
      <c r="I209" s="12" t="s">
        <v>1375</v>
      </c>
    </row>
    <row r="210" customFormat="false" ht="17.15" hidden="false" customHeight="false" outlineLevel="0" collapsed="false">
      <c r="A210" s="0" t="s">
        <v>1376</v>
      </c>
      <c r="B210" s="6" t="s">
        <v>1377</v>
      </c>
      <c r="C210" s="6" t="s">
        <v>319</v>
      </c>
      <c r="E210" s="7" t="n">
        <f aca="false">Units!C14</f>
        <v>15.2</v>
      </c>
      <c r="F210" s="7" t="n">
        <f aca="false">Units!D14</f>
        <v>23.7</v>
      </c>
      <c r="G210" s="7" t="n">
        <f aca="false">Units!E14</f>
        <v>21.2</v>
      </c>
      <c r="H210" s="7" t="n">
        <f aca="false">Units!F14</f>
        <v>25.6275</v>
      </c>
      <c r="I210" s="12" t="s">
        <v>1378</v>
      </c>
    </row>
    <row r="211" customFormat="false" ht="17.15" hidden="false" customHeight="false" outlineLevel="0" collapsed="false">
      <c r="A211" s="0" t="s">
        <v>1379</v>
      </c>
      <c r="B211" s="6" t="s">
        <v>1380</v>
      </c>
      <c r="C211" s="6" t="s">
        <v>319</v>
      </c>
      <c r="E211" s="7" t="n">
        <f aca="false">Units!C15</f>
        <v>15.2</v>
      </c>
      <c r="F211" s="7" t="n">
        <f aca="false">Units!D15</f>
        <v>23.7</v>
      </c>
      <c r="G211" s="7" t="n">
        <f aca="false">Units!E15</f>
        <v>15.9</v>
      </c>
      <c r="H211" s="7" t="n">
        <f aca="false">Units!F15</f>
        <v>18.09</v>
      </c>
      <c r="I211" s="12" t="s">
        <v>1381</v>
      </c>
    </row>
    <row r="212" customFormat="false" ht="17.15" hidden="false" customHeight="false" outlineLevel="0" collapsed="false">
      <c r="A212" s="0" t="s">
        <v>1382</v>
      </c>
      <c r="B212" s="0" t="s">
        <v>1383</v>
      </c>
      <c r="C212" s="0" t="s">
        <v>48</v>
      </c>
      <c r="E212" s="24" t="n">
        <f aca="false">Units!G12</f>
        <v>0.137735849056604</v>
      </c>
      <c r="I212" s="12" t="s">
        <v>1384</v>
      </c>
    </row>
    <row r="214" customFormat="false" ht="17.15" hidden="false" customHeight="false" outlineLevel="0" collapsed="false">
      <c r="A214" s="10" t="s">
        <v>1385</v>
      </c>
    </row>
    <row r="215" customFormat="false" ht="15" hidden="false" customHeight="false" outlineLevel="0" collapsed="false">
      <c r="A215" s="4" t="s">
        <v>13</v>
      </c>
      <c r="B215" s="4" t="s">
        <v>37</v>
      </c>
      <c r="C215" s="4" t="s">
        <v>38</v>
      </c>
      <c r="D215" s="4" t="s">
        <v>39</v>
      </c>
      <c r="E215" s="4" t="s">
        <v>40</v>
      </c>
      <c r="F215" s="4" t="s">
        <v>41</v>
      </c>
      <c r="G215" s="4"/>
      <c r="H215" s="4" t="s">
        <v>1120</v>
      </c>
    </row>
    <row r="216" customFormat="false" ht="17.15" hidden="false" customHeight="false" outlineLevel="0" collapsed="false">
      <c r="A216" s="0" t="s">
        <v>1386</v>
      </c>
      <c r="B216" s="6" t="s">
        <v>1387</v>
      </c>
      <c r="C216" s="6" t="s">
        <v>748</v>
      </c>
      <c r="D216" s="20" t="n">
        <f aca="false">IF(ISBLANK(TK_In!D5),"",TK_In!D5)</f>
        <v>22439</v>
      </c>
      <c r="E216" s="20" t="n">
        <f aca="false">IF(ISBLANK(TK_In!E5),"",TK_In!E5)</f>
        <v>22439</v>
      </c>
      <c r="F216" s="20" t="n">
        <f aca="false">IF(ISBLANK(TK_In!F5),"",TK_In!F5)</f>
        <v>22439</v>
      </c>
      <c r="H216" s="12" t="s">
        <v>1388</v>
      </c>
    </row>
    <row r="217" customFormat="false" ht="17.15" hidden="false" customHeight="false" outlineLevel="0" collapsed="false">
      <c r="A217" s="0" t="s">
        <v>1389</v>
      </c>
      <c r="B217" s="6" t="s">
        <v>1390</v>
      </c>
      <c r="C217" s="6" t="s">
        <v>748</v>
      </c>
      <c r="D217" s="20" t="n">
        <f aca="false">IF(ISBLANK(TK_In!D6),"",TK_In!D6)</f>
        <v>6969</v>
      </c>
      <c r="E217" s="20" t="n">
        <f aca="false">IF(ISBLANK(TK_In!E6),"",TK_In!E6)</f>
        <v>6969</v>
      </c>
      <c r="F217" s="20" t="n">
        <f aca="false">IF(ISBLANK(TK_In!F6),"",TK_In!F6)</f>
        <v>6969</v>
      </c>
      <c r="H217" s="12" t="s">
        <v>1391</v>
      </c>
    </row>
    <row r="218" customFormat="false" ht="17.15" hidden="false" customHeight="false" outlineLevel="0" collapsed="false">
      <c r="A218" s="0" t="s">
        <v>1392</v>
      </c>
      <c r="B218" s="6" t="s">
        <v>1393</v>
      </c>
      <c r="C218" s="6" t="s">
        <v>748</v>
      </c>
      <c r="D218" s="20" t="n">
        <f aca="false">IF(ISBLANK(TK_In!D7),"",TK_In!D7)</f>
        <v>6764</v>
      </c>
      <c r="E218" s="20" t="n">
        <f aca="false">IF(ISBLANK(TK_In!E7),"",TK_In!E7)</f>
        <v>6764</v>
      </c>
      <c r="F218" s="20" t="n">
        <f aca="false">IF(ISBLANK(TK_In!F7),"",TK_In!F7)</f>
        <v>6764</v>
      </c>
      <c r="H218" s="12" t="s">
        <v>1394</v>
      </c>
    </row>
    <row r="219" customFormat="false" ht="17.15" hidden="false" customHeight="false" outlineLevel="0" collapsed="false">
      <c r="A219" s="0" t="s">
        <v>1395</v>
      </c>
      <c r="B219" s="6" t="s">
        <v>1396</v>
      </c>
      <c r="C219" s="6" t="s">
        <v>748</v>
      </c>
      <c r="D219" s="20" t="n">
        <f aca="false">IF(ISBLANK(TK_In!D8),"",TK_In!D8)</f>
        <v>4052</v>
      </c>
      <c r="E219" s="20" t="n">
        <f aca="false">IF(ISBLANK(TK_In!E8),"",TK_In!E8)</f>
        <v>4052</v>
      </c>
      <c r="F219" s="20" t="n">
        <f aca="false">IF(ISBLANK(TK_In!F8),"",TK_In!F8)</f>
        <v>4052</v>
      </c>
      <c r="H219" s="12" t="s">
        <v>1397</v>
      </c>
    </row>
    <row r="220" customFormat="false" ht="17.15" hidden="false" customHeight="false" outlineLevel="0" collapsed="false">
      <c r="A220" s="0" t="s">
        <v>1398</v>
      </c>
      <c r="B220" s="6" t="s">
        <v>1399</v>
      </c>
      <c r="C220" s="6" t="s">
        <v>748</v>
      </c>
      <c r="D220" s="20" t="n">
        <f aca="false">IF(ISBLANK(TK_In!D9),"",TK_In!D9)</f>
        <v>2705</v>
      </c>
      <c r="E220" s="20" t="n">
        <f aca="false">IF(ISBLANK(TK_In!E9),"",TK_In!E9)</f>
        <v>2705</v>
      </c>
      <c r="F220" s="20" t="n">
        <f aca="false">IF(ISBLANK(TK_In!F9),"",TK_In!F9)</f>
        <v>2705</v>
      </c>
      <c r="H220" s="12" t="s">
        <v>1400</v>
      </c>
    </row>
    <row r="221" customFormat="false" ht="17.15" hidden="false" customHeight="false" outlineLevel="0" collapsed="false">
      <c r="A221" s="0" t="s">
        <v>1401</v>
      </c>
      <c r="B221" s="6" t="s">
        <v>1402</v>
      </c>
      <c r="C221" s="6" t="s">
        <v>761</v>
      </c>
      <c r="D221" s="20" t="n">
        <f aca="false">IF(ISBLANK(TK_In!D10),"",TK_In!D10)</f>
        <v>718048</v>
      </c>
      <c r="E221" s="20" t="n">
        <f aca="false">IF(ISBLANK(TK_In!E10),"",TK_In!E10)</f>
        <v>718048</v>
      </c>
      <c r="F221" s="20" t="n">
        <f aca="false">IF(ISBLANK(TK_In!F10),"",TK_In!F10)</f>
        <v>718048</v>
      </c>
      <c r="H221" s="12" t="s">
        <v>1403</v>
      </c>
    </row>
    <row r="222" customFormat="false" ht="17.15" hidden="false" customHeight="false" outlineLevel="0" collapsed="false">
      <c r="A222" s="0" t="s">
        <v>1404</v>
      </c>
      <c r="B222" s="6" t="s">
        <v>1405</v>
      </c>
      <c r="C222" s="6" t="s">
        <v>761</v>
      </c>
      <c r="D222" s="20" t="n">
        <f aca="false">IF(ISBLANK(TK_In!D11),"",TK_In!D11)</f>
        <v>501768</v>
      </c>
      <c r="E222" s="20" t="n">
        <f aca="false">IF(ISBLANK(TK_In!E11),"",TK_In!E11)</f>
        <v>501768</v>
      </c>
      <c r="F222" s="20" t="n">
        <f aca="false">IF(ISBLANK(TK_In!F11),"",TK_In!F11)</f>
        <v>501768</v>
      </c>
      <c r="H222" s="12" t="s">
        <v>1406</v>
      </c>
    </row>
    <row r="223" customFormat="false" ht="17.15" hidden="false" customHeight="false" outlineLevel="0" collapsed="false">
      <c r="A223" s="0" t="s">
        <v>1407</v>
      </c>
      <c r="B223" s="6" t="s">
        <v>1408</v>
      </c>
      <c r="C223" s="6" t="s">
        <v>761</v>
      </c>
      <c r="D223" s="20" t="n">
        <f aca="false">IF(ISBLANK(TK_In!D12),"",TK_In!D12)</f>
        <v>487008</v>
      </c>
      <c r="E223" s="20" t="n">
        <f aca="false">IF(ISBLANK(TK_In!E12),"",TK_In!E12)</f>
        <v>487008</v>
      </c>
      <c r="F223" s="20" t="n">
        <f aca="false">IF(ISBLANK(TK_In!F12),"",TK_In!F12)</f>
        <v>487008</v>
      </c>
      <c r="H223" s="12" t="s">
        <v>1409</v>
      </c>
    </row>
    <row r="224" customFormat="false" ht="17.15" hidden="false" customHeight="false" outlineLevel="0" collapsed="false">
      <c r="A224" s="0" t="s">
        <v>1410</v>
      </c>
      <c r="B224" s="6" t="s">
        <v>1411</v>
      </c>
      <c r="C224" s="6" t="s">
        <v>761</v>
      </c>
      <c r="D224" s="20" t="n">
        <f aca="false">IF(ISBLANK(TK_In!D13),"",TK_In!D13)</f>
        <v>291744</v>
      </c>
      <c r="E224" s="20" t="n">
        <f aca="false">IF(ISBLANK(TK_In!E13),"",TK_In!E13)</f>
        <v>291744</v>
      </c>
      <c r="F224" s="20" t="n">
        <f aca="false">IF(ISBLANK(TK_In!F13),"",TK_In!F13)</f>
        <v>291744</v>
      </c>
      <c r="H224" s="12" t="s">
        <v>1412</v>
      </c>
    </row>
    <row r="225" customFormat="false" ht="17.15" hidden="false" customHeight="false" outlineLevel="0" collapsed="false">
      <c r="A225" s="0" t="s">
        <v>1413</v>
      </c>
      <c r="B225" s="6" t="s">
        <v>1414</v>
      </c>
      <c r="C225" s="6" t="s">
        <v>761</v>
      </c>
      <c r="D225" s="20" t="n">
        <f aca="false">IF(ISBLANK(TK_In!D14),"",TK_In!D14)</f>
        <v>194760</v>
      </c>
      <c r="E225" s="20" t="n">
        <f aca="false">IF(ISBLANK(TK_In!E14),"",TK_In!E14)</f>
        <v>194760</v>
      </c>
      <c r="F225" s="20" t="n">
        <f aca="false">IF(ISBLANK(TK_In!F14),"",TK_In!F14)</f>
        <v>194760</v>
      </c>
      <c r="H225" s="12" t="s">
        <v>1415</v>
      </c>
    </row>
    <row r="226" customFormat="false" ht="17.15" hidden="false" customHeight="false" outlineLevel="0" collapsed="false">
      <c r="A226" s="0" t="s">
        <v>1416</v>
      </c>
      <c r="B226" s="6" t="s">
        <v>1417</v>
      </c>
      <c r="C226" s="0" t="s">
        <v>499</v>
      </c>
      <c r="D226" s="20" t="n">
        <f aca="false">IF(ISBLANK(TK_In!D15),"",TK_In!D15)</f>
        <v>21.4202694</v>
      </c>
      <c r="E226" s="20" t="n">
        <f aca="false">IF(ISBLANK(TK_In!E15),"",TK_In!E15)</f>
        <v>27.510214</v>
      </c>
      <c r="F226" s="20" t="n">
        <f aca="false">IF(ISBLANK(TK_In!F15),"",TK_In!F15)</f>
        <v>34.1207434</v>
      </c>
      <c r="H226" s="12" t="s">
        <v>1418</v>
      </c>
    </row>
    <row r="227" customFormat="false" ht="17.15" hidden="false" customHeight="false" outlineLevel="0" collapsed="false">
      <c r="A227" s="0" t="s">
        <v>1419</v>
      </c>
      <c r="B227" s="6" t="s">
        <v>1420</v>
      </c>
      <c r="C227" s="0" t="s">
        <v>499</v>
      </c>
      <c r="D227" s="20" t="n">
        <f aca="false">IF(ISBLANK(TK_In!D16),"",TK_In!D16)</f>
        <v>20.6393904</v>
      </c>
      <c r="E227" s="20" t="n">
        <f aca="false">IF(ISBLANK(TK_In!E16),"",TK_In!E16)</f>
        <v>24.015174</v>
      </c>
      <c r="F227" s="20" t="n">
        <f aca="false">IF(ISBLANK(TK_In!F16),"",TK_In!F16)</f>
        <v>27.6502044</v>
      </c>
      <c r="H227" s="12" t="s">
        <v>1421</v>
      </c>
    </row>
    <row r="228" customFormat="false" ht="17.15" hidden="false" customHeight="false" outlineLevel="0" collapsed="false">
      <c r="A228" s="0" t="s">
        <v>1422</v>
      </c>
      <c r="B228" s="6" t="s">
        <v>1423</v>
      </c>
      <c r="C228" s="0" t="s">
        <v>499</v>
      </c>
      <c r="D228" s="20" t="n">
        <f aca="false">IF(ISBLANK(TK_In!D17),"",TK_In!D17)</f>
        <v>28.5549024</v>
      </c>
      <c r="E228" s="20" t="n">
        <f aca="false">IF(ISBLANK(TK_In!E17),"",TK_In!E17)</f>
        <v>32.237224</v>
      </c>
      <c r="F228" s="20" t="n">
        <f aca="false">IF(ISBLANK(TK_In!F17),"",TK_In!F17)</f>
        <v>39.2826064</v>
      </c>
      <c r="H228" s="12" t="s">
        <v>1424</v>
      </c>
    </row>
    <row r="229" customFormat="false" ht="17.15" hidden="false" customHeight="false" outlineLevel="0" collapsed="false">
      <c r="A229" s="0" t="s">
        <v>1425</v>
      </c>
      <c r="B229" s="6" t="s">
        <v>1426</v>
      </c>
      <c r="C229" s="0" t="s">
        <v>499</v>
      </c>
      <c r="D229" s="20" t="n">
        <f aca="false">IF(ISBLANK(TK_In!D18),"",TK_In!D18)</f>
        <v>31.9970232</v>
      </c>
      <c r="E229" s="20" t="n">
        <f aca="false">IF(ISBLANK(TK_In!E18),"",TK_In!E18)</f>
        <v>37.586352</v>
      </c>
      <c r="F229" s="20" t="n">
        <f aca="false">IF(ISBLANK(TK_In!F18),"",TK_In!F18)</f>
        <v>42.6375752</v>
      </c>
      <c r="H229" s="12" t="s">
        <v>1427</v>
      </c>
    </row>
    <row r="230" customFormat="false" ht="17.15" hidden="false" customHeight="false" outlineLevel="0" collapsed="false">
      <c r="A230" s="0" t="s">
        <v>1428</v>
      </c>
      <c r="B230" s="6" t="s">
        <v>1429</v>
      </c>
      <c r="C230" s="0" t="s">
        <v>499</v>
      </c>
      <c r="D230" s="20" t="n">
        <f aca="false">IF(ISBLANK(TK_In!D19),"",TK_In!D19)</f>
        <v>35.845578</v>
      </c>
      <c r="E230" s="20" t="n">
        <f aca="false">IF(ISBLANK(TK_In!E19),"",TK_In!E19)</f>
        <v>50.08578</v>
      </c>
      <c r="F230" s="20" t="n">
        <f aca="false">IF(ISBLANK(TK_In!F19),"",TK_In!F19)</f>
        <v>65.481558</v>
      </c>
      <c r="H230" s="12" t="s">
        <v>1430</v>
      </c>
    </row>
    <row r="231" customFormat="false" ht="17.15" hidden="false" customHeight="false" outlineLevel="0" collapsed="false">
      <c r="A231" s="0" t="s">
        <v>1431</v>
      </c>
      <c r="B231" s="6" t="s">
        <v>1432</v>
      </c>
      <c r="C231" s="0" t="s">
        <v>499</v>
      </c>
      <c r="D231" s="20" t="n">
        <f aca="false">IF(ISBLANK(TK_In!D20),"",TK_In!D20)</f>
        <v>10.212</v>
      </c>
      <c r="E231" s="20" t="n">
        <f aca="false">IF(ISBLANK(TK_In!E20),"",TK_In!E20)</f>
        <v>12.67</v>
      </c>
      <c r="F231" s="20" t="n">
        <f aca="false">IF(ISBLANK(TK_In!F20),"",TK_In!F20)</f>
        <v>16.186</v>
      </c>
      <c r="H231" s="12" t="s">
        <v>1433</v>
      </c>
    </row>
    <row r="232" customFormat="false" ht="17.15" hidden="false" customHeight="false" outlineLevel="0" collapsed="false">
      <c r="A232" s="0" t="s">
        <v>1434</v>
      </c>
      <c r="B232" s="6" t="s">
        <v>1435</v>
      </c>
      <c r="C232" s="0" t="s">
        <v>499</v>
      </c>
      <c r="D232" s="20" t="n">
        <f aca="false">IF(ISBLANK(TK_In!D21),"",TK_In!D21)</f>
        <v>10.212</v>
      </c>
      <c r="E232" s="20" t="n">
        <f aca="false">IF(ISBLANK(TK_In!E21),"",TK_In!E21)</f>
        <v>12.67</v>
      </c>
      <c r="F232" s="20" t="n">
        <f aca="false">IF(ISBLANK(TK_In!F21),"",TK_In!F21)</f>
        <v>16.186</v>
      </c>
      <c r="H232" s="12" t="s">
        <v>1436</v>
      </c>
    </row>
    <row r="233" customFormat="false" ht="17.15" hidden="false" customHeight="false" outlineLevel="0" collapsed="false">
      <c r="A233" s="0" t="s">
        <v>1437</v>
      </c>
      <c r="B233" s="6" t="s">
        <v>1438</v>
      </c>
      <c r="C233" s="0" t="s">
        <v>499</v>
      </c>
      <c r="D233" s="20" t="n">
        <f aca="false">IF(ISBLANK(TK_In!D22),"",TK_In!D22)</f>
        <v>10.212</v>
      </c>
      <c r="E233" s="20" t="n">
        <f aca="false">IF(ISBLANK(TK_In!E22),"",TK_In!E22)</f>
        <v>12.67</v>
      </c>
      <c r="F233" s="20" t="n">
        <f aca="false">IF(ISBLANK(TK_In!F22),"",TK_In!F22)</f>
        <v>16.186</v>
      </c>
      <c r="H233" s="12" t="s">
        <v>1439</v>
      </c>
    </row>
    <row r="234" customFormat="false" ht="17.15" hidden="false" customHeight="false" outlineLevel="0" collapsed="false">
      <c r="A234" s="0" t="s">
        <v>1440</v>
      </c>
      <c r="B234" s="6" t="s">
        <v>1441</v>
      </c>
      <c r="C234" s="0" t="s">
        <v>499</v>
      </c>
      <c r="D234" s="20" t="n">
        <f aca="false">IF(ISBLANK(TK_In!D23),"",TK_In!D23)</f>
        <v>10.212</v>
      </c>
      <c r="E234" s="20" t="n">
        <f aca="false">IF(ISBLANK(TK_In!E23),"",TK_In!E23)</f>
        <v>12.67</v>
      </c>
      <c r="F234" s="20" t="n">
        <f aca="false">IF(ISBLANK(TK_In!F23),"",TK_In!F23)</f>
        <v>16.186</v>
      </c>
      <c r="H234" s="12" t="s">
        <v>1442</v>
      </c>
    </row>
    <row r="235" customFormat="false" ht="17.15" hidden="false" customHeight="false" outlineLevel="0" collapsed="false">
      <c r="A235" s="0" t="s">
        <v>1443</v>
      </c>
      <c r="B235" s="6" t="s">
        <v>1444</v>
      </c>
      <c r="C235" s="0" t="s">
        <v>499</v>
      </c>
      <c r="D235" s="20" t="n">
        <f aca="false">IF(ISBLANK(TK_In!D24),"",TK_In!D24)</f>
        <v>10.212</v>
      </c>
      <c r="E235" s="20" t="n">
        <f aca="false">IF(ISBLANK(TK_In!E24),"",TK_In!E24)</f>
        <v>12.67</v>
      </c>
      <c r="F235" s="20" t="n">
        <f aca="false">IF(ISBLANK(TK_In!F24),"",TK_In!F24)</f>
        <v>16.186</v>
      </c>
      <c r="H235" s="12" t="s">
        <v>1445</v>
      </c>
    </row>
    <row r="236" customFormat="false" ht="17.15" hidden="false" customHeight="false" outlineLevel="0" collapsed="false">
      <c r="A236" s="0" t="s">
        <v>1446</v>
      </c>
      <c r="B236" s="6" t="s">
        <v>1447</v>
      </c>
      <c r="C236" s="0" t="s">
        <v>499</v>
      </c>
      <c r="D236" s="20" t="n">
        <f aca="false">IF(ISBLANK(TK_In!D25),"",TK_In!D25)</f>
        <v>31.6322694</v>
      </c>
      <c r="E236" s="20" t="n">
        <f aca="false">IF(ISBLANK(TK_In!E25),"",TK_In!E25)</f>
        <v>40.180214</v>
      </c>
      <c r="F236" s="20" t="n">
        <f aca="false">IF(ISBLANK(TK_In!F25),"",TK_In!F25)</f>
        <v>50.3067434</v>
      </c>
      <c r="H236" s="12" t="s">
        <v>1448</v>
      </c>
    </row>
    <row r="237" customFormat="false" ht="17.15" hidden="false" customHeight="false" outlineLevel="0" collapsed="false">
      <c r="A237" s="0" t="s">
        <v>1449</v>
      </c>
      <c r="B237" s="6" t="s">
        <v>1450</v>
      </c>
      <c r="C237" s="0" t="s">
        <v>499</v>
      </c>
      <c r="D237" s="20" t="n">
        <f aca="false">IF(ISBLANK(TK_In!D26),"",TK_In!D26)</f>
        <v>30.8513904</v>
      </c>
      <c r="E237" s="20" t="n">
        <f aca="false">IF(ISBLANK(TK_In!E26),"",TK_In!E26)</f>
        <v>36.685174</v>
      </c>
      <c r="F237" s="20" t="n">
        <f aca="false">IF(ISBLANK(TK_In!F26),"",TK_In!F26)</f>
        <v>43.8362044</v>
      </c>
      <c r="H237" s="12" t="s">
        <v>1451</v>
      </c>
    </row>
    <row r="238" customFormat="false" ht="17.15" hidden="false" customHeight="false" outlineLevel="0" collapsed="false">
      <c r="A238" s="0" t="s">
        <v>1452</v>
      </c>
      <c r="B238" s="6" t="s">
        <v>1453</v>
      </c>
      <c r="C238" s="0" t="s">
        <v>499</v>
      </c>
      <c r="D238" s="20" t="n">
        <f aca="false">IF(ISBLANK(TK_In!D27),"",TK_In!D27)</f>
        <v>38.7669024</v>
      </c>
      <c r="E238" s="20" t="n">
        <f aca="false">IF(ISBLANK(TK_In!E27),"",TK_In!E27)</f>
        <v>44.907224</v>
      </c>
      <c r="F238" s="20" t="n">
        <f aca="false">IF(ISBLANK(TK_In!F27),"",TK_In!F27)</f>
        <v>55.4686064</v>
      </c>
      <c r="H238" s="12" t="s">
        <v>1454</v>
      </c>
    </row>
    <row r="239" customFormat="false" ht="17.15" hidden="false" customHeight="false" outlineLevel="0" collapsed="false">
      <c r="A239" s="0" t="s">
        <v>1455</v>
      </c>
      <c r="B239" s="6" t="s">
        <v>1456</v>
      </c>
      <c r="C239" s="0" t="s">
        <v>499</v>
      </c>
      <c r="D239" s="20" t="n">
        <f aca="false">IF(ISBLANK(TK_In!D28),"",TK_In!D28)</f>
        <v>42.2090232</v>
      </c>
      <c r="E239" s="20" t="n">
        <f aca="false">IF(ISBLANK(TK_In!E28),"",TK_In!E28)</f>
        <v>50.256352</v>
      </c>
      <c r="F239" s="20" t="n">
        <f aca="false">IF(ISBLANK(TK_In!F28),"",TK_In!F28)</f>
        <v>58.8235752</v>
      </c>
      <c r="H239" s="12" t="s">
        <v>1457</v>
      </c>
    </row>
    <row r="240" customFormat="false" ht="17.15" hidden="false" customHeight="false" outlineLevel="0" collapsed="false">
      <c r="A240" s="0" t="s">
        <v>1458</v>
      </c>
      <c r="B240" s="6" t="s">
        <v>1459</v>
      </c>
      <c r="C240" s="0" t="s">
        <v>499</v>
      </c>
      <c r="D240" s="20" t="n">
        <f aca="false">IF(ISBLANK(TK_In!D29),"",TK_In!D29)</f>
        <v>46.057578</v>
      </c>
      <c r="E240" s="20" t="n">
        <f aca="false">IF(ISBLANK(TK_In!E29),"",TK_In!E29)</f>
        <v>62.75578</v>
      </c>
      <c r="F240" s="20" t="n">
        <f aca="false">IF(ISBLANK(TK_In!F29),"",TK_In!F29)</f>
        <v>81.667558</v>
      </c>
      <c r="H240" s="12" t="s">
        <v>1460</v>
      </c>
    </row>
    <row r="241" customFormat="false" ht="17.15" hidden="false" customHeight="false" outlineLevel="0" collapsed="false">
      <c r="A241" s="0" t="s">
        <v>1461</v>
      </c>
      <c r="B241" s="6" t="s">
        <v>1462</v>
      </c>
      <c r="C241" s="0" t="s">
        <v>792</v>
      </c>
      <c r="D241" s="20" t="n">
        <f aca="false">IF(ISBLANK(TK_In!D30),"",TK_In!D30)</f>
        <v>0.9</v>
      </c>
      <c r="E241" s="20" t="n">
        <f aca="false">IF(ISBLANK(TK_In!E30),"",TK_In!E30)</f>
        <v>1.1</v>
      </c>
      <c r="F241" s="20" t="n">
        <f aca="false">IF(ISBLANK(TK_In!F30),"",TK_In!F30)</f>
        <v>1.3</v>
      </c>
      <c r="H241" s="12" t="s">
        <v>1463</v>
      </c>
    </row>
    <row r="242" customFormat="false" ht="17.15" hidden="false" customHeight="false" outlineLevel="0" collapsed="false">
      <c r="A242" s="0" t="s">
        <v>1464</v>
      </c>
      <c r="B242" s="6" t="s">
        <v>1465</v>
      </c>
      <c r="C242" s="0" t="s">
        <v>792</v>
      </c>
      <c r="D242" s="20" t="n">
        <f aca="false">IF(ISBLANK(TK_In!D31),"",TK_In!D31)</f>
        <v>2.8</v>
      </c>
      <c r="E242" s="20" t="n">
        <f aca="false">IF(ISBLANK(TK_In!E31),"",TK_In!E31)</f>
        <v>3.1</v>
      </c>
      <c r="F242" s="20" t="n">
        <f aca="false">IF(ISBLANK(TK_In!F31),"",TK_In!F31)</f>
        <v>3.4</v>
      </c>
      <c r="H242" s="12" t="s">
        <v>1466</v>
      </c>
    </row>
    <row r="243" customFormat="false" ht="17.15" hidden="false" customHeight="false" outlineLevel="0" collapsed="false">
      <c r="A243" s="0" t="s">
        <v>1467</v>
      </c>
      <c r="B243" s="6" t="s">
        <v>1468</v>
      </c>
      <c r="C243" s="0" t="s">
        <v>792</v>
      </c>
      <c r="D243" s="20" t="n">
        <f aca="false">IF(ISBLANK(TK_In!D32),"",TK_In!D32)</f>
        <v>4</v>
      </c>
      <c r="E243" s="20" t="n">
        <f aca="false">IF(ISBLANK(TK_In!E32),"",TK_In!E32)</f>
        <v>4.3</v>
      </c>
      <c r="F243" s="20" t="n">
        <f aca="false">IF(ISBLANK(TK_In!F32),"",TK_In!F32)</f>
        <v>5</v>
      </c>
      <c r="H243" s="12" t="s">
        <v>1469</v>
      </c>
    </row>
    <row r="244" customFormat="false" ht="17.15" hidden="false" customHeight="false" outlineLevel="0" collapsed="false">
      <c r="A244" s="0" t="s">
        <v>1470</v>
      </c>
      <c r="B244" s="6" t="s">
        <v>1471</v>
      </c>
      <c r="C244" s="0" t="s">
        <v>792</v>
      </c>
      <c r="D244" s="20" t="n">
        <f aca="false">IF(ISBLANK(TK_In!D33),"",TK_In!D33)</f>
        <v>7.5</v>
      </c>
      <c r="E244" s="20" t="n">
        <f aca="false">IF(ISBLANK(TK_In!E33),"",TK_In!E33)</f>
        <v>8.4</v>
      </c>
      <c r="F244" s="20" t="n">
        <f aca="false">IF(ISBLANK(TK_In!F33),"",TK_In!F33)</f>
        <v>9.1</v>
      </c>
      <c r="H244" s="12" t="s">
        <v>1472</v>
      </c>
    </row>
    <row r="245" customFormat="false" ht="17.15" hidden="false" customHeight="false" outlineLevel="0" collapsed="false">
      <c r="A245" s="0" t="s">
        <v>1473</v>
      </c>
      <c r="B245" s="6" t="s">
        <v>1474</v>
      </c>
      <c r="C245" s="0" t="s">
        <v>792</v>
      </c>
      <c r="D245" s="20" t="n">
        <f aca="false">IF(ISBLANK(TK_In!D34),"",TK_In!D34)</f>
        <v>12.6</v>
      </c>
      <c r="E245" s="20" t="n">
        <f aca="false">IF(ISBLANK(TK_In!E34),"",TK_In!E34)</f>
        <v>16.8</v>
      </c>
      <c r="F245" s="20" t="n">
        <f aca="false">IF(ISBLANK(TK_In!F34),"",TK_In!F34)</f>
        <v>21</v>
      </c>
      <c r="H245" s="12" t="s">
        <v>1475</v>
      </c>
    </row>
    <row r="246" customFormat="false" ht="17.15" hidden="false" customHeight="false" outlineLevel="0" collapsed="false">
      <c r="A246" s="0" t="s">
        <v>1476</v>
      </c>
      <c r="B246" s="0" t="s">
        <v>1477</v>
      </c>
      <c r="C246" s="6" t="s">
        <v>801</v>
      </c>
      <c r="D246" s="20" t="n">
        <f aca="false">IF(ISBLANK(TK_In!D35),"",TK_In!D35)</f>
        <v>0.05</v>
      </c>
      <c r="E246" s="20" t="n">
        <f aca="false">IF(ISBLANK(TK_In!E35),"",TK_In!E35)</f>
        <v>0.1</v>
      </c>
      <c r="F246" s="20" t="n">
        <f aca="false">IF(ISBLANK(TK_In!F35),"",TK_In!F35)</f>
        <v>0.15</v>
      </c>
      <c r="H246" s="12" t="s">
        <v>1478</v>
      </c>
    </row>
    <row r="247" customFormat="false" ht="17.15" hidden="false" customHeight="false" outlineLevel="0" collapsed="false">
      <c r="A247" s="0" t="s">
        <v>1479</v>
      </c>
      <c r="B247" s="0" t="s">
        <v>1480</v>
      </c>
      <c r="C247" s="6" t="s">
        <v>801</v>
      </c>
      <c r="D247" s="20" t="n">
        <f aca="false">IF(ISBLANK(TK_In!D36),"",TK_In!D36)</f>
        <v>0.05</v>
      </c>
      <c r="E247" s="20" t="n">
        <f aca="false">IF(ISBLANK(TK_In!E36),"",TK_In!E36)</f>
        <v>0.1</v>
      </c>
      <c r="F247" s="20" t="n">
        <f aca="false">IF(ISBLANK(TK_In!F36),"",TK_In!F36)</f>
        <v>0.15</v>
      </c>
      <c r="H247" s="12" t="s">
        <v>1481</v>
      </c>
    </row>
    <row r="248" customFormat="false" ht="17.15" hidden="false" customHeight="false" outlineLevel="0" collapsed="false">
      <c r="A248" s="0" t="s">
        <v>1482</v>
      </c>
      <c r="B248" s="0" t="s">
        <v>1483</v>
      </c>
      <c r="C248" s="6" t="s">
        <v>801</v>
      </c>
      <c r="D248" s="20" t="n">
        <f aca="false">IF(ISBLANK(TK_In!D37),"",TK_In!D37)</f>
        <v>0.05</v>
      </c>
      <c r="E248" s="20" t="n">
        <f aca="false">IF(ISBLANK(TK_In!E37),"",TK_In!E37)</f>
        <v>0.1</v>
      </c>
      <c r="F248" s="20" t="n">
        <f aca="false">IF(ISBLANK(TK_In!F37),"",TK_In!F37)</f>
        <v>0.15</v>
      </c>
      <c r="H248" s="12" t="s">
        <v>1484</v>
      </c>
    </row>
    <row r="249" customFormat="false" ht="17.15" hidden="false" customHeight="false" outlineLevel="0" collapsed="false">
      <c r="A249" s="0" t="s">
        <v>1485</v>
      </c>
      <c r="B249" s="0" t="s">
        <v>1486</v>
      </c>
      <c r="C249" s="6" t="s">
        <v>801</v>
      </c>
      <c r="D249" s="20" t="n">
        <f aca="false">IF(ISBLANK(TK_In!D38),"",TK_In!D38)</f>
        <v>0.05</v>
      </c>
      <c r="E249" s="20" t="n">
        <f aca="false">IF(ISBLANK(TK_In!E38),"",TK_In!E38)</f>
        <v>0.1</v>
      </c>
      <c r="F249" s="20" t="n">
        <f aca="false">IF(ISBLANK(TK_In!F38),"",TK_In!F38)</f>
        <v>0.15</v>
      </c>
      <c r="H249" s="12" t="s">
        <v>1487</v>
      </c>
    </row>
    <row r="250" customFormat="false" ht="17.15" hidden="false" customHeight="false" outlineLevel="0" collapsed="false">
      <c r="A250" s="0" t="s">
        <v>1488</v>
      </c>
      <c r="B250" s="0" t="s">
        <v>1489</v>
      </c>
      <c r="C250" s="6" t="s">
        <v>801</v>
      </c>
      <c r="D250" s="20" t="n">
        <f aca="false">IF(ISBLANK(TK_In!D39),"",TK_In!D39)</f>
        <v>0.05</v>
      </c>
      <c r="E250" s="20" t="n">
        <f aca="false">IF(ISBLANK(TK_In!E39),"",TK_In!E39)</f>
        <v>0.1</v>
      </c>
      <c r="F250" s="20" t="n">
        <f aca="false">IF(ISBLANK(TK_In!F39),"",TK_In!F39)</f>
        <v>0.15</v>
      </c>
      <c r="H250" s="12" t="s">
        <v>1490</v>
      </c>
    </row>
    <row r="251" customFormat="false" ht="17.15" hidden="false" customHeight="false" outlineLevel="0" collapsed="false">
      <c r="A251" s="0" t="s">
        <v>1491</v>
      </c>
      <c r="B251" s="6" t="s">
        <v>1492</v>
      </c>
      <c r="C251" s="0" t="s">
        <v>810</v>
      </c>
      <c r="D251" s="20" t="n">
        <f aca="false">IF(ISBLANK(TK_In!D40),"",TK_In!D40)</f>
        <v>300</v>
      </c>
      <c r="E251" s="20" t="n">
        <f aca="false">IF(ISBLANK(TK_In!E40),"",TK_In!E40)</f>
        <v>500</v>
      </c>
      <c r="F251" s="20" t="n">
        <f aca="false">IF(ISBLANK(TK_In!F40),"",TK_In!F40)</f>
        <v>800</v>
      </c>
      <c r="H251" s="12" t="s">
        <v>1493</v>
      </c>
    </row>
    <row r="252" customFormat="false" ht="17.15" hidden="false" customHeight="false" outlineLevel="0" collapsed="false">
      <c r="A252" s="0" t="s">
        <v>1494</v>
      </c>
      <c r="B252" s="6" t="s">
        <v>1495</v>
      </c>
      <c r="C252" s="0" t="s">
        <v>810</v>
      </c>
      <c r="D252" s="20" t="n">
        <f aca="false">IF(ISBLANK(TK_In!D41),"",TK_In!D41)</f>
        <v>300</v>
      </c>
      <c r="E252" s="20" t="n">
        <f aca="false">IF(ISBLANK(TK_In!E41),"",TK_In!E41)</f>
        <v>500</v>
      </c>
      <c r="F252" s="20" t="n">
        <f aca="false">IF(ISBLANK(TK_In!F41),"",TK_In!F41)</f>
        <v>800</v>
      </c>
      <c r="H252" s="12" t="s">
        <v>1496</v>
      </c>
    </row>
    <row r="253" customFormat="false" ht="17.15" hidden="false" customHeight="false" outlineLevel="0" collapsed="false">
      <c r="A253" s="0" t="s">
        <v>1497</v>
      </c>
      <c r="B253" s="6" t="s">
        <v>1498</v>
      </c>
      <c r="C253" s="0" t="s">
        <v>810</v>
      </c>
      <c r="D253" s="20" t="n">
        <f aca="false">IF(ISBLANK(TK_In!D42),"",TK_In!D42)</f>
        <v>300</v>
      </c>
      <c r="E253" s="20" t="n">
        <f aca="false">IF(ISBLANK(TK_In!E42),"",TK_In!E42)</f>
        <v>500</v>
      </c>
      <c r="F253" s="20" t="n">
        <f aca="false">IF(ISBLANK(TK_In!F42),"",TK_In!F42)</f>
        <v>800</v>
      </c>
      <c r="H253" s="12" t="s">
        <v>1499</v>
      </c>
    </row>
    <row r="254" customFormat="false" ht="17.15" hidden="false" customHeight="false" outlineLevel="0" collapsed="false">
      <c r="A254" s="0" t="s">
        <v>1500</v>
      </c>
      <c r="B254" s="6" t="s">
        <v>1501</v>
      </c>
      <c r="C254" s="0" t="s">
        <v>810</v>
      </c>
      <c r="D254" s="20" t="n">
        <f aca="false">IF(ISBLANK(TK_In!D43),"",TK_In!D43)</f>
        <v>300</v>
      </c>
      <c r="E254" s="20" t="n">
        <f aca="false">IF(ISBLANK(TK_In!E43),"",TK_In!E43)</f>
        <v>500</v>
      </c>
      <c r="F254" s="20" t="n">
        <f aca="false">IF(ISBLANK(TK_In!F43),"",TK_In!F43)</f>
        <v>800</v>
      </c>
      <c r="H254" s="12" t="s">
        <v>1502</v>
      </c>
    </row>
    <row r="255" customFormat="false" ht="17.15" hidden="false" customHeight="false" outlineLevel="0" collapsed="false">
      <c r="A255" s="0" t="s">
        <v>1503</v>
      </c>
      <c r="B255" s="6" t="s">
        <v>1504</v>
      </c>
      <c r="C255" s="0" t="s">
        <v>810</v>
      </c>
      <c r="D255" s="20" t="n">
        <f aca="false">IF(ISBLANK(TK_In!D44),"",TK_In!D44)</f>
        <v>300</v>
      </c>
      <c r="E255" s="20" t="n">
        <f aca="false">IF(ISBLANK(TK_In!E44),"",TK_In!E44)</f>
        <v>500</v>
      </c>
      <c r="F255" s="20" t="n">
        <f aca="false">IF(ISBLANK(TK_In!F44),"",TK_In!F44)</f>
        <v>800</v>
      </c>
      <c r="H255" s="12" t="s">
        <v>1505</v>
      </c>
    </row>
    <row r="256" customFormat="false" ht="17.15" hidden="false" customHeight="false" outlineLevel="0" collapsed="false">
      <c r="A256" s="0" t="s">
        <v>1506</v>
      </c>
      <c r="B256" s="0" t="s">
        <v>817</v>
      </c>
      <c r="C256" s="6" t="s">
        <v>819</v>
      </c>
      <c r="D256" s="20" t="n">
        <f aca="false">IF(ISBLANK(TK_In!D45),"",TK_In!D45)</f>
        <v>0.7</v>
      </c>
      <c r="E256" s="20" t="n">
        <f aca="false">IF(ISBLANK(TK_In!E45),"",TK_In!E45)</f>
        <v>0.8</v>
      </c>
      <c r="F256" s="20" t="n">
        <f aca="false">IF(ISBLANK(TK_In!F45),"",TK_In!F45)</f>
        <v>1.15</v>
      </c>
      <c r="H256" s="12" t="s">
        <v>1507</v>
      </c>
    </row>
    <row r="257" customFormat="false" ht="17.15" hidden="false" customHeight="false" outlineLevel="0" collapsed="false">
      <c r="A257" s="0" t="s">
        <v>1508</v>
      </c>
      <c r="B257" s="0" t="s">
        <v>823</v>
      </c>
      <c r="C257" s="6" t="s">
        <v>819</v>
      </c>
      <c r="D257" s="20" t="n">
        <f aca="false">IF(ISBLANK(TK_In!D46),"",TK_In!D46)</f>
        <v>0.6</v>
      </c>
      <c r="E257" s="20" t="n">
        <f aca="false">IF(ISBLANK(TK_In!E46),"",TK_In!E46)</f>
        <v>0.8</v>
      </c>
      <c r="F257" s="20" t="n">
        <f aca="false">IF(ISBLANK(TK_In!F46),"",TK_In!F46)</f>
        <v>1.1</v>
      </c>
      <c r="H257" s="12" t="s">
        <v>1509</v>
      </c>
    </row>
    <row r="258" customFormat="false" ht="17.15" hidden="false" customHeight="false" outlineLevel="0" collapsed="false">
      <c r="A258" s="0" t="s">
        <v>1510</v>
      </c>
      <c r="B258" s="0" t="s">
        <v>827</v>
      </c>
      <c r="C258" s="6" t="s">
        <v>819</v>
      </c>
      <c r="D258" s="20" t="n">
        <f aca="false">IF(ISBLANK(TK_In!D47),"",TK_In!D47)</f>
        <v>0.3</v>
      </c>
      <c r="E258" s="20" t="n">
        <f aca="false">IF(ISBLANK(TK_In!E47),"",TK_In!E47)</f>
        <v>0.5</v>
      </c>
      <c r="F258" s="20" t="n">
        <f aca="false">IF(ISBLANK(TK_In!F47),"",TK_In!F47)</f>
        <v>0.8</v>
      </c>
      <c r="H258" s="12" t="s">
        <v>1511</v>
      </c>
    </row>
    <row r="259" customFormat="false" ht="17.15" hidden="false" customHeight="false" outlineLevel="0" collapsed="false">
      <c r="A259" s="0" t="s">
        <v>1512</v>
      </c>
      <c r="B259" s="0" t="s">
        <v>831</v>
      </c>
      <c r="C259" s="6" t="s">
        <v>819</v>
      </c>
      <c r="D259" s="20" t="n">
        <f aca="false">IF(ISBLANK(TK_In!D48),"",TK_In!D48)</f>
        <v>0.2</v>
      </c>
      <c r="E259" s="20" t="n">
        <f aca="false">IF(ISBLANK(TK_In!E48),"",TK_In!E48)</f>
        <v>0.4</v>
      </c>
      <c r="F259" s="20" t="n">
        <f aca="false">IF(ISBLANK(TK_In!F48),"",TK_In!F48)</f>
        <v>0.8</v>
      </c>
      <c r="H259" s="12" t="s">
        <v>1513</v>
      </c>
    </row>
    <row r="260" customFormat="false" ht="17.15" hidden="false" customHeight="false" outlineLevel="0" collapsed="false">
      <c r="A260" s="0" t="s">
        <v>1514</v>
      </c>
      <c r="B260" s="0" t="s">
        <v>835</v>
      </c>
      <c r="C260" s="6" t="s">
        <v>819</v>
      </c>
      <c r="D260" s="20" t="n">
        <f aca="false">IF(ISBLANK(TK_In!D49),"",TK_In!D49)</f>
        <v>0.4</v>
      </c>
      <c r="E260" s="20" t="n">
        <f aca="false">IF(ISBLANK(TK_In!E49),"",TK_In!E49)</f>
        <v>0.6</v>
      </c>
      <c r="F260" s="20" t="n">
        <f aca="false">IF(ISBLANK(TK_In!F49),"",TK_In!F49)</f>
        <v>0.9</v>
      </c>
      <c r="H260" s="12" t="s">
        <v>1515</v>
      </c>
    </row>
    <row r="261" customFormat="false" ht="17.15" hidden="false" customHeight="false" outlineLevel="0" collapsed="false">
      <c r="A261" s="0" t="s">
        <v>1516</v>
      </c>
      <c r="B261" s="6" t="s">
        <v>839</v>
      </c>
      <c r="C261" s="6" t="s">
        <v>819</v>
      </c>
      <c r="D261" s="20" t="n">
        <f aca="false">IF(ISBLANK(TK_In!D50),"",TK_In!D50)</f>
        <v>0.05</v>
      </c>
      <c r="E261" s="20" t="n">
        <f aca="false">IF(ISBLANK(TK_In!E50),"",TK_In!E50)</f>
        <v>0.08</v>
      </c>
      <c r="F261" s="20" t="n">
        <f aca="false">IF(ISBLANK(TK_In!F50),"",TK_In!F50)</f>
        <v>0.15</v>
      </c>
      <c r="H261" s="12" t="s">
        <v>1517</v>
      </c>
    </row>
    <row r="262" customFormat="false" ht="17.15" hidden="false" customHeight="false" outlineLevel="0" collapsed="false">
      <c r="A262" s="0" t="s">
        <v>1518</v>
      </c>
      <c r="B262" s="0" t="s">
        <v>843</v>
      </c>
      <c r="C262" s="6" t="s">
        <v>819</v>
      </c>
      <c r="D262" s="20" t="n">
        <f aca="false">IF(ISBLANK(TK_In!D51),"",TK_In!D51)</f>
        <v>0.25</v>
      </c>
      <c r="E262" s="20" t="n">
        <f aca="false">IF(ISBLANK(TK_In!E51),"",TK_In!E51)</f>
        <v>0.55</v>
      </c>
      <c r="F262" s="20" t="n">
        <f aca="false">IF(ISBLANK(TK_In!F51),"",TK_In!F51)</f>
        <v>0.75</v>
      </c>
      <c r="H262" s="12" t="s">
        <v>1519</v>
      </c>
    </row>
    <row r="263" customFormat="false" ht="17.15" hidden="false" customHeight="false" outlineLevel="0" collapsed="false">
      <c r="A263" s="0" t="s">
        <v>1520</v>
      </c>
      <c r="B263" s="0" t="s">
        <v>847</v>
      </c>
      <c r="C263" s="6" t="s">
        <v>819</v>
      </c>
      <c r="D263" s="20" t="n">
        <f aca="false">IF(ISBLANK(TK_In!D52),"",TK_In!D52)</f>
        <v>0.67</v>
      </c>
      <c r="E263" s="20" t="n">
        <f aca="false">IF(ISBLANK(TK_In!E52),"",TK_In!E52)</f>
        <v>0.85</v>
      </c>
      <c r="F263" s="20" t="n">
        <f aca="false">IF(ISBLANK(TK_In!F52),"",TK_In!F52)</f>
        <v>1.12</v>
      </c>
      <c r="H263" s="12" t="s">
        <v>1521</v>
      </c>
    </row>
    <row r="264" customFormat="false" ht="17.15" hidden="false" customHeight="false" outlineLevel="0" collapsed="false">
      <c r="A264" s="0" t="s">
        <v>1522</v>
      </c>
      <c r="B264" s="0" t="s">
        <v>851</v>
      </c>
      <c r="C264" s="6" t="s">
        <v>819</v>
      </c>
      <c r="D264" s="20" t="n">
        <f aca="false">IF(ISBLANK(TK_In!D53),"",TK_In!D53)</f>
        <v>0.65</v>
      </c>
      <c r="E264" s="20" t="n">
        <f aca="false">IF(ISBLANK(TK_In!E53),"",TK_In!E53)</f>
        <v>0.7</v>
      </c>
      <c r="F264" s="20" t="n">
        <f aca="false">IF(ISBLANK(TK_In!F53),"",TK_In!F53)</f>
        <v>0.9</v>
      </c>
      <c r="H264" s="12" t="s">
        <v>1523</v>
      </c>
    </row>
    <row r="265" customFormat="false" ht="17.15" hidden="false" customHeight="false" outlineLevel="0" collapsed="false">
      <c r="A265" s="0" t="s">
        <v>1524</v>
      </c>
      <c r="B265" s="0" t="s">
        <v>855</v>
      </c>
      <c r="C265" s="6" t="s">
        <v>819</v>
      </c>
      <c r="D265" s="20" t="n">
        <f aca="false">IF(ISBLANK(TK_In!D54),"",TK_In!D54)</f>
        <v>0.45</v>
      </c>
      <c r="E265" s="20" t="n">
        <f aca="false">IF(ISBLANK(TK_In!E54),"",TK_In!E54)</f>
        <v>0.61</v>
      </c>
      <c r="F265" s="20" t="n">
        <f aca="false">IF(ISBLANK(TK_In!F54),"",TK_In!F54)</f>
        <v>0.7</v>
      </c>
      <c r="H265" s="12" t="s">
        <v>1525</v>
      </c>
    </row>
    <row r="266" customFormat="false" ht="17.15" hidden="false" customHeight="false" outlineLevel="0" collapsed="false">
      <c r="A266" s="0" t="s">
        <v>1526</v>
      </c>
      <c r="B266" s="0" t="s">
        <v>859</v>
      </c>
      <c r="C266" s="6" t="s">
        <v>819</v>
      </c>
      <c r="D266" s="20" t="n">
        <f aca="false">IF(ISBLANK(TK_In!D55),"",TK_In!D55)</f>
        <v>0.8</v>
      </c>
      <c r="E266" s="20" t="n">
        <f aca="false">IF(ISBLANK(TK_In!E55),"",TK_In!E55)</f>
        <v>1</v>
      </c>
      <c r="F266" s="20" t="n">
        <f aca="false">IF(ISBLANK(TK_In!F55),"",TK_In!F55)</f>
        <v>1.2</v>
      </c>
      <c r="H266" s="12" t="s">
        <v>1527</v>
      </c>
    </row>
    <row r="267" customFormat="false" ht="17.15" hidden="false" customHeight="false" outlineLevel="0" collapsed="false">
      <c r="A267" s="0" t="s">
        <v>1528</v>
      </c>
      <c r="B267" s="0" t="s">
        <v>863</v>
      </c>
      <c r="C267" s="6" t="s">
        <v>819</v>
      </c>
      <c r="D267" s="20" t="n">
        <f aca="false">IF(ISBLANK(TK_In!D56),"",TK_In!D56)</f>
        <v>0.7</v>
      </c>
      <c r="E267" s="20" t="n">
        <f aca="false">IF(ISBLANK(TK_In!E56),"",TK_In!E56)</f>
        <v>0.8</v>
      </c>
      <c r="F267" s="20" t="n">
        <f aca="false">IF(ISBLANK(TK_In!F56),"",TK_In!F56)</f>
        <v>1</v>
      </c>
      <c r="H267" s="12" t="s">
        <v>1529</v>
      </c>
    </row>
    <row r="268" customFormat="false" ht="17.15" hidden="false" customHeight="false" outlineLevel="0" collapsed="false">
      <c r="A268" s="0" t="s">
        <v>1530</v>
      </c>
      <c r="B268" s="6" t="s">
        <v>867</v>
      </c>
      <c r="C268" s="6" t="s">
        <v>819</v>
      </c>
      <c r="D268" s="20" t="n">
        <f aca="false">IF(ISBLANK(TK_In!D57),"",TK_In!D57)</f>
        <v>0.45</v>
      </c>
      <c r="E268" s="20" t="n">
        <f aca="false">IF(ISBLANK(TK_In!E57),"",TK_In!E57)</f>
        <v>0.55</v>
      </c>
      <c r="F268" s="20" t="n">
        <f aca="false">IF(ISBLANK(TK_In!F57),"",TK_In!F57)</f>
        <v>0.7</v>
      </c>
      <c r="H268" s="12" t="s">
        <v>1531</v>
      </c>
    </row>
    <row r="269" customFormat="false" ht="17.15" hidden="false" customHeight="false" outlineLevel="0" collapsed="false">
      <c r="A269" s="0" t="s">
        <v>1532</v>
      </c>
      <c r="B269" s="0" t="s">
        <v>871</v>
      </c>
      <c r="C269" s="6" t="s">
        <v>819</v>
      </c>
      <c r="D269" s="20" t="n">
        <f aca="false">IF(ISBLANK(TK_In!D58),"",TK_In!D58)</f>
        <v>0.4</v>
      </c>
      <c r="E269" s="20" t="n">
        <f aca="false">IF(ISBLANK(TK_In!E58),"",TK_In!E58)</f>
        <v>0.5</v>
      </c>
      <c r="F269" s="20" t="n">
        <f aca="false">IF(ISBLANK(TK_In!F58),"",TK_In!F58)</f>
        <v>0.6</v>
      </c>
      <c r="H269" s="12" t="s">
        <v>1533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1534</v>
      </c>
    </row>
    <row r="3" customFormat="false" ht="15" hidden="false" customHeight="false" outlineLevel="0" collapsed="false">
      <c r="A3" s="5" t="s">
        <v>876</v>
      </c>
      <c r="B3" s="4" t="s">
        <v>37</v>
      </c>
      <c r="C3" s="4" t="s">
        <v>1535</v>
      </c>
      <c r="D3" s="4" t="s">
        <v>1536</v>
      </c>
      <c r="E3" s="4" t="s">
        <v>1537</v>
      </c>
      <c r="F3" s="4" t="s">
        <v>1538</v>
      </c>
      <c r="G3" s="4" t="s">
        <v>883</v>
      </c>
      <c r="H3" s="4" t="s">
        <v>32</v>
      </c>
    </row>
    <row r="4" customFormat="false" ht="17.15" hidden="false" customHeight="false" outlineLevel="0" collapsed="false">
      <c r="A4" s="0" t="s">
        <v>1539</v>
      </c>
      <c r="B4" s="0" t="s">
        <v>1540</v>
      </c>
      <c r="C4" s="19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1541</v>
      </c>
      <c r="H4" s="12" t="s">
        <v>1542</v>
      </c>
    </row>
    <row r="5" customFormat="false" ht="17.15" hidden="false" customHeight="false" outlineLevel="0" collapsed="false">
      <c r="A5" s="0" t="s">
        <v>1543</v>
      </c>
      <c r="B5" s="0" t="s">
        <v>1544</v>
      </c>
      <c r="C5" s="19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1541</v>
      </c>
      <c r="H5" s="12" t="s">
        <v>1542</v>
      </c>
    </row>
    <row r="6" customFormat="false" ht="17.15" hidden="false" customHeight="false" outlineLevel="0" collapsed="false">
      <c r="A6" s="0" t="s">
        <v>1545</v>
      </c>
      <c r="B6" s="0" t="s">
        <v>1546</v>
      </c>
      <c r="C6" s="19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1541</v>
      </c>
      <c r="H6" s="12" t="s">
        <v>1542</v>
      </c>
    </row>
    <row r="7" customFormat="false" ht="17.15" hidden="false" customHeight="false" outlineLevel="0" collapsed="false">
      <c r="A7" s="0" t="s">
        <v>1547</v>
      </c>
      <c r="B7" s="0" t="s">
        <v>1548</v>
      </c>
      <c r="C7" s="19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1541</v>
      </c>
      <c r="H7" s="12" t="s">
        <v>1542</v>
      </c>
    </row>
    <row r="8" customFormat="false" ht="17.15" hidden="false" customHeight="false" outlineLevel="0" collapsed="false">
      <c r="A8" s="0" t="s">
        <v>1549</v>
      </c>
      <c r="B8" s="0" t="s">
        <v>1550</v>
      </c>
      <c r="C8" s="19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1541</v>
      </c>
      <c r="H8" s="12" t="s">
        <v>1542</v>
      </c>
    </row>
    <row r="9" customFormat="false" ht="17.15" hidden="false" customHeight="false" outlineLevel="0" collapsed="false">
      <c r="A9" s="0" t="s">
        <v>1551</v>
      </c>
      <c r="B9" s="0" t="s">
        <v>1552</v>
      </c>
      <c r="C9" s="19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1541</v>
      </c>
      <c r="H9" s="12" t="s">
        <v>1542</v>
      </c>
    </row>
    <row r="10" customFormat="false" ht="17.15" hidden="false" customHeight="false" outlineLevel="0" collapsed="false">
      <c r="A10" s="0" t="s">
        <v>1553</v>
      </c>
      <c r="B10" s="0" t="s">
        <v>1554</v>
      </c>
      <c r="C10" s="19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1541</v>
      </c>
      <c r="H10" s="12" t="s">
        <v>1542</v>
      </c>
    </row>
    <row r="11" customFormat="false" ht="17.15" hidden="false" customHeight="false" outlineLevel="0" collapsed="false">
      <c r="A11" s="0" t="s">
        <v>1555</v>
      </c>
      <c r="B11" s="0" t="s">
        <v>1556</v>
      </c>
      <c r="C11" s="19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1541</v>
      </c>
      <c r="H11" s="12" t="s">
        <v>1542</v>
      </c>
    </row>
    <row r="12" customFormat="false" ht="17.15" hidden="false" customHeight="false" outlineLevel="0" collapsed="false">
      <c r="A12" s="0" t="s">
        <v>1557</v>
      </c>
      <c r="B12" s="0" t="s">
        <v>1558</v>
      </c>
      <c r="C12" s="19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1541</v>
      </c>
      <c r="H12" s="12" t="s">
        <v>1542</v>
      </c>
    </row>
    <row r="13" customFormat="false" ht="17.15" hidden="false" customHeight="false" outlineLevel="0" collapsed="false">
      <c r="A13" s="0" t="s">
        <v>1559</v>
      </c>
      <c r="B13" s="0" t="s">
        <v>1560</v>
      </c>
      <c r="C13" s="19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1541</v>
      </c>
      <c r="H13" s="12" t="s">
        <v>1542</v>
      </c>
    </row>
    <row r="14" customFormat="false" ht="17.15" hidden="false" customHeight="false" outlineLevel="0" collapsed="false">
      <c r="A14" s="0" t="s">
        <v>1561</v>
      </c>
      <c r="B14" s="0" t="s">
        <v>1562</v>
      </c>
      <c r="C14" s="19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1541</v>
      </c>
      <c r="H14" s="12" t="s">
        <v>1542</v>
      </c>
    </row>
    <row r="15" customFormat="false" ht="17.15" hidden="false" customHeight="false" outlineLevel="0" collapsed="false">
      <c r="A15" s="0" t="s">
        <v>1563</v>
      </c>
      <c r="B15" s="0" t="s">
        <v>1564</v>
      </c>
      <c r="C15" s="19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1541</v>
      </c>
      <c r="H15" s="12" t="s">
        <v>1542</v>
      </c>
    </row>
    <row r="16" customFormat="false" ht="17.15" hidden="false" customHeight="false" outlineLevel="0" collapsed="false">
      <c r="A16" s="0" t="s">
        <v>1565</v>
      </c>
      <c r="B16" s="0" t="s">
        <v>1566</v>
      </c>
      <c r="C16" s="19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1541</v>
      </c>
      <c r="H16" s="12" t="s">
        <v>1542</v>
      </c>
    </row>
    <row r="17" customFormat="false" ht="17.15" hidden="false" customHeight="false" outlineLevel="0" collapsed="false">
      <c r="A17" s="0" t="s">
        <v>1567</v>
      </c>
      <c r="B17" s="0" t="s">
        <v>1568</v>
      </c>
      <c r="C17" s="19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1541</v>
      </c>
      <c r="H17" s="12" t="s">
        <v>1542</v>
      </c>
    </row>
    <row r="18" customFormat="false" ht="17.15" hidden="false" customHeight="false" outlineLevel="0" collapsed="false">
      <c r="A18" s="0" t="s">
        <v>1569</v>
      </c>
      <c r="B18" s="0" t="s">
        <v>1570</v>
      </c>
      <c r="C18" s="19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1541</v>
      </c>
      <c r="H18" s="12" t="s">
        <v>1542</v>
      </c>
    </row>
    <row r="19" customFormat="false" ht="17.15" hidden="false" customHeight="false" outlineLevel="0" collapsed="false">
      <c r="A19" s="0" t="s">
        <v>1571</v>
      </c>
      <c r="B19" s="6" t="s">
        <v>1572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1573</v>
      </c>
    </row>
    <row r="20" customFormat="false" ht="17.15" hidden="false" customHeight="false" outlineLevel="0" collapsed="false">
      <c r="A20" s="0" t="s">
        <v>1574</v>
      </c>
      <c r="B20" s="6" t="s">
        <v>1575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1573</v>
      </c>
    </row>
    <row r="21" customFormat="false" ht="17.15" hidden="false" customHeight="false" outlineLevel="0" collapsed="false">
      <c r="A21" s="0" t="s">
        <v>1576</v>
      </c>
      <c r="B21" s="6" t="s">
        <v>1577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1573</v>
      </c>
    </row>
    <row r="22" customFormat="false" ht="17.15" hidden="false" customHeight="false" outlineLevel="0" collapsed="false">
      <c r="A22" s="0" t="s">
        <v>1578</v>
      </c>
      <c r="B22" s="6" t="s">
        <v>1579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1573</v>
      </c>
    </row>
    <row r="23" customFormat="false" ht="17.15" hidden="false" customHeight="false" outlineLevel="0" collapsed="false">
      <c r="A23" s="0" t="s">
        <v>1580</v>
      </c>
      <c r="B23" s="6" t="s">
        <v>1581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1573</v>
      </c>
    </row>
    <row r="24" customFormat="false" ht="17.15" hidden="false" customHeight="false" outlineLevel="0" collapsed="false">
      <c r="A24" s="0" t="s">
        <v>1582</v>
      </c>
      <c r="B24" s="6" t="s">
        <v>1583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1573</v>
      </c>
    </row>
    <row r="25" customFormat="false" ht="17.15" hidden="false" customHeight="false" outlineLevel="0" collapsed="false">
      <c r="A25" s="0" t="s">
        <v>1584</v>
      </c>
      <c r="B25" s="0" t="s">
        <v>1585</v>
      </c>
      <c r="F25" s="0" t="str">
        <f aca="false">IF(AND(um28_A&gt;=um28_B,um28_B&gt;=um28_C),"OK","ERROR")</f>
        <v>OK</v>
      </c>
      <c r="G25" s="6" t="s">
        <v>1573</v>
      </c>
    </row>
    <row r="26" customFormat="false" ht="17.15" hidden="false" customHeight="false" outlineLevel="0" collapsed="false">
      <c r="A26" s="0" t="s">
        <v>1586</v>
      </c>
      <c r="B26" s="0" t="s">
        <v>1587</v>
      </c>
      <c r="F26" s="0" t="str">
        <f aca="false">IF(AND(um29_A&gt;=um29_B,um29_B&gt;=um29_C),"OK","ERROR")</f>
        <v>OK</v>
      </c>
      <c r="G26" s="6" t="s">
        <v>1573</v>
      </c>
    </row>
    <row r="27" customFormat="false" ht="17.15" hidden="false" customHeight="false" outlineLevel="0" collapsed="false">
      <c r="A27" s="0" t="s">
        <v>1588</v>
      </c>
      <c r="B27" s="6" t="s">
        <v>1589</v>
      </c>
      <c r="C27" s="0" t="n">
        <f aca="false">TK_In!$M$60</f>
        <v>2</v>
      </c>
      <c r="F27" s="0" t="str">
        <f aca="false">IF(C27=0,"OK","WARN")</f>
        <v>WARN</v>
      </c>
      <c r="G27" s="6" t="s">
        <v>1590</v>
      </c>
      <c r="H27" s="0" t="s">
        <v>1591</v>
      </c>
    </row>
    <row r="28" customFormat="false" ht="17.15" hidden="false" customHeight="false" outlineLevel="0" collapsed="false">
      <c r="A28" s="0" t="s">
        <v>1592</v>
      </c>
      <c r="B28" s="0" t="s">
        <v>1593</v>
      </c>
      <c r="C28" s="14" t="n">
        <f aca="false">Units!C12</f>
        <v>15.2</v>
      </c>
      <c r="D28" s="19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1594</v>
      </c>
    </row>
    <row r="29" customFormat="false" ht="17.15" hidden="false" customHeight="false" outlineLevel="0" collapsed="false">
      <c r="A29" s="0" t="s">
        <v>1595</v>
      </c>
      <c r="B29" s="0" t="s">
        <v>1596</v>
      </c>
      <c r="C29" s="14" t="n">
        <f aca="false">Units!D12</f>
        <v>23.7</v>
      </c>
      <c r="D29" s="19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1594</v>
      </c>
    </row>
    <row r="30" customFormat="false" ht="17.15" hidden="false" customHeight="false" outlineLevel="0" collapsed="false">
      <c r="A30" s="0" t="s">
        <v>1597</v>
      </c>
      <c r="B30" s="0" t="s">
        <v>1598</v>
      </c>
      <c r="C30" s="14" t="n">
        <f aca="false">Units!E12</f>
        <v>26.5</v>
      </c>
      <c r="D30" s="19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1594</v>
      </c>
    </row>
    <row r="31" customFormat="false" ht="17.15" hidden="false" customHeight="false" outlineLevel="0" collapsed="false">
      <c r="A31" s="0" t="s">
        <v>1599</v>
      </c>
      <c r="B31" s="0" t="s">
        <v>1600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1573</v>
      </c>
    </row>
    <row r="32" customFormat="false" ht="17.15" hidden="false" customHeight="false" outlineLevel="0" collapsed="false">
      <c r="A32" s="0" t="s">
        <v>1601</v>
      </c>
      <c r="B32" s="0" t="s">
        <v>1602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1573</v>
      </c>
    </row>
    <row r="33" customFormat="false" ht="17.15" hidden="false" customHeight="false" outlineLevel="0" collapsed="false">
      <c r="A33" s="0" t="s">
        <v>1603</v>
      </c>
      <c r="B33" s="0" t="s">
        <v>1604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1573</v>
      </c>
    </row>
    <row r="34" customFormat="false" ht="17.15" hidden="false" customHeight="false" outlineLevel="0" collapsed="false">
      <c r="A34" s="0" t="s">
        <v>1605</v>
      </c>
      <c r="B34" s="0" t="s">
        <v>1606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1573</v>
      </c>
    </row>
    <row r="35" customFormat="false" ht="17.15" hidden="false" customHeight="false" outlineLevel="0" collapsed="false">
      <c r="A35" s="0" t="s">
        <v>1607</v>
      </c>
      <c r="B35" s="0" t="s">
        <v>1608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1573</v>
      </c>
    </row>
    <row r="36" customFormat="false" ht="17.15" hidden="false" customHeight="false" outlineLevel="0" collapsed="false">
      <c r="A36" s="0" t="s">
        <v>1609</v>
      </c>
      <c r="B36" s="0" t="s">
        <v>1610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1573</v>
      </c>
    </row>
    <row r="37" customFormat="false" ht="17.15" hidden="false" customHeight="false" outlineLevel="0" collapsed="false">
      <c r="A37" s="0" t="s">
        <v>1611</v>
      </c>
      <c r="B37" s="0" t="s">
        <v>1612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1573</v>
      </c>
    </row>
    <row r="38" customFormat="false" ht="17.15" hidden="false" customHeight="false" outlineLevel="0" collapsed="false">
      <c r="A38" s="0" t="s">
        <v>1613</v>
      </c>
      <c r="B38" s="0" t="s">
        <v>1614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1573</v>
      </c>
    </row>
    <row r="39" customFormat="false" ht="17.15" hidden="false" customHeight="false" outlineLevel="0" collapsed="false">
      <c r="A39" s="0" t="s">
        <v>1615</v>
      </c>
      <c r="B39" s="0" t="s">
        <v>1616</v>
      </c>
      <c r="C39" s="0" t="n">
        <f aca="false">SUMPRODUCT((In!A5:A190&lt;&gt;"")*(In!E5:E190&lt;&gt;"")*(In!G5:G190=""))</f>
        <v>0</v>
      </c>
      <c r="F39" s="0" t="str">
        <f aca="false">IF(C39=0,"OK","ERROR")</f>
        <v>OK</v>
      </c>
      <c r="G39" s="6" t="s">
        <v>1617</v>
      </c>
    </row>
    <row r="40" customFormat="false" ht="17.15" hidden="false" customHeight="false" outlineLevel="0" collapsed="false">
      <c r="A40" s="0" t="s">
        <v>1618</v>
      </c>
      <c r="B40" s="0" t="s">
        <v>1619</v>
      </c>
      <c r="C40" s="0" t="n">
        <f aca="false">SUMPRODUCT((In!A5:A190&lt;&gt;"")*(In!E5:E190&lt;&gt;"")*(In!H5:H190=""))</f>
        <v>0</v>
      </c>
      <c r="F40" s="0" t="str">
        <f aca="false">IF(C40=0,"OK","ERROR")</f>
        <v>OK</v>
      </c>
      <c r="G40" s="6" t="s">
        <v>1617</v>
      </c>
      <c r="H40" s="0" t="s">
        <v>1620</v>
      </c>
    </row>
    <row r="41" customFormat="false" ht="17.15" hidden="false" customHeight="false" outlineLevel="0" collapsed="false">
      <c r="A41" s="0" t="s">
        <v>1621</v>
      </c>
      <c r="B41" s="6" t="s">
        <v>1622</v>
      </c>
      <c r="C41" s="0" t="n">
        <f aca="false">SUMPRODUCT((In!A5:A190&lt;&gt;"")*(In!E5:E190&lt;&gt;"")*(ISNUMBER(SEARCH("Assumed",In!G5:G190))+ISNUMBER(SEARCH("Analogy",In!G5:G190))&gt;0)*((In!D5:D190="")+(In!F5:F190="")&gt;0))</f>
        <v>0</v>
      </c>
      <c r="F41" s="0" t="str">
        <f aca="false">IF(C41=0,"OK","ERROR")</f>
        <v>OK</v>
      </c>
      <c r="G41" s="6" t="s">
        <v>1617</v>
      </c>
      <c r="H41" s="0" t="s">
        <v>1623</v>
      </c>
    </row>
    <row r="42" customFormat="false" ht="17.15" hidden="false" customHeight="false" outlineLevel="0" collapsed="false">
      <c r="A42" s="0" t="s">
        <v>1624</v>
      </c>
      <c r="B42" s="0" t="s">
        <v>1625</v>
      </c>
      <c r="C42" s="0" t="n">
        <v>0</v>
      </c>
      <c r="F42" s="0" t="str">
        <f aca="false">IF(C42=0,"OK","ERROR")</f>
        <v>OK</v>
      </c>
      <c r="G42" s="6" t="s">
        <v>1617</v>
      </c>
    </row>
    <row r="43" customFormat="false" ht="17.15" hidden="false" customHeight="false" outlineLevel="0" collapsed="false">
      <c r="A43" s="0" t="s">
        <v>1626</v>
      </c>
      <c r="B43" s="6" t="s">
        <v>1627</v>
      </c>
      <c r="C43" s="0" t="n">
        <f aca="false">COUNTIF(Conflicts!L4:L25,"待*")</f>
        <v>21</v>
      </c>
      <c r="F43" s="0" t="str">
        <f aca="false">IF(C43=0,"OK","WARN")</f>
        <v>WARN</v>
      </c>
      <c r="G43" s="6" t="s">
        <v>1617</v>
      </c>
      <c r="H43" s="0" t="s">
        <v>1628</v>
      </c>
    </row>
    <row r="45" customFormat="false" ht="15" hidden="false" customHeight="false" outlineLevel="0" collapsed="false">
      <c r="A45" s="10" t="s">
        <v>1629</v>
      </c>
      <c r="C45" s="21" t="n">
        <f aca="false">COUNTIF(F4:F43,"ERROR")</f>
        <v>0</v>
      </c>
    </row>
    <row r="46" customFormat="false" ht="15" hidden="false" customHeight="false" outlineLevel="0" collapsed="false">
      <c r="A46" s="10" t="s">
        <v>1630</v>
      </c>
      <c r="C46" s="21" t="n">
        <f aca="false">COUNTIF(F4:F43,"WARN")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1631</v>
      </c>
    </row>
    <row r="3" customFormat="false" ht="17.15" hidden="false" customHeight="false" outlineLevel="0" collapsed="false">
      <c r="A3" s="4" t="s">
        <v>1632</v>
      </c>
      <c r="B3" s="4" t="s">
        <v>1633</v>
      </c>
      <c r="C3" s="4" t="s">
        <v>37</v>
      </c>
      <c r="D3" s="4" t="s">
        <v>1634</v>
      </c>
      <c r="E3" s="4" t="s">
        <v>1635</v>
      </c>
      <c r="F3" s="5" t="s">
        <v>1636</v>
      </c>
      <c r="G3" s="4" t="s">
        <v>886</v>
      </c>
    </row>
    <row r="4" customFormat="false" ht="79.85" hidden="false" customHeight="false" outlineLevel="0" collapsed="false">
      <c r="A4" s="3" t="s">
        <v>1637</v>
      </c>
      <c r="B4" s="2" t="s">
        <v>1638</v>
      </c>
      <c r="C4" s="2" t="s">
        <v>1639</v>
      </c>
      <c r="D4" s="2" t="s">
        <v>1640</v>
      </c>
      <c r="E4" s="3" t="s">
        <v>1641</v>
      </c>
      <c r="F4" s="2" t="s">
        <v>1642</v>
      </c>
      <c r="G4" s="2" t="s">
        <v>1643</v>
      </c>
    </row>
    <row r="5" customFormat="false" ht="79.85" hidden="false" customHeight="false" outlineLevel="0" collapsed="false">
      <c r="A5" s="22" t="s">
        <v>1644</v>
      </c>
      <c r="B5" s="23" t="s">
        <v>1645</v>
      </c>
      <c r="C5" s="23" t="s">
        <v>13</v>
      </c>
      <c r="D5" s="22" t="s">
        <v>1646</v>
      </c>
      <c r="E5" s="22" t="s">
        <v>1647</v>
      </c>
      <c r="F5" s="23" t="s">
        <v>1648</v>
      </c>
      <c r="G5" s="23" t="s">
        <v>1649</v>
      </c>
    </row>
    <row r="6" customFormat="false" ht="64.15" hidden="false" customHeight="false" outlineLevel="0" collapsed="false">
      <c r="A6" s="3" t="s">
        <v>1650</v>
      </c>
      <c r="B6" s="2" t="s">
        <v>1651</v>
      </c>
      <c r="C6" s="2" t="s">
        <v>1652</v>
      </c>
      <c r="D6" s="3" t="s">
        <v>1653</v>
      </c>
      <c r="E6" s="3" t="s">
        <v>1647</v>
      </c>
      <c r="F6" s="2" t="s">
        <v>1654</v>
      </c>
      <c r="G6" s="2" t="s">
        <v>1643</v>
      </c>
    </row>
    <row r="7" customFormat="false" ht="95.5" hidden="false" customHeight="false" outlineLevel="0" collapsed="false">
      <c r="A7" s="22" t="s">
        <v>1655</v>
      </c>
      <c r="B7" s="23" t="s">
        <v>1638</v>
      </c>
      <c r="C7" s="23" t="s">
        <v>1656</v>
      </c>
      <c r="D7" s="23" t="s">
        <v>1657</v>
      </c>
      <c r="E7" s="22" t="s">
        <v>1647</v>
      </c>
      <c r="F7" s="23" t="s">
        <v>1658</v>
      </c>
      <c r="G7" s="23" t="s">
        <v>1649</v>
      </c>
    </row>
    <row r="8" customFormat="false" ht="64.15" hidden="false" customHeight="false" outlineLevel="0" collapsed="false">
      <c r="A8" s="3" t="s">
        <v>1659</v>
      </c>
      <c r="B8" s="2" t="s">
        <v>1651</v>
      </c>
      <c r="C8" s="2" t="s">
        <v>1660</v>
      </c>
      <c r="D8" s="3" t="s">
        <v>1661</v>
      </c>
      <c r="E8" s="3" t="s">
        <v>1647</v>
      </c>
      <c r="F8" s="2" t="s">
        <v>1654</v>
      </c>
      <c r="G8" s="2" t="s">
        <v>1643</v>
      </c>
    </row>
    <row r="9" customFormat="false" ht="48.5" hidden="false" customHeight="false" outlineLevel="0" collapsed="false">
      <c r="A9" s="22" t="s">
        <v>1662</v>
      </c>
      <c r="B9" s="23" t="s">
        <v>1638</v>
      </c>
      <c r="C9" s="23" t="s">
        <v>1663</v>
      </c>
      <c r="D9" s="22" t="s">
        <v>1664</v>
      </c>
      <c r="E9" s="22" t="s">
        <v>1647</v>
      </c>
      <c r="F9" s="23" t="s">
        <v>1665</v>
      </c>
      <c r="G9" s="23" t="s">
        <v>1649</v>
      </c>
    </row>
    <row r="10" customFormat="false" ht="48.5" hidden="false" customHeight="false" outlineLevel="0" collapsed="false">
      <c r="A10" s="3" t="s">
        <v>1666</v>
      </c>
      <c r="B10" s="2" t="s">
        <v>1617</v>
      </c>
      <c r="C10" s="2" t="s">
        <v>1667</v>
      </c>
      <c r="D10" s="2" t="s">
        <v>1668</v>
      </c>
      <c r="E10" s="3" t="s">
        <v>1647</v>
      </c>
      <c r="F10" s="2" t="s">
        <v>1669</v>
      </c>
      <c r="G10" s="2" t="s">
        <v>1643</v>
      </c>
    </row>
    <row r="11" customFormat="false" ht="95.5" hidden="false" customHeight="false" outlineLevel="0" collapsed="false">
      <c r="A11" s="22" t="s">
        <v>1670</v>
      </c>
      <c r="B11" s="23" t="s">
        <v>1638</v>
      </c>
      <c r="C11" s="22" t="s">
        <v>1671</v>
      </c>
      <c r="D11" s="22" t="s">
        <v>1672</v>
      </c>
      <c r="E11" s="22" t="s">
        <v>1647</v>
      </c>
      <c r="F11" s="23" t="s">
        <v>1673</v>
      </c>
      <c r="G11" s="23" t="s">
        <v>1649</v>
      </c>
    </row>
    <row r="12" customFormat="false" ht="48.5" hidden="false" customHeight="false" outlineLevel="0" collapsed="false">
      <c r="A12" s="3" t="s">
        <v>1674</v>
      </c>
      <c r="B12" s="2" t="s">
        <v>1617</v>
      </c>
      <c r="C12" s="3" t="s">
        <v>1675</v>
      </c>
      <c r="D12" s="3" t="s">
        <v>1676</v>
      </c>
      <c r="E12" s="3" t="s">
        <v>1647</v>
      </c>
      <c r="F12" s="2" t="s">
        <v>1677</v>
      </c>
      <c r="G12" s="2" t="s">
        <v>1643</v>
      </c>
    </row>
    <row r="13" customFormat="false" ht="48.5" hidden="false" customHeight="false" outlineLevel="0" collapsed="false">
      <c r="A13" s="3" t="s">
        <v>1678</v>
      </c>
      <c r="B13" s="2" t="s">
        <v>1651</v>
      </c>
      <c r="C13" s="2" t="s">
        <v>1679</v>
      </c>
      <c r="D13" s="3" t="s">
        <v>1680</v>
      </c>
      <c r="E13" s="3" t="s">
        <v>1647</v>
      </c>
      <c r="F13" s="2" t="s">
        <v>1677</v>
      </c>
      <c r="G13" s="2" t="s">
        <v>1643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1681</v>
      </c>
    </row>
    <row r="3" customFormat="false" ht="15" hidden="false" customHeight="false" outlineLevel="0" collapsed="false">
      <c r="A3" s="5" t="s">
        <v>876</v>
      </c>
      <c r="B3" s="4" t="s">
        <v>1635</v>
      </c>
      <c r="C3" s="4" t="s">
        <v>1682</v>
      </c>
      <c r="D3" s="4" t="s">
        <v>887</v>
      </c>
      <c r="E3" s="4" t="s">
        <v>42</v>
      </c>
      <c r="F3" s="4" t="s">
        <v>1683</v>
      </c>
      <c r="G3" s="4" t="s">
        <v>1684</v>
      </c>
      <c r="H3" s="4" t="s">
        <v>1685</v>
      </c>
      <c r="I3" s="4" t="s">
        <v>1686</v>
      </c>
      <c r="J3" s="4" t="s">
        <v>1687</v>
      </c>
      <c r="K3" s="4" t="s">
        <v>1688</v>
      </c>
      <c r="L3" s="4" t="s">
        <v>1689</v>
      </c>
    </row>
    <row r="4" customFormat="false" ht="17.15" hidden="false" customHeight="false" outlineLevel="0" collapsed="false">
      <c r="A4" s="6" t="s">
        <v>1690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2026-10-27T06:01:10Z</dcterms:created>
  <dc:creator>openpyxl</dc:creator>
  <dc:description/>
  <dc:language>en-US</dc:language>
  <cp:lastModifiedBy/>
  <dcterms:modified xsi:type="dcterms:W3CDTF">2026-10-27T06:01:10Z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